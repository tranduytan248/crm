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tài liệu\"/>
    </mc:Choice>
  </mc:AlternateContent>
  <xr:revisionPtr revIDLastSave="0" documentId="13_ncr:1_{31899A73-9DA1-407D-AFFF-2679D83584E4}" xr6:coauthVersionLast="47" xr6:coauthVersionMax="47" xr10:uidLastSave="{00000000-0000-0000-0000-000000000000}"/>
  <bookViews>
    <workbookView xWindow="-96" yWindow="0" windowWidth="11712" windowHeight="12336" tabRatio="818" firstSheet="1" activeTab="1" xr2:uid="{00000000-000D-0000-FFFF-FFFF00000000}"/>
  </bookViews>
  <sheets>
    <sheet name="Tổng hợp CP PM" sheetId="1" r:id="rId1"/>
    <sheet name="PLVIII.GTPM (G)" sheetId="2" r:id="rId2"/>
    <sheet name="PLI.Actors" sheetId="3" r:id="rId3"/>
    <sheet name="PLII.DS chức năng" sheetId="4" r:id="rId4"/>
    <sheet name="PLIII.Chuyển đổi UC" sheetId="5" r:id="rId5"/>
    <sheet name="PLIV.TAW" sheetId="6" r:id="rId6"/>
    <sheet name="PLV.TBF" sheetId="7" r:id="rId7"/>
    <sheet name="PLVI.TFW" sheetId="8" r:id="rId8"/>
    <sheet name="PLVII.EFW" sheetId="9" r:id="rId9"/>
    <sheet name="KN Thành Viên" sheetId="10" r:id="rId10"/>
    <sheet name="Lương-H" sheetId="11" r:id="rId11"/>
    <sheet name="bangluong" sheetId="12" r:id="rId12"/>
    <sheet name="2.1.Đào tạo HDSD" sheetId="13" r:id="rId13"/>
    <sheet name="2.2.Đào tạo QTHT" sheetId="14" r:id="rId1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4" l="1"/>
  <c r="G13" i="14" s="1"/>
  <c r="G12" i="14"/>
  <c r="G11" i="14"/>
  <c r="G10" i="14"/>
  <c r="G9" i="14"/>
  <c r="G8" i="14"/>
  <c r="G7" i="14" s="1"/>
  <c r="G15" i="14" s="1"/>
  <c r="F13" i="13"/>
  <c r="F12" i="13"/>
  <c r="F11" i="13"/>
  <c r="F10" i="13"/>
  <c r="F9" i="13"/>
  <c r="F8" i="13"/>
  <c r="F7" i="13"/>
  <c r="F6" i="13"/>
  <c r="F14" i="13" s="1"/>
  <c r="J8" i="12"/>
  <c r="I8" i="12"/>
  <c r="H8" i="12"/>
  <c r="G8" i="12"/>
  <c r="F8" i="12"/>
  <c r="E8" i="12"/>
  <c r="D8" i="12"/>
  <c r="C8" i="12"/>
  <c r="J7" i="12"/>
  <c r="J11" i="12" s="1"/>
  <c r="I7" i="12"/>
  <c r="I11" i="12" s="1"/>
  <c r="H7" i="12"/>
  <c r="H11" i="12" s="1"/>
  <c r="G7" i="12"/>
  <c r="G11" i="12" s="1"/>
  <c r="F7" i="12"/>
  <c r="F11" i="12" s="1"/>
  <c r="E7" i="12"/>
  <c r="E11" i="12" s="1"/>
  <c r="D7" i="12"/>
  <c r="D11" i="12" s="1"/>
  <c r="C7" i="12"/>
  <c r="C11" i="12" s="1"/>
  <c r="F12" i="9"/>
  <c r="E12" i="9"/>
  <c r="E11" i="9"/>
  <c r="F11" i="9" s="1"/>
  <c r="E10" i="9"/>
  <c r="F10" i="9" s="1"/>
  <c r="F9" i="9"/>
  <c r="E9" i="9"/>
  <c r="F8" i="9"/>
  <c r="E8" i="9"/>
  <c r="E7" i="9"/>
  <c r="F7" i="9" s="1"/>
  <c r="E6" i="9"/>
  <c r="F6" i="9" s="1"/>
  <c r="F5" i="9"/>
  <c r="E5" i="9"/>
  <c r="E4" i="9"/>
  <c r="E13" i="9" s="1"/>
  <c r="F10" i="2" s="1"/>
  <c r="D4" i="9"/>
  <c r="E17" i="8"/>
  <c r="E16" i="8"/>
  <c r="E15" i="8"/>
  <c r="E14" i="8"/>
  <c r="E13" i="8"/>
  <c r="E12" i="8"/>
  <c r="E11" i="8"/>
  <c r="E10" i="8"/>
  <c r="E9" i="8"/>
  <c r="E8" i="8"/>
  <c r="E7" i="8"/>
  <c r="E6" i="8"/>
  <c r="E5" i="8"/>
  <c r="E4" i="8"/>
  <c r="E18" i="8" s="1"/>
  <c r="F9" i="2" s="1"/>
  <c r="E16" i="7"/>
  <c r="F16" i="7" s="1"/>
  <c r="E15" i="7"/>
  <c r="F15" i="7" s="1"/>
  <c r="E14" i="7"/>
  <c r="F14" i="7" s="1"/>
  <c r="E12" i="7"/>
  <c r="F12" i="7" s="1"/>
  <c r="E11" i="7"/>
  <c r="F11" i="7" s="1"/>
  <c r="E10" i="7"/>
  <c r="F10" i="7" s="1"/>
  <c r="F7" i="6"/>
  <c r="E6" i="6"/>
  <c r="F6" i="6" s="1"/>
  <c r="F5" i="6"/>
  <c r="F8" i="6" s="1"/>
  <c r="F6" i="2" s="1"/>
  <c r="H287" i="5"/>
  <c r="F287" i="5"/>
  <c r="H285" i="5"/>
  <c r="F285" i="5"/>
  <c r="H283" i="5"/>
  <c r="F283" i="5" s="1"/>
  <c r="H281" i="5"/>
  <c r="F281" i="5" s="1"/>
  <c r="H278" i="5"/>
  <c r="F278" i="5"/>
  <c r="H275" i="5"/>
  <c r="F275" i="5"/>
  <c r="H268" i="5"/>
  <c r="F268" i="5" s="1"/>
  <c r="H264" i="5"/>
  <c r="F264" i="5" s="1"/>
  <c r="H262" i="5"/>
  <c r="F262" i="5" s="1"/>
  <c r="H257" i="5"/>
  <c r="F257" i="5"/>
  <c r="H254" i="5"/>
  <c r="F254" i="5"/>
  <c r="H252" i="5"/>
  <c r="F252" i="5" s="1"/>
  <c r="H250" i="5"/>
  <c r="F250" i="5" s="1"/>
  <c r="H248" i="5"/>
  <c r="F248" i="5" s="1"/>
  <c r="H246" i="5"/>
  <c r="F246" i="5"/>
  <c r="H244" i="5"/>
  <c r="F244" i="5"/>
  <c r="H242" i="5"/>
  <c r="F242" i="5" s="1"/>
  <c r="H240" i="5"/>
  <c r="F240" i="5"/>
  <c r="H238" i="5"/>
  <c r="F238" i="5" s="1"/>
  <c r="H236" i="5"/>
  <c r="F236" i="5"/>
  <c r="H234" i="5"/>
  <c r="F234" i="5" s="1"/>
  <c r="H232" i="5"/>
  <c r="F232" i="5" s="1"/>
  <c r="H230" i="5"/>
  <c r="F230" i="5"/>
  <c r="H228" i="5"/>
  <c r="F228" i="5" s="1"/>
  <c r="H226" i="5"/>
  <c r="F226" i="5" s="1"/>
  <c r="H224" i="5"/>
  <c r="F224" i="5" s="1"/>
  <c r="H222" i="5"/>
  <c r="F222" i="5"/>
  <c r="H220" i="5"/>
  <c r="F220" i="5"/>
  <c r="H217" i="5"/>
  <c r="F217" i="5" s="1"/>
  <c r="H212" i="5"/>
  <c r="F212" i="5"/>
  <c r="H208" i="5"/>
  <c r="F208" i="5"/>
  <c r="H205" i="5"/>
  <c r="F205" i="5"/>
  <c r="H202" i="5"/>
  <c r="F202" i="5" s="1"/>
  <c r="H197" i="5"/>
  <c r="F197" i="5" s="1"/>
  <c r="H192" i="5"/>
  <c r="F192" i="5" s="1"/>
  <c r="H185" i="5"/>
  <c r="F185" i="5"/>
  <c r="H176" i="5"/>
  <c r="F176" i="5" s="1"/>
  <c r="H170" i="5"/>
  <c r="F170" i="5"/>
  <c r="H165" i="5"/>
  <c r="F165" i="5" s="1"/>
  <c r="H160" i="5"/>
  <c r="F160" i="5"/>
  <c r="H154" i="5"/>
  <c r="F154" i="5" s="1"/>
  <c r="H150" i="5"/>
  <c r="F150" i="5"/>
  <c r="H146" i="5"/>
  <c r="F146" i="5"/>
  <c r="H140" i="5"/>
  <c r="F140" i="5" s="1"/>
  <c r="H134" i="5"/>
  <c r="F134" i="5" s="1"/>
  <c r="H131" i="5"/>
  <c r="F131" i="5"/>
  <c r="H126" i="5"/>
  <c r="F126" i="5"/>
  <c r="H118" i="5"/>
  <c r="F118" i="5"/>
  <c r="H115" i="5"/>
  <c r="F115" i="5" s="1"/>
  <c r="H113" i="5"/>
  <c r="F113" i="5"/>
  <c r="H111" i="5"/>
  <c r="F111" i="5"/>
  <c r="H107" i="5"/>
  <c r="F107" i="5"/>
  <c r="H104" i="5"/>
  <c r="F104" i="5" s="1"/>
  <c r="H100" i="5"/>
  <c r="F100" i="5" s="1"/>
  <c r="H94" i="5"/>
  <c r="F94" i="5"/>
  <c r="H88" i="5"/>
  <c r="F88" i="5"/>
  <c r="H86" i="5"/>
  <c r="F86" i="5" s="1"/>
  <c r="H84" i="5"/>
  <c r="F84" i="5" s="1"/>
  <c r="H77" i="5"/>
  <c r="F77" i="5" s="1"/>
  <c r="H72" i="5"/>
  <c r="F72" i="5"/>
  <c r="H62" i="5"/>
  <c r="F62" i="5" s="1"/>
  <c r="H54" i="5"/>
  <c r="F54" i="5"/>
  <c r="H50" i="5"/>
  <c r="F50" i="5" s="1"/>
  <c r="H44" i="5"/>
  <c r="F44" i="5"/>
  <c r="H38" i="5"/>
  <c r="F38" i="5" s="1"/>
  <c r="H36" i="5"/>
  <c r="F36" i="5"/>
  <c r="H34" i="5"/>
  <c r="F34" i="5" s="1"/>
  <c r="H28" i="5"/>
  <c r="F28" i="5" s="1"/>
  <c r="H23" i="5"/>
  <c r="F23" i="5" s="1"/>
  <c r="H17" i="5"/>
  <c r="F17" i="5"/>
  <c r="H12" i="5"/>
  <c r="F12" i="5"/>
  <c r="H7" i="5"/>
  <c r="F7" i="5" s="1"/>
  <c r="K3" i="5"/>
  <c r="E294" i="5" s="1"/>
  <c r="J3" i="5"/>
  <c r="E293" i="5" s="1"/>
  <c r="I3" i="5"/>
  <c r="E292" i="5" s="1"/>
  <c r="E303" i="5" l="1"/>
  <c r="E7" i="7"/>
  <c r="F7" i="7" s="1"/>
  <c r="E6" i="7"/>
  <c r="F6" i="7" s="1"/>
  <c r="F14" i="9"/>
  <c r="F15" i="9" s="1"/>
  <c r="F12" i="2" s="1"/>
  <c r="E8" i="7"/>
  <c r="F8" i="7" s="1"/>
  <c r="E9" i="12"/>
  <c r="E12" i="12" s="1"/>
  <c r="E13" i="12" s="1"/>
  <c r="E14" i="12" s="1"/>
  <c r="E15" i="12" s="1"/>
  <c r="E16" i="12" s="1"/>
  <c r="E4" i="11" s="1"/>
  <c r="E7" i="11" s="1"/>
  <c r="F14" i="2" s="1"/>
  <c r="F9" i="12"/>
  <c r="F12" i="12" s="1"/>
  <c r="F13" i="12" s="1"/>
  <c r="F14" i="12" s="1"/>
  <c r="F15" i="12" s="1"/>
  <c r="F16" i="12" s="1"/>
  <c r="G9" i="12"/>
  <c r="G12" i="12" s="1"/>
  <c r="G13" i="12" s="1"/>
  <c r="G14" i="12" s="1"/>
  <c r="G15" i="12" s="1"/>
  <c r="G16" i="12" s="1"/>
  <c r="H9" i="12"/>
  <c r="H12" i="12" s="1"/>
  <c r="H13" i="12" s="1"/>
  <c r="H14" i="12" s="1"/>
  <c r="H15" i="12" s="1"/>
  <c r="H16" i="12" s="1"/>
  <c r="I9" i="12"/>
  <c r="I12" i="12" s="1"/>
  <c r="I13" i="12" s="1"/>
  <c r="I14" i="12" s="1"/>
  <c r="I15" i="12" s="1"/>
  <c r="I16" i="12" s="1"/>
  <c r="J9" i="12"/>
  <c r="J12" i="12" s="1"/>
  <c r="J13" i="12" s="1"/>
  <c r="J14" i="12" s="1"/>
  <c r="J15" i="12" s="1"/>
  <c r="J16" i="12" s="1"/>
  <c r="C9" i="12"/>
  <c r="C12" i="12" s="1"/>
  <c r="C13" i="12" s="1"/>
  <c r="C14" i="12" s="1"/>
  <c r="C15" i="12" s="1"/>
  <c r="C16" i="12" s="1"/>
  <c r="E6" i="11" s="1"/>
  <c r="D9" i="12"/>
  <c r="D12" i="12" s="1"/>
  <c r="D13" i="12" s="1"/>
  <c r="D14" i="12" s="1"/>
  <c r="D15" i="12" s="1"/>
  <c r="D16" i="12" s="1"/>
  <c r="E5" i="11" s="1"/>
  <c r="F17" i="7" l="1"/>
  <c r="F7" i="2" s="1"/>
  <c r="F8" i="2" s="1"/>
  <c r="F11" i="2" s="1"/>
  <c r="F13" i="2" s="1"/>
  <c r="F15" i="2"/>
  <c r="D5" i="1" s="1"/>
  <c r="D6" i="1" l="1"/>
  <c r="D7" i="1" l="1"/>
  <c r="D8" i="1" s="1"/>
  <c r="D9"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Admin</author>
  </authors>
  <commentList>
    <comment ref="E3" authorId="0" shapeId="0" xr:uid="{00000000-0006-0000-0800-000001000000}">
      <text>
        <r>
          <rPr>
            <sz val="11"/>
            <color theme="1"/>
            <rFont val="Calibri"/>
            <family val="2"/>
            <charset val="163"/>
            <scheme val="minor"/>
          </rPr>
          <t xml:space="preserve">Admin:
 - Hệ số tác động môi trường và nhóm làm việc (EFW) trong cột Kết quả (đơn vị tính: giá trị) được xác định theo công thức:
  8
EFW = ∑ Mixephang  x TSi 
 i=1
</t>
        </r>
      </text>
    </comment>
    <comment ref="D5" authorId="0" shapeId="0" xr:uid="{00000000-0006-0000-0800-000002000000}">
      <text>
        <r>
          <rPr>
            <sz val="11"/>
            <color theme="1"/>
            <rFont val="Calibri"/>
            <family val="2"/>
            <charset val="163"/>
            <scheme val="minor"/>
          </rPr>
          <t xml:space="preserve">Admin:
Admin:
xác định giá trị xếp hạng:
0 Dưới 10% các thành viên nhóm phát triển có kinh nghiệm tham gia dự án có áp dụng quy trình phát triển phần mềm.
1 Yêu cầu ít nhất 10% thành viên nhóm phát triển có kinh nghiệm tham gia dự án có áp dụng quy trình phát triển phần mềm.
2 Yêu cầu ít nhất 20% thành viên nhóm phát triển có kinh nghiệm tham gia dự án có áp dụng quy trình phát triển phần mềm.
3 Yêu cầu ít nhất 30% thành viên nhóm phát triển có kinh nghiệm tham gia dự án có áp dụng quy trình phát triển phần mềm.
4 Yêu cầu ít nhất 40% thành viên nhóm phát triển có kinh nghiệm tham gia dự án có áp dụng quy trình phát triển phần mềm.
5 Yêu cầu ít nhất 50% thành viên nhóm phát triển có kinh nghiệm tham gia dự án có áp dụng quy trình phát triển phần mềm.
</t>
        </r>
      </text>
    </comment>
    <comment ref="D6" authorId="0" shapeId="0" xr:uid="{00000000-0006-0000-0800-000003000000}">
      <text>
        <r>
          <rPr>
            <sz val="11"/>
            <color theme="1"/>
            <rFont val="Calibri"/>
            <family val="2"/>
            <charset val="163"/>
            <scheme val="minor"/>
          </rPr>
          <t xml:space="preserve">Admin:
xác định giá trị xếp hạng:
0 Dưới 10% thành viên nhóm phát triển có kinh nghiệm phát triển ứng dụng tương tự.
1 Yêu cầu ít nhất 10% thành viên nhóm phát triển có kinh nghiệm phát triển ứng dụng tương tự.
2 Yêu cầu ít nhất 20% thành viên nhóm phát triển có kinh nghiệm phát triển ứng dụng tương tự.
3 Yêu cầu ít nhất 30% thành viên nhóm phát triển có kinh nghiệm phát triển ứng dụng tương tự.
4 Yêu cầu ít nhất 40% thành viên nhóm phát triển có kinh nghiệm phát triển ứng dụng tương tự.
5 Yêu cầu ít nhất 50% thành viên nhóm phát triển có kinh nghiệm phát triển ứng dụng tương tự.
</t>
        </r>
      </text>
    </comment>
    <comment ref="D7" authorId="0" shapeId="0" xr:uid="{00000000-0006-0000-0800-000004000000}">
      <text>
        <r>
          <rPr>
            <sz val="11"/>
            <color theme="1"/>
            <rFont val="Calibri"/>
            <family val="2"/>
            <charset val="163"/>
            <scheme val="minor"/>
          </rPr>
          <t xml:space="preserve">Admin: xác định giá trị xếp hạng:
0 Dưới 10% nhóm phát triển có kinh nghiệm về hướng đối tượng.
1 Yêu cầu ít nhất 10% thành viên nhóm phát triển có kinh nghiệm về hướng đối tượng.
2 Yêu cầu ít nhất 20% thành viên nhóm phát triển có kinh nghiệm về hướng đối tượng.
3 Yêu cầu ít nhất 30% thành viên nhóm phát triển có kinh nghiệm về hướng đối tượng.
4 Yêu cầu ít nhất 40% thành viên nhóm phát triển có kinh nghiệm về hướng đối tượng.
5 Yêu cầu ít nhất 50% thành viên nhóm phát triển có kinh nghiệm về hướng đối tượng.
</t>
        </r>
      </text>
    </comment>
    <comment ref="D8" authorId="0" shapeId="0" xr:uid="{00000000-0006-0000-0800-000005000000}">
      <text>
        <r>
          <rPr>
            <sz val="11"/>
            <color theme="1"/>
            <rFont val="Calibri"/>
            <family val="2"/>
            <charset val="163"/>
            <scheme val="minor"/>
          </rPr>
          <t xml:space="preserve">Admin:
xác định giá trị xếp hạng:
0 Không yêu cầu về kinh nghiệm của trưởng nhóm lập trình.
1 Yêu cầu trưởng nhóm lập trình đã có kinh nghiệm làm trưởng nhóm lập trình 1 dự án/nhiệm vụ.
2 Yêu cầu trưởng nhóm lập trình đã có kinh nghiệm làm trưởng nhóm lập trình 2 dự án/nhiệm vụ.
3 Yêu cầu trưởng nhóm lập trình đã có kinh nghiệm làm trưởng nhóm lập trình 3 dự án/nhiệm vụ.
4 Yêu cầu trưởng nhóm lập trình đã có kinh nghiệm làm trưởng nhóm lập trình 4 dự án/nhiệm vụ.
5 Yêu cầu trưởng nhóm lập trình đã có kinh nghiệm làm trưởng nhóm lập trình 5 dự án/nhiệm vụ.
</t>
        </r>
      </text>
    </comment>
    <comment ref="D9" authorId="0" shapeId="0" xr:uid="{00000000-0006-0000-0800-000006000000}">
      <text>
        <r>
          <rPr>
            <sz val="11"/>
            <color theme="1"/>
            <rFont val="Calibri"/>
            <family val="2"/>
            <charset val="163"/>
            <scheme val="minor"/>
          </rPr>
          <t xml:space="preserve">Admin:
0 Yêu cầu nhóm phát triển có kế hoạch cụ thể công việc (hằng ngày), lập báo cáo công việc hằng ngày.
1 Yêu cầu nhóm phát triển thực hiện báo cáo công việc hàng tuần. 
2 Yêu cầu nhóm phát triển thực hiện báo cáo công việc theo tháng.
3 Yêu cầu nhóm phát triển thực hiện báo cáo công việc quý.
4 Yêu cầu nhóm phát triển thực hiện báo cáo công việc theo các mốc công việc/sản phẩm trong kế hoạch thực hiện nhưng không yêu cầu lập báo cáo công việc định kỳ.
5 Không yêu cầu nhóm phát triển thực hiện báo cáo theo các mốc công việc/sản phẩm trong kế hoạch thực hiện.
</t>
        </r>
      </text>
    </comment>
    <comment ref="D10" authorId="0" shapeId="0" xr:uid="{00000000-0006-0000-0800-000007000000}">
      <text>
        <r>
          <rPr>
            <sz val="11"/>
            <color theme="1"/>
            <rFont val="Calibri"/>
            <family val="2"/>
            <charset val="163"/>
            <scheme val="minor"/>
          </rPr>
          <t>Admin:
xác định giá trị xếp hạng:
Một số tiêu chí đưa ra để đánh giá độ ổn định của các yêu cầu như:
- Mức 0: Các yêu cầu hệ thống không có độ ổn định, có thể có trên 50% số lượng Use case liên quan đến những yêu cầu nghiệp vụ cần phân tích, đặc tả cụ thể, chi tiết hơn.
- Mức 1: Các yêu cầu hệ thống có độ ổn định rất thấp, có thể có từ 30% đến 50% số lượng Use case liên quan đến những yêu cầu nghiệp vụ cần phân tích, đặc tả cụ thể, chi tiết hơn.
- Mức 2: Các yêu cầu hệ thống có độ ổn định thấp, có thể có từ 10% đến 30% số lượng Use case liên quan đến những yêu cầu nghiệp vụ cần phân tích, đặc tả cụ thể, chi tiết hơn.
- Mức 3: Các yêu cầu hệ thống tương đối ổn định, có thể có dưới 10% số lượng Use case liên quan đến những yêu cầu nghiệp vụ cần phân tích, đặc tả cụ thể, chi tiết hơn.
- Mức 4: Các yêu cầu hệ thống ổn định, trong giai đoạn xây dựng, phát triển, mở rộng phần mềm chỉ cho phép điều chỉnh giao diện về mặt mỹ thuật.
- Mức 5: Các yêu cầu hệ thống hoàn toàn ổn định.
Giá trị xếp hạng EFW6 theo các tiêu chí này được xác định như bảng dưới đây:
0 Độ ổn định yêu cầu mức 0.
1 Độ ổn định yêu cầu mức 1.
2 Độ ổn định yêu cầu mức 2.
3 Độ ổn định yêu cầu mức 3.
4 Độ ổn định yêu cầu mức 4.
5 Độ ổn định yêu cầu mức 5.</t>
        </r>
      </text>
    </comment>
    <comment ref="D11" authorId="0" shapeId="0" xr:uid="{00000000-0006-0000-0800-000008000000}">
      <text>
        <r>
          <rPr>
            <sz val="11"/>
            <color theme="1"/>
            <rFont val="Calibri"/>
            <family val="2"/>
            <charset val="163"/>
            <scheme val="minor"/>
          </rPr>
          <t xml:space="preserve">Admin:
xác định giá trị xếp hạng:
0 Không sử dụng nhân viên làm bán thời gian.
1 Cho phép tối đa 10% nhân viên làm bán thời gian.
2 Cho phép tối đa 20% nhân viên làm bán thời gian.
3 Cho phép tối đa 30% nhân viên làm bán thời gian.
4 Cho phép tối đa 40% nhân viên làm bán thời gian.
5 Cho phép trên 40% trở lên nhân viên làm bán thời gian.
</t>
        </r>
      </text>
    </comment>
    <comment ref="D12" authorId="0" shapeId="0" xr:uid="{00000000-0006-0000-0800-000009000000}">
      <text>
        <r>
          <rPr>
            <sz val="11"/>
            <color theme="1"/>
            <rFont val="Calibri"/>
            <family val="2"/>
            <charset val="163"/>
            <scheme val="minor"/>
          </rPr>
          <t xml:space="preserve">Admin:
xác định giá trị xếp hạng: 
0 Không yêu cầu thành viên nhóm lập trình có kinh nghiệm sử dụng ngôn ngữ lập trình dự kiến.
1 Yêu cầu ít nhất 20% thành viên nhóm lập trình có kinh nghiệm lập trình.
2 Yêu cầu ít nhất 40% thành viên nhóm lập trình có kinh nghiệm lập trình.
3 Yêu cầu ít nhất 60% thành viên nhóm lập trình có kinh nghiệm lập trình.
4 Yêu cầu ít nhất 80% thành viên nhóm lập trình có kinh nghiệm lập trình.
5 Yêu cầu tất cả các thành viên trong nhóm lập trình có kinh nghiệm lập trình.
</t>
        </r>
      </text>
    </comment>
  </commentList>
</comments>
</file>

<file path=xl/sharedStrings.xml><?xml version="1.0" encoding="utf-8"?>
<sst xmlns="http://schemas.openxmlformats.org/spreadsheetml/2006/main" count="1051" uniqueCount="548">
  <si>
    <t>PHỤ LỤC III</t>
  </si>
  <si>
    <t>BẢNG CHUYỂN ĐỔI YÊU CẦU CHỨC NĂNG SANG 
TRƯỜNG HỢP SỬ DỤNG (USE CASE)</t>
  </si>
  <si>
    <t>TT</t>
  </si>
  <si>
    <t>Tên Use case</t>
  </si>
  <si>
    <t>Tên tác nhân</t>
  </si>
  <si>
    <t>Giao dịch (Transaction)</t>
  </si>
  <si>
    <t>Phân loại theo BMT</t>
  </si>
  <si>
    <t>Phân loại theo độ phức tạp</t>
  </si>
  <si>
    <t>Ghi chú</t>
  </si>
  <si>
    <t>Số transaction</t>
  </si>
  <si>
    <t>Đơn giản</t>
  </si>
  <si>
    <t>Trung bình</t>
  </si>
  <si>
    <t>Phức tạp</t>
  </si>
  <si>
    <t>I. Website thu phí môi trường</t>
  </si>
  <si>
    <t>I.1. Đơn vị hành chính</t>
  </si>
  <si>
    <t>Quản lý PHƯỜNG/XÃ</t>
  </si>
  <si>
    <t>Quản trị hệ thống</t>
  </si>
  <si>
    <t>Usecase tổng quát</t>
  </si>
  <si>
    <t>B</t>
  </si>
  <si>
    <t>Hiển thị danh sách Phường/Xã của Huyện/Thành Phố</t>
  </si>
  <si>
    <t>Thêm thông tin Phường/Xã (Huyện/TP, Tên)</t>
  </si>
  <si>
    <t>Chỉnh sửa thông tin</t>
  </si>
  <si>
    <t>Xóa thông tin</t>
  </si>
  <si>
    <t>Quản lý KHU VỰC</t>
  </si>
  <si>
    <t>Hiển thị danh sách Khu Vực của Huyện/Thành Phố</t>
  </si>
  <si>
    <t>Thêm thông tin Khu Vực (Huyện/TP, Phường, Tên)</t>
  </si>
  <si>
    <t>Quản lý TUYẾN ĐƯỜNG</t>
  </si>
  <si>
    <t>Hiển thị danh sách Tuyến đường của Huyện/Thành Phố</t>
  </si>
  <si>
    <t>Thêm thông tin Tuyến Đường (Tuyến đường có thể thuộc 1 tuyến đường cha, có thể nằm ở nhiều Phường/Xã, Tên tuyến đường)</t>
  </si>
  <si>
    <t>I.2. Hệ Thống</t>
  </si>
  <si>
    <t>Quản lý Cấu Hình Mobile</t>
  </si>
  <si>
    <t>Thêm thông tin (Key, Giá Trị)</t>
  </si>
  <si>
    <t>Chỉnh sửa thông tin (Giá Trị)</t>
  </si>
  <si>
    <t>Quản lý Cấu Hình Hệ Thống</t>
  </si>
  <si>
    <t>Hiển thị danh sách Cấu Hình Hệ Thống của chương trình</t>
  </si>
  <si>
    <t>Quản lý Nhóm Quyền</t>
  </si>
  <si>
    <t>Hiển thị danh sách Nhóm Quyền của chương trình</t>
  </si>
  <si>
    <t>Thêm thông tin (AppCode, Tên nhóm)</t>
  </si>
  <si>
    <t>Chọn Chức Năng cho Nhóm Quyền</t>
  </si>
  <si>
    <t>Quản lý Lỗi Hệ Thống</t>
  </si>
  <si>
    <t>Quản lý Menu</t>
  </si>
  <si>
    <t>Đăng nhập</t>
  </si>
  <si>
    <t>Quản trị hệ thống/ Cán bộ nghiệp vụ</t>
  </si>
  <si>
    <t>Đăng nhập bằng tài khoản và mật khẩu</t>
  </si>
  <si>
    <t>Thay đổi mật khẩu</t>
  </si>
  <si>
    <t>Thay đổi mật khẩu mới: mật khẩu cũ, mật khẩu mới, xác định mật khẩu mới</t>
  </si>
  <si>
    <t>Thông báo trên thanh header</t>
  </si>
  <si>
    <t>Hiển thị số lượng hóa đơn chờ</t>
  </si>
  <si>
    <t>Hiển thị số lượng thông báo của nhân viên thu phí gửi lên</t>
  </si>
  <si>
    <t>Hiển thị số lượng phiếu đang chờ xuất hóa đơn</t>
  </si>
  <si>
    <t>Hiển thị số lượng phiếu đã thu chưa xác nhận</t>
  </si>
  <si>
    <t>I.3. Danh Mục</t>
  </si>
  <si>
    <t>Quản lý Nhóm Khách Hàng</t>
  </si>
  <si>
    <t>Cán bộ nghiệp vụ</t>
  </si>
  <si>
    <t>Hiển thị danh sách Nhóm Khách Hàng</t>
  </si>
  <si>
    <t>Thêm thông tin: Loại Khách Hàng, Mã, Tên, Mô Tả, Là Nhóm Hợp Đồng</t>
  </si>
  <si>
    <t>Chỉnh sửa thông tin: Loại Khách Hàng, Mã, Tên, Mô Tả, Là Nhóm Hợp Đồng</t>
  </si>
  <si>
    <t>Tải mẫu Import Nhóm Khách Hàng</t>
  </si>
  <si>
    <t>Import Nhóm Khách Hàng</t>
  </si>
  <si>
    <t>Quản lý Nhóm Nhân viên</t>
  </si>
  <si>
    <t>Hiển thị danh sách Nhóm Nhân viên</t>
  </si>
  <si>
    <t>Thêm thông tin: Mã nhóm, tên nhóm, chọn phường/xã</t>
  </si>
  <si>
    <t>Chỉnh sửa thông tin: Mã nhóm, tên nhóm, chọn phường/xã</t>
  </si>
  <si>
    <t>Quản lý Mức Phí</t>
  </si>
  <si>
    <t>Cho phép tìm kiếm mức phí theo loại khách hàng và mã mức phí</t>
  </si>
  <si>
    <t>Hiển thị danh sách mức phí</t>
  </si>
  <si>
    <t>Thêm thông tin: Mã mức phí, Loại KH, Tên Mức Phí, Ghi Chú, Giá, Thuế suất, Đơn vị, Ngày áp dụng, Văn bản đính kèm, Lý do tạo mức phí</t>
  </si>
  <si>
    <t>Chỉnh sửa thông tin mức phí</t>
  </si>
  <si>
    <t>Xóa thông tin (chỉ xóa mức phí chưa được áp dụng)</t>
  </si>
  <si>
    <t>Tải file Import Mức Phí</t>
  </si>
  <si>
    <t>Import Mức Phí</t>
  </si>
  <si>
    <t>Quản lý nhân viên</t>
  </si>
  <si>
    <t>Hiển thị danh sách nhân viên</t>
  </si>
  <si>
    <t>Thêm mới thông tin nhân viên: Tài khoản, Mật Khẩu, Tên, CMND, Điện thoại, Địa chỉ, Email, Avatar, Là Nhân Viên Thu Phí, Hoạt động</t>
  </si>
  <si>
    <t>Xóa thông tin nhân viên chưa được giao tuyến thu</t>
  </si>
  <si>
    <t>Phân vùng quản lý: Chọn các phường mà nhân viên được quản lý</t>
  </si>
  <si>
    <t>Phân quyền báo cáo: Chọn các báo cáo nhân viên có thể xem</t>
  </si>
  <si>
    <t>Phân cấp độ truy cập</t>
  </si>
  <si>
    <t>Cập nhật thông tin hóa đơn điện tử của nhân viên</t>
  </si>
  <si>
    <t>Phân quyền hệ thống: Chọn nhóm quyền</t>
  </si>
  <si>
    <t>Làm mới thiết bị nhân viên thu phí</t>
  </si>
  <si>
    <t>Quản lý Khách Hàng Chưa Xác Nhận</t>
  </si>
  <si>
    <t>Hiển thị danh sách khách hàng được nhân viên nhập từ ứng dụng thu phí lên</t>
  </si>
  <si>
    <t>Tìm kiếm theo tiêu chí: Quận/huyện, Người gửi, Gửi lúc, Trạng Thái, Người Thực Hiện, Ngày Thực Hiện</t>
  </si>
  <si>
    <t>Xác nhận để chuyển qua danh sách Khách Hàng tiến hành thu phí</t>
  </si>
  <si>
    <t>Export danh sách khách hàng</t>
  </si>
  <si>
    <t>Quản lý Khách Hàng</t>
  </si>
  <si>
    <t>Hiển thị danh sách khách hàng: Mã, Tên, Địa chỉ, SĐT, Mã số thuế, Loại KH</t>
  </si>
  <si>
    <t>Tìm kiếm khách hàng theo nhiều tiêu chí: Loại KH, Nhóm KH, Mã KH, Tên KH, Quận/Huyện, Phường, Đường, Mã Số Thuế...</t>
  </si>
  <si>
    <t>Tải mẫu thông tin hoá đơn điện tử</t>
  </si>
  <si>
    <t>Tải mẫu thông tin địa chỉ in hoá đơn</t>
  </si>
  <si>
    <t>Tải mẫu thông tin trạng thái khách hàng</t>
  </si>
  <si>
    <t>Xuất Excel Danh Sách Khách Hàng</t>
  </si>
  <si>
    <t>Thêm mới khách hàng không sử dụng hợp đồng</t>
  </si>
  <si>
    <t>Thêm thông tin: Loại KH, Nhóm KH, Mức Phí, Ngày áp dụng, Giá, Mã KH, Số TT, Mã số thuế, SĐT, Kỳ thu, Quận/huyện, Phường/xã, Khu vực, Tuyến đường, Số nhà, Địa chỉ in hóa đơn, Location, Trạng thái hoạt động, Lấy hóa đơn</t>
  </si>
  <si>
    <t>Thêm mới khách hàng sử dụng hợp đồng</t>
  </si>
  <si>
    <t>Thêm thông tin: Loại KH, Nhóm KH, Mức Phí, Ngày áp dụng, Giá, Có sử dụng mức phí theo khối lượng, Khối lượng, Mã KH, Số TT, Mã số thuế, SĐT, Kỳ thu, Quận/huyện, Phường/xã, Khu vực, Tuyến đường, Số nhà, Địa chỉ in hóa đơn, Location, Trạng thái hoạt động, Lấy hóa đơn</t>
  </si>
  <si>
    <t>Import danh sách hộ dân</t>
  </si>
  <si>
    <t>Tải mẫu import</t>
  </si>
  <si>
    <t>Tải danh sách import lên hệ thống</t>
  </si>
  <si>
    <t>Rà soát dữ liệu import (Kiểm tra dữ liệu bị sai, bị trùng)</t>
  </si>
  <si>
    <t>Đồng bộ dữ liệu import</t>
  </si>
  <si>
    <t>Xóa dữ liệu import sai</t>
  </si>
  <si>
    <t>Import danh sách doanh nghiệp</t>
  </si>
  <si>
    <t>Chỉnh sửa thông tin khách hàng</t>
  </si>
  <si>
    <t>Hiển thị thông tin khách hàng</t>
  </si>
  <si>
    <t>Cập nhật thông tin: Nhóm KH, Mã KH, Số TT, Tên KH, Mã số thuế, SĐT, Kỳ thu, Quận/huyện, Phường/xã, Khu vực, Tuyến đường, Số nhà, Địa chỉ in hóa đơn, Location, Trạng thái hoạt động, Lấy hóa đơn</t>
  </si>
  <si>
    <t>Cập nhật lại thông tin phiếu chưa thu của khách hàng theo cập nhật mới</t>
  </si>
  <si>
    <t>Cập nhật Giá khách hàng</t>
  </si>
  <si>
    <t>Hiển thị danh sách lịch sử giá của khách hàng</t>
  </si>
  <si>
    <t>Thêm mới mức giá: Trạng thái (Có/Không có hợp đồng), Số hợp đồng, Đơn vị, Mức giá, Ngày áp dụng, Ghi chú, Có sử dụng khối lượng, Khối lượng</t>
  </si>
  <si>
    <t>Tạo phiếu theo khách hàng</t>
  </si>
  <si>
    <t>Hiển thị thông tin tháng được phân tuyến nhưng chưa tạo phiếu thu</t>
  </si>
  <si>
    <t>Bật chuyển trạng thái thanh toán</t>
  </si>
  <si>
    <t>Chọn nhiều tháng để tạo phiếu</t>
  </si>
  <si>
    <t>Cập nhật thông tin hóa đơn điện tử của khách hàng</t>
  </si>
  <si>
    <t>Cập nhật thông tin: Người mua, tài khoản, tên ngân hàng, chủ tài khoản, Email, Trạng thái là kế toán, Ghi chú</t>
  </si>
  <si>
    <t>Chi tiết thanh toán của khách hàng</t>
  </si>
  <si>
    <t>Hiển thị các tháng và số tiền mỗi tháng theo từng năm</t>
  </si>
  <si>
    <t>Ngưng hoạt động và Mở hoạt động khách hàng</t>
  </si>
  <si>
    <t>Chọn ngày ngừng hoạt động và nhập lý do</t>
  </si>
  <si>
    <t>I.4. Nghiệp vụ</t>
  </si>
  <si>
    <t>Phân tuyến thu phí</t>
  </si>
  <si>
    <t>Hiển thị danh sách phân tuyến theo tháng</t>
  </si>
  <si>
    <t>Tìm kiếm theo Tháng, Quận/Huyện, Nhân Viên</t>
  </si>
  <si>
    <t>Xuất danh sách phân tuyến theo thông tin tìm kiếm</t>
  </si>
  <si>
    <t>Thêm mới phân tuyến: Quận/Huyện, Tháng, Nhân Viên, Phường, Nhiều khu vực</t>
  </si>
  <si>
    <t>Chuyển phân tuyến tự động theo điều kiện</t>
  </si>
  <si>
    <t>Chuyển phân tuyến theo nhân viên</t>
  </si>
  <si>
    <t>Chuyển phân tuyến hàng loạt theo file import</t>
  </si>
  <si>
    <t>Tạo phiếu thu</t>
  </si>
  <si>
    <t>Tạo phiếu thu theo kỳ thu / nhân viên / tháng / khu vực</t>
  </si>
  <si>
    <t>Xóa phiếu thu theo nhân viên hoặc khu vực</t>
  </si>
  <si>
    <t>Xóa phiếu theo khách hàng theo mã khách hàng</t>
  </si>
  <si>
    <t>Xuất danh sách khách hàng cần xóa và xóa theo tập khách hàng</t>
  </si>
  <si>
    <t>Xóa phiếu thu theo điều kiện</t>
  </si>
  <si>
    <t>Tìm kiếm theo các option: Khách Hàng, Phiếu Tháng, Phường, Khu vực, Tuyến đường, Nhân viên</t>
  </si>
  <si>
    <t>Xóa phiếu theo option đã chọn</t>
  </si>
  <si>
    <t>Quản lý phiếu thu</t>
  </si>
  <si>
    <t>Tìm kiếm phiếu thu theo nhiều tiêu chí: Số phiếu, Phiếu Tháng, Quận/huyện, Nhân viên, Thanh toán, Phường, Khu vực, Tuyến đường, Ngày tạo, Ngày Thu, Tên/Mã KH</t>
  </si>
  <si>
    <t>Export danh sách phiếu thu theo tiêu chí tìm kiếm</t>
  </si>
  <si>
    <t>Cập nhật thông tin phiếu thu: Trạng thái chuyển khoản, Ngày chuyển khoản, Trạng thái Đã Thu, Ngày Thu, Trạng thái lấy hóa đơn</t>
  </si>
  <si>
    <t>Xóa phiếu thu (chỉ xóa phiếu chưa thu)</t>
  </si>
  <si>
    <t>Cập nhật thông tin chuyển khoản hàng loạt bằng import excel</t>
  </si>
  <si>
    <t>Xác nhận phiếu thu</t>
  </si>
  <si>
    <t>Xác nhận thông tin phiếu thu theo khoảng thời gian</t>
  </si>
  <si>
    <t>Thống kê số tiền theo từng nhân viên đi thu theo nhiều tiêu chí</t>
  </si>
  <si>
    <t>Xuất danh sách excel theo thông tin thống kê</t>
  </si>
  <si>
    <t>Liệt kê thông tin: Khách hàng, Tiền, Phiếu</t>
  </si>
  <si>
    <t>Thống kê: Doanh Nghiệp chuyển khoản, Doanh Nghiệp tiền mặt, Hộ dân chuyển khoản, Hộ dân tiền mặt, lấy/không lấy hóa đơn</t>
  </si>
  <si>
    <t>Dữ liệu xác nhận</t>
  </si>
  <si>
    <t>Thống kê theo tiêu chí: Quận/huyện, nhân viên, Ngày xác nhận</t>
  </si>
  <si>
    <t>Hiển thị: Tên nhân viên, Ngày xác nhận, Tổng Phiếu, Tổng Khách Hàng, Tổng Tiền</t>
  </si>
  <si>
    <t>Export excel theo thông tin thống kê</t>
  </si>
  <si>
    <t>Cập nhật giá Hộ Dân</t>
  </si>
  <si>
    <t>Tìm kiếm theo: Nhóm Khách Hàng, Quận/huyện, Phường</t>
  </si>
  <si>
    <t>Export danh sách khách hàng theo mẫu import</t>
  </si>
  <si>
    <t>Import Mức phí mới</t>
  </si>
  <si>
    <t>Cập nhật giá Doanh Nghiệp</t>
  </si>
  <si>
    <t>Tìm kiếm theo tiêu chí: Nhóm khách hàng, Quận/huyện, Phường, Khu Vực, Đường</t>
  </si>
  <si>
    <t>Export danh sách khách hàng theo tiêu chí</t>
  </si>
  <si>
    <t>Tải file Import</t>
  </si>
  <si>
    <t>Hiển thị danh sách khách hàng import</t>
  </si>
  <si>
    <t>Lưu thông tin giá mới của danh sách khách hàng theo file import</t>
  </si>
  <si>
    <t>Bản đồ theo dõi Thu Nợ</t>
  </si>
  <si>
    <t>Lãnh đạo/ Cán bộ nghiệp vụ</t>
  </si>
  <si>
    <t>Tìm kiếm theo tiêu chí: Từ Tháng Đến Tháng, Nhân viên, Quận/huyện, Phường, Khu Vực, Tuyến đường</t>
  </si>
  <si>
    <t>Hiển thị danh sách picker theo 3 loại nợ: Nợ 3 tháng trở xuống, Nợ trên 3 tháng và dưới 6 tháng, Nợ trên 6 tháng</t>
  </si>
  <si>
    <t>Hiển thị bản đồ vị trí khách hàng nợ</t>
  </si>
  <si>
    <t>I.5. Hóa đơn điện tử</t>
  </si>
  <si>
    <t>Cấu hình hóa đơn điện tử</t>
  </si>
  <si>
    <t>Hiển thị danh sách Cấu Hình của hóa đơn điện tử</t>
  </si>
  <si>
    <t>Thêm thông tin (Key, Giá Trị, Mô tả)</t>
  </si>
  <si>
    <t>Chỉnh sửa thông tin (Giá Trị, Mô tả)</t>
  </si>
  <si>
    <t>Mẫu hóa đơn</t>
  </si>
  <si>
    <t>Hiển thị mẫu hóa đơn điện tử</t>
  </si>
  <si>
    <t>Thêm thông tin (mẫu hóa đơn, Ký hiệu, Theo thông Tư)</t>
  </si>
  <si>
    <t>Ngừng hoạt động/hoạt động mẫu hóa đơn</t>
  </si>
  <si>
    <t>Tạo hóa đơn</t>
  </si>
  <si>
    <t>Tìm kiếm theo loại hóa đơn: Xuất riêng, xuất gộp theo nhiều tiêu chí</t>
  </si>
  <si>
    <t>Xuất danh sách phiếu theo thông tin tìm kiếm</t>
  </si>
  <si>
    <t>Hiển thị danh sách các phiếu được xuất hóa đơn (phiếu đã xác nhận)</t>
  </si>
  <si>
    <t>Lựa chọn mẫu hóa đơn để xuất</t>
  </si>
  <si>
    <t>Hiển thị thông tin đợt xuất hóa đơn sau khi xác nhận chọn mẫu</t>
  </si>
  <si>
    <t>Xem chi tiết thông tin từng hóa đơn và điều chỉnh Thuế GTGT</t>
  </si>
  <si>
    <t>Xác nhận xuất hóa đơn điện tử</t>
  </si>
  <si>
    <t>Phát hành hóa đơn bất đồng bộ</t>
  </si>
  <si>
    <t>Danh sách hóa đơn</t>
  </si>
  <si>
    <t>Tìm kiếm hóa đơn theo nhiều tiêu chí: Quận/huyện, Mẫu HĐ, Ký Hiệu, Số HĐ, Trạng thái, Loại HĐ, Ngày tạo, Tên/Mã KH, Mã số thuế, Địa Chỉ</t>
  </si>
  <si>
    <t>Xem chi tiết hóa đơn và danh sách phiếu thu của hóa đơn</t>
  </si>
  <si>
    <t>Xác nhận/Bỏ xác nhận thanh toán</t>
  </si>
  <si>
    <t>Hủy hóa đơn</t>
  </si>
  <si>
    <t>Hiệu chỉnh hóa đơn</t>
  </si>
  <si>
    <t>Thay thế hóa đơn</t>
  </si>
  <si>
    <t>Hiển thị chi tiết hóa đơn cũ</t>
  </si>
  <si>
    <t>Chỉnh sửa thông tin hóa đơn, thông tin dịch vụ, Thuế GTGT, Nội dung hiệu chỉnh</t>
  </si>
  <si>
    <t>Nhập thông tin mẫu và ký hiệu cho hóa đơn mới</t>
  </si>
  <si>
    <t>Xác nhận hiệu chỉnh hóa đơn</t>
  </si>
  <si>
    <t>Xác nhận thay thế hóa đơn</t>
  </si>
  <si>
    <t>Danh sách hóa đơn hiệu chỉnh</t>
  </si>
  <si>
    <t>Tìm kiếm hóa đơn theo nhiều tiêu chí</t>
  </si>
  <si>
    <t>Hiển thị thông tin hóa đơn hiệu chỉnh và hóa đơn bị hiệu chỉnh</t>
  </si>
  <si>
    <t>Danh sách hóa đơn thay thế</t>
  </si>
  <si>
    <t>Hiển thị thông tin hóa đơn thay thế và hóa đơn bị thay thế</t>
  </si>
  <si>
    <t>Log Thao tác hóa đơn điện tử</t>
  </si>
  <si>
    <t>Tìm kiếm theo tiêu chí: Từ thời gian - Đến thời gian, Quận/Huyện, Nhân Viên, Thao tác</t>
  </si>
  <si>
    <t>Xem log thực hiện, hóa đơn đã phát hành</t>
  </si>
  <si>
    <t>II. Báo cáo, thống kê</t>
  </si>
  <si>
    <t>Thống kê Phiếu Thu</t>
  </si>
  <si>
    <t>Tìm kiếm theo tiêu chí: Quận/huyện, Nhân viên, Từ ngày, Đến ngày, Phường, Khu Vực, Tuyến đường, Loại KH, Trạng thái chuyển khoản, Có Lấy Hóa Đơn</t>
  </si>
  <si>
    <t>Hiển thị thống kê: Tổng Hộ, Tổng Phiếu, Tổng Tiền của Hộ Dân, Doanh Nghiệp</t>
  </si>
  <si>
    <t>Hiển thị chi tiết thông tin phiếu thu</t>
  </si>
  <si>
    <t>Thống kê theo mức giá: Tổng số hộ, Tổng số phiếu, Tổng số Tiền</t>
  </si>
  <si>
    <t>Báo cáo chi tiết theo đối tượng thu</t>
  </si>
  <si>
    <t>Thống kê theo Từ ngày, Đến ngày, Quận/huyện, Nhân viên, Phường, Khu vực, Tuyến đường</t>
  </si>
  <si>
    <t>Hiển thị kế hoạch và thực hiện: Số Đối Tượng, Số lượng phiếu thu, Tổng số tiền, Tỷ lệ thực hiện/kế hoạch</t>
  </si>
  <si>
    <t>Báo cáo tổng hợp theo đối tượng</t>
  </si>
  <si>
    <t>Thống kê theo Từ ngày, Đến ngày, Quận/huyện</t>
  </si>
  <si>
    <t>Báo cáo tổng hợp tình hình thực hiện</t>
  </si>
  <si>
    <t>Thống kê theo Tháng, Quận/huyện</t>
  </si>
  <si>
    <t>Bảng kê chi tiết dịch vụ</t>
  </si>
  <si>
    <t>Thống kê theo Từ ngày, đến ngày, Quận/huyện, nhân viên</t>
  </si>
  <si>
    <t>Báo cáo chi tiết hộ dân không lấy hoá đơn</t>
  </si>
  <si>
    <t>Thống kê theo Từ ngày, đến ngày, Quận/huyện</t>
  </si>
  <si>
    <t>Báo cáo chi tiết hộ dân lấy hóa đơn</t>
  </si>
  <si>
    <t>Báo cáo chi tiết doanh nghiệp không lấy hoá đơn</t>
  </si>
  <si>
    <t>Báo cáo chi tiết doanh nghiệp lấy hoá đơn</t>
  </si>
  <si>
    <t>Báo cáo tổng hợp doanh số bán ra</t>
  </si>
  <si>
    <t>Báo cáo bảng xếp hạng nhân viên</t>
  </si>
  <si>
    <t>Thống kê theo Tháng hoặc Quý, Quận/huyện</t>
  </si>
  <si>
    <t>Thống kê theo Quận/huyện</t>
  </si>
  <si>
    <t>Thống kê theo Tháng, Đội môi trường, Quận/huyện, nhân viên</t>
  </si>
  <si>
    <t>Thống kê theo Tháng, Đội môi trường, nhân viên, quận/huyện, xã/phường</t>
  </si>
  <si>
    <t>Thống kê theo tháng, Đội môi trường, nhân viên, quận/huyện, xã phường</t>
  </si>
  <si>
    <t>III. Ứng dụng mobile dành cho nhân viên thu phí</t>
  </si>
  <si>
    <t>Điều chỉnh thông tin trên phiếu thu</t>
  </si>
  <si>
    <t>Nhân viên thu phí</t>
  </si>
  <si>
    <t>Bổ sung thêm mức phí phía sau Tháng thu</t>
  </si>
  <si>
    <t>In đậm text TỔNG TIỀN và Số tiền bằng chữ</t>
  </si>
  <si>
    <t>Thêm QR Code truy cập link tra cứu hóa đơn</t>
  </si>
  <si>
    <t>Hiển thị cảnh báo kiểm tra thông tin khách hàng trên phiếu thu</t>
  </si>
  <si>
    <t>Đăng nhập (Mobile)</t>
  </si>
  <si>
    <t>Nhân viên đăng nhập sử dụng chương trình theo tài khoản được cấp</t>
  </si>
  <si>
    <t>Danh sách khách hàng (Mobile)</t>
  </si>
  <si>
    <t>Theo dõi danh sách hộ gia đình theo tuyến đường, chi tiết phiếu thu</t>
  </si>
  <si>
    <t>Theo dõi danh sách hộ gia đình theo khu vực, chi tiết phiếu thu</t>
  </si>
  <si>
    <t>Cho phép lựa chọn chế độ hiển thị: Chế độ khu vực hoặc Chế độ tuyến đường</t>
  </si>
  <si>
    <t>Thu phí khách hàng (Mobile)</t>
  </si>
  <si>
    <t>Lấy phiếu mới từ hệ thống về máy để thực hiện thu phí</t>
  </si>
  <si>
    <t>Tích hợp máy in bluetooth 58mm Xprinter XP-P103 và máy in WooSim</t>
  </si>
  <si>
    <t>Xem danh sách tháng cần thu</t>
  </si>
  <si>
    <t>Lưu thông tin thu phí</t>
  </si>
  <si>
    <t>Xem trước phiếu in, Lựa chọn máy in cần in</t>
  </si>
  <si>
    <t>In phiếu thu cho khách hàng</t>
  </si>
  <si>
    <t>Cập nhật thông tin khách hàng (Mobile)</t>
  </si>
  <si>
    <t>Cập nhật các thông tin thay đổi liên quan tới khách hàng</t>
  </si>
  <si>
    <t>Khóa tính năng điều chỉnh nhân khẩu trên App</t>
  </si>
  <si>
    <t>Lấy tọa độ khách hàng</t>
  </si>
  <si>
    <t>Lấy thông tin tọa độ của khách hàng khi thu phí xong trên điện thoại</t>
  </si>
  <si>
    <t>Mặc định lấy tọa độ khách hàng; có thể uncheck để không lấy tọa độ</t>
  </si>
  <si>
    <t>Thống kê dưới ứng dụng</t>
  </si>
  <si>
    <t>Thống kê số liệu đã thu theo nhiều tiêu chí trên app mobile</t>
  </si>
  <si>
    <t>Thống kê trên website</t>
  </si>
  <si>
    <t>Xem thống kê theo số liệu thực tế đã đồng bộ thành công lên hệ thống quản trị</t>
  </si>
  <si>
    <t>Chính sách bảo mật</t>
  </si>
  <si>
    <t>Lưu trữ các thay đổi trên chương trình</t>
  </si>
  <si>
    <t>Thoát chương trình</t>
  </si>
  <si>
    <t>Đăng xuất hệ thống</t>
  </si>
  <si>
    <t>DỰ TOÁN CHI PHÍ PHẦN MỀM NỘI BỘ</t>
  </si>
  <si>
    <t>(Đơn vị tính: VNĐ)</t>
  </si>
  <si>
    <t>STT</t>
  </si>
  <si>
    <t>Khoản mục chi phí</t>
  </si>
  <si>
    <t>Cách tính</t>
  </si>
  <si>
    <t>Giá trị</t>
  </si>
  <si>
    <t>Ký hiệu</t>
  </si>
  <si>
    <t>Chi phí trực tiếp xây dựng, phát triển, nâng cấp, mở rộng phần mềm nội bộ</t>
  </si>
  <si>
    <t>1,4 x E x P x H</t>
  </si>
  <si>
    <t>G</t>
  </si>
  <si>
    <t>Chi phí chung</t>
  </si>
  <si>
    <t>G x 65%</t>
  </si>
  <si>
    <t>C</t>
  </si>
  <si>
    <t>Thu nhập chịu thuế tính trước</t>
  </si>
  <si>
    <t>(G+C) x 6%</t>
  </si>
  <si>
    <t>TL</t>
  </si>
  <si>
    <t xml:space="preserve">Chi phí xây dựng, phát triển, nâng cấp, mở rộng phần mềm nội bộ </t>
  </si>
  <si>
    <t>G + C + TL</t>
  </si>
  <si>
    <t>GPM</t>
  </si>
  <si>
    <t>TỔNG CỘNG:</t>
  </si>
  <si>
    <t>PHỤ LỤC VIII: 
BẢNG TÍNH TOÁN CHI PHÍ TRỰC TIẾP XÂY DỰNG, 
PHÁT TRIỂN, MỞ RỘNG PHẦN MỀM NỘI BỘ</t>
  </si>
  <si>
    <t>Hạng mục</t>
  </si>
  <si>
    <t>ĐVT</t>
  </si>
  <si>
    <t>Diễn giải</t>
  </si>
  <si>
    <t>I</t>
  </si>
  <si>
    <t>Tính điểm trường hợp sử dụng (Use case)</t>
  </si>
  <si>
    <t>Điểm Actor (TAW)</t>
  </si>
  <si>
    <t>Điểm</t>
  </si>
  <si>
    <t>Phụ lục IV</t>
  </si>
  <si>
    <t>Bảng PLIV</t>
  </si>
  <si>
    <t>Điểm Use case (TBF)</t>
  </si>
  <si>
    <t>Phụ lục V</t>
  </si>
  <si>
    <t>Bảng PLV</t>
  </si>
  <si>
    <t>Tính điểm UUCP</t>
  </si>
  <si>
    <t>UUCP=TAW+TBF</t>
  </si>
  <si>
    <t>Hệ số phức tạp về KT-CN (TCF)</t>
  </si>
  <si>
    <t>TCF=0,6+(0,01*TFW)</t>
  </si>
  <si>
    <t>Bảng PLVI</t>
  </si>
  <si>
    <t>Điểm hệ số phức tạp môi trường (EF)</t>
  </si>
  <si>
    <t>EF=1,4+(-0,03*EFW)</t>
  </si>
  <si>
    <t>Bảng PLVII</t>
  </si>
  <si>
    <t>Tính điểm AUCP</t>
  </si>
  <si>
    <t>AUCP=UUCP*TCF*EF</t>
  </si>
  <si>
    <t>II</t>
  </si>
  <si>
    <t>Nội suy thời gian lao động (P)</t>
  </si>
  <si>
    <t>P = người/giờ/AUCP</t>
  </si>
  <si>
    <t>III</t>
  </si>
  <si>
    <t>Giá trị nỗ lực thực tế (E)</t>
  </si>
  <si>
    <t>E = AUCP*10/6</t>
  </si>
  <si>
    <t>IV</t>
  </si>
  <si>
    <t>Mức lương lao đồng bình quân (H)</t>
  </si>
  <si>
    <t>VNĐ</t>
  </si>
  <si>
    <t>H = người/giờ</t>
  </si>
  <si>
    <t>Lương trung bình thành viên tham gia</t>
  </si>
  <si>
    <t>V</t>
  </si>
  <si>
    <t>Chi phí trực tiếp xây dựng, phát triển, mở rộng phần mềm nội bộ (G)</t>
  </si>
  <si>
    <t> G=1,4*E*P*H</t>
  </si>
  <si>
    <t>PHỤ LỤC I 
BẢNG DANH SÁCH CÁC TÁC NHÂN THAM GIA VÀO 
HỆ THỐNG (ACTORS)</t>
  </si>
  <si>
    <t>Mô tả tác nhân</t>
  </si>
  <si>
    <t>Loại tác nhân</t>
  </si>
  <si>
    <t xml:space="preserve">Quản trị hệ thống </t>
  </si>
  <si>
    <t>Cấu hình, phân quyền, quản lý danh mục và nhân viên trên Website</t>
  </si>
  <si>
    <t>Phức tạp (complex actor)</t>
  </si>
  <si>
    <t>Nhân viên văn phòng</t>
  </si>
  <si>
    <t>Phân tuyến, tạo phiếu, xác nhận, xuất hóa đơn, xem báo cáo trên Website</t>
  </si>
  <si>
    <t>Lãnh đạo</t>
  </si>
  <si>
    <t>Xem báo cáo thống kê, theo dõi tình hình thu phí trên Website</t>
  </si>
  <si>
    <t>Thu phí tại hiện trường qua App Mobile: lấy phiếu, thu tiền, in phiếu, đồng bộ dữ liệu</t>
  </si>
  <si>
    <t>PHỤ LỤC II</t>
  </si>
  <si>
    <t>BẢNG DANH SÁCH CÁC YÊU CẦU CHỨC NĂNG CỦA PHẦN MỀM</t>
  </si>
  <si>
    <t>Mô tả trường hợp</t>
  </si>
  <si>
    <t>Phân loại</t>
  </si>
  <si>
    <t>Quản lý TỈNH</t>
  </si>
  <si>
    <t>Quản lý HUYỆN/THÀNH PHỐ</t>
  </si>
  <si>
    <t>Báo cáo chi tiết hộ dân lấy hoá đơn</t>
  </si>
  <si>
    <t>Báo cáo chi tiết biến động khách hàng</t>
  </si>
  <si>
    <t>Báo cáo chi tiết theo nhân viên</t>
  </si>
  <si>
    <t>Báo cáo theo sổ bộ</t>
  </si>
  <si>
    <t>Báo cáo theo dõi thu phí</t>
  </si>
  <si>
    <t>Báo cáo chi tiết biến động phiếu thu</t>
  </si>
  <si>
    <t>Báo cáo chi tiết thao tác theo nhân viên</t>
  </si>
  <si>
    <t>PHU LỤC IV
BẢNG TÍNH TOÁN ĐIỂM CÁC TÁC NHÂN (ACTORS) 
TƯƠNG TÁC, TRAO ĐỔI THÔNG TIN VỚI PHẦN MỀM</t>
  </si>
  <si>
    <t>Loại Actor</t>
  </si>
  <si>
    <t>Mô tả</t>
  </si>
  <si>
    <t>Trọng số</t>
  </si>
  <si>
    <t>Số tác nhân</t>
  </si>
  <si>
    <t>Điểm của từng loại tác nhân</t>
  </si>
  <si>
    <t>Đơn giản (simple actor)</t>
  </si>
  <si>
    <t>Giao diện lập trình ứng dụng (API)</t>
  </si>
  <si>
    <t>Trung bình (average actor)</t>
  </si>
  <si>
    <t>Giao diện dòng lệnh (CLI) hoặc giao diện thông qua một giao thức nào đó nhưng không phải giao diện lập trình ứng dụng (API)</t>
  </si>
  <si>
    <t>Giao diện đồ họa người dùng (GUI)</t>
  </si>
  <si>
    <t>Cộng (1+2+3)</t>
  </si>
  <si>
    <t> TAW</t>
  </si>
  <si>
    <t>PHỤ LỤC V
BẢNG TÍNH TOÁN ĐIỂM
CÁC TRƯỜNG HỢP SỬ DỤNG (USE-CASE)</t>
  </si>
  <si>
    <t>Loại</t>
  </si>
  <si>
    <t>Hệ số BMT</t>
  </si>
  <si>
    <t>Số trường hợp sử dụng</t>
  </si>
  <si>
    <t>Điểm của từng loại trường hợp sử dụng</t>
  </si>
  <si>
    <t>M</t>
  </si>
  <si>
    <t>T</t>
  </si>
  <si>
    <t>TBF</t>
  </si>
  <si>
    <t>PHỤ LỤC VI
BẢNG TÍNH TOÁN HỆ SỐ PHỨC TẠP 
KỸ THUẬT - CÔNG NGHỆ</t>
  </si>
  <si>
    <t>Các hệ số</t>
  </si>
  <si>
    <t>Giá trị xếp hạng</t>
  </si>
  <si>
    <t>Kết quả</t>
  </si>
  <si>
    <t>Hệ số KT - CN (TFW)</t>
  </si>
  <si>
    <t xml:space="preserve"> </t>
  </si>
  <si>
    <t xml:space="preserve">Xử lý phân tán </t>
  </si>
  <si>
    <t>Giá trị xếp hạng Yêu cầu cụ thể cho giá trị
0: Không yêu cầu xử lý phân tán.
1:Yêu cầu một lớp/thành phần của hệ thống tạo dữ liệu và truyền cho các lớp/thành phần khác của hệ thống để xử lý thủ công (có sự can thiệp của con người).
2: Yêu cầu một lớp/thành phần của hệ thống tạo dữ liệu và truyền cho các lớp/thành phần khác của hệ thống để xử lý tự động (không cần con người can thiệp vào việc xử lý).
3: Yêu cầu xử lý phân tán, dữ liệu được truyền theo một chiều (dữ liệu được xử lý tại một lớp/thành phần của hệ thống và được truyền qua lớp/thành phần khác của hệ thống xử lý tiếp).
4: Yêu cầu xử lý phân tán, dữ liệu được truyền theo hai chiều (dữ liệu được xử lý tại một lớp/thành phần của hệ thống và được truyền qua lớp/thành phần khác của hệ thống xử lý tiếp, sau khi xử lý xong, dữ liệu được truyền ngược lại cho lớp/thành phần ban đầu của hệ thống)
5: Yêu cầu hệ thống có thể tự động phân bổ tài nguyên (CPU, RAM, ...) một cách hợp lý cho các lớp/thành phần của hệ thống khi xử lý phân tán hoặc yêu cầu hệ thống tự động lựa chọn lớp/thành phần thích hợp nhất để xử lý.</t>
  </si>
  <si>
    <t>Mức độ quan trọng của hiệu năng</t>
  </si>
  <si>
    <t xml:space="preserve"> Xác định giá trị xếp hạng:
0: Không có yêu cầu về hiệu năng.
1: Có yêu cầu về hiệu năng nhưng không cụ thể.
2: Yêu cầu cụ thể về hiệu năng trong giờ cao điểm. Không có yêu cầu thiết kế riêng biệt về sử dụng tài nguyên hệ thống để đáp ứng yêu cầu hiệu năng trong giờ cao điểm.
3: Yêu cầu cụ thể hiệu năng trong toàn bộ thời gian tác nghiệp. Không có yêu cầu thiết kế riêng biệt về sử dụng tài nguyên hệ thống để đáp ứng yêu cầu hiệu năng, yêu cầu cụ thể về thời gian phản hồi đối với các giao dịch được xử lý với các hệ thống (tích hợp) khác. 
4: Gồm các yêu cầu trong trường hợp “Giá trị xếp hạng” = 3 và có yêu cầu phân tích cụ thể, rõ ràng hiệu năng trong thiết kế trên cơ sở các yêu cầu về hiệu năng được nêu. 
5: Gồm các yêu cầu trong trường hợp “Giá trị xếp hạng” = 4 và yêu cầu có công cụ phân tích hiệu năng để sử dụng trong các giai đoạn phát triển, triển khai nhằm chứng minh việc đáp ứng các yêu cầu về hiệu năng đã đặt ra. 
</t>
  </si>
  <si>
    <t>Hiệu quả sử dụng cho người dùng</t>
  </si>
  <si>
    <t>Xác định giá trị xếp hạng:
Một số tiêu chí đưa ra để đánh giá hiệu quả sử dụng như:
- Trợ giúp điều hướng (ví dụ: các menu được tạo động và thêm bớt tùy nhu cầu người dùng, Hypermedia thích hợp,…).;
- Di chuyển con trỏ tự động (khi một trường thông tin đã được nhập xong, ví dụ như chọn giá trị trong danh sách thì con trỏ được chuyển sang trường thông tin tiếp theo);
- Các phím chức năng được cài đặt sẵn (các phím tắt được gán cho các phím hoặc tổ hợp phím cho phép thực hiện tác vụ nào đó, như tổ hợp phím Alt+phím, Ctrl+phím,…);
- Các ràng buộc đơn giản (ví dụ: tính hợp lệ của trường dữ liệu nhập vào, như dữ liệu kiểu số, dữ liệu ngày tháng,…) được kiểm tra ngay trên màn hình chức năng mà người dùng tương tác;
- Sử dụng nhiều màu sắc và hình ảnh nổi bật trong màn hình (hoặc việc sử dụng màu sắc, hình ảnh hoặc hình nền có tính chất tương phản cao để làm nổi bật nội dung); giao diện có nét tương đồng về mặt thiết kế so với các ứng dụng mà người dùng đang sử dụng (đưa ra cụ thể các yêu cầu về giao diện để chứng minh tính tương đồng với các ứng dụng đang sử dụng);
- Tối thiểu hóa số lượng giao diện để đạt được các mục tiêu nghiệp vụ (yêu cầu cụ thể số lượng giao diện tối thiểu);
- Hỗ trợ và tài liệu trực tuyến (từ hệ thống có thể gọi chức năng trợ giúp tương ứng với chức năng đang chọn hoặc gọi tới tài liệu như một phần trong hệ thống);
- Hỗ trợ song ngữ, đa ngôn ngữ;
- Các tiêu chí khác.
Giá trị xếp hạng TFW3 theo các tiêu chí này được xác định như bảng dưới đây:
0 Không có yêu cầu nào về hiệu quả sử dụng theo các tiêu chí nêu trên.
1 Yêu cầu đáp ứng từ 1 đến 3 tiêu chí nêu trên.
2 Yêu cầu đáp ứng từ 4 đến 5 tiêu chí nêu trên.
3 Yêu cầu đáp ứng từ 6 tiêu chí nêu trên trở lên. 
4 Yêu cầu đáp ứng từ 6 tiêu chí nêu trên trở lên và phần mềm được thiết kế phải có các phương án, giải pháp để giảm thiểu thao tác nhập liệu thủ công, tối đa hóa các giá trị mặc định, sử dụng các mẫu biểu sẵn có.
5 Yêu cầu đáp ứng từ 7 tiêu chí nêu trên trở lên và phần mềm được thiết kế phải có các phương án, giải pháp để giảm thiểu thao tác nhập liệu thủ công, tối đa hóa các giá trị mặc định, sử dụng các mẫu biểu sẵn có.</t>
  </si>
  <si>
    <t>Độ phức tạp của xử lý bên trong</t>
  </si>
  <si>
    <t>Xác định giá trị xếp hạng:
Một số tiêu chí để đánh giá độ phức tạp của xử lý bên trong như:
- Yêu cầu kiểm soát dữ liệu và/hoặc xử lý bảo mật riêng;
- Yêu cầu xử lý lô-gic mở rộng: là các yêu cầu bổ sung thêm làm các chức năng hoàn thiện hơn (ví dụ: các xử lý kiểm tra tính hợp lý của dữ liệu nhập vào,…);
- Yêu cầu có sử dụng công thức toán học: Yêu cầu sử dụng các công thức tính toán theo tỷ lệ, theo công thức định nghĩa trước hoặc theo các điều kiện dữ liệu khác nhau,...;
- Yêu cầu xử lý ngoại lệ cho những giao dịch không hoàn chỉnh phải được xử lý lại (ví dụ: các giao dịch máy rút tiền tự động chưa hoàn thành do bị ngắt kết nối hoặc lỗi dữ liệu);
- Yêu cầu xử lý nhiều loại thông tin đầu vào hoặc thông tin đầu ra (ví dụ: yêu cầu xử lý các loại thông tin dạng tệp, âm thanh, hình ảnh; yêu cầu xử lý thông tin đầu vào nhận được từ thiết bị đa phương tiện, thiết bị ngoại vi độc lập, giọng nói, đọc mã vạch, quét võng mạc, phân tích hơi thở,...);
- Các tiêu chí khác.
 Giá trị xết hạng TFW4 theo các tiêu chí này được xác định như bảng dưới đây:
0 Không có yêu cầu nào trong 5 loại tiêu chí nêu trên.
1 Có 1 yêu cầu trong các tiêu chí nêu trên.
2 Có 2 yêu cầu trong các tiêu chí nêu trên.
3 Có 3 yêu cầu trong các tiêu chí nêu trên.
4 Có 4 yêu cầu trong các tiêu chí nêu trên.
5 Có 5 yêu cầu trong các tiêu chí nêu trên.</t>
  </si>
  <si>
    <t xml:space="preserve">Khả năng tái sử dụng mã nguồn </t>
  </si>
  <si>
    <t xml:space="preserve">Xác định giá trị xếp hạng:
0 Không có yêu cầu về việc tái sử dụng mã nguồn.
3 Yêu cầu ứng dụng phải được đóng gói riêng và/hoặc tài liệu hóa nhằm tạo điều kiện cho việc tái sử dụng lại. Có yêu cầu có thể tùy chỉnh ứng dụng để tái sử dụng bằng cách điều chỉnh mã nguồn.
5 Yêu cầu ứng dụng phải được đóng gói riêng và/hoặc tài liệu hóa nhằm tạo điều kiện cho việc tái sử dụng lại. Có yêu cầu có thể tùy chỉnh ứng dụng để tái sử dụng bằng cách thay đổi tham số mà không cần điều chỉnh mã nguồn.
</t>
  </si>
  <si>
    <t>Dễ cài đặt</t>
  </si>
  <si>
    <t>Xác định giá trị xếp hạng:
0 Không có yêu cầu cài đặt. 
1 Yêu cầu cung cấp công cụ hỗ trợ cài đặt tự động trên một môi trường vận hành phần mềm (hệ điều hành máy chủ, máy tính, thiết bị di động,…) không có yêu cầu thiết lập thông số khi cài đặt.
2 Yêu cầu cung cấp công cụ hỗ trợ cài đặt tự động trên một môi trường vận hành phần mềm (hệ điều hành máy chủ, máy tính, thiết bị di động,…), có yêu cầu thiết lập thông số khi cài đặt.
3 Yêu cầu cung cấp công cụ hỗ trợ cài đặt tự động trên một môi trường vận hành phần mềm (hệ điều hành máy chủ, máy tính, thiết bị di động,…), có yêu cầu thiết lập thông số khi cài đặt và có yêu cầu phải xây dựng tài liệu hướng dẫn cài đặt.
4 Yêu cầu cung cấp công cụ hỗ trợ cài đặt tự động trên hai môi trường vận hành phần mềm (hệ điều hành máy chủ, máy tính, thiết bị di động,…), yêu cầu thiết lập thông số khi cài đặt trên hai môi trường và có yêu cầu phải xây dựng tài liệu hướng dẫn cài đặt.
5 Yêu cầu cung cấp công cụ hỗ trợ cài đặt tự động từ ba môi trường vận hành phần mềm (hệ điều hành máy chủ, máy tính, thiết bị di động,…) trở lên, yêu cầu thiết lập thông số khi cài đặt trên các môi trường và có yêu cầu phải xây dựng tài liệu hướng dẫn cài đặt.</t>
  </si>
  <si>
    <t>Dễ vận hành</t>
  </si>
  <si>
    <t>Xác định giá trị xếp hạng:
0 Việc vận hành hệ thống thực hiện đơn giản, không yêu cầu lập quy trình vận hành hệ thống.
3 Việc vận hành hệ thống thực hiện theo quy trình, có yêu cầu phải lập quy trình vận hành hệ thống.
5 Việc vận hành hệ thống thực hiện tự động, có nghĩa là không cần sự can thiệp của con người để vận hành hệ thống ngay cả khi có lỗi xảy ra, trừ việc khởi động hoặc tắt hệ thống. Hệ thống có chức năng tự khôi phục khi có lỗi.</t>
  </si>
  <si>
    <t>Khả năng chuyển đổi</t>
  </si>
  <si>
    <t>Xác định giá trị xếp hạng:
Một số tiêu chí đưa ra để đánh giá khả năng chuyển đổi gồm:
- Yêu cầu về môi trường vận hành phần mềm: hệ thống có thể chạy trên chỉ một môi trường (ví dụ: chỉ chạy trên Windows 10); hệ thống có thể chạy trên các môi trường tương tự (ví dụ: từ Windows XP trở lên); hệ thống có thể chạy trên các môi trường không đồng nhất (ví dụ: Windows, OSX, Unix, Android, iOS).
- Yêu cầu về nền tảng phần cứng (loại thiết bị): 
(i) Hệ thống chỉ chạy trên một loại thiết bị (ví dụ: chỉ chạy trên máy tính cá nhân sử dụng bộ vi xử lý theo kiến trúc x86 ở một thế hệ nhất định, ví dụ thế hệ Intel 80486 (có kiến trúc 32 bit); hay chỉ chạy với bộ vi xử lý kiến trúc ARM ở một thế hệ nhất định,…);
(ii) Hệ thống có thể chạy trên nhiều loại thiết bị tương tự (ví dụ: các máy tính cá nhân cùng sử dụng bộ vi xử lý có kiến trúc x86 từ hai thế hệ gần nhau trở lên: dòng vi xử lý Intel 64 bít (như Intel Pentium Dual-Core, Intel Core 2, Intel Core i3/i5/i7). Hay phần mềm được xây dựng cho một loại thiết bị phần cứng đặc thù và có thể chạy được với hơn một thế hệ (hoặc phiên bản) của dòng thiết bị đó (ví dụ: thiết bị Raspberry Pi);
(iii) Hệ thống có thể chạy trên nhiều loại thiết bị không đồng nhất (ví dụ: máy tính cá nhân, máy tính bảng, điện thoại);
- Các tiêu chí khác.
Giá trị xếp hạng TFW8 theo các tiêu chí này được xác định như bảng dưới đây:
0 Chỉ yêu cầu hệ thống vận hành trên một môi trường phần mềm và phần cứng cụ thể.
3 Có yêu cầu hệ thống vận hành được trên môi trường phần mềm hoặc phần cứng tương tự nhau.
5 Có yêu cầu hệ thống vận hành được trên nhiều môi trường phần mềm hoặc phần cứng không đồng nhất.</t>
  </si>
  <si>
    <t xml:space="preserve">Dễ dàng bảo trì </t>
  </si>
  <si>
    <t>Xác định giá trị xếp hạng:
0 Không có yêu cầu về việc chỉnh sửa hệ thống trong tương lai.
3 Có yêu cầu về việc chỉnh sửa hệ thống trong tương lai mà không cần lập trình lại từ đầu.
5 Có yêu cầu về việc chỉnh sửa hệ thống trong tương lai mà không cần lập trình lại, chỉ cần cấu hình lại hệ thống.</t>
  </si>
  <si>
    <t>Xử lý đồng thời</t>
  </si>
  <si>
    <t>Xác định giá trị xếp hạng:
0 Không có yêu cầu truy cập dữ liệu đồng thời.
1 Yêu cầu truy cập dữ liệu đồng thời nhưng không thường xuyên.
2 Yêu cầu truy cập dữ liệu đồng thời theo định kỳ.
3 Yêu cầu truy cập dữ liệu đồng thời tại mọi thời điểm.
4 Gồm các yêu cầu trong trường hợp “Giá trị xếp hạng” = 3 và thiết kế phải đưa ra phương án, giải pháp đánh giá, xử lý các điểm tắc nghẽn khi truy cập dữ liệu đồng thời.
5 Gồm các yêu cầu trong trường hợp “Giá trị xếp hạng” = 4 và thiết kế phải đề xuất công cụ kiểm soát việc xử lý truy cập dữ liệu đồng thời.</t>
  </si>
  <si>
    <t xml:space="preserve">Mức độ hỗ trợ bảo mật  </t>
  </si>
  <si>
    <t>Xác định giá trị xếp hạng:
Một số tiêu chí đưa ra để đánh giá mức độ hỗ trợ bảo mật như sau: tiêu chí mức 1, mức 2, mức 3, mức 4, mức 5 tương ứng với yêu cầu kỹ thuật của hệ thống thông tin cấp độ 1, cấp độ 2, cấp độ 3, cấp độ 4, cấp độ 5 trong yêu cầu an toàn cơ bản đối với phần mềm nội bộ quy định tại Thông tư số 12/2022/TT-BTTTT ngày 12/8/2022 của Bộ trưởng Bộ Thông tin và Truyền thông quy định chi tiết và hướng dẫn một số điều của Nghị định số 85/2016/NĐ-CP ngày 01 tháng 7 năm 2016 về bảo đảm an toàn hệ thống thông tin theo cấp độ và Quyết định số 742/QĐ-BTTTT ngày 22/4/2022 của Bộ trưởng Bộ Thông tin và Truyền thông ban hành yêu cầu an toàn cơ bản đối với phần mềm nội bộ.
Giá trị xếp hạng TFW11 theo các tiêu chí này được xác định như bảng dưới đây:
0 Không có yêu cầu bảo mật.
1 Yêu cầu bảo mật mức 1.
2 Yêu cầu bảo mật mức 2.
3 Yêu cầu bảo mật mức 3.
4 Yêu cầu bảo mật mức 4.
5 Yêu cầu bảo mật mức 5.</t>
  </si>
  <si>
    <t>Sự phụ thuộc vào mã lệnh của bên thứ ba</t>
  </si>
  <si>
    <t>Xác định giá trị xếp hạng:
0 Sử dụng mã lệnh sẵn có (không cần hiệu chỉnh) để phát triển toàn bộ ứng dụng.
1 Sử dụng mã lệnh sẵn có (không cần hiệu chỉnh) để phát triển một phần của ứng dụng.
2 Hiệu chỉnh mã lệnh sẵn có để phát triển toàn bộ ứng dụng.
3 Hiệu chỉnh mã lệnh sẵn có để phát triển một phần của ứng dụng.
4 Mã lệnh sẵn có được sử dụng để phát triển ứng dụng, nhưng cần phải sửa lỗi hoặc rất khó để sử dụng mã lệnh sẵn có.
5 Không sử dụng mã lệnh sẵn có để phát triển ứng dụng.</t>
  </si>
  <si>
    <t>Mức độ hỗ trợ đào tạo người sử dụng</t>
  </si>
  <si>
    <t>Xác định giá trị xếp hạng:
0 Không có yêu cầu hỗ trợ của hệ thống về đào tạo người sử dụng.
1 Có yêu cầu hỗ trợ của hệ thống về đào tạo người sử dụng.
2 Có yêu cầu hỗ trợ của hệ thống về đào tạo người sử dụng, hệ thống có một số tiện ích để hỗ trợ đào tạo.
3 Hệ thống có một số tiện ích để hỗ trợ đào tạo người sử dụng ở nhiều cấp độ khác nhau.
4 Hệ thống có một số tiện ích để hỗ trợ đào tạo người sử dụng cho giai đoạn chuyển tiếp từ hệ thống cũ sang hệ thống mới.
5 Gồm các yêu cầu trong trường hợp “Giá trị xếp hạng” = 4 và yêu cầu hỗ trợ của hệ thống về đào tạo cho nhiều đối tượng người sử dụng với các nội dung đào tạo khác nhau.</t>
  </si>
  <si>
    <t>Hệ số phức tạp về kỹ thuật - công nghệ (TCF)</t>
  </si>
  <si>
    <t>PHỤ LỤC VII: BẢNG TÍNH TOÁN HỆ SỐ TÁC ĐỘNG MÔI TRƯỜNG VÀ NHÓM LÀM VIỆC, HỆ SỐ PHỨC TẠP VỀ MÔI TRƯỜNG, XÁC ĐỊNH ĐỘ ỔN ĐỊNH KINH NGHIỆM VÀ NỘI SUY THỜI GIAN LAO ĐỘNG</t>
  </si>
  <si>
    <t>Các hệ số tác động môi trường</t>
  </si>
  <si>
    <t>Đánh giá độ ổn định kinh nghiệm</t>
  </si>
  <si>
    <t>Hệ số tác động môi trường và nhóm làm việc (EFW)</t>
  </si>
  <si>
    <t>Có áp dụng quy trình phát triển phần mềm</t>
  </si>
  <si>
    <t>Kinh nghiệm phát triển ứng dụng tương tự</t>
  </si>
  <si>
    <t>Kinh nghiệm về hướng đối tượng</t>
  </si>
  <si>
    <t xml:space="preserve">Kinh nghiệm của trưởng nhóm lập trình </t>
  </si>
  <si>
    <t xml:space="preserve">Tính chủ động </t>
  </si>
  <si>
    <t>Độ ổn định của các yêu cầu</t>
  </si>
  <si>
    <t>Sử dụng các nhân viên làm bán thời gian</t>
  </si>
  <si>
    <t xml:space="preserve">Kinh nghiệm sử dụng ngôn ngữ lập trình </t>
  </si>
  <si>
    <t>Hệ số phức tạp về môi trường (EF)</t>
  </si>
  <si>
    <t>Độ ổn định kinh nghiệm (ES)</t>
  </si>
  <si>
    <t>BẢNG 4: BẢNG DỰ KIẾN TRÌNH ĐỘ VÀ KINH NGHIỆM CẦN CÓ CỦA THÀNH VIÊN NHÓM DỰ ÁN</t>
  </si>
  <si>
    <t>Điểm đánh giá</t>
  </si>
  <si>
    <t>Nhóm 3</t>
  </si>
  <si>
    <t>Nhóm 2</t>
  </si>
  <si>
    <t>Nhóm 1</t>
  </si>
  <si>
    <t>NV1</t>
  </si>
  <si>
    <t>NV2</t>
  </si>
  <si>
    <t>NV3</t>
  </si>
  <si>
    <t>NV4</t>
  </si>
  <si>
    <t>NV5</t>
  </si>
  <si>
    <t>NV6</t>
  </si>
  <si>
    <t>NV7</t>
  </si>
  <si>
    <t>NV8</t>
  </si>
  <si>
    <t>NV9</t>
  </si>
  <si>
    <t>NV10</t>
  </si>
  <si>
    <t>Kĩ năng lập trình</t>
  </si>
  <si>
    <t>Lập trinh Web</t>
  </si>
  <si>
    <t>HTML</t>
  </si>
  <si>
    <t>Css</t>
  </si>
  <si>
    <t>Javascript</t>
  </si>
  <si>
    <t>Lập trinh Microsoft</t>
  </si>
  <si>
    <t>Microsoft.NET</t>
  </si>
  <si>
    <t>C#</t>
  </si>
  <si>
    <t>Kiến thức về phần mềm</t>
  </si>
  <si>
    <t>Phần mềm CSDL</t>
  </si>
  <si>
    <t>SQL Server</t>
  </si>
  <si>
    <t>Oracle</t>
  </si>
  <si>
    <t>Phần mềm Microsoft</t>
  </si>
  <si>
    <t>Frontpage</t>
  </si>
  <si>
    <t>MS Word</t>
  </si>
  <si>
    <t>MS Excel</t>
  </si>
  <si>
    <t>MS Access</t>
  </si>
  <si>
    <t>Visio</t>
  </si>
  <si>
    <t>MS Project</t>
  </si>
  <si>
    <t>Phần mềm hệ thống, kiên  thức hệ thống</t>
  </si>
  <si>
    <t>Win XP/2000, 7</t>
  </si>
  <si>
    <t>Win 2003, 2008 Server</t>
  </si>
  <si>
    <t>LAN</t>
  </si>
  <si>
    <t>WAN</t>
  </si>
  <si>
    <t>Internet</t>
  </si>
  <si>
    <t>Intranet</t>
  </si>
  <si>
    <t>Hiểu biết về quy trình và kinh nghiệm thực tế (ghi rõ loại)</t>
  </si>
  <si>
    <t>Có áp dụng quy trình phát triển phần mềm theo mẫu RUP và có hiểu biết về RUP hoặc quy trình phát triển phần mềm tương đương</t>
  </si>
  <si>
    <t>Có kinh nghiệm về ứng dụng tương tự</t>
  </si>
  <si>
    <t>Có kinh nghiệm về hướng đối tượng</t>
  </si>
  <si>
    <t>Có khả năng lãnh đạo Nhóm</t>
  </si>
  <si>
    <t>Có tính cách năng động</t>
  </si>
  <si>
    <t>BẢNG 6: MỨC LƯƠNG LAO ĐỘNG BÌNH QUÂN</t>
  </si>
  <si>
    <t>(Đơn vị tính: đồng)</t>
  </si>
  <si>
    <t>Nhân viên</t>
  </si>
  <si>
    <t>Tỷ lệ</t>
  </si>
  <si>
    <t>Mức lương (giờ/người)</t>
  </si>
  <si>
    <t>Mức lương trả cho nhân viên bậc 3</t>
  </si>
  <si>
    <t>Mức lương trả cho nhân viên bậc 2</t>
  </si>
  <si>
    <t>Mức lương trả cho nhân viên bậc 1</t>
  </si>
  <si>
    <t>Mức lương lao động bình quân (H)</t>
  </si>
  <si>
    <t>BẢNG LƯƠNG NHÂN CÔNG KỸ SƯ CNTT</t>
  </si>
  <si>
    <t>Đơn vị tính: đồng</t>
  </si>
  <si>
    <t>Tiêu chí xác định</t>
  </si>
  <si>
    <t xml:space="preserve"> Ghi chú </t>
  </si>
  <si>
    <t>Cấp bậc kỹ sư CNTT</t>
  </si>
  <si>
    <t>KS-B1</t>
  </si>
  <si>
    <t>KS-B2</t>
  </si>
  <si>
    <t>KS-B3</t>
  </si>
  <si>
    <t>KS-B4</t>
  </si>
  <si>
    <t>KS-B5</t>
  </si>
  <si>
    <t>KS-B6</t>
  </si>
  <si>
    <t>KS-B7</t>
  </si>
  <si>
    <t>KS-B8</t>
  </si>
  <si>
    <t>Hệ số lương (Hcb)</t>
  </si>
  <si>
    <t>Quyết định 129/QĐ-BTTTT ngày 3/2/2021 của Bộ TTTT</t>
  </si>
  <si>
    <t>Hệ số phụ cấp (Hpc)</t>
  </si>
  <si>
    <t>Theo quy định của pháp luật lao động và các văn bản có liên quan</t>
  </si>
  <si>
    <t>Mức lương cơ sở (MLcs)</t>
  </si>
  <si>
    <t>Nghị định số 73/2024/NĐ-CP ngày 
01/7/2024 của Chính phủ</t>
  </si>
  <si>
    <t>Mức lương cơ bản (MLcb)</t>
  </si>
  <si>
    <t xml:space="preserve">Điều chỉnh tăng thêm tiền lương (Hdc) </t>
  </si>
  <si>
    <t>Lương cơ bản (Hcb+Hcp) * MLcs * (1+Hdc)</t>
  </si>
  <si>
    <t>Tiền lương tháng đóng BHXH bắt buộc</t>
  </si>
  <si>
    <t>Chi phí khác tính trong chi phí tiền lương thuộc trách nhiệm đóng của người sử dụng lao động</t>
  </si>
  <si>
    <t>Mức lương lao động/Tháng 
(Hcb+Hcp) * MLcs * (1+Hdc) + BHlđ</t>
  </si>
  <si>
    <t>Mức lương lao động/Ngày</t>
  </si>
  <si>
    <t>Thời gian lao động để tính mức lương lao động bình quân tháng là 26 ngày.</t>
  </si>
  <si>
    <t>Mức lương lao động/Giờ</t>
  </si>
  <si>
    <t>Thời gian lao động 08 giờ/ngày</t>
  </si>
  <si>
    <t>Vùng</t>
  </si>
  <si>
    <t>Hệ số điều chỉnh tăng thêm tiền lương (Hdc)</t>
  </si>
  <si>
    <t>Bảo hiểm xã hội</t>
  </si>
  <si>
    <t>Bảo hiểm y tế</t>
  </si>
  <si>
    <t>Bảo hiểm thất nghiệp</t>
  </si>
  <si>
    <t>Kinh phí công đoàn</t>
  </si>
  <si>
    <t>Mức lương tối thiểu vùng áp dụng đối với người lao động làm việc theo hợp đồng lao động
(Từ ngày 01/7/2024)</t>
  </si>
  <si>
    <t>Mức lương cơ sở 
(Từ ngày 01/7/2024)</t>
  </si>
  <si>
    <t>BẢNG DỰ TOÁN: CHI PHÍ ĐÀO TẠO HƯỚNG DẪN SỬ DỤNG</t>
  </si>
  <si>
    <t>Nội dung</t>
  </si>
  <si>
    <t>Số lượng</t>
  </si>
  <si>
    <t>Đơn giá</t>
  </si>
  <si>
    <t>Thành tiền</t>
  </si>
  <si>
    <t>Đào tạo hướng dẫn sử dụng</t>
  </si>
  <si>
    <t>Đối tượng: Chuyên viên, lãnh đạo các phòng ban trực thuộc.
Tổng số nhân sự: 40 người
Số lớp: 02 lớp
Số lượng: 20 người/1 lớp (02 lớp).
Thời gian: 02 buổi/lớp.</t>
  </si>
  <si>
    <t>Chi phí cho giảng viên</t>
  </si>
  <si>
    <t>Thù lao cho Giảng viên (01 người x 02 lớp x 02 buổi)</t>
  </si>
  <si>
    <t>buổi</t>
  </si>
  <si>
    <t>Theo nghị quyết số 15/2023/NQ-HĐND ngày 11/10/2023</t>
  </si>
  <si>
    <t>Phụ cấp tiền ăn cho giảng viên và trợ giảng (01 người x 02 ngày)</t>
  </si>
  <si>
    <t>ngày</t>
  </si>
  <si>
    <t>Nghị quyết số 15/2017/NQ-HĐND
điều 3, khoản 4</t>
  </si>
  <si>
    <t>Chi phí khác (nước uống, VPP…)</t>
  </si>
  <si>
    <t>Chi phí nước uống (40 học viên x 02 buổi,01 giảng viên, 01 trợ giảng x2 buổi)</t>
  </si>
  <si>
    <t xml:space="preserve"> Nghị quyết số 15/2017/NQ-HĐND
điều 3, khoản 3</t>
  </si>
  <si>
    <t>Chi văn phòng phẩm cho học viên</t>
  </si>
  <si>
    <t>người</t>
  </si>
  <si>
    <t>Chi theo thực tế</t>
  </si>
  <si>
    <t>Chi phí tài liệu</t>
  </si>
  <si>
    <t xml:space="preserve">In tài liệu đào tạo </t>
  </si>
  <si>
    <t xml:space="preserve">Bộ </t>
  </si>
  <si>
    <t xml:space="preserve">TỔNG CỘNG </t>
  </si>
  <si>
    <t>BẢNG DỰ TOÁN: CHI PHÍ TẬP HUẤN VẬN HÀNH QUẢN TRỊ HỆ THỐNG</t>
  </si>
  <si>
    <t>Ngày</t>
  </si>
  <si>
    <t>Người</t>
  </si>
  <si>
    <t>Đào tạo vận hành quản trị hệ thống
Đối tượng: Cán bộ vận hành hệ thống(Dự kiến 10 người)
Số lượng: 1 lớp.
Thời gian: 02 buổi/lớp.</t>
  </si>
  <si>
    <t>02 buổi đào tạo trong vòng 01 ngày, mỗi buổi 4 tiếng</t>
  </si>
  <si>
    <t>Thù lao cho Giảng viên (1 người)</t>
  </si>
  <si>
    <t>Phụ cấp tiền ăn cho giảng viên (1 người)</t>
  </si>
  <si>
    <t>Chi phí nước uống (10 học viên + 1 giáo viên)</t>
  </si>
  <si>
    <t>Chi văn phòng phẩm (10 học viên)</t>
  </si>
  <si>
    <t>lớp</t>
  </si>
  <si>
    <t>Tổng số</t>
  </si>
  <si>
    <t>Thống kê chi tiết hoá đơn</t>
  </si>
  <si>
    <t>Báo cáo tính hình thu theo quý chi tiết nhân viên</t>
  </si>
  <si>
    <t>Báo cáo phiếu lỗi trên hệ thống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</si>
</sst>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3" formatCode="_(* #,##0.00_);_(* \(#,##0.00\);_(* &quot;-&quot;??_);_(@_)"/>
    <numFmt numFmtId="164" formatCode="0.0"/>
    <numFmt numFmtId="165" formatCode="0;[Red]0"/>
    <numFmt numFmtId="166" formatCode="#,##0.0"/>
    <numFmt numFmtId="167" formatCode="_(* #,##0_);_(* \(#,##0\);_(* &quot;-&quot;??_);_(@_)"/>
    <numFmt numFmtId="168" formatCode="#,##0;[Red]#,##0"/>
    <numFmt numFmtId="169" formatCode="#,##0.000"/>
    <numFmt numFmtId="170" formatCode="#,##0.00;[Red]#,##0.00"/>
    <numFmt numFmtId="171" formatCode="#,##0.000;[Red]#,##0.000"/>
    <numFmt numFmtId="172" formatCode="0.000"/>
    <numFmt numFmtId="173" formatCode="_(* #.##0.00_);_(* \(#.##0.00\);_(* &quot;-&quot;??_);_(@_)"/>
    <numFmt numFmtId="174" formatCode="_-* #,##0.00_-;\-* #,##0.00_-;_-* &quot;-&quot;??_-;_-@_-"/>
  </numFmts>
  <fonts count="56" x14ac:knownFonts="1">
    <font>
      <sz val="11"/>
      <color theme="1"/>
      <name val="Calibri"/>
      <family val="2"/>
      <charset val="163"/>
      <scheme val="minor"/>
    </font>
    <font>
      <sz val="11"/>
      <color theme="1"/>
      <name val="Calibri"/>
      <family val="2"/>
      <charset val="163"/>
      <scheme val="minor"/>
    </font>
    <font>
      <b/>
      <sz val="13"/>
      <name val="Times New Roman"/>
      <family val="1"/>
    </font>
    <font>
      <sz val="13"/>
      <name val="Times New Roman"/>
      <family val="1"/>
    </font>
    <font>
      <sz val="10"/>
      <name val="Arial"/>
      <family val="2"/>
    </font>
    <font>
      <b/>
      <sz val="18"/>
      <name val="Times New Roman"/>
      <family val="1"/>
    </font>
    <font>
      <b/>
      <sz val="12"/>
      <name val="Times New Roman"/>
      <family val="1"/>
    </font>
    <font>
      <sz val="10"/>
      <color theme="1"/>
      <name val="Arial"/>
      <family val="2"/>
    </font>
    <font>
      <b/>
      <sz val="13"/>
      <color theme="1"/>
      <name val="Times New Roman"/>
      <family val="1"/>
    </font>
    <font>
      <sz val="13"/>
      <color theme="1"/>
      <name val="Times New Roman"/>
      <family val="1"/>
    </font>
    <font>
      <sz val="11"/>
      <color theme="1"/>
      <name val="Times New Roman"/>
      <family val="1"/>
    </font>
    <font>
      <b/>
      <sz val="14"/>
      <name val="Times New Roman"/>
      <family val="1"/>
    </font>
    <font>
      <b/>
      <sz val="14"/>
      <color theme="1"/>
      <name val="Times New Roman"/>
      <family val="1"/>
    </font>
    <font>
      <sz val="14"/>
      <color theme="1"/>
      <name val="Times New Roman"/>
      <family val="1"/>
    </font>
    <font>
      <b/>
      <sz val="13"/>
      <color rgb="FFFF0000"/>
      <name val="Times New Roman"/>
      <family val="1"/>
    </font>
    <font>
      <sz val="11"/>
      <name val="Times New Roman"/>
      <family val="1"/>
    </font>
    <font>
      <b/>
      <sz val="13"/>
      <name val="Times New Roman"/>
      <family val="1"/>
      <charset val="163"/>
    </font>
    <font>
      <b/>
      <sz val="11"/>
      <color theme="1"/>
      <name val="Times New Roman"/>
      <family val="1"/>
    </font>
    <font>
      <b/>
      <sz val="13"/>
      <name val="Calibri Light"/>
      <family val="1"/>
      <charset val="163"/>
      <scheme val="major"/>
    </font>
    <font>
      <sz val="13"/>
      <name val="Calibri Light"/>
      <family val="1"/>
      <charset val="163"/>
      <scheme val="major"/>
    </font>
    <font>
      <b/>
      <sz val="13"/>
      <color indexed="8"/>
      <name val="Times New Roman"/>
      <family val="1"/>
    </font>
    <font>
      <sz val="13"/>
      <color indexed="8"/>
      <name val="Times New Roman"/>
      <family val="1"/>
    </font>
    <font>
      <sz val="13"/>
      <color rgb="FFFF0000"/>
      <name val="Times New Roman"/>
      <family val="1"/>
    </font>
    <font>
      <sz val="13"/>
      <color rgb="FF000000"/>
      <name val="Times New Roman"/>
      <family val="1"/>
    </font>
    <font>
      <sz val="10"/>
      <color rgb="FF002060"/>
      <name val="Times New Roman"/>
      <family val="1"/>
    </font>
    <font>
      <sz val="12"/>
      <name val="Times New Roman"/>
      <family val="1"/>
    </font>
    <font>
      <sz val="11"/>
      <color theme="1"/>
      <name val="Calibri"/>
      <family val="2"/>
      <scheme val="minor"/>
    </font>
    <font>
      <sz val="13"/>
      <name val="Arial"/>
      <family val="2"/>
      <charset val="163"/>
    </font>
    <font>
      <i/>
      <sz val="13"/>
      <name val="Times New Roman"/>
      <family val="1"/>
    </font>
    <font>
      <sz val="10"/>
      <name val="Arial"/>
      <family val="2"/>
      <charset val="163"/>
    </font>
    <font>
      <sz val="11"/>
      <color indexed="8"/>
      <name val="Times New Roman"/>
      <family val="1"/>
    </font>
    <font>
      <i/>
      <sz val="11"/>
      <color indexed="8"/>
      <name val="Times New Roman"/>
      <family val="1"/>
    </font>
    <font>
      <b/>
      <sz val="11"/>
      <color indexed="8"/>
      <name val="Times New Roman"/>
      <family val="1"/>
    </font>
    <font>
      <sz val="12"/>
      <color theme="1"/>
      <name val="Times New Roman"/>
      <family val="2"/>
    </font>
    <font>
      <i/>
      <sz val="11"/>
      <name val="Times New Roman"/>
      <family val="1"/>
    </font>
    <font>
      <sz val="12"/>
      <color theme="1"/>
      <name val="Times New Roman"/>
      <family val="1"/>
    </font>
    <font>
      <b/>
      <sz val="11"/>
      <color indexed="12"/>
      <name val="Times New Roman"/>
      <family val="1"/>
    </font>
    <font>
      <sz val="11"/>
      <color indexed="12"/>
      <name val="Times New Roman"/>
      <family val="1"/>
    </font>
    <font>
      <i/>
      <sz val="13"/>
      <color theme="1"/>
      <name val="Times New Roman"/>
      <family val="1"/>
    </font>
    <font>
      <sz val="12"/>
      <color rgb="FF000000"/>
      <name val="Times New Roman"/>
      <family val="1"/>
    </font>
    <font>
      <b/>
      <sz val="12"/>
      <color rgb="FF000000"/>
      <name val="Times New Roman"/>
      <family val="1"/>
    </font>
    <font>
      <b/>
      <i/>
      <sz val="12"/>
      <name val="Times New Roman"/>
      <family val="1"/>
    </font>
    <font>
      <b/>
      <i/>
      <sz val="12"/>
      <color rgb="FF000000"/>
      <name val="Times New Roman"/>
      <family val="1"/>
    </font>
    <font>
      <sz val="11"/>
      <name val="Calibri"/>
      <family val="2"/>
      <scheme val="minor"/>
    </font>
    <font>
      <sz val="12"/>
      <color rgb="FFFF0000"/>
      <name val="Times New Roman"/>
      <family val="1"/>
    </font>
    <font>
      <sz val="11"/>
      <color indexed="8"/>
      <name val="Calibri"/>
      <family val="2"/>
    </font>
    <font>
      <sz val="10"/>
      <name val="Helv"/>
      <family val="2"/>
    </font>
    <font>
      <sz val="12"/>
      <color indexed="8"/>
      <name val="Times New Roman"/>
      <family val="2"/>
    </font>
    <font>
      <sz val="13"/>
      <name val="Times New Roman"/>
      <family val="1"/>
      <charset val="1"/>
    </font>
    <font>
      <sz val="14"/>
      <name val="Times New Roman"/>
      <family val="1"/>
      <charset val="1"/>
    </font>
    <font>
      <b/>
      <sz val="12"/>
      <name val="Times New Roman"/>
      <charset val="1"/>
    </font>
    <font>
      <sz val="12"/>
      <name val="Times New Roman"/>
      <charset val="1"/>
    </font>
    <font>
      <b/>
      <sz val="13"/>
      <color rgb="FF000000"/>
      <name val="Times New Roman"/>
      <family val="1"/>
      <charset val="1"/>
    </font>
    <font>
      <b/>
      <sz val="13"/>
      <name val="Times New Roman"/>
      <family val="1"/>
      <charset val="1"/>
    </font>
    <font>
      <sz val="13"/>
      <color rgb="FF000000"/>
      <name val="Times New Roman"/>
      <family val="1"/>
      <charset val="1"/>
    </font>
    <font>
      <b/>
      <sz val="13"/>
      <color indexed="10"/>
      <name val="Times New Roman"/>
      <family val="1"/>
    </font>
  </fonts>
  <fills count="18">
    <fill>
      <patternFill patternType="none"/>
    </fill>
    <fill>
      <patternFill patternType="gray125"/>
    </fill>
    <fill>
      <patternFill patternType="solid">
        <fgColor rgb="FFA6A6A6"/>
        <bgColor indexed="64"/>
      </patternFill>
    </fill>
    <fill>
      <patternFill patternType="solid">
        <fgColor rgb="FF969696"/>
        <bgColor indexed="64"/>
      </patternFill>
    </fill>
    <fill>
      <patternFill patternType="solid">
        <fgColor rgb="FFFFFF00"/>
        <bgColor indexed="64"/>
      </patternFill>
    </fill>
    <fill>
      <patternFill patternType="solid">
        <fgColor theme="0"/>
        <bgColor indexed="64"/>
      </patternFill>
    </fill>
    <fill>
      <patternFill patternType="solid">
        <fgColor indexed="31"/>
        <bgColor indexed="64"/>
      </patternFill>
    </fill>
    <fill>
      <patternFill patternType="solid">
        <fgColor rgb="FFBDD6EE"/>
        <bgColor indexed="64"/>
      </patternFill>
    </fill>
    <fill>
      <patternFill patternType="solid">
        <fgColor theme="0" tint="-0.14999847407452621"/>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2"/>
        <bgColor indexed="64"/>
      </patternFill>
    </fill>
    <fill>
      <patternFill patternType="solid">
        <fgColor rgb="FFFFFF00"/>
        <bgColor rgb="FFFFFF00"/>
      </patternFill>
    </fill>
    <fill>
      <patternFill patternType="solid">
        <fgColor rgb="FFFFFFFF"/>
        <bgColor rgb="FFE7E6E6"/>
      </patternFill>
    </fill>
    <fill>
      <patternFill patternType="solid">
        <fgColor theme="0" tint="-0.249977111117893"/>
        <bgColor rgb="FFD0CECE"/>
      </patternFill>
    </fill>
    <fill>
      <patternFill patternType="solid">
        <fgColor rgb="FFFFF2CC"/>
        <bgColor rgb="FFFFF2CC"/>
      </patternFill>
    </fill>
    <fill>
      <patternFill patternType="solid">
        <fgColor indexed="22"/>
        <bgColor indexed="64"/>
      </patternFill>
    </fill>
    <fill>
      <patternFill patternType="solid">
        <fgColor indexed="41"/>
        <bgColor indexed="64"/>
      </patternFill>
    </fill>
  </fills>
  <borders count="11">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rgb="FFCCCCCC"/>
      </left>
      <right style="medium">
        <color rgb="FFCCCCCC"/>
      </right>
      <top style="medium">
        <color rgb="FFCCCCCC"/>
      </top>
      <bottom style="medium">
        <color rgb="FFCCCCCC"/>
      </bottom>
      <diagonal/>
    </border>
    <border>
      <left/>
      <right style="thin">
        <color indexed="64"/>
      </right>
      <top style="thin">
        <color indexed="64"/>
      </top>
      <bottom style="thin">
        <color indexed="64"/>
      </bottom>
      <diagonal/>
    </border>
    <border>
      <left style="medium">
        <color rgb="FFCCCCCC"/>
      </left>
      <right style="medium">
        <color rgb="FFCCCCCC"/>
      </right>
      <top/>
      <bottom style="medium">
        <color rgb="FFCCCCCC"/>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30">
    <xf numFmtId="0" fontId="0" fillId="0" borderId="0"/>
    <xf numFmtId="0" fontId="4" fillId="0" borderId="0"/>
    <xf numFmtId="0" fontId="4" fillId="0" borderId="0"/>
    <xf numFmtId="0" fontId="29" fillId="0" borderId="0"/>
    <xf numFmtId="0" fontId="1" fillId="0" borderId="0"/>
    <xf numFmtId="0" fontId="4" fillId="0" borderId="0"/>
    <xf numFmtId="0" fontId="33" fillId="0" borderId="0"/>
    <xf numFmtId="0" fontId="35" fillId="0" borderId="0"/>
    <xf numFmtId="0" fontId="26" fillId="0" borderId="0"/>
    <xf numFmtId="0" fontId="26" fillId="0" borderId="0"/>
    <xf numFmtId="0" fontId="4" fillId="0" borderId="0"/>
    <xf numFmtId="0" fontId="39" fillId="0" borderId="0"/>
    <xf numFmtId="43" fontId="39" fillId="0" borderId="0"/>
    <xf numFmtId="0" fontId="4" fillId="0" borderId="0"/>
    <xf numFmtId="0" fontId="26" fillId="0" borderId="0"/>
    <xf numFmtId="0" fontId="39" fillId="0" borderId="0"/>
    <xf numFmtId="0" fontId="46" fillId="0" borderId="0"/>
    <xf numFmtId="0" fontId="1" fillId="0" borderId="0"/>
    <xf numFmtId="0" fontId="33" fillId="0" borderId="0"/>
    <xf numFmtId="0" fontId="26" fillId="0" borderId="0"/>
    <xf numFmtId="173" fontId="47" fillId="0" borderId="0"/>
    <xf numFmtId="173" fontId="45" fillId="0" borderId="0"/>
    <xf numFmtId="0" fontId="4" fillId="0" borderId="0"/>
    <xf numFmtId="174" fontId="39" fillId="0" borderId="0"/>
    <xf numFmtId="174" fontId="26" fillId="0" borderId="0"/>
    <xf numFmtId="0" fontId="26" fillId="0" borderId="0"/>
    <xf numFmtId="0" fontId="26" fillId="0" borderId="0"/>
    <xf numFmtId="0" fontId="1" fillId="0" borderId="0"/>
    <xf numFmtId="0" fontId="4" fillId="0" borderId="0"/>
    <xf numFmtId="174" fontId="1" fillId="0" borderId="0"/>
  </cellStyleXfs>
  <cellXfs count="224">
    <xf numFmtId="0" fontId="0" fillId="0" borderId="0" xfId="0"/>
    <xf numFmtId="0" fontId="2" fillId="0" borderId="2" xfId="0" applyFont="1" applyBorder="1" applyAlignment="1">
      <alignment horizontal="center"/>
    </xf>
    <xf numFmtId="0" fontId="3" fillId="0" borderId="2" xfId="0" applyFont="1" applyBorder="1" applyAlignment="1">
      <alignment horizontal="center" vertical="center"/>
    </xf>
    <xf numFmtId="0" fontId="3" fillId="0" borderId="2" xfId="0" applyFont="1" applyBorder="1" applyAlignment="1">
      <alignment vertical="center" wrapText="1"/>
    </xf>
    <xf numFmtId="0" fontId="7" fillId="0" borderId="3" xfId="0" applyFont="1" applyBorder="1" applyAlignment="1">
      <alignment vertical="top" wrapText="1"/>
    </xf>
    <xf numFmtId="0" fontId="7" fillId="0" borderId="3" xfId="0" applyFont="1" applyBorder="1" applyAlignment="1">
      <alignment wrapText="1"/>
    </xf>
    <xf numFmtId="0" fontId="7" fillId="0" borderId="5" xfId="0" applyFont="1" applyBorder="1" applyAlignment="1">
      <alignment vertical="top" wrapText="1"/>
    </xf>
    <xf numFmtId="0" fontId="11" fillId="2" borderId="2" xfId="1" applyFont="1" applyFill="1" applyBorder="1" applyAlignment="1">
      <alignment horizontal="center" vertical="center" wrapText="1"/>
    </xf>
    <xf numFmtId="0" fontId="12" fillId="3" borderId="2" xfId="0" applyFont="1" applyFill="1" applyBorder="1" applyAlignment="1">
      <alignment horizontal="center" vertical="top" wrapText="1"/>
    </xf>
    <xf numFmtId="0" fontId="2" fillId="0" borderId="0" xfId="1" applyFont="1" applyAlignment="1">
      <alignment horizontal="center" vertical="center" wrapText="1"/>
    </xf>
    <xf numFmtId="0" fontId="14" fillId="0" borderId="0" xfId="1" applyFont="1" applyAlignment="1">
      <alignment horizontal="center" vertical="center" wrapText="1"/>
    </xf>
    <xf numFmtId="0" fontId="2" fillId="0" borderId="0" xfId="1" applyFont="1" applyAlignment="1">
      <alignment horizontal="center" vertical="center"/>
    </xf>
    <xf numFmtId="0" fontId="2" fillId="4" borderId="0" xfId="1" applyFont="1" applyFill="1" applyAlignment="1">
      <alignment horizontal="center" vertical="center" wrapText="1"/>
    </xf>
    <xf numFmtId="0" fontId="0" fillId="0" borderId="0" xfId="0" applyAlignment="1">
      <alignment horizontal="center"/>
    </xf>
    <xf numFmtId="0" fontId="13" fillId="0" borderId="0" xfId="0" applyFont="1"/>
    <xf numFmtId="43" fontId="2" fillId="0" borderId="0" xfId="1" applyNumberFormat="1" applyFont="1" applyAlignment="1">
      <alignment horizontal="center" vertical="center" wrapText="1"/>
    </xf>
    <xf numFmtId="0" fontId="17" fillId="0" borderId="0" xfId="0" applyFont="1" applyAlignment="1">
      <alignment horizontal="center"/>
    </xf>
    <xf numFmtId="0" fontId="18" fillId="0" borderId="0" xfId="0" applyFont="1" applyAlignment="1">
      <alignment horizontal="center" vertical="center"/>
    </xf>
    <xf numFmtId="0" fontId="19" fillId="0" borderId="0" xfId="0" applyFont="1"/>
    <xf numFmtId="0" fontId="19" fillId="0" borderId="0" xfId="0" applyFont="1" applyAlignment="1">
      <alignment horizontal="center"/>
    </xf>
    <xf numFmtId="0" fontId="18" fillId="0" borderId="2" xfId="0" applyFont="1" applyBorder="1" applyAlignment="1">
      <alignment horizontal="center" vertical="center"/>
    </xf>
    <xf numFmtId="0" fontId="19" fillId="0" borderId="2" xfId="0" applyFont="1" applyBorder="1" applyAlignment="1">
      <alignment horizontal="center" vertical="center"/>
    </xf>
    <xf numFmtId="0" fontId="19" fillId="0" borderId="2" xfId="0" applyFont="1" applyBorder="1" applyAlignment="1">
      <alignment horizontal="center" vertical="center" wrapText="1"/>
    </xf>
    <xf numFmtId="0" fontId="9" fillId="0" borderId="0" xfId="0" applyFont="1"/>
    <xf numFmtId="0" fontId="9" fillId="0" borderId="0" xfId="0" applyFont="1" applyAlignment="1">
      <alignment horizontal="center"/>
    </xf>
    <xf numFmtId="0" fontId="20" fillId="0" borderId="2" xfId="0" applyFont="1" applyBorder="1" applyAlignment="1">
      <alignment horizontal="center" vertical="center" wrapText="1"/>
    </xf>
    <xf numFmtId="0" fontId="21" fillId="0" borderId="2" xfId="0" applyFont="1" applyBorder="1" applyAlignment="1">
      <alignment horizontal="center" vertical="center"/>
    </xf>
    <xf numFmtId="0" fontId="21" fillId="0" borderId="2" xfId="0" applyFont="1" applyBorder="1" applyAlignment="1">
      <alignment horizontal="center" vertical="center" wrapText="1"/>
    </xf>
    <xf numFmtId="3" fontId="21" fillId="0" borderId="2" xfId="0" applyNumberFormat="1" applyFont="1" applyBorder="1" applyAlignment="1">
      <alignment horizontal="center" vertical="center" wrapText="1"/>
    </xf>
    <xf numFmtId="0" fontId="20" fillId="0" borderId="7" xfId="0" applyFont="1" applyBorder="1" applyAlignment="1">
      <alignment vertical="center" wrapText="1"/>
    </xf>
    <xf numFmtId="0" fontId="20" fillId="0" borderId="4" xfId="0" applyFont="1" applyBorder="1" applyAlignment="1">
      <alignment vertical="center" wrapText="1"/>
    </xf>
    <xf numFmtId="0" fontId="20" fillId="0" borderId="6" xfId="0" applyFont="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center"/>
    </xf>
    <xf numFmtId="0" fontId="3" fillId="0" borderId="2" xfId="0" applyFont="1" applyBorder="1" applyAlignment="1">
      <alignment vertical="center"/>
    </xf>
    <xf numFmtId="0" fontId="9" fillId="0" borderId="2" xfId="0" applyFont="1" applyBorder="1" applyAlignment="1">
      <alignment vertical="center"/>
    </xf>
    <xf numFmtId="0" fontId="22" fillId="0" borderId="2" xfId="0" applyFont="1" applyBorder="1" applyAlignment="1">
      <alignment vertical="center"/>
    </xf>
    <xf numFmtId="0" fontId="23" fillId="0" borderId="2" xfId="0" applyFont="1" applyBorder="1" applyAlignment="1">
      <alignment horizontal="center" vertical="center" wrapText="1" readingOrder="1"/>
    </xf>
    <xf numFmtId="0" fontId="24" fillId="0" borderId="2" xfId="0" applyFont="1" applyBorder="1" applyAlignment="1">
      <alignment horizontal="justify" vertical="center" wrapText="1"/>
    </xf>
    <xf numFmtId="0" fontId="22" fillId="0" borderId="2" xfId="0" applyFont="1" applyBorder="1" applyAlignment="1">
      <alignment vertical="center" wrapText="1"/>
    </xf>
    <xf numFmtId="0" fontId="24" fillId="0" borderId="2" xfId="2" applyFont="1" applyBorder="1" applyAlignment="1">
      <alignment horizontal="justify"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center" vertical="top" wrapText="1"/>
    </xf>
    <xf numFmtId="0" fontId="2" fillId="0" borderId="2" xfId="0" applyFont="1" applyBorder="1" applyAlignment="1">
      <alignment vertical="top" wrapText="1"/>
    </xf>
    <xf numFmtId="164" fontId="2" fillId="0" borderId="2" xfId="0" applyNumberFormat="1" applyFont="1" applyBorder="1" applyAlignment="1">
      <alignment vertical="top" wrapText="1"/>
    </xf>
    <xf numFmtId="0" fontId="3" fillId="0" borderId="2" xfId="0" applyFont="1" applyBorder="1" applyAlignment="1">
      <alignment horizontal="center" vertical="top" wrapText="1"/>
    </xf>
    <xf numFmtId="0" fontId="3" fillId="0" borderId="2" xfId="0" applyFont="1" applyBorder="1" applyAlignment="1">
      <alignment vertical="top" wrapText="1"/>
    </xf>
    <xf numFmtId="0" fontId="22" fillId="0" borderId="2" xfId="0" applyFont="1" applyBorder="1" applyAlignment="1">
      <alignment wrapText="1"/>
    </xf>
    <xf numFmtId="164" fontId="3" fillId="0" borderId="2" xfId="0" applyNumberFormat="1" applyFont="1" applyBorder="1" applyAlignment="1">
      <alignment vertical="top" wrapText="1"/>
    </xf>
    <xf numFmtId="165" fontId="22" fillId="0" borderId="2" xfId="0" applyNumberFormat="1" applyFont="1" applyBorder="1" applyAlignment="1">
      <alignment vertical="top" wrapText="1"/>
    </xf>
    <xf numFmtId="0" fontId="14" fillId="0" borderId="2" xfId="0" applyFont="1" applyBorder="1" applyAlignment="1">
      <alignment vertical="top" wrapText="1"/>
    </xf>
    <xf numFmtId="0" fontId="3" fillId="0" borderId="0" xfId="0" applyFont="1"/>
    <xf numFmtId="0" fontId="3" fillId="0" borderId="2" xfId="0" applyFont="1" applyBorder="1" applyAlignment="1">
      <alignment horizontal="center" vertical="center" wrapText="1"/>
    </xf>
    <xf numFmtId="0" fontId="2" fillId="0" borderId="6" xfId="0" applyFont="1" applyBorder="1" applyAlignment="1">
      <alignment wrapText="1"/>
    </xf>
    <xf numFmtId="0" fontId="3" fillId="0" borderId="6" xfId="0" applyFont="1" applyBorder="1" applyAlignment="1">
      <alignment wrapText="1"/>
    </xf>
    <xf numFmtId="0" fontId="3" fillId="5" borderId="2" xfId="0" applyFont="1" applyFill="1" applyBorder="1" applyAlignment="1">
      <alignment horizontal="center" vertical="center" wrapText="1"/>
    </xf>
    <xf numFmtId="0" fontId="27" fillId="0" borderId="0" xfId="0" applyFont="1"/>
    <xf numFmtId="0" fontId="2" fillId="0" borderId="2" xfId="3" applyFont="1" applyBorder="1" applyAlignment="1">
      <alignment horizontal="center" vertical="center" wrapText="1"/>
    </xf>
    <xf numFmtId="0" fontId="3" fillId="0" borderId="2" xfId="3" applyFont="1" applyBorder="1" applyAlignment="1">
      <alignment horizontal="center" vertical="center"/>
    </xf>
    <xf numFmtId="0" fontId="3" fillId="0" borderId="2" xfId="3" applyFont="1" applyBorder="1" applyAlignment="1">
      <alignment vertical="center"/>
    </xf>
    <xf numFmtId="3" fontId="3" fillId="0" borderId="6" xfId="3" applyNumberFormat="1" applyFont="1" applyBorder="1" applyAlignment="1">
      <alignment horizontal="center"/>
    </xf>
    <xf numFmtId="0" fontId="3" fillId="0" borderId="2" xfId="3" applyFont="1" applyBorder="1" applyAlignment="1">
      <alignment wrapText="1"/>
    </xf>
    <xf numFmtId="3" fontId="16" fillId="0" borderId="2" xfId="3" applyNumberFormat="1" applyFont="1" applyBorder="1" applyAlignment="1">
      <alignment horizontal="center"/>
    </xf>
    <xf numFmtId="3" fontId="3" fillId="0" borderId="2" xfId="3" applyNumberFormat="1" applyFont="1" applyBorder="1" applyAlignment="1">
      <alignment horizontal="center" wrapText="1"/>
    </xf>
    <xf numFmtId="0" fontId="30" fillId="0" borderId="0" xfId="5" applyFont="1"/>
    <xf numFmtId="0" fontId="31" fillId="0" borderId="0" xfId="5" applyFont="1" applyAlignment="1">
      <alignment horizontal="right"/>
    </xf>
    <xf numFmtId="0" fontId="32" fillId="6" borderId="2" xfId="0" applyFont="1" applyFill="1" applyBorder="1" applyAlignment="1">
      <alignment horizontal="center" vertical="center" wrapText="1"/>
    </xf>
    <xf numFmtId="0" fontId="30" fillId="0" borderId="2" xfId="0" applyFont="1" applyBorder="1" applyAlignment="1">
      <alignment horizontal="center" vertical="center" wrapText="1"/>
    </xf>
    <xf numFmtId="0" fontId="30" fillId="0" borderId="2" xfId="0" applyFont="1" applyBorder="1" applyAlignment="1">
      <alignment vertical="center" wrapText="1"/>
    </xf>
    <xf numFmtId="0" fontId="30" fillId="0" borderId="0" xfId="5" applyFont="1" applyAlignment="1">
      <alignment horizontal="center"/>
    </xf>
    <xf numFmtId="2" fontId="30" fillId="0" borderId="2" xfId="6" applyNumberFormat="1" applyFont="1" applyBorder="1" applyAlignment="1">
      <alignment horizontal="center" vertical="center" wrapText="1"/>
    </xf>
    <xf numFmtId="0" fontId="34" fillId="0" borderId="2" xfId="2" quotePrefix="1" applyFont="1" applyBorder="1" applyAlignment="1">
      <alignment vertical="center" wrapText="1"/>
    </xf>
    <xf numFmtId="3" fontId="30" fillId="0" borderId="2" xfId="0" applyNumberFormat="1" applyFont="1" applyBorder="1" applyAlignment="1">
      <alignment horizontal="right" vertical="center" wrapText="1"/>
    </xf>
    <xf numFmtId="166" fontId="30" fillId="4" borderId="2" xfId="0" applyNumberFormat="1" applyFont="1" applyFill="1" applyBorder="1" applyAlignment="1">
      <alignment horizontal="right" vertical="center" wrapText="1"/>
    </xf>
    <xf numFmtId="0" fontId="30" fillId="0" borderId="2" xfId="7" applyFont="1" applyBorder="1" applyAlignment="1">
      <alignment vertical="center" wrapText="1"/>
    </xf>
    <xf numFmtId="0" fontId="30" fillId="0" borderId="2" xfId="0" quotePrefix="1" applyFont="1" applyBorder="1" applyAlignment="1">
      <alignment vertical="center" wrapText="1"/>
    </xf>
    <xf numFmtId="0" fontId="30" fillId="0" borderId="0" xfId="0" applyFont="1" applyAlignment="1">
      <alignment horizontal="center" vertical="center" wrapText="1"/>
    </xf>
    <xf numFmtId="0" fontId="30" fillId="0" borderId="0" xfId="0" applyFont="1" applyAlignment="1">
      <alignment vertical="center" wrapText="1"/>
    </xf>
    <xf numFmtId="3" fontId="30" fillId="0" borderId="0" xfId="0" applyNumberFormat="1" applyFont="1" applyAlignment="1">
      <alignment horizontal="right" vertical="center" wrapText="1"/>
    </xf>
    <xf numFmtId="0" fontId="34" fillId="0" borderId="0" xfId="2" quotePrefix="1" applyFont="1" applyAlignment="1">
      <alignment vertical="center" wrapText="1"/>
    </xf>
    <xf numFmtId="0" fontId="36" fillId="0" borderId="0" xfId="0" applyFont="1" applyAlignment="1">
      <alignment horizontal="center" vertical="center" wrapText="1"/>
    </xf>
    <xf numFmtId="0" fontId="32" fillId="0" borderId="2" xfId="0" applyFont="1" applyBorder="1" applyAlignment="1">
      <alignment vertical="center" wrapText="1"/>
    </xf>
    <xf numFmtId="0" fontId="36" fillId="0" borderId="0" xfId="0" applyFont="1" applyAlignment="1">
      <alignment vertical="center"/>
    </xf>
    <xf numFmtId="0" fontId="37" fillId="0" borderId="0" xfId="0" applyFont="1"/>
    <xf numFmtId="0" fontId="36" fillId="0" borderId="0" xfId="0" applyFont="1" applyAlignment="1">
      <alignment vertical="center" wrapText="1"/>
    </xf>
    <xf numFmtId="0" fontId="32" fillId="0" borderId="2" xfId="5" applyFont="1" applyBorder="1" applyAlignment="1">
      <alignment horizontal="left" vertical="center"/>
    </xf>
    <xf numFmtId="0" fontId="32" fillId="0" borderId="2" xfId="5" applyFont="1" applyBorder="1" applyAlignment="1">
      <alignment horizontal="center" vertical="center"/>
    </xf>
    <xf numFmtId="0" fontId="32" fillId="0" borderId="2" xfId="5" applyFont="1" applyBorder="1" applyAlignment="1">
      <alignment horizontal="left" vertical="center" wrapText="1"/>
    </xf>
    <xf numFmtId="0" fontId="30" fillId="0" borderId="2" xfId="5" applyFont="1" applyBorder="1" applyAlignment="1">
      <alignment horizontal="center" vertical="center"/>
    </xf>
    <xf numFmtId="3" fontId="30" fillId="0" borderId="0" xfId="5" applyNumberFormat="1" applyFont="1" applyAlignment="1">
      <alignment horizontal="left"/>
    </xf>
    <xf numFmtId="167" fontId="30" fillId="0" borderId="0" xfId="5" applyNumberFormat="1" applyFont="1"/>
    <xf numFmtId="0" fontId="32" fillId="0" borderId="2" xfId="8" applyFont="1" applyBorder="1" applyAlignment="1">
      <alignment horizontal="left" vertical="center" wrapText="1"/>
    </xf>
    <xf numFmtId="10" fontId="10" fillId="0" borderId="2" xfId="0" applyNumberFormat="1" applyFont="1" applyBorder="1" applyAlignment="1">
      <alignment horizontal="center"/>
    </xf>
    <xf numFmtId="9" fontId="10" fillId="0" borderId="2" xfId="0" applyNumberFormat="1" applyFont="1" applyBorder="1" applyAlignment="1">
      <alignment horizontal="center"/>
    </xf>
    <xf numFmtId="0" fontId="30" fillId="0" borderId="0" xfId="5" applyFont="1" applyAlignment="1">
      <alignment horizontal="left"/>
    </xf>
    <xf numFmtId="0" fontId="10" fillId="0" borderId="0" xfId="0" applyFont="1" applyAlignment="1">
      <alignment horizontal="center" vertical="center" wrapText="1"/>
    </xf>
    <xf numFmtId="0" fontId="32" fillId="0" borderId="2" xfId="0" applyFont="1" applyBorder="1" applyAlignment="1">
      <alignment horizontal="left" vertical="center" wrapText="1"/>
    </xf>
    <xf numFmtId="0" fontId="10" fillId="0" borderId="0" xfId="0" applyFont="1" applyAlignment="1">
      <alignment vertical="center" wrapText="1"/>
    </xf>
    <xf numFmtId="0" fontId="32" fillId="0" borderId="2" xfId="9" applyFont="1" applyBorder="1" applyAlignment="1">
      <alignment horizontal="center" vertical="center" wrapText="1"/>
    </xf>
    <xf numFmtId="0" fontId="15" fillId="0" borderId="0" xfId="10" applyFont="1" applyAlignment="1">
      <alignment vertical="center" wrapText="1"/>
    </xf>
    <xf numFmtId="0" fontId="30" fillId="0" borderId="2" xfId="9" applyFont="1" applyBorder="1" applyAlignment="1">
      <alignment horizontal="center" vertical="center" wrapText="1"/>
    </xf>
    <xf numFmtId="3" fontId="30" fillId="0" borderId="2" xfId="9" applyNumberFormat="1" applyFont="1" applyBorder="1" applyAlignment="1">
      <alignment horizontal="center" vertical="center" wrapText="1"/>
    </xf>
    <xf numFmtId="0" fontId="3" fillId="0" borderId="0" xfId="0" applyFont="1" applyAlignment="1">
      <alignment horizontal="center"/>
    </xf>
    <xf numFmtId="4" fontId="3" fillId="0" borderId="0" xfId="0" applyNumberFormat="1" applyFont="1"/>
    <xf numFmtId="4" fontId="2" fillId="0" borderId="2" xfId="0" applyNumberFormat="1" applyFont="1" applyBorder="1" applyAlignment="1">
      <alignment horizontal="center" vertical="center" wrapText="1"/>
    </xf>
    <xf numFmtId="0" fontId="2" fillId="0" borderId="0" xfId="0" applyFont="1" applyAlignment="1">
      <alignment wrapText="1"/>
    </xf>
    <xf numFmtId="4" fontId="3" fillId="0" borderId="2" xfId="0" applyNumberFormat="1" applyFont="1" applyBorder="1" applyAlignment="1">
      <alignment horizontal="center" vertical="center" wrapText="1"/>
    </xf>
    <xf numFmtId="168" fontId="3" fillId="0" borderId="2" xfId="0" applyNumberFormat="1" applyFont="1" applyBorder="1" applyAlignment="1">
      <alignment horizontal="right" vertical="center" wrapText="1"/>
    </xf>
    <xf numFmtId="0" fontId="3" fillId="0" borderId="2" xfId="0" applyFont="1" applyBorder="1" applyAlignment="1">
      <alignment horizontal="center"/>
    </xf>
    <xf numFmtId="4" fontId="3" fillId="0" borderId="2" xfId="0" applyNumberFormat="1" applyFont="1" applyBorder="1" applyAlignment="1">
      <alignment horizontal="right" vertical="center" wrapText="1"/>
    </xf>
    <xf numFmtId="168" fontId="2" fillId="0" borderId="2" xfId="0" applyNumberFormat="1" applyFont="1" applyBorder="1" applyAlignment="1">
      <alignment horizontal="right" vertical="center" wrapText="1"/>
    </xf>
    <xf numFmtId="0" fontId="2" fillId="0" borderId="2" xfId="0" applyFont="1" applyBorder="1" applyAlignment="1">
      <alignment horizontal="justify" vertical="center" wrapText="1"/>
    </xf>
    <xf numFmtId="3" fontId="2" fillId="0" borderId="2" xfId="0" applyNumberFormat="1" applyFont="1" applyBorder="1" applyAlignment="1">
      <alignment horizontal="right" vertical="center" wrapText="1"/>
    </xf>
    <xf numFmtId="169" fontId="3" fillId="0" borderId="2" xfId="0" applyNumberFormat="1" applyFont="1" applyBorder="1" applyAlignment="1">
      <alignment horizontal="right" vertical="center" wrapText="1"/>
    </xf>
    <xf numFmtId="0" fontId="8" fillId="0" borderId="2" xfId="0" applyFont="1" applyBorder="1" applyAlignment="1">
      <alignment horizontal="center" vertical="center"/>
    </xf>
    <xf numFmtId="0" fontId="9" fillId="0" borderId="2" xfId="0" applyFont="1" applyBorder="1" applyAlignment="1">
      <alignment horizontal="center" vertical="center"/>
    </xf>
    <xf numFmtId="0" fontId="22" fillId="0" borderId="0" xfId="0" applyFont="1" applyAlignment="1">
      <alignment wrapText="1"/>
    </xf>
    <xf numFmtId="3" fontId="9" fillId="0" borderId="2" xfId="0" applyNumberFormat="1" applyFont="1" applyBorder="1" applyAlignment="1">
      <alignment vertical="center"/>
    </xf>
    <xf numFmtId="0" fontId="8" fillId="0" borderId="2" xfId="0" applyFont="1" applyBorder="1" applyAlignment="1">
      <alignment vertical="center"/>
    </xf>
    <xf numFmtId="3" fontId="8" fillId="0" borderId="2" xfId="0" applyNumberFormat="1" applyFont="1" applyBorder="1" applyAlignment="1">
      <alignment vertical="center"/>
    </xf>
    <xf numFmtId="0" fontId="26" fillId="0" borderId="0" xfId="14"/>
    <xf numFmtId="0" fontId="40" fillId="8" borderId="2" xfId="14" applyFont="1" applyFill="1" applyBorder="1" applyAlignment="1">
      <alignment horizontal="center" vertical="center"/>
    </xf>
    <xf numFmtId="0" fontId="40" fillId="8" borderId="2" xfId="14" applyFont="1" applyFill="1" applyBorder="1" applyAlignment="1">
      <alignment vertical="center" wrapText="1"/>
    </xf>
    <xf numFmtId="0" fontId="39" fillId="8" borderId="2" xfId="14" applyFont="1" applyFill="1" applyBorder="1" applyAlignment="1">
      <alignment vertical="center" wrapText="1"/>
    </xf>
    <xf numFmtId="0" fontId="40" fillId="0" borderId="2" xfId="14" applyFont="1" applyBorder="1" applyAlignment="1">
      <alignment horizontal="center" vertical="center"/>
    </xf>
    <xf numFmtId="0" fontId="40" fillId="0" borderId="2" xfId="14" applyFont="1" applyBorder="1" applyAlignment="1">
      <alignment horizontal="left" vertical="center" wrapText="1"/>
    </xf>
    <xf numFmtId="0" fontId="25" fillId="0" borderId="2" xfId="14" applyFont="1" applyBorder="1" applyAlignment="1">
      <alignment horizontal="center" vertical="center"/>
    </xf>
    <xf numFmtId="0" fontId="25" fillId="0" borderId="2" xfId="14" applyFont="1" applyBorder="1" applyAlignment="1">
      <alignment horizontal="right" vertical="center"/>
    </xf>
    <xf numFmtId="3" fontId="6" fillId="0" borderId="2" xfId="14" applyNumberFormat="1" applyFont="1" applyBorder="1" applyAlignment="1">
      <alignment horizontal="right" vertical="center"/>
    </xf>
    <xf numFmtId="0" fontId="25" fillId="0" borderId="2" xfId="14" applyFont="1" applyBorder="1" applyAlignment="1">
      <alignment horizontal="left" vertical="center" wrapText="1"/>
    </xf>
    <xf numFmtId="0" fontId="39" fillId="0" borderId="2" xfId="14" applyFont="1" applyBorder="1" applyAlignment="1">
      <alignment horizontal="left" vertical="center" wrapText="1"/>
    </xf>
    <xf numFmtId="3" fontId="25" fillId="0" borderId="2" xfId="14" applyNumberFormat="1" applyFont="1" applyBorder="1" applyAlignment="1">
      <alignment horizontal="right" vertical="center"/>
    </xf>
    <xf numFmtId="0" fontId="41" fillId="0" borderId="2" xfId="14" applyFont="1" applyBorder="1" applyAlignment="1">
      <alignment horizontal="center" vertical="center"/>
    </xf>
    <xf numFmtId="0" fontId="42" fillId="0" borderId="2" xfId="14" applyFont="1" applyBorder="1" applyAlignment="1">
      <alignment horizontal="center" vertical="center"/>
    </xf>
    <xf numFmtId="0" fontId="41" fillId="0" borderId="2" xfId="14" applyFont="1" applyBorder="1" applyAlignment="1">
      <alignment horizontal="right" vertical="center"/>
    </xf>
    <xf numFmtId="0" fontId="39" fillId="0" borderId="2" xfId="14" applyFont="1" applyBorder="1" applyAlignment="1">
      <alignment horizontal="center" vertical="center"/>
    </xf>
    <xf numFmtId="3" fontId="25" fillId="0" borderId="2" xfId="14" applyNumberFormat="1" applyFont="1" applyBorder="1" applyAlignment="1">
      <alignment horizontal="center" vertical="center"/>
    </xf>
    <xf numFmtId="0" fontId="26" fillId="9" borderId="2" xfId="14" applyFill="1" applyBorder="1"/>
    <xf numFmtId="0" fontId="17" fillId="9" borderId="2" xfId="14" applyFont="1" applyFill="1" applyBorder="1" applyAlignment="1">
      <alignment horizontal="center"/>
    </xf>
    <xf numFmtId="0" fontId="43" fillId="9" borderId="2" xfId="14" applyFont="1" applyFill="1" applyBorder="1"/>
    <xf numFmtId="3" fontId="6" fillId="9" borderId="2" xfId="14" applyNumberFormat="1" applyFont="1" applyFill="1" applyBorder="1" applyAlignment="1">
      <alignment horizontal="right" vertical="center"/>
    </xf>
    <xf numFmtId="0" fontId="40" fillId="7" borderId="2" xfId="14" applyFont="1" applyFill="1" applyBorder="1" applyAlignment="1">
      <alignment horizontal="center" vertical="center"/>
    </xf>
    <xf numFmtId="0" fontId="39" fillId="0" borderId="2" xfId="14" applyFont="1" applyBorder="1" applyAlignment="1">
      <alignment horizontal="right" vertical="center"/>
    </xf>
    <xf numFmtId="3" fontId="40" fillId="0" borderId="2" xfId="14" applyNumberFormat="1" applyFont="1" applyBorder="1" applyAlignment="1">
      <alignment horizontal="right" vertical="center"/>
    </xf>
    <xf numFmtId="3" fontId="39" fillId="0" borderId="2" xfId="14" applyNumberFormat="1" applyFont="1" applyBorder="1" applyAlignment="1">
      <alignment horizontal="right" vertical="center"/>
    </xf>
    <xf numFmtId="0" fontId="39" fillId="0" borderId="8" xfId="14" applyFont="1" applyBorder="1" applyAlignment="1">
      <alignment horizontal="left" vertical="center" wrapText="1"/>
    </xf>
    <xf numFmtId="0" fontId="44" fillId="0" borderId="2" xfId="14" applyFont="1" applyBorder="1" applyAlignment="1">
      <alignment horizontal="center" vertical="center"/>
    </xf>
    <xf numFmtId="0" fontId="42" fillId="0" borderId="2" xfId="14" applyFont="1" applyBorder="1" applyAlignment="1">
      <alignment horizontal="right" vertical="center"/>
    </xf>
    <xf numFmtId="3" fontId="44" fillId="0" borderId="2" xfId="14" applyNumberFormat="1" applyFont="1" applyBorder="1" applyAlignment="1">
      <alignment horizontal="center" vertical="center"/>
    </xf>
    <xf numFmtId="3" fontId="40" fillId="9" borderId="2" xfId="14" applyNumberFormat="1" applyFont="1" applyFill="1" applyBorder="1" applyAlignment="1">
      <alignment horizontal="right" vertical="center"/>
    </xf>
    <xf numFmtId="0" fontId="2" fillId="10" borderId="2" xfId="0" applyFont="1" applyFill="1" applyBorder="1" applyAlignment="1">
      <alignment horizontal="center" vertical="center"/>
    </xf>
    <xf numFmtId="0" fontId="2" fillId="10" borderId="2" xfId="0" applyFont="1" applyFill="1" applyBorder="1" applyAlignment="1">
      <alignment horizontal="center" vertical="center" wrapText="1"/>
    </xf>
    <xf numFmtId="0" fontId="0" fillId="0" borderId="0" xfId="0" applyAlignment="1">
      <alignment wrapText="1"/>
    </xf>
    <xf numFmtId="0" fontId="2" fillId="2" borderId="2" xfId="1" applyFont="1" applyFill="1" applyBorder="1" applyAlignment="1">
      <alignment horizontal="center" vertical="center" wrapText="1"/>
    </xf>
    <xf numFmtId="0" fontId="8" fillId="3" borderId="2" xfId="0" applyFont="1" applyFill="1" applyBorder="1" applyAlignment="1">
      <alignment horizontal="center" vertical="top" wrapText="1"/>
    </xf>
    <xf numFmtId="0" fontId="7" fillId="0" borderId="0" xfId="0" applyFont="1" applyAlignment="1">
      <alignment vertical="top" wrapText="1"/>
    </xf>
    <xf numFmtId="0" fontId="7" fillId="0" borderId="0" xfId="0" applyFont="1" applyAlignment="1">
      <alignment wrapText="1"/>
    </xf>
    <xf numFmtId="170" fontId="2" fillId="0" borderId="2" xfId="0" applyNumberFormat="1" applyFont="1" applyBorder="1" applyAlignment="1">
      <alignment horizontal="right" vertical="center" wrapText="1"/>
    </xf>
    <xf numFmtId="0" fontId="2" fillId="0" borderId="7" xfId="3" applyFont="1" applyBorder="1" applyAlignment="1">
      <alignment horizontal="center"/>
    </xf>
    <xf numFmtId="9" fontId="3" fillId="0" borderId="6" xfId="3" applyNumberFormat="1" applyFont="1" applyBorder="1" applyAlignment="1">
      <alignment vertical="center"/>
    </xf>
    <xf numFmtId="1" fontId="23" fillId="0" borderId="2" xfId="0" applyNumberFormat="1" applyFont="1" applyBorder="1" applyAlignment="1">
      <alignment horizontal="center" vertical="center" wrapText="1" readingOrder="1"/>
    </xf>
    <xf numFmtId="0" fontId="23" fillId="0" borderId="2" xfId="29" applyNumberFormat="1" applyFont="1" applyBorder="1" applyAlignment="1">
      <alignment horizontal="center" vertical="center" wrapText="1" readingOrder="1"/>
    </xf>
    <xf numFmtId="0" fontId="6" fillId="0" borderId="1" xfId="0" applyFont="1" applyBorder="1" applyAlignment="1">
      <alignment horizontal="center" vertical="center" wrapText="1"/>
    </xf>
    <xf numFmtId="0" fontId="22" fillId="0" borderId="2" xfId="0" applyFont="1" applyBorder="1" applyAlignment="1">
      <alignment horizontal="right" vertical="top" wrapText="1" readingOrder="1"/>
    </xf>
    <xf numFmtId="0" fontId="2" fillId="11" borderId="2" xfId="1" applyFont="1" applyFill="1" applyBorder="1" applyAlignment="1">
      <alignment horizontal="center" vertical="center" wrapText="1"/>
    </xf>
    <xf numFmtId="0" fontId="2" fillId="11" borderId="2" xfId="1" applyFont="1" applyFill="1" applyBorder="1" applyAlignment="1">
      <alignment horizontal="center" vertical="center"/>
    </xf>
    <xf numFmtId="171" fontId="3" fillId="0" borderId="2" xfId="0" applyNumberFormat="1" applyFont="1" applyBorder="1" applyAlignment="1">
      <alignment horizontal="right" vertical="center" wrapText="1"/>
    </xf>
    <xf numFmtId="172" fontId="2" fillId="0" borderId="2" xfId="0" applyNumberFormat="1" applyFont="1" applyBorder="1" applyAlignment="1">
      <alignment vertical="top" wrapText="1"/>
    </xf>
    <xf numFmtId="0" fontId="25" fillId="0" borderId="8" xfId="14" applyFont="1" applyBorder="1" applyAlignment="1">
      <alignment horizontal="left" vertical="center" wrapText="1"/>
    </xf>
    <xf numFmtId="0" fontId="48" fillId="0" borderId="2" xfId="0" applyFont="1" applyBorder="1" applyAlignment="1">
      <alignment horizontal="center" vertical="center"/>
    </xf>
    <xf numFmtId="0" fontId="49" fillId="0" borderId="2" xfId="0" applyFont="1" applyBorder="1" applyAlignment="1">
      <alignment horizontal="left" vertical="center" wrapText="1"/>
    </xf>
    <xf numFmtId="0" fontId="48" fillId="0" borderId="2" xfId="0" applyFont="1" applyBorder="1" applyAlignment="1">
      <alignment vertical="center" wrapText="1"/>
    </xf>
    <xf numFmtId="0" fontId="50" fillId="13" borderId="2" xfId="0" applyFont="1" applyFill="1" applyBorder="1" applyAlignment="1">
      <alignment horizontal="center" vertical="center" wrapText="1"/>
    </xf>
    <xf numFmtId="0" fontId="50" fillId="13" borderId="2" xfId="0" applyFont="1" applyFill="1" applyBorder="1" applyAlignment="1">
      <alignment horizontal="left" vertical="center" wrapText="1"/>
    </xf>
    <xf numFmtId="0" fontId="51" fillId="13" borderId="2" xfId="0" applyFont="1" applyFill="1" applyBorder="1" applyAlignment="1">
      <alignment horizontal="left" vertical="center" wrapText="1"/>
    </xf>
    <xf numFmtId="0" fontId="6" fillId="13" borderId="2" xfId="0" applyFont="1" applyFill="1" applyBorder="1" applyAlignment="1">
      <alignment horizontal="left" vertical="center" wrapText="1"/>
    </xf>
    <xf numFmtId="0" fontId="3" fillId="12" borderId="2" xfId="0" applyFont="1" applyFill="1" applyBorder="1"/>
    <xf numFmtId="0" fontId="52" fillId="14" borderId="2" xfId="0" applyFont="1" applyFill="1" applyBorder="1" applyAlignment="1">
      <alignment horizontal="left" vertical="center" wrapText="1"/>
    </xf>
    <xf numFmtId="0" fontId="53" fillId="0" borderId="0" xfId="0" applyFont="1" applyAlignment="1">
      <alignment horizontal="center" vertical="center" wrapText="1"/>
    </xf>
    <xf numFmtId="0" fontId="3" fillId="0" borderId="2" xfId="0" applyFont="1" applyBorder="1"/>
    <xf numFmtId="0" fontId="54" fillId="0" borderId="2" xfId="0" applyFont="1" applyBorder="1" applyAlignment="1">
      <alignment horizontal="left" vertical="center" wrapText="1"/>
    </xf>
    <xf numFmtId="3" fontId="52" fillId="14" borderId="2" xfId="0" applyNumberFormat="1" applyFont="1" applyFill="1" applyBorder="1" applyAlignment="1">
      <alignment horizontal="left" vertical="center" wrapText="1"/>
    </xf>
    <xf numFmtId="3" fontId="3" fillId="0" borderId="2" xfId="0" applyNumberFormat="1" applyFont="1" applyBorder="1"/>
    <xf numFmtId="3" fontId="21" fillId="15" borderId="2" xfId="0" applyNumberFormat="1" applyFont="1" applyFill="1" applyBorder="1" applyAlignment="1">
      <alignment horizontal="center" vertical="center" wrapText="1"/>
    </xf>
    <xf numFmtId="0" fontId="2" fillId="16" borderId="2" xfId="0" applyFont="1" applyFill="1" applyBorder="1" applyAlignment="1">
      <alignment horizontal="center" vertical="center" wrapText="1"/>
    </xf>
    <xf numFmtId="0" fontId="3" fillId="16" borderId="2" xfId="0" applyFont="1" applyFill="1" applyBorder="1" applyAlignment="1">
      <alignment horizontal="center" vertical="center" wrapText="1"/>
    </xf>
    <xf numFmtId="3" fontId="3" fillId="0" borderId="2" xfId="0" applyNumberFormat="1" applyFont="1" applyBorder="1" applyAlignment="1">
      <alignment horizontal="center" vertical="center" wrapText="1"/>
    </xf>
    <xf numFmtId="3" fontId="3" fillId="16" borderId="2" xfId="0" applyNumberFormat="1" applyFont="1" applyFill="1" applyBorder="1" applyAlignment="1">
      <alignment horizontal="center" vertical="center" wrapText="1"/>
    </xf>
    <xf numFmtId="0" fontId="3" fillId="17" borderId="2" xfId="0" applyFont="1" applyFill="1" applyBorder="1" applyAlignment="1">
      <alignment horizontal="center" vertical="center" wrapText="1"/>
    </xf>
    <xf numFmtId="3" fontId="55" fillId="17" borderId="2" xfId="0" applyNumberFormat="1" applyFont="1" applyFill="1" applyBorder="1" applyAlignment="1">
      <alignment horizontal="center" vertical="center" wrapText="1"/>
    </xf>
    <xf numFmtId="0" fontId="52" fillId="12" borderId="6" xfId="0" applyFont="1" applyFill="1" applyBorder="1" applyAlignment="1">
      <alignment horizontal="left" vertical="center" wrapText="1"/>
    </xf>
    <xf numFmtId="0" fontId="0" fillId="0" borderId="7" xfId="0" applyBorder="1"/>
    <xf numFmtId="0" fontId="2" fillId="0" borderId="0" xfId="1" applyFont="1" applyAlignment="1">
      <alignment horizontal="center" vertical="center" wrapText="1"/>
    </xf>
    <xf numFmtId="0" fontId="0" fillId="0" borderId="0" xfId="0"/>
    <xf numFmtId="0" fontId="0" fillId="0" borderId="0" xfId="0" applyAlignment="1">
      <alignment wrapText="1"/>
    </xf>
    <xf numFmtId="0" fontId="8" fillId="0" borderId="0" xfId="0" applyFont="1" applyAlignment="1">
      <alignment horizontal="center" vertical="center"/>
    </xf>
    <xf numFmtId="0" fontId="38" fillId="0" borderId="1" xfId="0" applyFont="1" applyBorder="1" applyAlignment="1">
      <alignment horizontal="right"/>
    </xf>
    <xf numFmtId="0" fontId="0" fillId="0" borderId="1" xfId="0" applyBorder="1"/>
    <xf numFmtId="0" fontId="2" fillId="0" borderId="0" xfId="0" applyFont="1" applyAlignment="1">
      <alignment horizontal="center" wrapText="1"/>
    </xf>
    <xf numFmtId="0" fontId="2" fillId="0" borderId="2" xfId="0" applyFont="1" applyBorder="1" applyAlignment="1">
      <alignment horizontal="center" vertical="center" wrapText="1"/>
    </xf>
    <xf numFmtId="0" fontId="0" fillId="0" borderId="4" xfId="0" applyBorder="1"/>
    <xf numFmtId="0" fontId="3" fillId="0" borderId="2" xfId="0" applyFont="1" applyBorder="1" applyAlignment="1">
      <alignment horizontal="center" vertical="center" wrapText="1"/>
    </xf>
    <xf numFmtId="0" fontId="2" fillId="0" borderId="1" xfId="0" applyFont="1" applyBorder="1" applyAlignment="1">
      <alignment horizontal="center" vertical="center" wrapText="1"/>
    </xf>
    <xf numFmtId="0" fontId="5" fillId="0" borderId="0" xfId="1" applyFont="1" applyAlignment="1">
      <alignment horizontal="center" vertical="center"/>
    </xf>
    <xf numFmtId="0" fontId="0" fillId="0" borderId="0" xfId="0" applyAlignment="1">
      <alignment horizontal="center"/>
    </xf>
    <xf numFmtId="0" fontId="50" fillId="12" borderId="6" xfId="0" applyFont="1" applyFill="1" applyBorder="1" applyAlignment="1">
      <alignment horizontal="left" vertical="center" wrapText="1"/>
    </xf>
    <xf numFmtId="0" fontId="6" fillId="0" borderId="0" xfId="1" applyFont="1" applyAlignment="1">
      <alignment horizontal="center" vertical="center"/>
    </xf>
    <xf numFmtId="0" fontId="2" fillId="0" borderId="0" xfId="0" applyFont="1" applyAlignment="1">
      <alignment horizontal="center" vertical="center" wrapText="1"/>
    </xf>
    <xf numFmtId="0" fontId="21" fillId="0" borderId="2" xfId="0" applyFont="1" applyBorder="1" applyAlignment="1">
      <alignment horizontal="center" vertical="center"/>
    </xf>
    <xf numFmtId="0" fontId="0" fillId="0" borderId="10" xfId="0" applyBorder="1"/>
    <xf numFmtId="0" fontId="0" fillId="0" borderId="9" xfId="0" applyBorder="1"/>
    <xf numFmtId="0" fontId="6" fillId="0" borderId="0" xfId="0" applyFont="1" applyAlignment="1">
      <alignment horizontal="center" vertical="center" wrapText="1"/>
    </xf>
    <xf numFmtId="0" fontId="2" fillId="0" borderId="7" xfId="0" applyFont="1" applyBorder="1" applyAlignment="1">
      <alignment horizontal="center" vertical="center" wrapText="1"/>
    </xf>
    <xf numFmtId="0" fontId="2" fillId="0" borderId="2" xfId="0" applyFont="1" applyBorder="1" applyAlignment="1">
      <alignment vertical="center" wrapText="1"/>
    </xf>
    <xf numFmtId="0" fontId="28" fillId="0" borderId="0" xfId="0" applyFont="1" applyAlignment="1">
      <alignment horizontal="right" vertical="center" wrapText="1"/>
    </xf>
    <xf numFmtId="0" fontId="2" fillId="0" borderId="6" xfId="3" applyFont="1" applyBorder="1" applyAlignment="1">
      <alignment horizontal="center" wrapText="1"/>
    </xf>
    <xf numFmtId="0" fontId="17" fillId="5" borderId="0" xfId="4" applyFont="1" applyFill="1" applyAlignment="1">
      <alignment horizontal="center"/>
    </xf>
    <xf numFmtId="0" fontId="32" fillId="6" borderId="2" xfId="0" applyFont="1" applyFill="1" applyBorder="1" applyAlignment="1">
      <alignment horizontal="center" vertical="center" wrapText="1"/>
    </xf>
    <xf numFmtId="0" fontId="8" fillId="0" borderId="0" xfId="14" applyFont="1" applyAlignment="1">
      <alignment horizontal="center"/>
    </xf>
    <xf numFmtId="0" fontId="40" fillId="7" borderId="2" xfId="14" applyFont="1" applyFill="1" applyBorder="1" applyAlignment="1">
      <alignment horizontal="center" vertical="center"/>
    </xf>
    <xf numFmtId="0" fontId="40" fillId="7" borderId="2" xfId="14" applyFont="1" applyFill="1" applyBorder="1" applyAlignment="1">
      <alignment horizontal="center" vertical="center" wrapText="1"/>
    </xf>
    <xf numFmtId="0" fontId="39" fillId="8" borderId="2" xfId="14" applyFont="1" applyFill="1" applyBorder="1" applyAlignment="1">
      <alignment horizontal="left" vertical="center" wrapText="1"/>
    </xf>
    <xf numFmtId="0" fontId="39" fillId="8" borderId="2" xfId="14" applyFont="1" applyFill="1" applyBorder="1" applyAlignment="1">
      <alignment horizontal="center" vertical="center" wrapText="1"/>
    </xf>
  </cellXfs>
  <cellStyles count="30">
    <cellStyle name="Comma" xfId="29" builtinId="3"/>
    <cellStyle name="Comma 16" xfId="20" xr:uid="{00000000-0005-0000-0000-000014000000}"/>
    <cellStyle name="Comma 2" xfId="12" xr:uid="{00000000-0005-0000-0000-00000C000000}"/>
    <cellStyle name="Comma 2 2" xfId="23" xr:uid="{00000000-0005-0000-0000-000017000000}"/>
    <cellStyle name="Comma 3" xfId="21" xr:uid="{00000000-0005-0000-0000-000015000000}"/>
    <cellStyle name="Comma 4" xfId="24" xr:uid="{00000000-0005-0000-0000-000018000000}"/>
    <cellStyle name="Normal" xfId="0" builtinId="0"/>
    <cellStyle name="Normal 10 2 3" xfId="10" xr:uid="{00000000-0005-0000-0000-00000A000000}"/>
    <cellStyle name="Normal 10 2 5" xfId="5" xr:uid="{00000000-0005-0000-0000-000005000000}"/>
    <cellStyle name="Normal 16" xfId="8" xr:uid="{00000000-0005-0000-0000-000008000000}"/>
    <cellStyle name="Normal 16 2 2 3" xfId="6" xr:uid="{00000000-0005-0000-0000-000006000000}"/>
    <cellStyle name="Normal 16 2 3" xfId="7" xr:uid="{00000000-0005-0000-0000-000007000000}"/>
    <cellStyle name="Normal 16 3" xfId="9" xr:uid="{00000000-0005-0000-0000-000009000000}"/>
    <cellStyle name="Normal 2" xfId="17" xr:uid="{00000000-0005-0000-0000-000011000000}"/>
    <cellStyle name="Normal 2 13" xfId="22" xr:uid="{00000000-0005-0000-0000-000016000000}"/>
    <cellStyle name="Normal 2 2" xfId="26" xr:uid="{00000000-0005-0000-0000-00001A000000}"/>
    <cellStyle name="Normal 2 2 2 2" xfId="2" xr:uid="{00000000-0005-0000-0000-000002000000}"/>
    <cellStyle name="Normal 2 3" xfId="27" xr:uid="{00000000-0005-0000-0000-00001B000000}"/>
    <cellStyle name="Normal 2 5" xfId="13" xr:uid="{00000000-0005-0000-0000-00000D000000}"/>
    <cellStyle name="Normal 200" xfId="4" xr:uid="{00000000-0005-0000-0000-000004000000}"/>
    <cellStyle name="Normal 3" xfId="3" xr:uid="{00000000-0005-0000-0000-000003000000}"/>
    <cellStyle name="Normal 3 2" xfId="14" xr:uid="{00000000-0005-0000-0000-00000E000000}"/>
    <cellStyle name="Normal 4" xfId="1" xr:uid="{00000000-0005-0000-0000-000001000000}"/>
    <cellStyle name="Normal 4 2" xfId="25" xr:uid="{00000000-0005-0000-0000-000019000000}"/>
    <cellStyle name="Normal 4 3" xfId="28" xr:uid="{00000000-0005-0000-0000-00001C000000}"/>
    <cellStyle name="Normal 5" xfId="11" xr:uid="{00000000-0005-0000-0000-00000B000000}"/>
    <cellStyle name="Normal 6" xfId="19" xr:uid="{00000000-0005-0000-0000-000013000000}"/>
    <cellStyle name="Normal 6 2" xfId="15" xr:uid="{00000000-0005-0000-0000-00000F000000}"/>
    <cellStyle name="Normal 7" xfId="18" xr:uid="{00000000-0005-0000-0000-000012000000}"/>
    <cellStyle name="Style 1 2" xfId="16" xr:uid="{00000000-0005-0000-0000-000010000000}"/>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2:E9"/>
  <sheetViews>
    <sheetView workbookViewId="0">
      <selection activeCell="D8" sqref="D8"/>
    </sheetView>
  </sheetViews>
  <sheetFormatPr defaultRowHeight="14.4" x14ac:dyDescent="0.3"/>
  <cols>
    <col min="1" max="1" width="6.6640625" customWidth="1"/>
    <col min="2" max="2" width="49.5546875" customWidth="1"/>
    <col min="3" max="3" width="19.88671875" customWidth="1"/>
    <col min="4" max="4" width="18.109375" customWidth="1"/>
    <col min="5" max="5" width="10.6640625" customWidth="1"/>
  </cols>
  <sheetData>
    <row r="2" spans="1:5" ht="16.8" customHeight="1" x14ac:dyDescent="0.3">
      <c r="A2" s="196" t="s">
        <v>268</v>
      </c>
      <c r="B2" s="194"/>
      <c r="C2" s="194"/>
      <c r="D2" s="194"/>
      <c r="E2" s="194"/>
    </row>
    <row r="3" spans="1:5" ht="16.8" customHeight="1" x14ac:dyDescent="0.3">
      <c r="A3" s="23"/>
      <c r="B3" s="23"/>
      <c r="C3" s="23"/>
      <c r="D3" s="197" t="s">
        <v>269</v>
      </c>
      <c r="E3" s="198"/>
    </row>
    <row r="4" spans="1:5" ht="16.8" customHeight="1" x14ac:dyDescent="0.3">
      <c r="A4" s="115" t="s">
        <v>270</v>
      </c>
      <c r="B4" s="115" t="s">
        <v>271</v>
      </c>
      <c r="C4" s="115" t="s">
        <v>272</v>
      </c>
      <c r="D4" s="115" t="s">
        <v>273</v>
      </c>
      <c r="E4" s="115" t="s">
        <v>274</v>
      </c>
    </row>
    <row r="5" spans="1:5" ht="33.6" customHeight="1" x14ac:dyDescent="0.3">
      <c r="A5" s="116">
        <v>1</v>
      </c>
      <c r="B5" s="117" t="s">
        <v>275</v>
      </c>
      <c r="C5" s="116" t="s">
        <v>276</v>
      </c>
      <c r="D5" s="118">
        <f>'PLVIII.GTPM (G)'!F15</f>
        <v>843331984.71315324</v>
      </c>
      <c r="E5" s="116" t="s">
        <v>277</v>
      </c>
    </row>
    <row r="6" spans="1:5" ht="16.8" customHeight="1" x14ac:dyDescent="0.3">
      <c r="A6" s="116">
        <v>2</v>
      </c>
      <c r="B6" s="35" t="s">
        <v>278</v>
      </c>
      <c r="C6" s="116" t="s">
        <v>279</v>
      </c>
      <c r="D6" s="118">
        <f>65%*D5</f>
        <v>548165790.06354964</v>
      </c>
      <c r="E6" s="116" t="s">
        <v>280</v>
      </c>
    </row>
    <row r="7" spans="1:5" ht="16.8" customHeight="1" x14ac:dyDescent="0.3">
      <c r="A7" s="116">
        <v>3</v>
      </c>
      <c r="B7" s="35" t="s">
        <v>281</v>
      </c>
      <c r="C7" s="116" t="s">
        <v>282</v>
      </c>
      <c r="D7" s="118">
        <f>(D5+D6)*6%</f>
        <v>83489866.486602172</v>
      </c>
      <c r="E7" s="116" t="s">
        <v>283</v>
      </c>
    </row>
    <row r="8" spans="1:5" ht="33.6" customHeight="1" x14ac:dyDescent="0.3">
      <c r="A8" s="116">
        <v>4</v>
      </c>
      <c r="B8" s="117" t="s">
        <v>284</v>
      </c>
      <c r="C8" s="116" t="s">
        <v>285</v>
      </c>
      <c r="D8" s="118">
        <f>SUM(D5:D7)</f>
        <v>1474987641.2633049</v>
      </c>
      <c r="E8" s="116" t="s">
        <v>286</v>
      </c>
    </row>
    <row r="9" spans="1:5" ht="16.8" customHeight="1" x14ac:dyDescent="0.3">
      <c r="A9" s="119"/>
      <c r="B9" s="119" t="s">
        <v>287</v>
      </c>
      <c r="C9" s="119"/>
      <c r="D9" s="120">
        <f>D8</f>
        <v>1474987641.2633049</v>
      </c>
      <c r="E9" s="119"/>
    </row>
  </sheetData>
  <mergeCells count="2">
    <mergeCell ref="A2:E2"/>
    <mergeCell ref="D3:E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2:G15"/>
  <sheetViews>
    <sheetView tabSelected="1" topLeftCell="B1" zoomScale="85" zoomScaleNormal="85" workbookViewId="0">
      <selection activeCell="D20" sqref="D20"/>
    </sheetView>
  </sheetViews>
  <sheetFormatPr defaultRowHeight="14.4" x14ac:dyDescent="0.3"/>
  <cols>
    <col min="1" max="1" width="6.109375" customWidth="1"/>
    <col min="2" max="2" width="49" customWidth="1"/>
    <col min="3" max="3" width="12.33203125" customWidth="1"/>
    <col min="4" max="4" width="10.88671875" customWidth="1"/>
    <col min="5" max="5" width="18.6640625" customWidth="1"/>
    <col min="6" max="6" width="17.6640625" bestFit="1" customWidth="1"/>
    <col min="7" max="7" width="15.88671875" bestFit="1" customWidth="1"/>
  </cols>
  <sheetData>
    <row r="2" spans="1:7" ht="54.75" customHeight="1" x14ac:dyDescent="0.3">
      <c r="A2" s="199" t="s">
        <v>288</v>
      </c>
      <c r="B2" s="194"/>
      <c r="C2" s="194"/>
      <c r="D2" s="194"/>
      <c r="E2" s="194"/>
      <c r="F2" s="194"/>
      <c r="G2" s="194"/>
    </row>
    <row r="3" spans="1:7" ht="16.8" customHeight="1" x14ac:dyDescent="0.3">
      <c r="A3" s="103"/>
      <c r="B3" s="52"/>
      <c r="C3" s="52"/>
      <c r="D3" s="52"/>
      <c r="E3" s="103"/>
      <c r="F3" s="104"/>
      <c r="G3" s="103"/>
    </row>
    <row r="4" spans="1:7" ht="16.8" customHeight="1" x14ac:dyDescent="0.3">
      <c r="A4" s="42" t="s">
        <v>270</v>
      </c>
      <c r="B4" s="42" t="s">
        <v>289</v>
      </c>
      <c r="C4" s="42" t="s">
        <v>290</v>
      </c>
      <c r="D4" s="200" t="s">
        <v>291</v>
      </c>
      <c r="E4" s="201"/>
      <c r="F4" s="105" t="s">
        <v>273</v>
      </c>
      <c r="G4" s="42" t="s">
        <v>8</v>
      </c>
    </row>
    <row r="5" spans="1:7" ht="16.8" customHeight="1" x14ac:dyDescent="0.3">
      <c r="A5" s="42" t="s">
        <v>292</v>
      </c>
      <c r="B5" s="106" t="s">
        <v>293</v>
      </c>
      <c r="C5" s="53"/>
      <c r="D5" s="202"/>
      <c r="E5" s="201"/>
      <c r="F5" s="107"/>
      <c r="G5" s="53"/>
    </row>
    <row r="6" spans="1:7" ht="16.8" customHeight="1" x14ac:dyDescent="0.3">
      <c r="A6" s="53">
        <v>1</v>
      </c>
      <c r="B6" s="3" t="s">
        <v>294</v>
      </c>
      <c r="C6" s="53" t="s">
        <v>295</v>
      </c>
      <c r="D6" s="202" t="s">
        <v>296</v>
      </c>
      <c r="E6" s="201"/>
      <c r="F6" s="108">
        <f>PLIV.TAW!F8</f>
        <v>9</v>
      </c>
      <c r="G6" s="109" t="s">
        <v>297</v>
      </c>
    </row>
    <row r="7" spans="1:7" ht="16.8" customHeight="1" x14ac:dyDescent="0.3">
      <c r="A7" s="53">
        <v>2</v>
      </c>
      <c r="B7" s="3" t="s">
        <v>298</v>
      </c>
      <c r="C7" s="53" t="s">
        <v>295</v>
      </c>
      <c r="D7" s="202" t="s">
        <v>299</v>
      </c>
      <c r="E7" s="201"/>
      <c r="F7" s="108">
        <f>PLV.TBF!F17</f>
        <v>505</v>
      </c>
      <c r="G7" s="109" t="s">
        <v>300</v>
      </c>
    </row>
    <row r="8" spans="1:7" ht="16.8" customHeight="1" x14ac:dyDescent="0.3">
      <c r="A8" s="53">
        <v>3</v>
      </c>
      <c r="B8" s="3" t="s">
        <v>301</v>
      </c>
      <c r="C8" s="53" t="s">
        <v>295</v>
      </c>
      <c r="D8" s="202" t="s">
        <v>302</v>
      </c>
      <c r="E8" s="201"/>
      <c r="F8" s="108">
        <f>F6+F7</f>
        <v>514</v>
      </c>
      <c r="G8" s="109"/>
    </row>
    <row r="9" spans="1:7" ht="16.8" customHeight="1" x14ac:dyDescent="0.3">
      <c r="A9" s="53">
        <v>4</v>
      </c>
      <c r="B9" s="3" t="s">
        <v>303</v>
      </c>
      <c r="C9" s="53" t="s">
        <v>295</v>
      </c>
      <c r="D9" s="202" t="s">
        <v>304</v>
      </c>
      <c r="E9" s="201"/>
      <c r="F9" s="114">
        <f>PLVI.TFW!E18</f>
        <v>0.875</v>
      </c>
      <c r="G9" s="109" t="s">
        <v>305</v>
      </c>
    </row>
    <row r="10" spans="1:7" ht="16.8" customHeight="1" x14ac:dyDescent="0.3">
      <c r="A10" s="53">
        <v>5</v>
      </c>
      <c r="B10" s="3" t="s">
        <v>306</v>
      </c>
      <c r="C10" s="53" t="s">
        <v>295</v>
      </c>
      <c r="D10" s="202" t="s">
        <v>307</v>
      </c>
      <c r="E10" s="201"/>
      <c r="F10" s="167">
        <f>PLVII.EFW!E13</f>
        <v>0.62</v>
      </c>
      <c r="G10" s="109" t="s">
        <v>308</v>
      </c>
    </row>
    <row r="11" spans="1:7" ht="16.8" customHeight="1" x14ac:dyDescent="0.3">
      <c r="A11" s="53">
        <v>6</v>
      </c>
      <c r="B11" s="3" t="s">
        <v>309</v>
      </c>
      <c r="C11" s="53" t="s">
        <v>295</v>
      </c>
      <c r="D11" s="202" t="s">
        <v>310</v>
      </c>
      <c r="E11" s="201"/>
      <c r="F11" s="110">
        <f>F8*F9*F10</f>
        <v>278.84499999999997</v>
      </c>
      <c r="G11" s="109"/>
    </row>
    <row r="12" spans="1:7" ht="16.8" customHeight="1" x14ac:dyDescent="0.3">
      <c r="A12" s="42" t="s">
        <v>311</v>
      </c>
      <c r="B12" s="41" t="s">
        <v>312</v>
      </c>
      <c r="C12" s="42"/>
      <c r="D12" s="200" t="s">
        <v>313</v>
      </c>
      <c r="E12" s="201"/>
      <c r="F12" s="158">
        <f>PLVII.EFW!F15</f>
        <v>21.363636363636363</v>
      </c>
      <c r="G12" s="53" t="s">
        <v>308</v>
      </c>
    </row>
    <row r="13" spans="1:7" ht="16.8" customHeight="1" x14ac:dyDescent="0.3">
      <c r="A13" s="42" t="s">
        <v>314</v>
      </c>
      <c r="B13" s="41" t="s">
        <v>315</v>
      </c>
      <c r="C13" s="42"/>
      <c r="D13" s="200" t="s">
        <v>316</v>
      </c>
      <c r="E13" s="201"/>
      <c r="F13" s="111">
        <f>F11*10/6</f>
        <v>464.74166666666662</v>
      </c>
      <c r="G13" s="42"/>
    </row>
    <row r="14" spans="1:7" ht="50.4" customHeight="1" x14ac:dyDescent="0.3">
      <c r="A14" s="42" t="s">
        <v>317</v>
      </c>
      <c r="B14" s="112" t="s">
        <v>318</v>
      </c>
      <c r="C14" s="42" t="s">
        <v>319</v>
      </c>
      <c r="D14" s="200" t="s">
        <v>320</v>
      </c>
      <c r="E14" s="201"/>
      <c r="F14" s="111">
        <f>'Lương-H'!E7</f>
        <v>60671.362499999996</v>
      </c>
      <c r="G14" s="42" t="s">
        <v>321</v>
      </c>
    </row>
    <row r="15" spans="1:7" ht="33.6" customHeight="1" x14ac:dyDescent="0.3">
      <c r="A15" s="42" t="s">
        <v>322</v>
      </c>
      <c r="B15" s="112" t="s">
        <v>323</v>
      </c>
      <c r="C15" s="42" t="s">
        <v>319</v>
      </c>
      <c r="D15" s="200" t="s">
        <v>324</v>
      </c>
      <c r="E15" s="201"/>
      <c r="F15" s="113">
        <f>1.4*F13*F12*F14</f>
        <v>843331984.71315324</v>
      </c>
      <c r="G15" s="42"/>
    </row>
  </sheetData>
  <mergeCells count="13">
    <mergeCell ref="D15:E15"/>
    <mergeCell ref="D11:E11"/>
    <mergeCell ref="D13:E13"/>
    <mergeCell ref="D5:E5"/>
    <mergeCell ref="D14:E14"/>
    <mergeCell ref="A2:G2"/>
    <mergeCell ref="D4:E4"/>
    <mergeCell ref="D9:E9"/>
    <mergeCell ref="D12:E12"/>
    <mergeCell ref="D8:E8"/>
    <mergeCell ref="D6:E6"/>
    <mergeCell ref="D7:E7"/>
    <mergeCell ref="D10:E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D6"/>
  <sheetViews>
    <sheetView zoomScale="85" zoomScaleNormal="85" workbookViewId="0">
      <selection activeCell="G5" sqref="G5"/>
    </sheetView>
  </sheetViews>
  <sheetFormatPr defaultRowHeight="14.4" x14ac:dyDescent="0.3"/>
  <cols>
    <col min="1" max="1" width="7.6640625" customWidth="1"/>
    <col min="2" max="3" width="30" customWidth="1"/>
    <col min="4" max="4" width="25.6640625" customWidth="1"/>
  </cols>
  <sheetData>
    <row r="1" spans="1:4" ht="53.25" customHeight="1" x14ac:dyDescent="0.3">
      <c r="A1" s="203" t="s">
        <v>325</v>
      </c>
      <c r="B1" s="198"/>
      <c r="C1" s="198"/>
      <c r="D1" s="198"/>
    </row>
    <row r="2" spans="1:4" ht="24" customHeight="1" x14ac:dyDescent="0.3">
      <c r="A2" s="7" t="s">
        <v>270</v>
      </c>
      <c r="B2" s="8" t="s">
        <v>4</v>
      </c>
      <c r="C2" s="7" t="s">
        <v>326</v>
      </c>
      <c r="D2" s="7" t="s">
        <v>327</v>
      </c>
    </row>
    <row r="3" spans="1:4" ht="54" customHeight="1" x14ac:dyDescent="0.3">
      <c r="A3" s="170">
        <v>1</v>
      </c>
      <c r="B3" s="171" t="s">
        <v>328</v>
      </c>
      <c r="C3" s="171" t="s">
        <v>329</v>
      </c>
      <c r="D3" s="172" t="s">
        <v>330</v>
      </c>
    </row>
    <row r="4" spans="1:4" ht="50.4" customHeight="1" x14ac:dyDescent="0.3">
      <c r="A4" s="170">
        <v>2</v>
      </c>
      <c r="B4" s="171" t="s">
        <v>331</v>
      </c>
      <c r="C4" s="172" t="s">
        <v>332</v>
      </c>
      <c r="D4" s="172" t="s">
        <v>330</v>
      </c>
    </row>
    <row r="5" spans="1:4" ht="50.4" customHeight="1" x14ac:dyDescent="0.3">
      <c r="A5" s="170">
        <v>3</v>
      </c>
      <c r="B5" s="171" t="s">
        <v>333</v>
      </c>
      <c r="C5" s="172" t="s">
        <v>334</v>
      </c>
      <c r="D5" s="172" t="s">
        <v>330</v>
      </c>
    </row>
    <row r="6" spans="1:4" ht="67.2" customHeight="1" x14ac:dyDescent="0.3">
      <c r="A6" s="170">
        <v>4</v>
      </c>
      <c r="B6" s="171" t="s">
        <v>236</v>
      </c>
      <c r="C6" s="172" t="s">
        <v>335</v>
      </c>
      <c r="D6" s="172" t="s">
        <v>330</v>
      </c>
    </row>
  </sheetData>
  <mergeCells count="1">
    <mergeCell ref="A1:D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D984"/>
  <sheetViews>
    <sheetView topLeftCell="A64" zoomScale="85" zoomScaleNormal="85" workbookViewId="0">
      <selection activeCell="F91" sqref="F91"/>
    </sheetView>
  </sheetViews>
  <sheetFormatPr defaultRowHeight="14.4" x14ac:dyDescent="0.3"/>
  <cols>
    <col min="1" max="1" width="11.109375" customWidth="1"/>
    <col min="2" max="2" width="52.109375" style="153" customWidth="1"/>
    <col min="3" max="3" width="28.88671875" style="13" customWidth="1"/>
    <col min="4" max="4" width="22" customWidth="1"/>
  </cols>
  <sheetData>
    <row r="1" spans="1:4" ht="22.8" customHeight="1" x14ac:dyDescent="0.3">
      <c r="A1" s="204" t="s">
        <v>336</v>
      </c>
      <c r="B1" s="195"/>
      <c r="C1" s="205"/>
      <c r="D1" s="194"/>
    </row>
    <row r="2" spans="1:4" ht="15.6" customHeight="1" x14ac:dyDescent="0.3">
      <c r="A2" s="207" t="s">
        <v>337</v>
      </c>
      <c r="B2" s="195"/>
      <c r="C2" s="205"/>
      <c r="D2" s="194"/>
    </row>
    <row r="3" spans="1:4" ht="23.25" customHeight="1" x14ac:dyDescent="0.3">
      <c r="A3" s="154" t="s">
        <v>2</v>
      </c>
      <c r="B3" s="155" t="s">
        <v>338</v>
      </c>
      <c r="C3" s="154" t="s">
        <v>339</v>
      </c>
      <c r="D3" s="154" t="s">
        <v>8</v>
      </c>
    </row>
    <row r="4" spans="1:4" ht="16.5" customHeight="1" x14ac:dyDescent="0.3">
      <c r="A4" s="206" t="s">
        <v>13</v>
      </c>
      <c r="B4" s="192"/>
      <c r="C4" s="192"/>
      <c r="D4" s="192"/>
    </row>
    <row r="5" spans="1:4" ht="15.6" customHeight="1" x14ac:dyDescent="0.3">
      <c r="A5" s="206" t="s">
        <v>14</v>
      </c>
      <c r="B5" s="192"/>
      <c r="C5" s="192"/>
      <c r="D5" s="192"/>
    </row>
    <row r="6" spans="1:4" ht="15.6" customHeight="1" x14ac:dyDescent="0.3">
      <c r="A6" s="173">
        <v>1</v>
      </c>
      <c r="B6" s="174" t="s">
        <v>340</v>
      </c>
      <c r="C6" s="175" t="s">
        <v>16</v>
      </c>
      <c r="D6" s="175"/>
    </row>
    <row r="7" spans="1:4" ht="15.6" customHeight="1" x14ac:dyDescent="0.3">
      <c r="A7" s="173">
        <v>2</v>
      </c>
      <c r="B7" s="174" t="s">
        <v>341</v>
      </c>
      <c r="C7" s="175" t="s">
        <v>16</v>
      </c>
      <c r="D7" s="175"/>
    </row>
    <row r="8" spans="1:4" ht="15.6" customHeight="1" x14ac:dyDescent="0.3">
      <c r="A8" s="173">
        <v>3</v>
      </c>
      <c r="B8" s="174" t="s">
        <v>15</v>
      </c>
      <c r="C8" s="175" t="s">
        <v>16</v>
      </c>
      <c r="D8" s="175"/>
    </row>
    <row r="9" spans="1:4" ht="15.6" customHeight="1" x14ac:dyDescent="0.3">
      <c r="A9" s="173">
        <v>4</v>
      </c>
      <c r="B9" s="174" t="s">
        <v>23</v>
      </c>
      <c r="C9" s="175" t="s">
        <v>16</v>
      </c>
      <c r="D9" s="175"/>
    </row>
    <row r="10" spans="1:4" ht="15.6" customHeight="1" x14ac:dyDescent="0.3">
      <c r="A10" s="173">
        <v>5</v>
      </c>
      <c r="B10" s="174" t="s">
        <v>26</v>
      </c>
      <c r="C10" s="175" t="s">
        <v>16</v>
      </c>
      <c r="D10" s="175"/>
    </row>
    <row r="11" spans="1:4" ht="15.6" customHeight="1" x14ac:dyDescent="0.3">
      <c r="A11" s="206" t="s">
        <v>29</v>
      </c>
      <c r="B11" s="192"/>
      <c r="C11" s="192"/>
      <c r="D11" s="192"/>
    </row>
    <row r="12" spans="1:4" ht="15.6" customHeight="1" x14ac:dyDescent="0.3">
      <c r="A12" s="173">
        <v>6</v>
      </c>
      <c r="B12" s="174" t="s">
        <v>30</v>
      </c>
      <c r="C12" s="175" t="s">
        <v>16</v>
      </c>
      <c r="D12" s="175"/>
    </row>
    <row r="13" spans="1:4" ht="15.6" customHeight="1" x14ac:dyDescent="0.3">
      <c r="A13" s="173">
        <v>7</v>
      </c>
      <c r="B13" s="174" t="s">
        <v>33</v>
      </c>
      <c r="C13" s="175" t="s">
        <v>16</v>
      </c>
      <c r="D13" s="175"/>
    </row>
    <row r="14" spans="1:4" ht="15.6" customHeight="1" x14ac:dyDescent="0.3">
      <c r="A14" s="173">
        <v>8</v>
      </c>
      <c r="B14" s="174" t="s">
        <v>35</v>
      </c>
      <c r="C14" s="175" t="s">
        <v>16</v>
      </c>
      <c r="D14" s="175"/>
    </row>
    <row r="15" spans="1:4" ht="15.6" customHeight="1" x14ac:dyDescent="0.3">
      <c r="A15" s="173">
        <v>9</v>
      </c>
      <c r="B15" s="174" t="s">
        <v>39</v>
      </c>
      <c r="C15" s="175" t="s">
        <v>16</v>
      </c>
      <c r="D15" s="175"/>
    </row>
    <row r="16" spans="1:4" ht="15.6" customHeight="1" x14ac:dyDescent="0.3">
      <c r="A16" s="173">
        <v>10</v>
      </c>
      <c r="B16" s="174" t="s">
        <v>40</v>
      </c>
      <c r="C16" s="175" t="s">
        <v>16</v>
      </c>
      <c r="D16" s="175"/>
    </row>
    <row r="17" spans="1:4" ht="31.2" customHeight="1" x14ac:dyDescent="0.3">
      <c r="A17" s="173">
        <v>11</v>
      </c>
      <c r="B17" s="174" t="s">
        <v>41</v>
      </c>
      <c r="C17" s="175" t="s">
        <v>42</v>
      </c>
      <c r="D17" s="175"/>
    </row>
    <row r="18" spans="1:4" ht="31.2" customHeight="1" x14ac:dyDescent="0.3">
      <c r="A18" s="173">
        <v>12</v>
      </c>
      <c r="B18" s="174" t="s">
        <v>44</v>
      </c>
      <c r="C18" s="175" t="s">
        <v>42</v>
      </c>
      <c r="D18" s="175"/>
    </row>
    <row r="19" spans="1:4" ht="31.2" customHeight="1" x14ac:dyDescent="0.3">
      <c r="A19" s="173">
        <v>13</v>
      </c>
      <c r="B19" s="174" t="s">
        <v>46</v>
      </c>
      <c r="C19" s="175" t="s">
        <v>42</v>
      </c>
      <c r="D19" s="175"/>
    </row>
    <row r="20" spans="1:4" ht="15.6" customHeight="1" x14ac:dyDescent="0.3">
      <c r="A20" s="206" t="s">
        <v>51</v>
      </c>
      <c r="B20" s="192"/>
      <c r="C20" s="192"/>
      <c r="D20" s="192"/>
    </row>
    <row r="21" spans="1:4" ht="15.6" customHeight="1" x14ac:dyDescent="0.3">
      <c r="A21" s="173">
        <v>14</v>
      </c>
      <c r="B21" s="174" t="s">
        <v>52</v>
      </c>
      <c r="C21" s="175" t="s">
        <v>53</v>
      </c>
      <c r="D21" s="175"/>
    </row>
    <row r="22" spans="1:4" ht="15.6" customHeight="1" x14ac:dyDescent="0.3">
      <c r="A22" s="173">
        <v>15</v>
      </c>
      <c r="B22" s="174" t="s">
        <v>59</v>
      </c>
      <c r="C22" s="175" t="s">
        <v>16</v>
      </c>
      <c r="D22" s="175"/>
    </row>
    <row r="23" spans="1:4" ht="15.6" customHeight="1" x14ac:dyDescent="0.3">
      <c r="A23" s="173">
        <v>16</v>
      </c>
      <c r="B23" s="174" t="s">
        <v>63</v>
      </c>
      <c r="C23" s="175" t="s">
        <v>53</v>
      </c>
      <c r="D23" s="175"/>
    </row>
    <row r="24" spans="1:4" ht="15.6" customHeight="1" x14ac:dyDescent="0.3">
      <c r="A24" s="173">
        <v>17</v>
      </c>
      <c r="B24" s="174" t="s">
        <v>71</v>
      </c>
      <c r="C24" s="175" t="s">
        <v>16</v>
      </c>
      <c r="D24" s="175"/>
    </row>
    <row r="25" spans="1:4" ht="15.6" customHeight="1" x14ac:dyDescent="0.3">
      <c r="A25" s="173">
        <v>18</v>
      </c>
      <c r="B25" s="174" t="s">
        <v>81</v>
      </c>
      <c r="C25" s="175" t="s">
        <v>53</v>
      </c>
      <c r="D25" s="175"/>
    </row>
    <row r="26" spans="1:4" ht="15.6" customHeight="1" x14ac:dyDescent="0.3">
      <c r="A26" s="173">
        <v>19</v>
      </c>
      <c r="B26" s="174" t="s">
        <v>86</v>
      </c>
      <c r="C26" s="175" t="s">
        <v>53</v>
      </c>
      <c r="D26" s="175"/>
    </row>
    <row r="27" spans="1:4" ht="15.6" customHeight="1" x14ac:dyDescent="0.3">
      <c r="A27" s="173">
        <v>20</v>
      </c>
      <c r="B27" s="174" t="s">
        <v>93</v>
      </c>
      <c r="C27" s="175" t="s">
        <v>53</v>
      </c>
      <c r="D27" s="175"/>
    </row>
    <row r="28" spans="1:4" ht="15.6" customHeight="1" x14ac:dyDescent="0.3">
      <c r="A28" s="173">
        <v>21</v>
      </c>
      <c r="B28" s="174" t="s">
        <v>95</v>
      </c>
      <c r="C28" s="175" t="s">
        <v>53</v>
      </c>
      <c r="D28" s="175"/>
    </row>
    <row r="29" spans="1:4" ht="15.6" customHeight="1" x14ac:dyDescent="0.3">
      <c r="A29" s="173">
        <v>22</v>
      </c>
      <c r="B29" s="174" t="s">
        <v>97</v>
      </c>
      <c r="C29" s="175" t="s">
        <v>53</v>
      </c>
      <c r="D29" s="175"/>
    </row>
    <row r="30" spans="1:4" ht="15.6" customHeight="1" x14ac:dyDescent="0.3">
      <c r="A30" s="173">
        <v>23</v>
      </c>
      <c r="B30" s="174" t="s">
        <v>103</v>
      </c>
      <c r="C30" s="175" t="s">
        <v>53</v>
      </c>
      <c r="D30" s="175"/>
    </row>
    <row r="31" spans="1:4" ht="15.6" customHeight="1" x14ac:dyDescent="0.3">
      <c r="A31" s="173">
        <v>24</v>
      </c>
      <c r="B31" s="174" t="s">
        <v>104</v>
      </c>
      <c r="C31" s="175" t="s">
        <v>53</v>
      </c>
      <c r="D31" s="175"/>
    </row>
    <row r="32" spans="1:4" ht="15.6" customHeight="1" x14ac:dyDescent="0.3">
      <c r="A32" s="173">
        <v>25</v>
      </c>
      <c r="B32" s="174" t="s">
        <v>108</v>
      </c>
      <c r="C32" s="175" t="s">
        <v>53</v>
      </c>
      <c r="D32" s="175"/>
    </row>
    <row r="33" spans="1:4" ht="15.6" customHeight="1" x14ac:dyDescent="0.3">
      <c r="A33" s="173">
        <v>26</v>
      </c>
      <c r="B33" s="174" t="s">
        <v>111</v>
      </c>
      <c r="C33" s="175" t="s">
        <v>53</v>
      </c>
      <c r="D33" s="175"/>
    </row>
    <row r="34" spans="1:4" ht="15.6" customHeight="1" x14ac:dyDescent="0.3">
      <c r="A34" s="173">
        <v>27</v>
      </c>
      <c r="B34" s="174" t="s">
        <v>115</v>
      </c>
      <c r="C34" s="175" t="s">
        <v>53</v>
      </c>
      <c r="D34" s="175"/>
    </row>
    <row r="35" spans="1:4" ht="15.6" customHeight="1" x14ac:dyDescent="0.3">
      <c r="A35" s="173">
        <v>28</v>
      </c>
      <c r="B35" s="174" t="s">
        <v>117</v>
      </c>
      <c r="C35" s="175" t="s">
        <v>53</v>
      </c>
      <c r="D35" s="175"/>
    </row>
    <row r="36" spans="1:4" ht="15.6" customHeight="1" x14ac:dyDescent="0.3">
      <c r="A36" s="173">
        <v>29</v>
      </c>
      <c r="B36" s="174" t="s">
        <v>119</v>
      </c>
      <c r="C36" s="175" t="s">
        <v>53</v>
      </c>
      <c r="D36" s="175"/>
    </row>
    <row r="37" spans="1:4" ht="15.6" customHeight="1" x14ac:dyDescent="0.3">
      <c r="A37" s="206" t="s">
        <v>121</v>
      </c>
      <c r="B37" s="192"/>
      <c r="C37" s="192"/>
      <c r="D37" s="192"/>
    </row>
    <row r="38" spans="1:4" ht="15.6" customHeight="1" x14ac:dyDescent="0.3">
      <c r="A38" s="173">
        <v>30</v>
      </c>
      <c r="B38" s="174" t="s">
        <v>122</v>
      </c>
      <c r="C38" s="175" t="s">
        <v>53</v>
      </c>
      <c r="D38" s="175"/>
    </row>
    <row r="39" spans="1:4" ht="15.6" customHeight="1" x14ac:dyDescent="0.3">
      <c r="A39" s="173">
        <v>31</v>
      </c>
      <c r="B39" s="174" t="s">
        <v>130</v>
      </c>
      <c r="C39" s="175" t="s">
        <v>53</v>
      </c>
      <c r="D39" s="175"/>
    </row>
    <row r="40" spans="1:4" ht="15.6" customHeight="1" x14ac:dyDescent="0.3">
      <c r="A40" s="173">
        <v>32</v>
      </c>
      <c r="B40" s="174" t="s">
        <v>135</v>
      </c>
      <c r="C40" s="175" t="s">
        <v>53</v>
      </c>
      <c r="D40" s="175"/>
    </row>
    <row r="41" spans="1:4" ht="15.6" customHeight="1" x14ac:dyDescent="0.3">
      <c r="A41" s="173">
        <v>33</v>
      </c>
      <c r="B41" s="174" t="s">
        <v>138</v>
      </c>
      <c r="C41" s="175" t="s">
        <v>53</v>
      </c>
      <c r="D41" s="175"/>
    </row>
    <row r="42" spans="1:4" ht="15.6" customHeight="1" x14ac:dyDescent="0.3">
      <c r="A42" s="173">
        <v>34</v>
      </c>
      <c r="B42" s="174" t="s">
        <v>144</v>
      </c>
      <c r="C42" s="175" t="s">
        <v>53</v>
      </c>
      <c r="D42" s="175"/>
    </row>
    <row r="43" spans="1:4" ht="15.6" customHeight="1" x14ac:dyDescent="0.3">
      <c r="A43" s="173">
        <v>35</v>
      </c>
      <c r="B43" s="174" t="s">
        <v>150</v>
      </c>
      <c r="C43" s="175" t="s">
        <v>53</v>
      </c>
      <c r="D43" s="175"/>
    </row>
    <row r="44" spans="1:4" ht="15.6" customHeight="1" x14ac:dyDescent="0.3">
      <c r="A44" s="173">
        <v>36</v>
      </c>
      <c r="B44" s="174" t="s">
        <v>154</v>
      </c>
      <c r="C44" s="175" t="s">
        <v>53</v>
      </c>
      <c r="D44" s="175"/>
    </row>
    <row r="45" spans="1:4" ht="15.6" customHeight="1" x14ac:dyDescent="0.3">
      <c r="A45" s="173">
        <v>37</v>
      </c>
      <c r="B45" s="174" t="s">
        <v>158</v>
      </c>
      <c r="C45" s="175" t="s">
        <v>53</v>
      </c>
      <c r="D45" s="175"/>
    </row>
    <row r="46" spans="1:4" ht="15.6" customHeight="1" x14ac:dyDescent="0.3">
      <c r="A46" s="173">
        <v>38</v>
      </c>
      <c r="B46" s="174" t="s">
        <v>164</v>
      </c>
      <c r="C46" s="175" t="s">
        <v>165</v>
      </c>
      <c r="D46" s="175"/>
    </row>
    <row r="47" spans="1:4" ht="15.6" customHeight="1" x14ac:dyDescent="0.3">
      <c r="A47" s="206" t="s">
        <v>169</v>
      </c>
      <c r="B47" s="192"/>
      <c r="C47" s="192"/>
      <c r="D47" s="192"/>
    </row>
    <row r="48" spans="1:4" ht="15.6" customHeight="1" x14ac:dyDescent="0.3">
      <c r="A48" s="173">
        <v>39</v>
      </c>
      <c r="B48" s="174" t="s">
        <v>170</v>
      </c>
      <c r="C48" s="175" t="s">
        <v>16</v>
      </c>
      <c r="D48" s="175"/>
    </row>
    <row r="49" spans="1:4" ht="15.6" customHeight="1" x14ac:dyDescent="0.3">
      <c r="A49" s="173">
        <v>40</v>
      </c>
      <c r="B49" s="174" t="s">
        <v>174</v>
      </c>
      <c r="C49" s="175" t="s">
        <v>16</v>
      </c>
      <c r="D49" s="175"/>
    </row>
    <row r="50" spans="1:4" ht="15.6" customHeight="1" x14ac:dyDescent="0.3">
      <c r="A50" s="173">
        <v>41</v>
      </c>
      <c r="B50" s="174" t="s">
        <v>178</v>
      </c>
      <c r="C50" s="175" t="s">
        <v>53</v>
      </c>
      <c r="D50" s="175"/>
    </row>
    <row r="51" spans="1:4" ht="15.6" customHeight="1" x14ac:dyDescent="0.3">
      <c r="A51" s="173">
        <v>42</v>
      </c>
      <c r="B51" s="174" t="s">
        <v>187</v>
      </c>
      <c r="C51" s="175" t="s">
        <v>53</v>
      </c>
      <c r="D51" s="175"/>
    </row>
    <row r="52" spans="1:4" ht="15.6" customHeight="1" x14ac:dyDescent="0.3">
      <c r="A52" s="173">
        <v>43</v>
      </c>
      <c r="B52" s="174" t="s">
        <v>192</v>
      </c>
      <c r="C52" s="175" t="s">
        <v>53</v>
      </c>
      <c r="D52" s="175"/>
    </row>
    <row r="53" spans="1:4" ht="15.6" customHeight="1" x14ac:dyDescent="0.3">
      <c r="A53" s="173">
        <v>44</v>
      </c>
      <c r="B53" s="174" t="s">
        <v>193</v>
      </c>
      <c r="C53" s="175" t="s">
        <v>53</v>
      </c>
      <c r="D53" s="175"/>
    </row>
    <row r="54" spans="1:4" ht="15.6" customHeight="1" x14ac:dyDescent="0.3">
      <c r="A54" s="173">
        <v>45</v>
      </c>
      <c r="B54" s="174" t="s">
        <v>199</v>
      </c>
      <c r="C54" s="175" t="s">
        <v>53</v>
      </c>
      <c r="D54" s="175"/>
    </row>
    <row r="55" spans="1:4" ht="15.6" customHeight="1" x14ac:dyDescent="0.3">
      <c r="A55" s="173">
        <v>46</v>
      </c>
      <c r="B55" s="174" t="s">
        <v>202</v>
      </c>
      <c r="C55" s="175" t="s">
        <v>53</v>
      </c>
      <c r="D55" s="175"/>
    </row>
    <row r="56" spans="1:4" ht="15.6" customHeight="1" x14ac:dyDescent="0.3">
      <c r="A56" s="173">
        <v>47</v>
      </c>
      <c r="B56" s="174" t="s">
        <v>204</v>
      </c>
      <c r="C56" s="175" t="s">
        <v>53</v>
      </c>
      <c r="D56" s="175"/>
    </row>
    <row r="57" spans="1:4" ht="15.6" customHeight="1" x14ac:dyDescent="0.3">
      <c r="A57" s="206" t="s">
        <v>207</v>
      </c>
      <c r="B57" s="192"/>
      <c r="C57" s="192"/>
      <c r="D57" s="192"/>
    </row>
    <row r="58" spans="1:4" ht="15.6" customHeight="1" x14ac:dyDescent="0.3">
      <c r="A58" s="173">
        <v>48</v>
      </c>
      <c r="B58" s="174" t="s">
        <v>208</v>
      </c>
      <c r="C58" s="175" t="s">
        <v>165</v>
      </c>
      <c r="D58" s="175"/>
    </row>
    <row r="59" spans="1:4" ht="15.6" customHeight="1" x14ac:dyDescent="0.3">
      <c r="A59" s="173">
        <v>49</v>
      </c>
      <c r="B59" s="176" t="s">
        <v>213</v>
      </c>
      <c r="C59" s="175" t="s">
        <v>165</v>
      </c>
      <c r="D59" s="175"/>
    </row>
    <row r="60" spans="1:4" ht="15.6" customHeight="1" x14ac:dyDescent="0.3">
      <c r="A60" s="173">
        <v>50</v>
      </c>
      <c r="B60" s="176" t="s">
        <v>216</v>
      </c>
      <c r="C60" s="175" t="s">
        <v>165</v>
      </c>
      <c r="D60" s="175"/>
    </row>
    <row r="61" spans="1:4" ht="15.6" customHeight="1" x14ac:dyDescent="0.3">
      <c r="A61" s="173">
        <v>51</v>
      </c>
      <c r="B61" s="176" t="s">
        <v>218</v>
      </c>
      <c r="C61" s="175" t="s">
        <v>165</v>
      </c>
      <c r="D61" s="175"/>
    </row>
    <row r="62" spans="1:4" ht="15.6" customHeight="1" x14ac:dyDescent="0.3">
      <c r="A62" s="173">
        <v>52</v>
      </c>
      <c r="B62" s="176" t="s">
        <v>220</v>
      </c>
      <c r="C62" s="175" t="s">
        <v>165</v>
      </c>
      <c r="D62" s="175"/>
    </row>
    <row r="63" spans="1:4" ht="15.6" customHeight="1" x14ac:dyDescent="0.3">
      <c r="A63" s="173">
        <v>53</v>
      </c>
      <c r="B63" s="176" t="s">
        <v>222</v>
      </c>
      <c r="C63" s="175" t="s">
        <v>165</v>
      </c>
      <c r="D63" s="175"/>
    </row>
    <row r="64" spans="1:4" ht="15.6" customHeight="1" x14ac:dyDescent="0.3">
      <c r="A64" s="173">
        <v>54</v>
      </c>
      <c r="B64" s="176" t="s">
        <v>342</v>
      </c>
      <c r="C64" s="175" t="s">
        <v>165</v>
      </c>
      <c r="D64" s="175"/>
    </row>
    <row r="65" spans="1:4" ht="15.6" customHeight="1" x14ac:dyDescent="0.3">
      <c r="A65" s="173">
        <v>55</v>
      </c>
      <c r="B65" s="176" t="s">
        <v>225</v>
      </c>
      <c r="C65" s="175" t="s">
        <v>165</v>
      </c>
      <c r="D65" s="175"/>
    </row>
    <row r="66" spans="1:4" ht="15.6" customHeight="1" x14ac:dyDescent="0.3">
      <c r="A66" s="173">
        <v>56</v>
      </c>
      <c r="B66" s="176" t="s">
        <v>226</v>
      </c>
      <c r="C66" s="175" t="s">
        <v>165</v>
      </c>
      <c r="D66" s="175"/>
    </row>
    <row r="67" spans="1:4" ht="15.6" customHeight="1" x14ac:dyDescent="0.3">
      <c r="A67" s="173">
        <v>57</v>
      </c>
      <c r="B67" s="176" t="s">
        <v>227</v>
      </c>
      <c r="C67" s="175" t="s">
        <v>165</v>
      </c>
      <c r="D67" s="175"/>
    </row>
    <row r="68" spans="1:4" ht="15.6" customHeight="1" x14ac:dyDescent="0.3">
      <c r="A68" s="173">
        <v>58</v>
      </c>
      <c r="B68" s="176" t="s">
        <v>228</v>
      </c>
      <c r="C68" s="175" t="s">
        <v>165</v>
      </c>
      <c r="D68" s="175"/>
    </row>
    <row r="69" spans="1:4" ht="15.6" customHeight="1" x14ac:dyDescent="0.3">
      <c r="A69" s="173">
        <v>59</v>
      </c>
      <c r="B69" s="176" t="s">
        <v>545</v>
      </c>
      <c r="C69" s="175" t="s">
        <v>165</v>
      </c>
      <c r="D69" s="175"/>
    </row>
    <row r="70" spans="1:4" ht="15.6" customHeight="1" x14ac:dyDescent="0.3">
      <c r="A70" s="173">
        <v>60</v>
      </c>
      <c r="B70" s="176" t="s">
        <v>343</v>
      </c>
      <c r="C70" s="175" t="s">
        <v>165</v>
      </c>
      <c r="D70" s="175"/>
    </row>
    <row r="71" spans="1:4" ht="15.6" customHeight="1" x14ac:dyDescent="0.3">
      <c r="A71" s="173">
        <v>61</v>
      </c>
      <c r="B71" s="176" t="s">
        <v>344</v>
      </c>
      <c r="C71" s="175" t="s">
        <v>165</v>
      </c>
      <c r="D71" s="175"/>
    </row>
    <row r="72" spans="1:4" ht="15.6" customHeight="1" x14ac:dyDescent="0.3">
      <c r="A72" s="173">
        <v>62</v>
      </c>
      <c r="B72" s="176" t="s">
        <v>345</v>
      </c>
      <c r="C72" s="175" t="s">
        <v>165</v>
      </c>
      <c r="D72" s="175"/>
    </row>
    <row r="73" spans="1:4" ht="15.6" customHeight="1" x14ac:dyDescent="0.3">
      <c r="A73" s="173">
        <v>63</v>
      </c>
      <c r="B73" s="176" t="s">
        <v>346</v>
      </c>
      <c r="C73" s="175" t="s">
        <v>165</v>
      </c>
      <c r="D73" s="175"/>
    </row>
    <row r="74" spans="1:4" ht="15.6" customHeight="1" x14ac:dyDescent="0.3">
      <c r="A74" s="173">
        <v>64</v>
      </c>
      <c r="B74" s="176" t="s">
        <v>347</v>
      </c>
      <c r="C74" s="175" t="s">
        <v>165</v>
      </c>
      <c r="D74" s="175"/>
    </row>
    <row r="75" spans="1:4" ht="15.6" customHeight="1" x14ac:dyDescent="0.3">
      <c r="A75" s="173">
        <v>65</v>
      </c>
      <c r="B75" s="176" t="s">
        <v>546</v>
      </c>
      <c r="C75" s="175" t="s">
        <v>165</v>
      </c>
      <c r="D75" s="175"/>
    </row>
    <row r="76" spans="1:4" ht="15.6" customHeight="1" x14ac:dyDescent="0.3">
      <c r="A76" s="173">
        <v>66</v>
      </c>
      <c r="B76" s="176" t="s">
        <v>348</v>
      </c>
      <c r="C76" s="175" t="s">
        <v>165</v>
      </c>
      <c r="D76" s="175"/>
    </row>
    <row r="77" spans="1:4" ht="15.6" customHeight="1" x14ac:dyDescent="0.3">
      <c r="A77" s="173">
        <v>67</v>
      </c>
      <c r="B77" s="176" t="s">
        <v>547</v>
      </c>
      <c r="C77" s="175" t="s">
        <v>165</v>
      </c>
      <c r="D77" s="175"/>
    </row>
    <row r="78" spans="1:4" ht="15.6" customHeight="1" x14ac:dyDescent="0.3">
      <c r="A78" s="206" t="s">
        <v>234</v>
      </c>
      <c r="B78" s="192"/>
      <c r="C78" s="192"/>
      <c r="D78" s="192"/>
    </row>
    <row r="79" spans="1:4" ht="15.6" customHeight="1" x14ac:dyDescent="0.3">
      <c r="A79" s="173">
        <v>68</v>
      </c>
      <c r="B79" s="174" t="s">
        <v>235</v>
      </c>
      <c r="C79" s="175" t="s">
        <v>236</v>
      </c>
      <c r="D79" s="175"/>
    </row>
    <row r="80" spans="1:4" ht="15.6" customHeight="1" x14ac:dyDescent="0.3">
      <c r="A80" s="173">
        <v>68</v>
      </c>
      <c r="B80" s="174" t="s">
        <v>241</v>
      </c>
      <c r="C80" s="175" t="s">
        <v>236</v>
      </c>
      <c r="D80" s="175"/>
    </row>
    <row r="81" spans="1:4" ht="15.6" customHeight="1" x14ac:dyDescent="0.3">
      <c r="A81" s="173">
        <v>68</v>
      </c>
      <c r="B81" s="174" t="s">
        <v>243</v>
      </c>
      <c r="C81" s="175" t="s">
        <v>236</v>
      </c>
      <c r="D81" s="175"/>
    </row>
    <row r="82" spans="1:4" ht="15.6" customHeight="1" x14ac:dyDescent="0.3">
      <c r="A82" s="173">
        <v>68</v>
      </c>
      <c r="B82" s="174" t="s">
        <v>247</v>
      </c>
      <c r="C82" s="175" t="s">
        <v>236</v>
      </c>
      <c r="D82" s="175"/>
    </row>
    <row r="83" spans="1:4" ht="15.6" customHeight="1" x14ac:dyDescent="0.3">
      <c r="A83" s="173">
        <v>68</v>
      </c>
      <c r="B83" s="174" t="s">
        <v>254</v>
      </c>
      <c r="C83" s="175" t="s">
        <v>236</v>
      </c>
      <c r="D83" s="175"/>
    </row>
    <row r="84" spans="1:4" ht="15.6" customHeight="1" x14ac:dyDescent="0.3">
      <c r="A84" s="173">
        <v>68</v>
      </c>
      <c r="B84" s="174" t="s">
        <v>257</v>
      </c>
      <c r="C84" s="175" t="s">
        <v>236</v>
      </c>
      <c r="D84" s="175"/>
    </row>
    <row r="85" spans="1:4" ht="15.6" customHeight="1" x14ac:dyDescent="0.3">
      <c r="A85" s="173">
        <v>68</v>
      </c>
      <c r="B85" s="174" t="s">
        <v>260</v>
      </c>
      <c r="C85" s="175" t="s">
        <v>236</v>
      </c>
      <c r="D85" s="175"/>
    </row>
    <row r="86" spans="1:4" ht="15.6" customHeight="1" x14ac:dyDescent="0.3">
      <c r="A86" s="173">
        <v>68</v>
      </c>
      <c r="B86" s="174" t="s">
        <v>262</v>
      </c>
      <c r="C86" s="175" t="s">
        <v>165</v>
      </c>
      <c r="D86" s="175"/>
    </row>
    <row r="87" spans="1:4" ht="15.6" customHeight="1" x14ac:dyDescent="0.3">
      <c r="A87" s="173">
        <v>68</v>
      </c>
      <c r="B87" s="174" t="s">
        <v>264</v>
      </c>
      <c r="C87" s="175" t="s">
        <v>236</v>
      </c>
      <c r="D87" s="175"/>
    </row>
    <row r="88" spans="1:4" ht="15.6" customHeight="1" x14ac:dyDescent="0.3">
      <c r="A88" s="173">
        <v>68</v>
      </c>
      <c r="B88" s="174" t="s">
        <v>266</v>
      </c>
      <c r="C88" s="175" t="s">
        <v>236</v>
      </c>
      <c r="D88" s="175"/>
    </row>
    <row r="89" spans="1:4" ht="15" customHeight="1" thickBot="1" x14ac:dyDescent="0.35">
      <c r="B89" s="6"/>
    </row>
    <row r="90" spans="1:4" ht="15" customHeight="1" thickBot="1" x14ac:dyDescent="0.35">
      <c r="B90" s="4"/>
    </row>
    <row r="91" spans="1:4" ht="15" customHeight="1" thickBot="1" x14ac:dyDescent="0.35">
      <c r="B91" s="4"/>
    </row>
    <row r="92" spans="1:4" ht="15" customHeight="1" thickBot="1" x14ac:dyDescent="0.35">
      <c r="B92" s="4"/>
    </row>
    <row r="93" spans="1:4" ht="15" customHeight="1" thickBot="1" x14ac:dyDescent="0.35">
      <c r="B93" s="4"/>
    </row>
    <row r="94" spans="1:4" ht="15" customHeight="1" thickBot="1" x14ac:dyDescent="0.35">
      <c r="B94" s="4"/>
    </row>
    <row r="95" spans="1:4" ht="15" customHeight="1" thickBot="1" x14ac:dyDescent="0.35">
      <c r="B95" s="4"/>
    </row>
    <row r="96" spans="1:4" ht="15" customHeight="1" thickBot="1" x14ac:dyDescent="0.35">
      <c r="B96" s="4"/>
    </row>
    <row r="97" spans="2:2" ht="15" customHeight="1" thickBot="1" x14ac:dyDescent="0.35">
      <c r="B97" s="4"/>
    </row>
    <row r="98" spans="2:2" ht="15" customHeight="1" thickBot="1" x14ac:dyDescent="0.35">
      <c r="B98" s="4"/>
    </row>
    <row r="99" spans="2:2" ht="15" customHeight="1" thickBot="1" x14ac:dyDescent="0.35">
      <c r="B99" s="4"/>
    </row>
    <row r="100" spans="2:2" ht="15" customHeight="1" thickBot="1" x14ac:dyDescent="0.35">
      <c r="B100" s="4"/>
    </row>
    <row r="101" spans="2:2" ht="15" customHeight="1" thickBot="1" x14ac:dyDescent="0.35">
      <c r="B101" s="4"/>
    </row>
    <row r="102" spans="2:2" ht="15" customHeight="1" thickBot="1" x14ac:dyDescent="0.35">
      <c r="B102" s="4"/>
    </row>
    <row r="103" spans="2:2" ht="15" customHeight="1" thickBot="1" x14ac:dyDescent="0.35">
      <c r="B103" s="4"/>
    </row>
    <row r="104" spans="2:2" ht="15" customHeight="1" thickBot="1" x14ac:dyDescent="0.35">
      <c r="B104" s="4"/>
    </row>
    <row r="105" spans="2:2" ht="15" customHeight="1" thickBot="1" x14ac:dyDescent="0.35">
      <c r="B105" s="4"/>
    </row>
    <row r="106" spans="2:2" ht="15" customHeight="1" thickBot="1" x14ac:dyDescent="0.35">
      <c r="B106" s="4"/>
    </row>
    <row r="107" spans="2:2" ht="15" customHeight="1" thickBot="1" x14ac:dyDescent="0.35">
      <c r="B107" s="4"/>
    </row>
    <row r="108" spans="2:2" ht="15" customHeight="1" thickBot="1" x14ac:dyDescent="0.35">
      <c r="B108" s="4"/>
    </row>
    <row r="109" spans="2:2" ht="15" customHeight="1" thickBot="1" x14ac:dyDescent="0.35">
      <c r="B109" s="4"/>
    </row>
    <row r="110" spans="2:2" ht="15" customHeight="1" thickBot="1" x14ac:dyDescent="0.35">
      <c r="B110" s="4"/>
    </row>
    <row r="111" spans="2:2" ht="15" customHeight="1" thickBot="1" x14ac:dyDescent="0.35">
      <c r="B111" s="4"/>
    </row>
    <row r="112" spans="2:2" ht="15" customHeight="1" thickBot="1" x14ac:dyDescent="0.35">
      <c r="B112" s="4"/>
    </row>
    <row r="113" spans="2:2" ht="15" customHeight="1" thickBot="1" x14ac:dyDescent="0.35">
      <c r="B113" s="4"/>
    </row>
    <row r="114" spans="2:2" ht="15" customHeight="1" thickBot="1" x14ac:dyDescent="0.35">
      <c r="B114" s="4"/>
    </row>
    <row r="115" spans="2:2" ht="15" customHeight="1" thickBot="1" x14ac:dyDescent="0.35">
      <c r="B115" s="4"/>
    </row>
    <row r="116" spans="2:2" ht="15" customHeight="1" thickBot="1" x14ac:dyDescent="0.35">
      <c r="B116" s="4"/>
    </row>
    <row r="117" spans="2:2" ht="15" customHeight="1" thickBot="1" x14ac:dyDescent="0.35">
      <c r="B117" s="4"/>
    </row>
    <row r="118" spans="2:2" ht="15" customHeight="1" thickBot="1" x14ac:dyDescent="0.35">
      <c r="B118" s="4"/>
    </row>
    <row r="119" spans="2:2" ht="15" customHeight="1" thickBot="1" x14ac:dyDescent="0.35">
      <c r="B119" s="4"/>
    </row>
    <row r="120" spans="2:2" ht="15" customHeight="1" thickBot="1" x14ac:dyDescent="0.35">
      <c r="B120" s="4"/>
    </row>
    <row r="121" spans="2:2" ht="15" customHeight="1" thickBot="1" x14ac:dyDescent="0.35">
      <c r="B121" s="4"/>
    </row>
    <row r="122" spans="2:2" ht="15" customHeight="1" thickBot="1" x14ac:dyDescent="0.35">
      <c r="B122" s="4"/>
    </row>
    <row r="123" spans="2:2" ht="15" customHeight="1" thickBot="1" x14ac:dyDescent="0.35">
      <c r="B123" s="4"/>
    </row>
    <row r="124" spans="2:2" ht="15" customHeight="1" thickBot="1" x14ac:dyDescent="0.35">
      <c r="B124" s="4"/>
    </row>
    <row r="125" spans="2:2" ht="15" customHeight="1" thickBot="1" x14ac:dyDescent="0.35">
      <c r="B125" s="4"/>
    </row>
    <row r="126" spans="2:2" ht="15" customHeight="1" thickBot="1" x14ac:dyDescent="0.35">
      <c r="B126" s="4"/>
    </row>
    <row r="127" spans="2:2" ht="15" customHeight="1" thickBot="1" x14ac:dyDescent="0.35">
      <c r="B127" s="4"/>
    </row>
    <row r="128" spans="2:2" ht="15" customHeight="1" thickBot="1" x14ac:dyDescent="0.35">
      <c r="B128" s="4"/>
    </row>
    <row r="129" spans="2:2" ht="15" customHeight="1" thickBot="1" x14ac:dyDescent="0.35">
      <c r="B129" s="4"/>
    </row>
    <row r="130" spans="2:2" ht="15" customHeight="1" thickBot="1" x14ac:dyDescent="0.35">
      <c r="B130" s="4"/>
    </row>
    <row r="131" spans="2:2" ht="15" customHeight="1" thickBot="1" x14ac:dyDescent="0.35">
      <c r="B131" s="4"/>
    </row>
    <row r="132" spans="2:2" ht="15" customHeight="1" thickBot="1" x14ac:dyDescent="0.35">
      <c r="B132" s="4"/>
    </row>
    <row r="133" spans="2:2" ht="15" customHeight="1" thickBot="1" x14ac:dyDescent="0.35">
      <c r="B133" s="4"/>
    </row>
    <row r="134" spans="2:2" ht="15" customHeight="1" thickBot="1" x14ac:dyDescent="0.35">
      <c r="B134" s="4"/>
    </row>
    <row r="135" spans="2:2" ht="15" customHeight="1" thickBot="1" x14ac:dyDescent="0.35">
      <c r="B135" s="4"/>
    </row>
    <row r="136" spans="2:2" ht="15" customHeight="1" thickBot="1" x14ac:dyDescent="0.35">
      <c r="B136" s="4"/>
    </row>
    <row r="137" spans="2:2" ht="15" customHeight="1" thickBot="1" x14ac:dyDescent="0.35">
      <c r="B137" s="4"/>
    </row>
    <row r="138" spans="2:2" ht="15" customHeight="1" thickBot="1" x14ac:dyDescent="0.35">
      <c r="B138" s="4"/>
    </row>
    <row r="139" spans="2:2" ht="15" customHeight="1" thickBot="1" x14ac:dyDescent="0.35">
      <c r="B139" s="4"/>
    </row>
    <row r="140" spans="2:2" ht="15" customHeight="1" thickBot="1" x14ac:dyDescent="0.35">
      <c r="B140" s="4"/>
    </row>
    <row r="141" spans="2:2" ht="15" customHeight="1" thickBot="1" x14ac:dyDescent="0.35">
      <c r="B141" s="4"/>
    </row>
    <row r="142" spans="2:2" ht="15" customHeight="1" thickBot="1" x14ac:dyDescent="0.35">
      <c r="B142" s="4"/>
    </row>
    <row r="143" spans="2:2" ht="15" customHeight="1" thickBot="1" x14ac:dyDescent="0.35">
      <c r="B143" s="4"/>
    </row>
    <row r="144" spans="2:2" ht="15" customHeight="1" thickBot="1" x14ac:dyDescent="0.35">
      <c r="B144" s="4"/>
    </row>
    <row r="145" spans="2:2" ht="15" customHeight="1" thickBot="1" x14ac:dyDescent="0.35">
      <c r="B145" s="4"/>
    </row>
    <row r="146" spans="2:2" ht="15" customHeight="1" thickBot="1" x14ac:dyDescent="0.35">
      <c r="B146" s="4"/>
    </row>
    <row r="147" spans="2:2" ht="15" customHeight="1" thickBot="1" x14ac:dyDescent="0.35">
      <c r="B147" s="4"/>
    </row>
    <row r="148" spans="2:2" ht="15" customHeight="1" thickBot="1" x14ac:dyDescent="0.35">
      <c r="B148" s="4"/>
    </row>
    <row r="149" spans="2:2" ht="15" customHeight="1" thickBot="1" x14ac:dyDescent="0.35">
      <c r="B149" s="4"/>
    </row>
    <row r="150" spans="2:2" ht="15" customHeight="1" thickBot="1" x14ac:dyDescent="0.35">
      <c r="B150" s="4"/>
    </row>
    <row r="151" spans="2:2" ht="15" customHeight="1" thickBot="1" x14ac:dyDescent="0.35">
      <c r="B151" s="4"/>
    </row>
    <row r="152" spans="2:2" ht="15" customHeight="1" thickBot="1" x14ac:dyDescent="0.35">
      <c r="B152" s="4"/>
    </row>
    <row r="153" spans="2:2" ht="15" customHeight="1" thickBot="1" x14ac:dyDescent="0.35">
      <c r="B153" s="4"/>
    </row>
    <row r="154" spans="2:2" ht="15" customHeight="1" thickBot="1" x14ac:dyDescent="0.35">
      <c r="B154" s="4"/>
    </row>
    <row r="155" spans="2:2" ht="15" customHeight="1" thickBot="1" x14ac:dyDescent="0.35">
      <c r="B155" s="4"/>
    </row>
    <row r="156" spans="2:2" ht="15" customHeight="1" thickBot="1" x14ac:dyDescent="0.35">
      <c r="B156" s="4"/>
    </row>
    <row r="157" spans="2:2" ht="15" customHeight="1" thickBot="1" x14ac:dyDescent="0.35">
      <c r="B157" s="4"/>
    </row>
    <row r="158" spans="2:2" ht="15" customHeight="1" thickBot="1" x14ac:dyDescent="0.35">
      <c r="B158" s="4"/>
    </row>
    <row r="159" spans="2:2" ht="15" customHeight="1" thickBot="1" x14ac:dyDescent="0.35">
      <c r="B159" s="4"/>
    </row>
    <row r="160" spans="2:2" ht="15" customHeight="1" thickBot="1" x14ac:dyDescent="0.35">
      <c r="B160" s="4"/>
    </row>
    <row r="161" spans="2:2" ht="15" customHeight="1" thickBot="1" x14ac:dyDescent="0.35">
      <c r="B161" s="4"/>
    </row>
    <row r="162" spans="2:2" ht="15" customHeight="1" thickBot="1" x14ac:dyDescent="0.35">
      <c r="B162" s="4"/>
    </row>
    <row r="163" spans="2:2" ht="15" customHeight="1" thickBot="1" x14ac:dyDescent="0.35">
      <c r="B163" s="4"/>
    </row>
    <row r="164" spans="2:2" ht="15" customHeight="1" thickBot="1" x14ac:dyDescent="0.35">
      <c r="B164" s="4"/>
    </row>
    <row r="165" spans="2:2" ht="15" customHeight="1" thickBot="1" x14ac:dyDescent="0.35">
      <c r="B165" s="4"/>
    </row>
    <row r="166" spans="2:2" ht="15" customHeight="1" thickBot="1" x14ac:dyDescent="0.35">
      <c r="B166" s="4"/>
    </row>
    <row r="167" spans="2:2" ht="15" customHeight="1" thickBot="1" x14ac:dyDescent="0.35">
      <c r="B167" s="4"/>
    </row>
    <row r="168" spans="2:2" ht="15" customHeight="1" thickBot="1" x14ac:dyDescent="0.35">
      <c r="B168" s="4"/>
    </row>
    <row r="169" spans="2:2" ht="15" customHeight="1" thickBot="1" x14ac:dyDescent="0.35">
      <c r="B169" s="4"/>
    </row>
    <row r="170" spans="2:2" ht="15" customHeight="1" thickBot="1" x14ac:dyDescent="0.35">
      <c r="B170" s="4"/>
    </row>
    <row r="171" spans="2:2" ht="15" customHeight="1" thickBot="1" x14ac:dyDescent="0.35">
      <c r="B171" s="4"/>
    </row>
    <row r="172" spans="2:2" ht="15" customHeight="1" thickBot="1" x14ac:dyDescent="0.35">
      <c r="B172" s="4"/>
    </row>
    <row r="173" spans="2:2" ht="15" customHeight="1" thickBot="1" x14ac:dyDescent="0.35">
      <c r="B173" s="4"/>
    </row>
    <row r="174" spans="2:2" ht="15" customHeight="1" thickBot="1" x14ac:dyDescent="0.35">
      <c r="B174" s="4"/>
    </row>
    <row r="175" spans="2:2" ht="15" customHeight="1" thickBot="1" x14ac:dyDescent="0.35">
      <c r="B175" s="4"/>
    </row>
    <row r="176" spans="2:2" ht="15" customHeight="1" thickBot="1" x14ac:dyDescent="0.35">
      <c r="B176" s="4"/>
    </row>
    <row r="177" spans="2:2" ht="15" customHeight="1" thickBot="1" x14ac:dyDescent="0.35">
      <c r="B177" s="4"/>
    </row>
    <row r="178" spans="2:2" ht="15" customHeight="1" thickBot="1" x14ac:dyDescent="0.35">
      <c r="B178" s="4"/>
    </row>
    <row r="179" spans="2:2" ht="15" customHeight="1" thickBot="1" x14ac:dyDescent="0.35">
      <c r="B179" s="4"/>
    </row>
    <row r="180" spans="2:2" ht="15" customHeight="1" thickBot="1" x14ac:dyDescent="0.35">
      <c r="B180" s="4"/>
    </row>
    <row r="181" spans="2:2" ht="15" customHeight="1" thickBot="1" x14ac:dyDescent="0.35">
      <c r="B181" s="4"/>
    </row>
    <row r="182" spans="2:2" ht="15" customHeight="1" thickBot="1" x14ac:dyDescent="0.35">
      <c r="B182" s="4"/>
    </row>
    <row r="183" spans="2:2" ht="15" customHeight="1" thickBot="1" x14ac:dyDescent="0.35">
      <c r="B183" s="4"/>
    </row>
    <row r="184" spans="2:2" ht="15" customHeight="1" thickBot="1" x14ac:dyDescent="0.35">
      <c r="B184" s="4"/>
    </row>
    <row r="185" spans="2:2" ht="15" customHeight="1" thickBot="1" x14ac:dyDescent="0.35">
      <c r="B185" s="4"/>
    </row>
    <row r="186" spans="2:2" ht="15" customHeight="1" thickBot="1" x14ac:dyDescent="0.35">
      <c r="B186" s="4"/>
    </row>
    <row r="187" spans="2:2" ht="15" customHeight="1" thickBot="1" x14ac:dyDescent="0.35">
      <c r="B187" s="4"/>
    </row>
    <row r="188" spans="2:2" ht="15" customHeight="1" thickBot="1" x14ac:dyDescent="0.35">
      <c r="B188" s="4"/>
    </row>
    <row r="189" spans="2:2" ht="15" customHeight="1" thickBot="1" x14ac:dyDescent="0.35">
      <c r="B189" s="4"/>
    </row>
    <row r="190" spans="2:2" ht="15" customHeight="1" thickBot="1" x14ac:dyDescent="0.35">
      <c r="B190" s="4"/>
    </row>
    <row r="191" spans="2:2" ht="15" customHeight="1" thickBot="1" x14ac:dyDescent="0.35">
      <c r="B191" s="4"/>
    </row>
    <row r="192" spans="2:2" ht="15" customHeight="1" thickBot="1" x14ac:dyDescent="0.35">
      <c r="B192" s="4"/>
    </row>
    <row r="193" spans="2:2" ht="15" customHeight="1" thickBot="1" x14ac:dyDescent="0.35">
      <c r="B193" s="4"/>
    </row>
    <row r="194" spans="2:2" ht="15" customHeight="1" thickBot="1" x14ac:dyDescent="0.35">
      <c r="B194" s="4"/>
    </row>
    <row r="195" spans="2:2" ht="15" customHeight="1" thickBot="1" x14ac:dyDescent="0.35">
      <c r="B195" s="4"/>
    </row>
    <row r="196" spans="2:2" ht="15" customHeight="1" thickBot="1" x14ac:dyDescent="0.35">
      <c r="B196" s="4"/>
    </row>
    <row r="197" spans="2:2" ht="15" customHeight="1" thickBot="1" x14ac:dyDescent="0.35">
      <c r="B197" s="4"/>
    </row>
    <row r="198" spans="2:2" ht="15" customHeight="1" thickBot="1" x14ac:dyDescent="0.35">
      <c r="B198" s="4"/>
    </row>
    <row r="199" spans="2:2" ht="15" customHeight="1" thickBot="1" x14ac:dyDescent="0.35">
      <c r="B199" s="4"/>
    </row>
    <row r="200" spans="2:2" ht="15" customHeight="1" thickBot="1" x14ac:dyDescent="0.35">
      <c r="B200" s="4"/>
    </row>
    <row r="201" spans="2:2" ht="15" customHeight="1" thickBot="1" x14ac:dyDescent="0.35">
      <c r="B201" s="4"/>
    </row>
    <row r="202" spans="2:2" ht="15" customHeight="1" thickBot="1" x14ac:dyDescent="0.35">
      <c r="B202" s="4"/>
    </row>
    <row r="203" spans="2:2" ht="15" customHeight="1" thickBot="1" x14ac:dyDescent="0.35">
      <c r="B203" s="4"/>
    </row>
    <row r="204" spans="2:2" ht="15" customHeight="1" thickBot="1" x14ac:dyDescent="0.35">
      <c r="B204" s="4"/>
    </row>
    <row r="205" spans="2:2" ht="15" customHeight="1" thickBot="1" x14ac:dyDescent="0.35">
      <c r="B205" s="4"/>
    </row>
    <row r="206" spans="2:2" ht="15" customHeight="1" thickBot="1" x14ac:dyDescent="0.35">
      <c r="B206" s="4"/>
    </row>
    <row r="207" spans="2:2" ht="15" customHeight="1" thickBot="1" x14ac:dyDescent="0.35">
      <c r="B207" s="4"/>
    </row>
    <row r="208" spans="2:2" ht="15" customHeight="1" thickBot="1" x14ac:dyDescent="0.35">
      <c r="B208" s="4"/>
    </row>
    <row r="209" spans="2:2" ht="15" customHeight="1" thickBot="1" x14ac:dyDescent="0.35">
      <c r="B209" s="4"/>
    </row>
    <row r="210" spans="2:2" ht="15" customHeight="1" thickBot="1" x14ac:dyDescent="0.35">
      <c r="B210" s="4"/>
    </row>
    <row r="211" spans="2:2" ht="15" customHeight="1" thickBot="1" x14ac:dyDescent="0.35">
      <c r="B211" s="4"/>
    </row>
    <row r="212" spans="2:2" ht="15" customHeight="1" thickBot="1" x14ac:dyDescent="0.35">
      <c r="B212" s="4"/>
    </row>
    <row r="213" spans="2:2" ht="15" customHeight="1" thickBot="1" x14ac:dyDescent="0.35">
      <c r="B213" s="4"/>
    </row>
    <row r="214" spans="2:2" ht="15" customHeight="1" thickBot="1" x14ac:dyDescent="0.35">
      <c r="B214" s="4"/>
    </row>
    <row r="215" spans="2:2" ht="15" customHeight="1" thickBot="1" x14ac:dyDescent="0.35">
      <c r="B215" s="4"/>
    </row>
    <row r="216" spans="2:2" ht="15" customHeight="1" thickBot="1" x14ac:dyDescent="0.35">
      <c r="B216" s="4"/>
    </row>
    <row r="217" spans="2:2" ht="15" customHeight="1" thickBot="1" x14ac:dyDescent="0.35">
      <c r="B217" s="4"/>
    </row>
    <row r="218" spans="2:2" ht="15" customHeight="1" thickBot="1" x14ac:dyDescent="0.35">
      <c r="B218" s="4"/>
    </row>
    <row r="219" spans="2:2" ht="15" customHeight="1" thickBot="1" x14ac:dyDescent="0.35">
      <c r="B219" s="4"/>
    </row>
    <row r="220" spans="2:2" ht="15" customHeight="1" thickBot="1" x14ac:dyDescent="0.35">
      <c r="B220" s="4"/>
    </row>
    <row r="221" spans="2:2" ht="15" customHeight="1" thickBot="1" x14ac:dyDescent="0.35">
      <c r="B221" s="4"/>
    </row>
    <row r="222" spans="2:2" ht="15" customHeight="1" thickBot="1" x14ac:dyDescent="0.35">
      <c r="B222" s="4"/>
    </row>
    <row r="223" spans="2:2" ht="15" customHeight="1" thickBot="1" x14ac:dyDescent="0.35">
      <c r="B223" s="4"/>
    </row>
    <row r="224" spans="2:2" ht="15" customHeight="1" thickBot="1" x14ac:dyDescent="0.35">
      <c r="B224" s="4"/>
    </row>
    <row r="225" spans="2:2" ht="15" customHeight="1" thickBot="1" x14ac:dyDescent="0.35">
      <c r="B225" s="4"/>
    </row>
    <row r="226" spans="2:2" ht="15" customHeight="1" thickBot="1" x14ac:dyDescent="0.35">
      <c r="B226" s="4"/>
    </row>
    <row r="227" spans="2:2" ht="15" customHeight="1" thickBot="1" x14ac:dyDescent="0.35">
      <c r="B227" s="4"/>
    </row>
    <row r="228" spans="2:2" ht="15" customHeight="1" thickBot="1" x14ac:dyDescent="0.35">
      <c r="B228" s="4"/>
    </row>
    <row r="229" spans="2:2" ht="15" customHeight="1" thickBot="1" x14ac:dyDescent="0.35">
      <c r="B229" s="4"/>
    </row>
    <row r="230" spans="2:2" ht="15" customHeight="1" thickBot="1" x14ac:dyDescent="0.35">
      <c r="B230" s="4"/>
    </row>
    <row r="231" spans="2:2" ht="15" customHeight="1" thickBot="1" x14ac:dyDescent="0.35">
      <c r="B231" s="4"/>
    </row>
    <row r="232" spans="2:2" ht="15" customHeight="1" thickBot="1" x14ac:dyDescent="0.35">
      <c r="B232" s="4"/>
    </row>
    <row r="233" spans="2:2" ht="15" customHeight="1" thickBot="1" x14ac:dyDescent="0.35">
      <c r="B233" s="4"/>
    </row>
    <row r="234" spans="2:2" ht="15" customHeight="1" thickBot="1" x14ac:dyDescent="0.35">
      <c r="B234" s="4"/>
    </row>
    <row r="235" spans="2:2" ht="15" customHeight="1" thickBot="1" x14ac:dyDescent="0.35">
      <c r="B235" s="4"/>
    </row>
    <row r="236" spans="2:2" ht="15" customHeight="1" thickBot="1" x14ac:dyDescent="0.35">
      <c r="B236" s="4"/>
    </row>
    <row r="237" spans="2:2" ht="15" customHeight="1" thickBot="1" x14ac:dyDescent="0.35">
      <c r="B237" s="4"/>
    </row>
    <row r="238" spans="2:2" ht="15" customHeight="1" thickBot="1" x14ac:dyDescent="0.35">
      <c r="B238" s="4"/>
    </row>
    <row r="239" spans="2:2" ht="15" customHeight="1" thickBot="1" x14ac:dyDescent="0.35">
      <c r="B239" s="4"/>
    </row>
    <row r="240" spans="2:2" ht="15" customHeight="1" thickBot="1" x14ac:dyDescent="0.35">
      <c r="B240" s="4"/>
    </row>
    <row r="241" spans="2:2" ht="15" customHeight="1" thickBot="1" x14ac:dyDescent="0.35">
      <c r="B241" s="4"/>
    </row>
    <row r="242" spans="2:2" ht="15" customHeight="1" thickBot="1" x14ac:dyDescent="0.35">
      <c r="B242" s="4"/>
    </row>
    <row r="243" spans="2:2" ht="15" customHeight="1" thickBot="1" x14ac:dyDescent="0.35">
      <c r="B243" s="4"/>
    </row>
    <row r="244" spans="2:2" ht="15" customHeight="1" thickBot="1" x14ac:dyDescent="0.35">
      <c r="B244" s="4"/>
    </row>
    <row r="245" spans="2:2" ht="15" customHeight="1" thickBot="1" x14ac:dyDescent="0.35">
      <c r="B245" s="4"/>
    </row>
    <row r="246" spans="2:2" ht="15" customHeight="1" thickBot="1" x14ac:dyDescent="0.35">
      <c r="B246" s="4"/>
    </row>
    <row r="247" spans="2:2" ht="15" customHeight="1" thickBot="1" x14ac:dyDescent="0.35">
      <c r="B247" s="4"/>
    </row>
    <row r="248" spans="2:2" ht="15" customHeight="1" thickBot="1" x14ac:dyDescent="0.35">
      <c r="B248" s="4"/>
    </row>
    <row r="249" spans="2:2" ht="15" customHeight="1" thickBot="1" x14ac:dyDescent="0.35">
      <c r="B249" s="4"/>
    </row>
    <row r="250" spans="2:2" ht="15" customHeight="1" thickBot="1" x14ac:dyDescent="0.35">
      <c r="B250" s="4"/>
    </row>
    <row r="251" spans="2:2" ht="15" customHeight="1" thickBot="1" x14ac:dyDescent="0.35">
      <c r="B251" s="4"/>
    </row>
    <row r="252" spans="2:2" ht="15" customHeight="1" thickBot="1" x14ac:dyDescent="0.35">
      <c r="B252" s="4"/>
    </row>
    <row r="253" spans="2:2" ht="15" customHeight="1" thickBot="1" x14ac:dyDescent="0.35">
      <c r="B253" s="4"/>
    </row>
    <row r="254" spans="2:2" ht="15" customHeight="1" thickBot="1" x14ac:dyDescent="0.35">
      <c r="B254" s="4"/>
    </row>
    <row r="255" spans="2:2" ht="15" customHeight="1" thickBot="1" x14ac:dyDescent="0.35">
      <c r="B255" s="4"/>
    </row>
    <row r="256" spans="2:2" ht="15" customHeight="1" thickBot="1" x14ac:dyDescent="0.35">
      <c r="B256" s="4"/>
    </row>
    <row r="257" spans="2:2" ht="15" customHeight="1" thickBot="1" x14ac:dyDescent="0.35">
      <c r="B257" s="4"/>
    </row>
    <row r="258" spans="2:2" ht="15" customHeight="1" thickBot="1" x14ac:dyDescent="0.35">
      <c r="B258" s="4"/>
    </row>
    <row r="259" spans="2:2" ht="15" customHeight="1" thickBot="1" x14ac:dyDescent="0.35">
      <c r="B259" s="4"/>
    </row>
    <row r="260" spans="2:2" ht="15" customHeight="1" thickBot="1" x14ac:dyDescent="0.35">
      <c r="B260" s="4"/>
    </row>
    <row r="261" spans="2:2" ht="15" customHeight="1" thickBot="1" x14ac:dyDescent="0.35">
      <c r="B261" s="4"/>
    </row>
    <row r="262" spans="2:2" ht="15" customHeight="1" thickBot="1" x14ac:dyDescent="0.35">
      <c r="B262" s="4"/>
    </row>
    <row r="263" spans="2:2" ht="15" customHeight="1" thickBot="1" x14ac:dyDescent="0.35">
      <c r="B263" s="4"/>
    </row>
    <row r="264" spans="2:2" ht="15" customHeight="1" thickBot="1" x14ac:dyDescent="0.35">
      <c r="B264" s="4"/>
    </row>
    <row r="265" spans="2:2" ht="15" customHeight="1" thickBot="1" x14ac:dyDescent="0.35">
      <c r="B265" s="4"/>
    </row>
    <row r="266" spans="2:2" ht="15" customHeight="1" thickBot="1" x14ac:dyDescent="0.35">
      <c r="B266" s="4"/>
    </row>
    <row r="267" spans="2:2" ht="15" customHeight="1" thickBot="1" x14ac:dyDescent="0.35">
      <c r="B267" s="4"/>
    </row>
    <row r="268" spans="2:2" ht="15" customHeight="1" thickBot="1" x14ac:dyDescent="0.35">
      <c r="B268" s="4"/>
    </row>
    <row r="269" spans="2:2" ht="15" customHeight="1" thickBot="1" x14ac:dyDescent="0.35">
      <c r="B269" s="4"/>
    </row>
    <row r="270" spans="2:2" ht="15" customHeight="1" thickBot="1" x14ac:dyDescent="0.35">
      <c r="B270" s="4"/>
    </row>
    <row r="271" spans="2:2" ht="15" customHeight="1" thickBot="1" x14ac:dyDescent="0.35">
      <c r="B271" s="4"/>
    </row>
    <row r="272" spans="2:2" ht="15" customHeight="1" thickBot="1" x14ac:dyDescent="0.35">
      <c r="B272" s="4"/>
    </row>
    <row r="273" spans="2:2" ht="15" customHeight="1" thickBot="1" x14ac:dyDescent="0.35">
      <c r="B273" s="4"/>
    </row>
    <row r="274" spans="2:2" ht="15" customHeight="1" thickBot="1" x14ac:dyDescent="0.35">
      <c r="B274" s="4"/>
    </row>
    <row r="275" spans="2:2" ht="15" customHeight="1" thickBot="1" x14ac:dyDescent="0.35">
      <c r="B275" s="4"/>
    </row>
    <row r="276" spans="2:2" ht="15" customHeight="1" thickBot="1" x14ac:dyDescent="0.35">
      <c r="B276" s="4"/>
    </row>
    <row r="277" spans="2:2" ht="15" customHeight="1" thickBot="1" x14ac:dyDescent="0.35">
      <c r="B277" s="4"/>
    </row>
    <row r="278" spans="2:2" ht="15" customHeight="1" thickBot="1" x14ac:dyDescent="0.35">
      <c r="B278" s="4"/>
    </row>
    <row r="279" spans="2:2" ht="15" customHeight="1" thickBot="1" x14ac:dyDescent="0.35">
      <c r="B279" s="4"/>
    </row>
    <row r="280" spans="2:2" ht="15" customHeight="1" thickBot="1" x14ac:dyDescent="0.35">
      <c r="B280" s="4"/>
    </row>
    <row r="281" spans="2:2" ht="15" customHeight="1" thickBot="1" x14ac:dyDescent="0.35">
      <c r="B281" s="4"/>
    </row>
    <row r="282" spans="2:2" ht="15" customHeight="1" thickBot="1" x14ac:dyDescent="0.35">
      <c r="B282" s="4"/>
    </row>
    <row r="283" spans="2:2" ht="15" customHeight="1" thickBot="1" x14ac:dyDescent="0.35">
      <c r="B283" s="4"/>
    </row>
    <row r="284" spans="2:2" ht="15" customHeight="1" thickBot="1" x14ac:dyDescent="0.35">
      <c r="B284" s="4"/>
    </row>
    <row r="285" spans="2:2" ht="15" customHeight="1" thickBot="1" x14ac:dyDescent="0.35">
      <c r="B285" s="4"/>
    </row>
    <row r="286" spans="2:2" ht="15" customHeight="1" thickBot="1" x14ac:dyDescent="0.35">
      <c r="B286" s="4"/>
    </row>
    <row r="287" spans="2:2" ht="15" customHeight="1" thickBot="1" x14ac:dyDescent="0.35">
      <c r="B287" s="4"/>
    </row>
    <row r="288" spans="2:2" ht="15" customHeight="1" thickBot="1" x14ac:dyDescent="0.35">
      <c r="B288" s="4"/>
    </row>
    <row r="289" spans="2:2" ht="15" customHeight="1" thickBot="1" x14ac:dyDescent="0.35">
      <c r="B289" s="4"/>
    </row>
    <row r="290" spans="2:2" ht="15" customHeight="1" thickBot="1" x14ac:dyDescent="0.35">
      <c r="B290" s="4"/>
    </row>
    <row r="291" spans="2:2" ht="15" customHeight="1" thickBot="1" x14ac:dyDescent="0.35">
      <c r="B291" s="4"/>
    </row>
    <row r="292" spans="2:2" ht="15" customHeight="1" thickBot="1" x14ac:dyDescent="0.35">
      <c r="B292" s="4"/>
    </row>
    <row r="293" spans="2:2" ht="15" customHeight="1" thickBot="1" x14ac:dyDescent="0.35">
      <c r="B293" s="4"/>
    </row>
    <row r="294" spans="2:2" ht="15" customHeight="1" thickBot="1" x14ac:dyDescent="0.35">
      <c r="B294" s="4"/>
    </row>
    <row r="295" spans="2:2" ht="15" customHeight="1" thickBot="1" x14ac:dyDescent="0.35">
      <c r="B295" s="4"/>
    </row>
    <row r="296" spans="2:2" ht="15" customHeight="1" thickBot="1" x14ac:dyDescent="0.35">
      <c r="B296" s="4"/>
    </row>
    <row r="297" spans="2:2" ht="15" customHeight="1" thickBot="1" x14ac:dyDescent="0.35">
      <c r="B297" s="4"/>
    </row>
    <row r="298" spans="2:2" ht="15" customHeight="1" thickBot="1" x14ac:dyDescent="0.35">
      <c r="B298" s="4"/>
    </row>
    <row r="299" spans="2:2" ht="15" customHeight="1" thickBot="1" x14ac:dyDescent="0.35">
      <c r="B299" s="4"/>
    </row>
    <row r="300" spans="2:2" ht="15" customHeight="1" thickBot="1" x14ac:dyDescent="0.35">
      <c r="B300" s="4"/>
    </row>
    <row r="301" spans="2:2" ht="15" customHeight="1" thickBot="1" x14ac:dyDescent="0.35">
      <c r="B301" s="4"/>
    </row>
    <row r="302" spans="2:2" ht="15" customHeight="1" thickBot="1" x14ac:dyDescent="0.35">
      <c r="B302" s="4"/>
    </row>
    <row r="303" spans="2:2" ht="15" customHeight="1" thickBot="1" x14ac:dyDescent="0.35">
      <c r="B303" s="4"/>
    </row>
    <row r="304" spans="2:2" ht="15" customHeight="1" thickBot="1" x14ac:dyDescent="0.35">
      <c r="B304" s="4"/>
    </row>
    <row r="305" spans="2:2" ht="15" customHeight="1" thickBot="1" x14ac:dyDescent="0.35">
      <c r="B305" s="4"/>
    </row>
    <row r="306" spans="2:2" ht="15" customHeight="1" thickBot="1" x14ac:dyDescent="0.35">
      <c r="B306" s="4"/>
    </row>
    <row r="307" spans="2:2" ht="15" customHeight="1" thickBot="1" x14ac:dyDescent="0.35">
      <c r="B307" s="4"/>
    </row>
    <row r="308" spans="2:2" ht="15" customHeight="1" thickBot="1" x14ac:dyDescent="0.35">
      <c r="B308" s="4"/>
    </row>
    <row r="309" spans="2:2" ht="15" customHeight="1" thickBot="1" x14ac:dyDescent="0.35">
      <c r="B309" s="4"/>
    </row>
    <row r="310" spans="2:2" ht="15" customHeight="1" thickBot="1" x14ac:dyDescent="0.35">
      <c r="B310" s="4"/>
    </row>
    <row r="311" spans="2:2" ht="15" customHeight="1" thickBot="1" x14ac:dyDescent="0.35">
      <c r="B311" s="4"/>
    </row>
    <row r="312" spans="2:2" ht="15" customHeight="1" thickBot="1" x14ac:dyDescent="0.35">
      <c r="B312" s="4"/>
    </row>
    <row r="313" spans="2:2" ht="15" customHeight="1" thickBot="1" x14ac:dyDescent="0.35">
      <c r="B313" s="4"/>
    </row>
    <row r="314" spans="2:2" ht="15" customHeight="1" thickBot="1" x14ac:dyDescent="0.35">
      <c r="B314" s="4"/>
    </row>
    <row r="315" spans="2:2" ht="15" customHeight="1" thickBot="1" x14ac:dyDescent="0.35">
      <c r="B315" s="4"/>
    </row>
    <row r="316" spans="2:2" ht="15" customHeight="1" thickBot="1" x14ac:dyDescent="0.35">
      <c r="B316" s="4"/>
    </row>
    <row r="317" spans="2:2" ht="15" customHeight="1" thickBot="1" x14ac:dyDescent="0.35">
      <c r="B317" s="4"/>
    </row>
    <row r="318" spans="2:2" ht="15" customHeight="1" thickBot="1" x14ac:dyDescent="0.35">
      <c r="B318" s="4"/>
    </row>
    <row r="319" spans="2:2" ht="15" customHeight="1" thickBot="1" x14ac:dyDescent="0.35">
      <c r="B319" s="4"/>
    </row>
    <row r="320" spans="2:2" ht="15" customHeight="1" thickBot="1" x14ac:dyDescent="0.35">
      <c r="B320" s="4"/>
    </row>
    <row r="321" spans="2:2" ht="15" customHeight="1" thickBot="1" x14ac:dyDescent="0.35">
      <c r="B321" s="4"/>
    </row>
    <row r="322" spans="2:2" ht="15" customHeight="1" thickBot="1" x14ac:dyDescent="0.35">
      <c r="B322" s="4"/>
    </row>
    <row r="323" spans="2:2" ht="15" customHeight="1" thickBot="1" x14ac:dyDescent="0.35">
      <c r="B323" s="4"/>
    </row>
    <row r="324" spans="2:2" ht="15" customHeight="1" thickBot="1" x14ac:dyDescent="0.35">
      <c r="B324" s="4"/>
    </row>
    <row r="325" spans="2:2" ht="15" customHeight="1" thickBot="1" x14ac:dyDescent="0.35">
      <c r="B325" s="4"/>
    </row>
    <row r="326" spans="2:2" ht="15" customHeight="1" thickBot="1" x14ac:dyDescent="0.35">
      <c r="B326" s="4"/>
    </row>
    <row r="327" spans="2:2" ht="15" customHeight="1" thickBot="1" x14ac:dyDescent="0.35">
      <c r="B327" s="4"/>
    </row>
    <row r="328" spans="2:2" ht="15" customHeight="1" thickBot="1" x14ac:dyDescent="0.35">
      <c r="B328" s="4"/>
    </row>
    <row r="329" spans="2:2" ht="15" customHeight="1" thickBot="1" x14ac:dyDescent="0.35">
      <c r="B329" s="4"/>
    </row>
    <row r="330" spans="2:2" ht="15" customHeight="1" thickBot="1" x14ac:dyDescent="0.35">
      <c r="B330" s="4"/>
    </row>
    <row r="331" spans="2:2" ht="15" customHeight="1" thickBot="1" x14ac:dyDescent="0.35">
      <c r="B331" s="4"/>
    </row>
    <row r="332" spans="2:2" ht="15" customHeight="1" thickBot="1" x14ac:dyDescent="0.35">
      <c r="B332" s="4"/>
    </row>
    <row r="333" spans="2:2" ht="15" customHeight="1" thickBot="1" x14ac:dyDescent="0.35">
      <c r="B333" s="4"/>
    </row>
    <row r="334" spans="2:2" ht="15" customHeight="1" thickBot="1" x14ac:dyDescent="0.35">
      <c r="B334" s="4"/>
    </row>
    <row r="335" spans="2:2" ht="15" customHeight="1" thickBot="1" x14ac:dyDescent="0.35">
      <c r="B335" s="4"/>
    </row>
    <row r="336" spans="2:2" ht="15" customHeight="1" thickBot="1" x14ac:dyDescent="0.35">
      <c r="B336" s="4"/>
    </row>
    <row r="337" spans="2:2" ht="15" customHeight="1" thickBot="1" x14ac:dyDescent="0.35">
      <c r="B337" s="4"/>
    </row>
    <row r="338" spans="2:2" ht="15" customHeight="1" thickBot="1" x14ac:dyDescent="0.35">
      <c r="B338" s="4"/>
    </row>
    <row r="339" spans="2:2" ht="15" customHeight="1" thickBot="1" x14ac:dyDescent="0.35">
      <c r="B339" s="4"/>
    </row>
    <row r="340" spans="2:2" ht="15" customHeight="1" thickBot="1" x14ac:dyDescent="0.35">
      <c r="B340" s="4"/>
    </row>
    <row r="341" spans="2:2" ht="15" customHeight="1" thickBot="1" x14ac:dyDescent="0.35">
      <c r="B341" s="4"/>
    </row>
    <row r="342" spans="2:2" ht="15" customHeight="1" thickBot="1" x14ac:dyDescent="0.35">
      <c r="B342" s="4"/>
    </row>
    <row r="343" spans="2:2" ht="15" customHeight="1" thickBot="1" x14ac:dyDescent="0.35">
      <c r="B343" s="4"/>
    </row>
    <row r="344" spans="2:2" ht="15" customHeight="1" thickBot="1" x14ac:dyDescent="0.35">
      <c r="B344" s="4"/>
    </row>
    <row r="345" spans="2:2" ht="15" customHeight="1" thickBot="1" x14ac:dyDescent="0.35">
      <c r="B345" s="4"/>
    </row>
    <row r="346" spans="2:2" ht="15" customHeight="1" thickBot="1" x14ac:dyDescent="0.35">
      <c r="B346" s="4"/>
    </row>
    <row r="347" spans="2:2" ht="15" customHeight="1" thickBot="1" x14ac:dyDescent="0.35">
      <c r="B347" s="4"/>
    </row>
    <row r="348" spans="2:2" ht="15" customHeight="1" thickBot="1" x14ac:dyDescent="0.35">
      <c r="B348" s="4"/>
    </row>
    <row r="349" spans="2:2" ht="15" customHeight="1" thickBot="1" x14ac:dyDescent="0.35">
      <c r="B349" s="4"/>
    </row>
    <row r="350" spans="2:2" ht="15" customHeight="1" thickBot="1" x14ac:dyDescent="0.35">
      <c r="B350" s="4"/>
    </row>
    <row r="351" spans="2:2" ht="15" customHeight="1" thickBot="1" x14ac:dyDescent="0.35">
      <c r="B351" s="4"/>
    </row>
    <row r="352" spans="2:2" ht="15" customHeight="1" thickBot="1" x14ac:dyDescent="0.35">
      <c r="B352" s="4"/>
    </row>
    <row r="353" spans="2:2" ht="15" customHeight="1" thickBot="1" x14ac:dyDescent="0.35">
      <c r="B353" s="4"/>
    </row>
    <row r="354" spans="2:2" ht="15" customHeight="1" thickBot="1" x14ac:dyDescent="0.35">
      <c r="B354" s="4"/>
    </row>
    <row r="355" spans="2:2" ht="15" customHeight="1" thickBot="1" x14ac:dyDescent="0.35">
      <c r="B355" s="4"/>
    </row>
    <row r="356" spans="2:2" ht="15" customHeight="1" thickBot="1" x14ac:dyDescent="0.35">
      <c r="B356" s="4"/>
    </row>
    <row r="357" spans="2:2" ht="15" customHeight="1" thickBot="1" x14ac:dyDescent="0.35">
      <c r="B357" s="4"/>
    </row>
    <row r="358" spans="2:2" ht="15" customHeight="1" thickBot="1" x14ac:dyDescent="0.35">
      <c r="B358" s="4"/>
    </row>
    <row r="359" spans="2:2" ht="15" customHeight="1" thickBot="1" x14ac:dyDescent="0.35">
      <c r="B359" s="4"/>
    </row>
    <row r="360" spans="2:2" ht="15" customHeight="1" thickBot="1" x14ac:dyDescent="0.35">
      <c r="B360" s="4"/>
    </row>
    <row r="361" spans="2:2" ht="15" customHeight="1" thickBot="1" x14ac:dyDescent="0.35">
      <c r="B361" s="4"/>
    </row>
    <row r="362" spans="2:2" ht="15" customHeight="1" thickBot="1" x14ac:dyDescent="0.35">
      <c r="B362" s="4"/>
    </row>
    <row r="363" spans="2:2" ht="15" customHeight="1" thickBot="1" x14ac:dyDescent="0.35">
      <c r="B363" s="4"/>
    </row>
    <row r="364" spans="2:2" ht="15" customHeight="1" thickBot="1" x14ac:dyDescent="0.35">
      <c r="B364" s="4"/>
    </row>
    <row r="365" spans="2:2" ht="15" customHeight="1" thickBot="1" x14ac:dyDescent="0.35">
      <c r="B365" s="4"/>
    </row>
    <row r="366" spans="2:2" ht="15" customHeight="1" thickBot="1" x14ac:dyDescent="0.35">
      <c r="B366" s="4"/>
    </row>
    <row r="367" spans="2:2" ht="15" customHeight="1" thickBot="1" x14ac:dyDescent="0.35">
      <c r="B367" s="4"/>
    </row>
    <row r="368" spans="2:2" ht="15" customHeight="1" thickBot="1" x14ac:dyDescent="0.35">
      <c r="B368" s="4"/>
    </row>
    <row r="369" spans="2:2" ht="15" customHeight="1" thickBot="1" x14ac:dyDescent="0.35">
      <c r="B369" s="4"/>
    </row>
    <row r="370" spans="2:2" ht="15" customHeight="1" thickBot="1" x14ac:dyDescent="0.35">
      <c r="B370" s="4"/>
    </row>
    <row r="371" spans="2:2" ht="15" customHeight="1" thickBot="1" x14ac:dyDescent="0.35">
      <c r="B371" s="4"/>
    </row>
    <row r="372" spans="2:2" ht="15" customHeight="1" thickBot="1" x14ac:dyDescent="0.35">
      <c r="B372" s="4"/>
    </row>
    <row r="373" spans="2:2" ht="15" customHeight="1" thickBot="1" x14ac:dyDescent="0.35">
      <c r="B373" s="4"/>
    </row>
    <row r="374" spans="2:2" ht="15" customHeight="1" thickBot="1" x14ac:dyDescent="0.35">
      <c r="B374" s="4"/>
    </row>
    <row r="375" spans="2:2" ht="15" customHeight="1" thickBot="1" x14ac:dyDescent="0.35">
      <c r="B375" s="4"/>
    </row>
    <row r="376" spans="2:2" ht="15" customHeight="1" thickBot="1" x14ac:dyDescent="0.35">
      <c r="B376" s="4"/>
    </row>
    <row r="377" spans="2:2" ht="15" customHeight="1" thickBot="1" x14ac:dyDescent="0.35">
      <c r="B377" s="4"/>
    </row>
    <row r="378" spans="2:2" ht="15" customHeight="1" thickBot="1" x14ac:dyDescent="0.35">
      <c r="B378" s="4"/>
    </row>
    <row r="379" spans="2:2" ht="15" customHeight="1" thickBot="1" x14ac:dyDescent="0.35">
      <c r="B379" s="4"/>
    </row>
    <row r="380" spans="2:2" ht="15" customHeight="1" thickBot="1" x14ac:dyDescent="0.35">
      <c r="B380" s="4"/>
    </row>
    <row r="381" spans="2:2" ht="15" customHeight="1" thickBot="1" x14ac:dyDescent="0.35">
      <c r="B381" s="4"/>
    </row>
    <row r="382" spans="2:2" ht="15" customHeight="1" thickBot="1" x14ac:dyDescent="0.35">
      <c r="B382" s="4"/>
    </row>
    <row r="383" spans="2:2" ht="15" customHeight="1" thickBot="1" x14ac:dyDescent="0.35">
      <c r="B383" s="4"/>
    </row>
    <row r="384" spans="2:2" ht="15" customHeight="1" thickBot="1" x14ac:dyDescent="0.35">
      <c r="B384" s="4"/>
    </row>
    <row r="385" spans="2:2" ht="15" customHeight="1" thickBot="1" x14ac:dyDescent="0.35">
      <c r="B385" s="4"/>
    </row>
    <row r="386" spans="2:2" ht="15" customHeight="1" thickBot="1" x14ac:dyDescent="0.35">
      <c r="B386" s="4"/>
    </row>
    <row r="387" spans="2:2" ht="15" customHeight="1" thickBot="1" x14ac:dyDescent="0.35">
      <c r="B387" s="4"/>
    </row>
    <row r="388" spans="2:2" ht="15" customHeight="1" thickBot="1" x14ac:dyDescent="0.35">
      <c r="B388" s="4"/>
    </row>
    <row r="389" spans="2:2" ht="15" customHeight="1" thickBot="1" x14ac:dyDescent="0.35">
      <c r="B389" s="4"/>
    </row>
    <row r="390" spans="2:2" ht="15" customHeight="1" thickBot="1" x14ac:dyDescent="0.35">
      <c r="B390" s="4"/>
    </row>
    <row r="391" spans="2:2" ht="15" customHeight="1" thickBot="1" x14ac:dyDescent="0.35">
      <c r="B391" s="4"/>
    </row>
    <row r="392" spans="2:2" ht="15" customHeight="1" thickBot="1" x14ac:dyDescent="0.35">
      <c r="B392" s="4"/>
    </row>
    <row r="393" spans="2:2" ht="15" customHeight="1" thickBot="1" x14ac:dyDescent="0.35">
      <c r="B393" s="4"/>
    </row>
    <row r="394" spans="2:2" ht="15" customHeight="1" thickBot="1" x14ac:dyDescent="0.35">
      <c r="B394" s="4"/>
    </row>
    <row r="395" spans="2:2" ht="15" customHeight="1" thickBot="1" x14ac:dyDescent="0.35">
      <c r="B395" s="4"/>
    </row>
    <row r="396" spans="2:2" ht="15" customHeight="1" thickBot="1" x14ac:dyDescent="0.35">
      <c r="B396" s="4"/>
    </row>
    <row r="397" spans="2:2" ht="15" customHeight="1" thickBot="1" x14ac:dyDescent="0.35">
      <c r="B397" s="4"/>
    </row>
    <row r="398" spans="2:2" ht="15" customHeight="1" thickBot="1" x14ac:dyDescent="0.35">
      <c r="B398" s="4"/>
    </row>
    <row r="399" spans="2:2" ht="15" customHeight="1" thickBot="1" x14ac:dyDescent="0.35">
      <c r="B399" s="4"/>
    </row>
    <row r="400" spans="2:2" ht="15" customHeight="1" thickBot="1" x14ac:dyDescent="0.35">
      <c r="B400" s="4"/>
    </row>
    <row r="401" spans="2:2" ht="15" customHeight="1" thickBot="1" x14ac:dyDescent="0.35">
      <c r="B401" s="4"/>
    </row>
    <row r="402" spans="2:2" ht="15" customHeight="1" thickBot="1" x14ac:dyDescent="0.35">
      <c r="B402" s="4"/>
    </row>
    <row r="403" spans="2:2" ht="15" customHeight="1" thickBot="1" x14ac:dyDescent="0.35">
      <c r="B403" s="4"/>
    </row>
    <row r="404" spans="2:2" ht="15" customHeight="1" thickBot="1" x14ac:dyDescent="0.35">
      <c r="B404" s="4"/>
    </row>
    <row r="405" spans="2:2" ht="15" customHeight="1" thickBot="1" x14ac:dyDescent="0.35">
      <c r="B405" s="4"/>
    </row>
    <row r="406" spans="2:2" ht="15" customHeight="1" thickBot="1" x14ac:dyDescent="0.35">
      <c r="B406" s="4"/>
    </row>
    <row r="407" spans="2:2" ht="15" customHeight="1" thickBot="1" x14ac:dyDescent="0.35">
      <c r="B407" s="4"/>
    </row>
    <row r="408" spans="2:2" ht="15" customHeight="1" thickBot="1" x14ac:dyDescent="0.35">
      <c r="B408" s="4"/>
    </row>
    <row r="409" spans="2:2" ht="15" customHeight="1" thickBot="1" x14ac:dyDescent="0.35">
      <c r="B409" s="4"/>
    </row>
    <row r="410" spans="2:2" ht="15" customHeight="1" thickBot="1" x14ac:dyDescent="0.35">
      <c r="B410" s="4"/>
    </row>
    <row r="411" spans="2:2" ht="15" customHeight="1" thickBot="1" x14ac:dyDescent="0.35">
      <c r="B411" s="4"/>
    </row>
    <row r="412" spans="2:2" ht="15" customHeight="1" thickBot="1" x14ac:dyDescent="0.35">
      <c r="B412" s="4"/>
    </row>
    <row r="413" spans="2:2" ht="15" customHeight="1" thickBot="1" x14ac:dyDescent="0.35">
      <c r="B413" s="4"/>
    </row>
    <row r="414" spans="2:2" ht="15" customHeight="1" thickBot="1" x14ac:dyDescent="0.35">
      <c r="B414" s="4"/>
    </row>
    <row r="415" spans="2:2" ht="15" customHeight="1" thickBot="1" x14ac:dyDescent="0.35">
      <c r="B415" s="4"/>
    </row>
    <row r="416" spans="2:2" ht="15" customHeight="1" thickBot="1" x14ac:dyDescent="0.35">
      <c r="B416" s="4"/>
    </row>
    <row r="417" spans="2:2" ht="15" customHeight="1" thickBot="1" x14ac:dyDescent="0.35">
      <c r="B417" s="4"/>
    </row>
    <row r="418" spans="2:2" ht="15" customHeight="1" thickBot="1" x14ac:dyDescent="0.35">
      <c r="B418" s="4"/>
    </row>
    <row r="419" spans="2:2" ht="15" customHeight="1" thickBot="1" x14ac:dyDescent="0.35">
      <c r="B419" s="4"/>
    </row>
    <row r="420" spans="2:2" ht="15" customHeight="1" thickBot="1" x14ac:dyDescent="0.35">
      <c r="B420" s="4"/>
    </row>
    <row r="421" spans="2:2" ht="15" customHeight="1" thickBot="1" x14ac:dyDescent="0.35">
      <c r="B421" s="4"/>
    </row>
    <row r="422" spans="2:2" ht="15" customHeight="1" thickBot="1" x14ac:dyDescent="0.35">
      <c r="B422" s="4"/>
    </row>
    <row r="423" spans="2:2" ht="15" customHeight="1" thickBot="1" x14ac:dyDescent="0.35">
      <c r="B423" s="4"/>
    </row>
    <row r="424" spans="2:2" ht="15" customHeight="1" thickBot="1" x14ac:dyDescent="0.35">
      <c r="B424" s="4"/>
    </row>
    <row r="425" spans="2:2" ht="15" customHeight="1" thickBot="1" x14ac:dyDescent="0.35">
      <c r="B425" s="4"/>
    </row>
    <row r="426" spans="2:2" ht="15" customHeight="1" thickBot="1" x14ac:dyDescent="0.35">
      <c r="B426" s="4"/>
    </row>
    <row r="427" spans="2:2" ht="15" customHeight="1" thickBot="1" x14ac:dyDescent="0.35">
      <c r="B427" s="4"/>
    </row>
    <row r="428" spans="2:2" ht="15" customHeight="1" thickBot="1" x14ac:dyDescent="0.35">
      <c r="B428" s="4"/>
    </row>
    <row r="429" spans="2:2" ht="15" customHeight="1" thickBot="1" x14ac:dyDescent="0.35">
      <c r="B429" s="4"/>
    </row>
    <row r="430" spans="2:2" ht="15" customHeight="1" thickBot="1" x14ac:dyDescent="0.35">
      <c r="B430" s="4"/>
    </row>
    <row r="431" spans="2:2" ht="15" customHeight="1" thickBot="1" x14ac:dyDescent="0.35">
      <c r="B431" s="4"/>
    </row>
    <row r="432" spans="2:2" ht="15" customHeight="1" thickBot="1" x14ac:dyDescent="0.35">
      <c r="B432" s="4"/>
    </row>
    <row r="433" spans="2:2" ht="15" customHeight="1" thickBot="1" x14ac:dyDescent="0.35">
      <c r="B433" s="4"/>
    </row>
    <row r="434" spans="2:2" ht="15" customHeight="1" thickBot="1" x14ac:dyDescent="0.35">
      <c r="B434" s="4"/>
    </row>
    <row r="435" spans="2:2" ht="15" customHeight="1" thickBot="1" x14ac:dyDescent="0.35">
      <c r="B435" s="4"/>
    </row>
    <row r="436" spans="2:2" ht="15" customHeight="1" thickBot="1" x14ac:dyDescent="0.35">
      <c r="B436" s="4"/>
    </row>
    <row r="437" spans="2:2" ht="15" customHeight="1" thickBot="1" x14ac:dyDescent="0.35">
      <c r="B437" s="4"/>
    </row>
    <row r="438" spans="2:2" ht="15" customHeight="1" thickBot="1" x14ac:dyDescent="0.35">
      <c r="B438" s="4"/>
    </row>
    <row r="439" spans="2:2" ht="15" customHeight="1" thickBot="1" x14ac:dyDescent="0.35">
      <c r="B439" s="4"/>
    </row>
    <row r="440" spans="2:2" ht="15" customHeight="1" thickBot="1" x14ac:dyDescent="0.35">
      <c r="B440" s="4"/>
    </row>
    <row r="441" spans="2:2" ht="15" customHeight="1" thickBot="1" x14ac:dyDescent="0.35">
      <c r="B441" s="4"/>
    </row>
    <row r="442" spans="2:2" ht="15" customHeight="1" thickBot="1" x14ac:dyDescent="0.35">
      <c r="B442" s="4"/>
    </row>
    <row r="443" spans="2:2" ht="15" customHeight="1" thickBot="1" x14ac:dyDescent="0.35">
      <c r="B443" s="4"/>
    </row>
    <row r="444" spans="2:2" ht="15" customHeight="1" thickBot="1" x14ac:dyDescent="0.35">
      <c r="B444" s="4"/>
    </row>
    <row r="445" spans="2:2" ht="15" customHeight="1" thickBot="1" x14ac:dyDescent="0.35">
      <c r="B445" s="4"/>
    </row>
    <row r="446" spans="2:2" ht="15" customHeight="1" thickBot="1" x14ac:dyDescent="0.35">
      <c r="B446" s="4"/>
    </row>
    <row r="447" spans="2:2" ht="15" customHeight="1" thickBot="1" x14ac:dyDescent="0.35">
      <c r="B447" s="4"/>
    </row>
    <row r="448" spans="2:2" ht="15" customHeight="1" thickBot="1" x14ac:dyDescent="0.35">
      <c r="B448" s="4"/>
    </row>
    <row r="449" spans="2:2" ht="15" customHeight="1" thickBot="1" x14ac:dyDescent="0.35">
      <c r="B449" s="4"/>
    </row>
    <row r="450" spans="2:2" ht="15" customHeight="1" thickBot="1" x14ac:dyDescent="0.35">
      <c r="B450" s="4"/>
    </row>
    <row r="451" spans="2:2" ht="15" customHeight="1" thickBot="1" x14ac:dyDescent="0.35">
      <c r="B451" s="4"/>
    </row>
    <row r="452" spans="2:2" ht="15" customHeight="1" thickBot="1" x14ac:dyDescent="0.35">
      <c r="B452" s="4"/>
    </row>
    <row r="453" spans="2:2" ht="15" customHeight="1" thickBot="1" x14ac:dyDescent="0.35">
      <c r="B453" s="4"/>
    </row>
    <row r="454" spans="2:2" ht="15" customHeight="1" thickBot="1" x14ac:dyDescent="0.35">
      <c r="B454" s="4"/>
    </row>
    <row r="455" spans="2:2" ht="15" customHeight="1" thickBot="1" x14ac:dyDescent="0.35">
      <c r="B455" s="4"/>
    </row>
    <row r="456" spans="2:2" ht="15" customHeight="1" thickBot="1" x14ac:dyDescent="0.35">
      <c r="B456" s="4"/>
    </row>
    <row r="457" spans="2:2" ht="15" customHeight="1" thickBot="1" x14ac:dyDescent="0.35">
      <c r="B457" s="4"/>
    </row>
    <row r="458" spans="2:2" ht="15" customHeight="1" thickBot="1" x14ac:dyDescent="0.35">
      <c r="B458" s="4"/>
    </row>
    <row r="459" spans="2:2" ht="15" customHeight="1" thickBot="1" x14ac:dyDescent="0.35">
      <c r="B459" s="4"/>
    </row>
    <row r="460" spans="2:2" ht="15" customHeight="1" thickBot="1" x14ac:dyDescent="0.35">
      <c r="B460" s="4"/>
    </row>
    <row r="461" spans="2:2" ht="15" customHeight="1" thickBot="1" x14ac:dyDescent="0.35">
      <c r="B461" s="4"/>
    </row>
    <row r="462" spans="2:2" ht="15" customHeight="1" thickBot="1" x14ac:dyDescent="0.35">
      <c r="B462" s="4"/>
    </row>
    <row r="463" spans="2:2" ht="15" customHeight="1" thickBot="1" x14ac:dyDescent="0.35">
      <c r="B463" s="4"/>
    </row>
    <row r="464" spans="2:2" ht="15" customHeight="1" thickBot="1" x14ac:dyDescent="0.35">
      <c r="B464" s="4"/>
    </row>
    <row r="465" spans="2:2" ht="15" customHeight="1" thickBot="1" x14ac:dyDescent="0.35">
      <c r="B465" s="4"/>
    </row>
    <row r="466" spans="2:2" ht="15" customHeight="1" thickBot="1" x14ac:dyDescent="0.35">
      <c r="B466" s="4"/>
    </row>
    <row r="467" spans="2:2" ht="15" customHeight="1" thickBot="1" x14ac:dyDescent="0.35">
      <c r="B467" s="4"/>
    </row>
    <row r="468" spans="2:2" ht="15" customHeight="1" thickBot="1" x14ac:dyDescent="0.35">
      <c r="B468" s="4"/>
    </row>
    <row r="469" spans="2:2" ht="15" customHeight="1" thickBot="1" x14ac:dyDescent="0.35">
      <c r="B469" s="4"/>
    </row>
    <row r="470" spans="2:2" ht="15" customHeight="1" thickBot="1" x14ac:dyDescent="0.35">
      <c r="B470" s="4"/>
    </row>
    <row r="471" spans="2:2" ht="15" customHeight="1" thickBot="1" x14ac:dyDescent="0.35">
      <c r="B471" s="4"/>
    </row>
    <row r="472" spans="2:2" ht="15" customHeight="1" thickBot="1" x14ac:dyDescent="0.35">
      <c r="B472" s="4"/>
    </row>
    <row r="473" spans="2:2" ht="15" customHeight="1" thickBot="1" x14ac:dyDescent="0.35">
      <c r="B473" s="4"/>
    </row>
    <row r="474" spans="2:2" ht="15" customHeight="1" thickBot="1" x14ac:dyDescent="0.35">
      <c r="B474" s="4"/>
    </row>
    <row r="475" spans="2:2" ht="15" customHeight="1" thickBot="1" x14ac:dyDescent="0.35">
      <c r="B475" s="4"/>
    </row>
    <row r="476" spans="2:2" ht="15" customHeight="1" thickBot="1" x14ac:dyDescent="0.35">
      <c r="B476" s="4"/>
    </row>
    <row r="477" spans="2:2" ht="15" customHeight="1" thickBot="1" x14ac:dyDescent="0.35">
      <c r="B477" s="4"/>
    </row>
    <row r="478" spans="2:2" ht="15" customHeight="1" thickBot="1" x14ac:dyDescent="0.35">
      <c r="B478" s="4"/>
    </row>
    <row r="479" spans="2:2" ht="15" customHeight="1" thickBot="1" x14ac:dyDescent="0.35">
      <c r="B479" s="4"/>
    </row>
    <row r="480" spans="2:2" ht="15" customHeight="1" thickBot="1" x14ac:dyDescent="0.35">
      <c r="B480" s="4"/>
    </row>
    <row r="481" spans="2:2" ht="15" customHeight="1" thickBot="1" x14ac:dyDescent="0.35">
      <c r="B481" s="4"/>
    </row>
    <row r="482" spans="2:2" ht="15" customHeight="1" thickBot="1" x14ac:dyDescent="0.35">
      <c r="B482" s="4"/>
    </row>
    <row r="483" spans="2:2" ht="15" customHeight="1" thickBot="1" x14ac:dyDescent="0.35">
      <c r="B483" s="4"/>
    </row>
    <row r="484" spans="2:2" ht="15" customHeight="1" thickBot="1" x14ac:dyDescent="0.35">
      <c r="B484" s="4"/>
    </row>
    <row r="485" spans="2:2" ht="15" customHeight="1" thickBot="1" x14ac:dyDescent="0.35">
      <c r="B485" s="4"/>
    </row>
    <row r="486" spans="2:2" ht="15" customHeight="1" thickBot="1" x14ac:dyDescent="0.35">
      <c r="B486" s="4"/>
    </row>
    <row r="487" spans="2:2" ht="15" customHeight="1" thickBot="1" x14ac:dyDescent="0.35">
      <c r="B487" s="4"/>
    </row>
    <row r="488" spans="2:2" ht="15" customHeight="1" thickBot="1" x14ac:dyDescent="0.35">
      <c r="B488" s="4"/>
    </row>
    <row r="489" spans="2:2" ht="15" customHeight="1" thickBot="1" x14ac:dyDescent="0.35">
      <c r="B489" s="4"/>
    </row>
    <row r="490" spans="2:2" ht="15" customHeight="1" thickBot="1" x14ac:dyDescent="0.35">
      <c r="B490" s="4"/>
    </row>
    <row r="491" spans="2:2" ht="15" customHeight="1" thickBot="1" x14ac:dyDescent="0.35">
      <c r="B491" s="4"/>
    </row>
    <row r="492" spans="2:2" ht="15" customHeight="1" thickBot="1" x14ac:dyDescent="0.35">
      <c r="B492" s="4"/>
    </row>
    <row r="493" spans="2:2" ht="15" customHeight="1" thickBot="1" x14ac:dyDescent="0.35">
      <c r="B493" s="4"/>
    </row>
    <row r="494" spans="2:2" ht="15" customHeight="1" thickBot="1" x14ac:dyDescent="0.35">
      <c r="B494" s="4"/>
    </row>
    <row r="495" spans="2:2" ht="15" customHeight="1" thickBot="1" x14ac:dyDescent="0.35">
      <c r="B495" s="4"/>
    </row>
    <row r="496" spans="2:2" ht="15" customHeight="1" thickBot="1" x14ac:dyDescent="0.35">
      <c r="B496" s="4"/>
    </row>
    <row r="497" spans="2:2" ht="15" customHeight="1" thickBot="1" x14ac:dyDescent="0.35">
      <c r="B497" s="4"/>
    </row>
    <row r="498" spans="2:2" ht="15" customHeight="1" thickBot="1" x14ac:dyDescent="0.35">
      <c r="B498" s="4"/>
    </row>
    <row r="499" spans="2:2" ht="15" customHeight="1" thickBot="1" x14ac:dyDescent="0.35">
      <c r="B499" s="4"/>
    </row>
    <row r="500" spans="2:2" ht="15" customHeight="1" thickBot="1" x14ac:dyDescent="0.35">
      <c r="B500" s="4"/>
    </row>
    <row r="501" spans="2:2" ht="15" customHeight="1" thickBot="1" x14ac:dyDescent="0.35">
      <c r="B501" s="4"/>
    </row>
    <row r="502" spans="2:2" ht="15" customHeight="1" thickBot="1" x14ac:dyDescent="0.35">
      <c r="B502" s="4"/>
    </row>
    <row r="503" spans="2:2" ht="15" customHeight="1" thickBot="1" x14ac:dyDescent="0.35">
      <c r="B503" s="4"/>
    </row>
    <row r="504" spans="2:2" ht="15" customHeight="1" thickBot="1" x14ac:dyDescent="0.35">
      <c r="B504" s="4"/>
    </row>
    <row r="505" spans="2:2" ht="15" customHeight="1" thickBot="1" x14ac:dyDescent="0.35">
      <c r="B505" s="4"/>
    </row>
    <row r="506" spans="2:2" ht="15" customHeight="1" thickBot="1" x14ac:dyDescent="0.35">
      <c r="B506" s="4"/>
    </row>
    <row r="507" spans="2:2" ht="15" customHeight="1" thickBot="1" x14ac:dyDescent="0.35">
      <c r="B507" s="4"/>
    </row>
    <row r="508" spans="2:2" ht="15" customHeight="1" thickBot="1" x14ac:dyDescent="0.35">
      <c r="B508" s="4"/>
    </row>
    <row r="509" spans="2:2" ht="15" customHeight="1" thickBot="1" x14ac:dyDescent="0.35">
      <c r="B509" s="4"/>
    </row>
    <row r="510" spans="2:2" ht="15" customHeight="1" thickBot="1" x14ac:dyDescent="0.35">
      <c r="B510" s="4"/>
    </row>
    <row r="511" spans="2:2" ht="15" customHeight="1" thickBot="1" x14ac:dyDescent="0.35">
      <c r="B511" s="4"/>
    </row>
    <row r="512" spans="2:2" ht="15" customHeight="1" thickBot="1" x14ac:dyDescent="0.35">
      <c r="B512" s="4"/>
    </row>
    <row r="513" spans="2:2" ht="15" customHeight="1" thickBot="1" x14ac:dyDescent="0.35">
      <c r="B513" s="4"/>
    </row>
    <row r="514" spans="2:2" ht="15" customHeight="1" thickBot="1" x14ac:dyDescent="0.35">
      <c r="B514" s="4"/>
    </row>
    <row r="515" spans="2:2" ht="15" customHeight="1" thickBot="1" x14ac:dyDescent="0.35">
      <c r="B515" s="4"/>
    </row>
    <row r="516" spans="2:2" ht="15" customHeight="1" thickBot="1" x14ac:dyDescent="0.35">
      <c r="B516" s="4"/>
    </row>
    <row r="517" spans="2:2" ht="15" customHeight="1" thickBot="1" x14ac:dyDescent="0.35">
      <c r="B517" s="4"/>
    </row>
    <row r="518" spans="2:2" ht="15" customHeight="1" thickBot="1" x14ac:dyDescent="0.35">
      <c r="B518" s="4"/>
    </row>
    <row r="519" spans="2:2" ht="15" customHeight="1" thickBot="1" x14ac:dyDescent="0.35">
      <c r="B519" s="4"/>
    </row>
    <row r="520" spans="2:2" ht="15" customHeight="1" thickBot="1" x14ac:dyDescent="0.35">
      <c r="B520" s="4"/>
    </row>
    <row r="521" spans="2:2" ht="15" customHeight="1" thickBot="1" x14ac:dyDescent="0.35">
      <c r="B521" s="4"/>
    </row>
    <row r="522" spans="2:2" ht="15" customHeight="1" thickBot="1" x14ac:dyDescent="0.35">
      <c r="B522" s="4"/>
    </row>
    <row r="523" spans="2:2" ht="15" customHeight="1" thickBot="1" x14ac:dyDescent="0.35">
      <c r="B523" s="4"/>
    </row>
    <row r="524" spans="2:2" ht="15" customHeight="1" thickBot="1" x14ac:dyDescent="0.35">
      <c r="B524" s="4"/>
    </row>
    <row r="525" spans="2:2" ht="15" customHeight="1" thickBot="1" x14ac:dyDescent="0.35">
      <c r="B525" s="4"/>
    </row>
    <row r="526" spans="2:2" ht="15" customHeight="1" thickBot="1" x14ac:dyDescent="0.35">
      <c r="B526" s="4"/>
    </row>
    <row r="527" spans="2:2" ht="15" customHeight="1" thickBot="1" x14ac:dyDescent="0.35">
      <c r="B527" s="4"/>
    </row>
    <row r="528" spans="2:2" ht="15" customHeight="1" thickBot="1" x14ac:dyDescent="0.35">
      <c r="B528" s="4"/>
    </row>
    <row r="529" spans="2:2" ht="15" customHeight="1" thickBot="1" x14ac:dyDescent="0.35">
      <c r="B529" s="4"/>
    </row>
    <row r="530" spans="2:2" ht="15" customHeight="1" thickBot="1" x14ac:dyDescent="0.35">
      <c r="B530" s="4"/>
    </row>
    <row r="531" spans="2:2" ht="15" customHeight="1" thickBot="1" x14ac:dyDescent="0.35">
      <c r="B531" s="4"/>
    </row>
    <row r="532" spans="2:2" ht="15" customHeight="1" thickBot="1" x14ac:dyDescent="0.35">
      <c r="B532" s="4"/>
    </row>
    <row r="533" spans="2:2" ht="15" customHeight="1" thickBot="1" x14ac:dyDescent="0.35">
      <c r="B533" s="4"/>
    </row>
    <row r="534" spans="2:2" ht="15" customHeight="1" thickBot="1" x14ac:dyDescent="0.35">
      <c r="B534" s="4"/>
    </row>
    <row r="535" spans="2:2" ht="15" customHeight="1" thickBot="1" x14ac:dyDescent="0.35">
      <c r="B535" s="4"/>
    </row>
    <row r="536" spans="2:2" ht="15" customHeight="1" thickBot="1" x14ac:dyDescent="0.35">
      <c r="B536" s="4"/>
    </row>
    <row r="537" spans="2:2" ht="15" customHeight="1" thickBot="1" x14ac:dyDescent="0.35">
      <c r="B537" s="4"/>
    </row>
    <row r="538" spans="2:2" ht="15" customHeight="1" thickBot="1" x14ac:dyDescent="0.35">
      <c r="B538" s="4"/>
    </row>
    <row r="539" spans="2:2" ht="15" customHeight="1" thickBot="1" x14ac:dyDescent="0.35">
      <c r="B539" s="4"/>
    </row>
    <row r="540" spans="2:2" ht="15" customHeight="1" thickBot="1" x14ac:dyDescent="0.35">
      <c r="B540" s="4"/>
    </row>
    <row r="541" spans="2:2" ht="15" customHeight="1" thickBot="1" x14ac:dyDescent="0.35">
      <c r="B541" s="4"/>
    </row>
    <row r="542" spans="2:2" ht="15" customHeight="1" thickBot="1" x14ac:dyDescent="0.35">
      <c r="B542" s="4"/>
    </row>
    <row r="543" spans="2:2" ht="15" customHeight="1" thickBot="1" x14ac:dyDescent="0.35">
      <c r="B543" s="4"/>
    </row>
    <row r="544" spans="2:2" ht="15" customHeight="1" thickBot="1" x14ac:dyDescent="0.35">
      <c r="B544" s="4"/>
    </row>
    <row r="545" spans="2:2" ht="15" customHeight="1" thickBot="1" x14ac:dyDescent="0.35">
      <c r="B545" s="4"/>
    </row>
    <row r="546" spans="2:2" ht="15" customHeight="1" thickBot="1" x14ac:dyDescent="0.35">
      <c r="B546" s="4"/>
    </row>
    <row r="547" spans="2:2" ht="15" customHeight="1" thickBot="1" x14ac:dyDescent="0.35">
      <c r="B547" s="4"/>
    </row>
    <row r="548" spans="2:2" ht="15" customHeight="1" thickBot="1" x14ac:dyDescent="0.35">
      <c r="B548" s="4"/>
    </row>
    <row r="549" spans="2:2" ht="15" customHeight="1" thickBot="1" x14ac:dyDescent="0.35">
      <c r="B549" s="4"/>
    </row>
    <row r="550" spans="2:2" ht="15" customHeight="1" thickBot="1" x14ac:dyDescent="0.35">
      <c r="B550" s="4"/>
    </row>
    <row r="551" spans="2:2" ht="15" customHeight="1" thickBot="1" x14ac:dyDescent="0.35">
      <c r="B551" s="4"/>
    </row>
    <row r="552" spans="2:2" ht="15" customHeight="1" thickBot="1" x14ac:dyDescent="0.35">
      <c r="B552" s="4"/>
    </row>
    <row r="553" spans="2:2" ht="15" customHeight="1" thickBot="1" x14ac:dyDescent="0.35">
      <c r="B553" s="4"/>
    </row>
    <row r="554" spans="2:2" ht="15" customHeight="1" thickBot="1" x14ac:dyDescent="0.35">
      <c r="B554" s="4"/>
    </row>
    <row r="555" spans="2:2" ht="15" customHeight="1" thickBot="1" x14ac:dyDescent="0.35">
      <c r="B555" s="4"/>
    </row>
    <row r="556" spans="2:2" ht="15" customHeight="1" thickBot="1" x14ac:dyDescent="0.35">
      <c r="B556" s="4"/>
    </row>
    <row r="557" spans="2:2" ht="15" customHeight="1" thickBot="1" x14ac:dyDescent="0.35">
      <c r="B557" s="4"/>
    </row>
    <row r="558" spans="2:2" ht="15" customHeight="1" thickBot="1" x14ac:dyDescent="0.35">
      <c r="B558" s="4"/>
    </row>
    <row r="559" spans="2:2" ht="15" customHeight="1" thickBot="1" x14ac:dyDescent="0.35">
      <c r="B559" s="4"/>
    </row>
    <row r="560" spans="2:2" ht="15" customHeight="1" thickBot="1" x14ac:dyDescent="0.35">
      <c r="B560" s="4"/>
    </row>
    <row r="561" spans="2:2" ht="15" customHeight="1" thickBot="1" x14ac:dyDescent="0.35">
      <c r="B561" s="4"/>
    </row>
    <row r="562" spans="2:2" ht="15" customHeight="1" thickBot="1" x14ac:dyDescent="0.35">
      <c r="B562" s="4"/>
    </row>
    <row r="563" spans="2:2" ht="15" customHeight="1" thickBot="1" x14ac:dyDescent="0.35">
      <c r="B563" s="4"/>
    </row>
    <row r="564" spans="2:2" ht="15" customHeight="1" thickBot="1" x14ac:dyDescent="0.35">
      <c r="B564" s="4"/>
    </row>
    <row r="565" spans="2:2" ht="15" customHeight="1" thickBot="1" x14ac:dyDescent="0.35">
      <c r="B565" s="4"/>
    </row>
    <row r="566" spans="2:2" ht="15" customHeight="1" thickBot="1" x14ac:dyDescent="0.35">
      <c r="B566" s="4"/>
    </row>
    <row r="567" spans="2:2" ht="15" customHeight="1" thickBot="1" x14ac:dyDescent="0.35">
      <c r="B567" s="4"/>
    </row>
    <row r="568" spans="2:2" ht="15" customHeight="1" thickBot="1" x14ac:dyDescent="0.35">
      <c r="B568" s="4"/>
    </row>
    <row r="569" spans="2:2" ht="15" customHeight="1" thickBot="1" x14ac:dyDescent="0.35">
      <c r="B569" s="4"/>
    </row>
    <row r="570" spans="2:2" ht="15" customHeight="1" thickBot="1" x14ac:dyDescent="0.35">
      <c r="B570" s="4"/>
    </row>
    <row r="571" spans="2:2" ht="15" customHeight="1" thickBot="1" x14ac:dyDescent="0.35">
      <c r="B571" s="4"/>
    </row>
    <row r="572" spans="2:2" ht="15" customHeight="1" thickBot="1" x14ac:dyDescent="0.35">
      <c r="B572" s="4"/>
    </row>
    <row r="573" spans="2:2" ht="15" customHeight="1" thickBot="1" x14ac:dyDescent="0.35">
      <c r="B573" s="4"/>
    </row>
    <row r="574" spans="2:2" ht="15" customHeight="1" thickBot="1" x14ac:dyDescent="0.35">
      <c r="B574" s="4"/>
    </row>
    <row r="575" spans="2:2" ht="15" customHeight="1" thickBot="1" x14ac:dyDescent="0.35">
      <c r="B575" s="4"/>
    </row>
    <row r="576" spans="2:2" ht="15" customHeight="1" thickBot="1" x14ac:dyDescent="0.35">
      <c r="B576" s="4"/>
    </row>
    <row r="577" spans="2:2" ht="15" customHeight="1" thickBot="1" x14ac:dyDescent="0.35">
      <c r="B577" s="4"/>
    </row>
    <row r="578" spans="2:2" ht="15" customHeight="1" thickBot="1" x14ac:dyDescent="0.35">
      <c r="B578" s="4"/>
    </row>
    <row r="579" spans="2:2" ht="15" customHeight="1" thickBot="1" x14ac:dyDescent="0.35">
      <c r="B579" s="4"/>
    </row>
    <row r="580" spans="2:2" ht="15" customHeight="1" thickBot="1" x14ac:dyDescent="0.35">
      <c r="B580" s="4"/>
    </row>
    <row r="581" spans="2:2" ht="15" customHeight="1" thickBot="1" x14ac:dyDescent="0.35">
      <c r="B581" s="4"/>
    </row>
    <row r="582" spans="2:2" ht="15" customHeight="1" thickBot="1" x14ac:dyDescent="0.35">
      <c r="B582" s="4"/>
    </row>
    <row r="583" spans="2:2" ht="15" customHeight="1" thickBot="1" x14ac:dyDescent="0.35">
      <c r="B583" s="4"/>
    </row>
    <row r="584" spans="2:2" ht="15" customHeight="1" thickBot="1" x14ac:dyDescent="0.35">
      <c r="B584" s="4"/>
    </row>
    <row r="585" spans="2:2" ht="15" customHeight="1" thickBot="1" x14ac:dyDescent="0.35">
      <c r="B585" s="4"/>
    </row>
    <row r="586" spans="2:2" ht="15" customHeight="1" thickBot="1" x14ac:dyDescent="0.35">
      <c r="B586" s="4"/>
    </row>
    <row r="587" spans="2:2" ht="15" customHeight="1" thickBot="1" x14ac:dyDescent="0.35">
      <c r="B587" s="4"/>
    </row>
    <row r="588" spans="2:2" ht="15" customHeight="1" thickBot="1" x14ac:dyDescent="0.35">
      <c r="B588" s="4"/>
    </row>
    <row r="589" spans="2:2" ht="15" customHeight="1" thickBot="1" x14ac:dyDescent="0.35">
      <c r="B589" s="4"/>
    </row>
    <row r="590" spans="2:2" ht="15" customHeight="1" thickBot="1" x14ac:dyDescent="0.35">
      <c r="B590" s="4"/>
    </row>
    <row r="591" spans="2:2" ht="15" customHeight="1" thickBot="1" x14ac:dyDescent="0.35">
      <c r="B591" s="4"/>
    </row>
    <row r="592" spans="2:2" ht="15" customHeight="1" thickBot="1" x14ac:dyDescent="0.35">
      <c r="B592" s="4"/>
    </row>
    <row r="593" spans="2:2" ht="15" customHeight="1" thickBot="1" x14ac:dyDescent="0.35">
      <c r="B593" s="4"/>
    </row>
    <row r="594" spans="2:2" ht="15" customHeight="1" thickBot="1" x14ac:dyDescent="0.35">
      <c r="B594" s="4"/>
    </row>
    <row r="595" spans="2:2" ht="15" customHeight="1" thickBot="1" x14ac:dyDescent="0.35">
      <c r="B595" s="4"/>
    </row>
    <row r="596" spans="2:2" ht="15" customHeight="1" thickBot="1" x14ac:dyDescent="0.35">
      <c r="B596" s="4"/>
    </row>
    <row r="597" spans="2:2" ht="15" customHeight="1" thickBot="1" x14ac:dyDescent="0.35">
      <c r="B597" s="4"/>
    </row>
    <row r="598" spans="2:2" ht="15" customHeight="1" thickBot="1" x14ac:dyDescent="0.35">
      <c r="B598" s="4"/>
    </row>
    <row r="599" spans="2:2" ht="15" customHeight="1" thickBot="1" x14ac:dyDescent="0.35">
      <c r="B599" s="4"/>
    </row>
    <row r="600" spans="2:2" ht="15" customHeight="1" thickBot="1" x14ac:dyDescent="0.35">
      <c r="B600" s="4"/>
    </row>
    <row r="601" spans="2:2" ht="15" customHeight="1" thickBot="1" x14ac:dyDescent="0.35">
      <c r="B601" s="4"/>
    </row>
    <row r="602" spans="2:2" ht="15" customHeight="1" thickBot="1" x14ac:dyDescent="0.35">
      <c r="B602" s="4"/>
    </row>
    <row r="603" spans="2:2" ht="15" customHeight="1" thickBot="1" x14ac:dyDescent="0.35">
      <c r="B603" s="4"/>
    </row>
    <row r="604" spans="2:2" ht="15" customHeight="1" thickBot="1" x14ac:dyDescent="0.35">
      <c r="B604" s="4"/>
    </row>
    <row r="605" spans="2:2" ht="15" customHeight="1" thickBot="1" x14ac:dyDescent="0.35">
      <c r="B605" s="4"/>
    </row>
    <row r="606" spans="2:2" ht="15" customHeight="1" thickBot="1" x14ac:dyDescent="0.35">
      <c r="B606" s="4"/>
    </row>
    <row r="607" spans="2:2" ht="15" customHeight="1" thickBot="1" x14ac:dyDescent="0.35">
      <c r="B607" s="4"/>
    </row>
    <row r="608" spans="2:2" ht="15" customHeight="1" thickBot="1" x14ac:dyDescent="0.35">
      <c r="B608" s="4"/>
    </row>
    <row r="609" spans="2:2" ht="15" customHeight="1" thickBot="1" x14ac:dyDescent="0.35">
      <c r="B609" s="4"/>
    </row>
    <row r="610" spans="2:2" ht="15" customHeight="1" thickBot="1" x14ac:dyDescent="0.35">
      <c r="B610" s="4"/>
    </row>
    <row r="611" spans="2:2" ht="15" customHeight="1" thickBot="1" x14ac:dyDescent="0.35">
      <c r="B611" s="4"/>
    </row>
    <row r="612" spans="2:2" ht="15" customHeight="1" thickBot="1" x14ac:dyDescent="0.35">
      <c r="B612" s="4"/>
    </row>
    <row r="613" spans="2:2" ht="15" customHeight="1" thickBot="1" x14ac:dyDescent="0.35">
      <c r="B613" s="4"/>
    </row>
    <row r="614" spans="2:2" ht="15" customHeight="1" thickBot="1" x14ac:dyDescent="0.35">
      <c r="B614" s="4"/>
    </row>
    <row r="615" spans="2:2" ht="15" customHeight="1" thickBot="1" x14ac:dyDescent="0.35">
      <c r="B615" s="4"/>
    </row>
    <row r="616" spans="2:2" ht="15" customHeight="1" thickBot="1" x14ac:dyDescent="0.35">
      <c r="B616" s="4"/>
    </row>
    <row r="617" spans="2:2" ht="15" customHeight="1" thickBot="1" x14ac:dyDescent="0.35">
      <c r="B617" s="4"/>
    </row>
    <row r="618" spans="2:2" ht="15" customHeight="1" thickBot="1" x14ac:dyDescent="0.35">
      <c r="B618" s="4"/>
    </row>
    <row r="619" spans="2:2" ht="15" customHeight="1" thickBot="1" x14ac:dyDescent="0.35">
      <c r="B619" s="4"/>
    </row>
    <row r="620" spans="2:2" ht="15" customHeight="1" thickBot="1" x14ac:dyDescent="0.35">
      <c r="B620" s="4"/>
    </row>
    <row r="621" spans="2:2" ht="15" customHeight="1" thickBot="1" x14ac:dyDescent="0.35">
      <c r="B621" s="4"/>
    </row>
    <row r="622" spans="2:2" ht="15" customHeight="1" thickBot="1" x14ac:dyDescent="0.35">
      <c r="B622" s="4"/>
    </row>
    <row r="623" spans="2:2" ht="15" customHeight="1" thickBot="1" x14ac:dyDescent="0.35">
      <c r="B623" s="4"/>
    </row>
    <row r="624" spans="2:2" ht="15" customHeight="1" thickBot="1" x14ac:dyDescent="0.35">
      <c r="B624" s="4"/>
    </row>
    <row r="625" spans="2:2" ht="15" customHeight="1" thickBot="1" x14ac:dyDescent="0.35">
      <c r="B625" s="4"/>
    </row>
    <row r="626" spans="2:2" ht="15" customHeight="1" thickBot="1" x14ac:dyDescent="0.35">
      <c r="B626" s="4"/>
    </row>
    <row r="627" spans="2:2" ht="15" customHeight="1" thickBot="1" x14ac:dyDescent="0.35">
      <c r="B627" s="4"/>
    </row>
    <row r="628" spans="2:2" ht="15" customHeight="1" thickBot="1" x14ac:dyDescent="0.35">
      <c r="B628" s="4"/>
    </row>
    <row r="629" spans="2:2" ht="15" customHeight="1" thickBot="1" x14ac:dyDescent="0.35">
      <c r="B629" s="4"/>
    </row>
    <row r="630" spans="2:2" ht="15" customHeight="1" thickBot="1" x14ac:dyDescent="0.35">
      <c r="B630" s="4"/>
    </row>
    <row r="631" spans="2:2" ht="15" customHeight="1" thickBot="1" x14ac:dyDescent="0.35">
      <c r="B631" s="4"/>
    </row>
    <row r="632" spans="2:2" ht="15" customHeight="1" thickBot="1" x14ac:dyDescent="0.35">
      <c r="B632" s="4"/>
    </row>
    <row r="633" spans="2:2" ht="15" customHeight="1" thickBot="1" x14ac:dyDescent="0.35">
      <c r="B633" s="4"/>
    </row>
    <row r="634" spans="2:2" ht="15" customHeight="1" thickBot="1" x14ac:dyDescent="0.35">
      <c r="B634" s="4"/>
    </row>
    <row r="635" spans="2:2" ht="15" customHeight="1" thickBot="1" x14ac:dyDescent="0.35">
      <c r="B635" s="4"/>
    </row>
    <row r="636" spans="2:2" ht="15" customHeight="1" thickBot="1" x14ac:dyDescent="0.35">
      <c r="B636" s="4"/>
    </row>
    <row r="637" spans="2:2" ht="15" customHeight="1" thickBot="1" x14ac:dyDescent="0.35">
      <c r="B637" s="4"/>
    </row>
    <row r="638" spans="2:2" ht="15" customHeight="1" thickBot="1" x14ac:dyDescent="0.35">
      <c r="B638" s="4"/>
    </row>
    <row r="639" spans="2:2" ht="15" customHeight="1" thickBot="1" x14ac:dyDescent="0.35">
      <c r="B639" s="4"/>
    </row>
    <row r="640" spans="2:2" ht="15" customHeight="1" thickBot="1" x14ac:dyDescent="0.35">
      <c r="B640" s="4"/>
    </row>
    <row r="641" spans="2:2" ht="15" customHeight="1" thickBot="1" x14ac:dyDescent="0.35">
      <c r="B641" s="4"/>
    </row>
    <row r="642" spans="2:2" ht="15" customHeight="1" thickBot="1" x14ac:dyDescent="0.35">
      <c r="B642" s="4"/>
    </row>
    <row r="643" spans="2:2" ht="15" customHeight="1" thickBot="1" x14ac:dyDescent="0.35">
      <c r="B643" s="4"/>
    </row>
    <row r="644" spans="2:2" ht="15" customHeight="1" thickBot="1" x14ac:dyDescent="0.35">
      <c r="B644" s="4"/>
    </row>
    <row r="645" spans="2:2" ht="15" customHeight="1" thickBot="1" x14ac:dyDescent="0.35">
      <c r="B645" s="4"/>
    </row>
    <row r="646" spans="2:2" ht="15" customHeight="1" thickBot="1" x14ac:dyDescent="0.35">
      <c r="B646" s="4"/>
    </row>
    <row r="647" spans="2:2" ht="15" customHeight="1" thickBot="1" x14ac:dyDescent="0.35">
      <c r="B647" s="4"/>
    </row>
    <row r="648" spans="2:2" ht="15" customHeight="1" thickBot="1" x14ac:dyDescent="0.35">
      <c r="B648" s="4"/>
    </row>
    <row r="649" spans="2:2" ht="15" customHeight="1" thickBot="1" x14ac:dyDescent="0.35">
      <c r="B649" s="4"/>
    </row>
    <row r="650" spans="2:2" ht="15" customHeight="1" thickBot="1" x14ac:dyDescent="0.35">
      <c r="B650" s="4"/>
    </row>
    <row r="651" spans="2:2" ht="15" customHeight="1" thickBot="1" x14ac:dyDescent="0.35">
      <c r="B651" s="4"/>
    </row>
    <row r="652" spans="2:2" ht="15" customHeight="1" thickBot="1" x14ac:dyDescent="0.35">
      <c r="B652" s="4"/>
    </row>
    <row r="653" spans="2:2" ht="15" customHeight="1" thickBot="1" x14ac:dyDescent="0.35">
      <c r="B653" s="4"/>
    </row>
    <row r="654" spans="2:2" ht="15" customHeight="1" thickBot="1" x14ac:dyDescent="0.35">
      <c r="B654" s="4"/>
    </row>
    <row r="655" spans="2:2" ht="15" customHeight="1" thickBot="1" x14ac:dyDescent="0.35">
      <c r="B655" s="4"/>
    </row>
    <row r="656" spans="2:2" ht="15" customHeight="1" thickBot="1" x14ac:dyDescent="0.35">
      <c r="B656" s="4"/>
    </row>
    <row r="657" spans="2:2" ht="15" customHeight="1" thickBot="1" x14ac:dyDescent="0.35">
      <c r="B657" s="4"/>
    </row>
    <row r="658" spans="2:2" ht="15" customHeight="1" thickBot="1" x14ac:dyDescent="0.35">
      <c r="B658" s="4"/>
    </row>
    <row r="659" spans="2:2" ht="15" customHeight="1" thickBot="1" x14ac:dyDescent="0.35">
      <c r="B659" s="4"/>
    </row>
    <row r="660" spans="2:2" ht="15" customHeight="1" thickBot="1" x14ac:dyDescent="0.35">
      <c r="B660" s="4"/>
    </row>
    <row r="661" spans="2:2" ht="15" customHeight="1" thickBot="1" x14ac:dyDescent="0.35">
      <c r="B661" s="4"/>
    </row>
    <row r="662" spans="2:2" ht="15" customHeight="1" thickBot="1" x14ac:dyDescent="0.35">
      <c r="B662" s="4"/>
    </row>
    <row r="663" spans="2:2" ht="15" customHeight="1" thickBot="1" x14ac:dyDescent="0.35">
      <c r="B663" s="4"/>
    </row>
    <row r="664" spans="2:2" ht="15" customHeight="1" thickBot="1" x14ac:dyDescent="0.35">
      <c r="B664" s="4"/>
    </row>
    <row r="665" spans="2:2" ht="15" customHeight="1" thickBot="1" x14ac:dyDescent="0.35">
      <c r="B665" s="4"/>
    </row>
    <row r="666" spans="2:2" ht="15" customHeight="1" thickBot="1" x14ac:dyDescent="0.35">
      <c r="B666" s="4"/>
    </row>
    <row r="667" spans="2:2" ht="15" customHeight="1" thickBot="1" x14ac:dyDescent="0.35">
      <c r="B667" s="4"/>
    </row>
    <row r="668" spans="2:2" ht="15" customHeight="1" thickBot="1" x14ac:dyDescent="0.35">
      <c r="B668" s="4"/>
    </row>
    <row r="669" spans="2:2" ht="15" customHeight="1" thickBot="1" x14ac:dyDescent="0.35">
      <c r="B669" s="4"/>
    </row>
    <row r="670" spans="2:2" ht="15" customHeight="1" thickBot="1" x14ac:dyDescent="0.35">
      <c r="B670" s="4"/>
    </row>
    <row r="671" spans="2:2" ht="15" customHeight="1" thickBot="1" x14ac:dyDescent="0.35">
      <c r="B671" s="4"/>
    </row>
    <row r="672" spans="2:2" ht="15" customHeight="1" thickBot="1" x14ac:dyDescent="0.35">
      <c r="B672" s="4"/>
    </row>
    <row r="673" spans="2:2" ht="15" customHeight="1" thickBot="1" x14ac:dyDescent="0.35">
      <c r="B673" s="4"/>
    </row>
    <row r="674" spans="2:2" ht="15" customHeight="1" thickBot="1" x14ac:dyDescent="0.35">
      <c r="B674" s="4"/>
    </row>
    <row r="675" spans="2:2" ht="15" customHeight="1" thickBot="1" x14ac:dyDescent="0.35">
      <c r="B675" s="4"/>
    </row>
    <row r="676" spans="2:2" ht="15" customHeight="1" thickBot="1" x14ac:dyDescent="0.35">
      <c r="B676" s="4"/>
    </row>
    <row r="677" spans="2:2" ht="15" customHeight="1" thickBot="1" x14ac:dyDescent="0.35">
      <c r="B677" s="4"/>
    </row>
    <row r="678" spans="2:2" ht="15" customHeight="1" thickBot="1" x14ac:dyDescent="0.35">
      <c r="B678" s="4"/>
    </row>
    <row r="679" spans="2:2" ht="15" customHeight="1" thickBot="1" x14ac:dyDescent="0.35">
      <c r="B679" s="4"/>
    </row>
    <row r="680" spans="2:2" ht="15" customHeight="1" thickBot="1" x14ac:dyDescent="0.35">
      <c r="B680" s="4"/>
    </row>
    <row r="681" spans="2:2" ht="15" customHeight="1" thickBot="1" x14ac:dyDescent="0.35">
      <c r="B681" s="4"/>
    </row>
    <row r="682" spans="2:2" ht="15" customHeight="1" thickBot="1" x14ac:dyDescent="0.35">
      <c r="B682" s="4"/>
    </row>
    <row r="683" spans="2:2" ht="15" customHeight="1" thickBot="1" x14ac:dyDescent="0.35">
      <c r="B683" s="4"/>
    </row>
    <row r="684" spans="2:2" ht="15" customHeight="1" thickBot="1" x14ac:dyDescent="0.35">
      <c r="B684" s="4"/>
    </row>
    <row r="685" spans="2:2" ht="15" customHeight="1" thickBot="1" x14ac:dyDescent="0.35">
      <c r="B685" s="4"/>
    </row>
    <row r="686" spans="2:2" ht="15" customHeight="1" thickBot="1" x14ac:dyDescent="0.35">
      <c r="B686" s="4"/>
    </row>
    <row r="687" spans="2:2" ht="15" customHeight="1" thickBot="1" x14ac:dyDescent="0.35">
      <c r="B687" s="4"/>
    </row>
    <row r="688" spans="2:2" ht="15" customHeight="1" thickBot="1" x14ac:dyDescent="0.35">
      <c r="B688" s="4"/>
    </row>
    <row r="689" spans="2:2" ht="15" customHeight="1" thickBot="1" x14ac:dyDescent="0.35">
      <c r="B689" s="4"/>
    </row>
    <row r="690" spans="2:2" ht="15" customHeight="1" thickBot="1" x14ac:dyDescent="0.35">
      <c r="B690" s="4"/>
    </row>
    <row r="691" spans="2:2" ht="15" customHeight="1" thickBot="1" x14ac:dyDescent="0.35">
      <c r="B691" s="4"/>
    </row>
    <row r="692" spans="2:2" ht="15" customHeight="1" thickBot="1" x14ac:dyDescent="0.35">
      <c r="B692" s="4"/>
    </row>
    <row r="693" spans="2:2" ht="15" customHeight="1" thickBot="1" x14ac:dyDescent="0.35">
      <c r="B693" s="4"/>
    </row>
    <row r="694" spans="2:2" ht="15" customHeight="1" thickBot="1" x14ac:dyDescent="0.35">
      <c r="B694" s="4"/>
    </row>
    <row r="695" spans="2:2" ht="15" customHeight="1" thickBot="1" x14ac:dyDescent="0.35">
      <c r="B695" s="4"/>
    </row>
    <row r="696" spans="2:2" ht="15" customHeight="1" thickBot="1" x14ac:dyDescent="0.35">
      <c r="B696" s="4"/>
    </row>
    <row r="697" spans="2:2" ht="15" customHeight="1" thickBot="1" x14ac:dyDescent="0.35">
      <c r="B697" s="4"/>
    </row>
    <row r="698" spans="2:2" ht="15" customHeight="1" thickBot="1" x14ac:dyDescent="0.35">
      <c r="B698" s="4"/>
    </row>
    <row r="699" spans="2:2" ht="15" customHeight="1" thickBot="1" x14ac:dyDescent="0.35">
      <c r="B699" s="4"/>
    </row>
    <row r="700" spans="2:2" ht="15" customHeight="1" thickBot="1" x14ac:dyDescent="0.35">
      <c r="B700" s="4"/>
    </row>
    <row r="701" spans="2:2" ht="15" customHeight="1" thickBot="1" x14ac:dyDescent="0.35">
      <c r="B701" s="4"/>
    </row>
    <row r="702" spans="2:2" ht="15" customHeight="1" thickBot="1" x14ac:dyDescent="0.35">
      <c r="B702" s="4"/>
    </row>
    <row r="703" spans="2:2" ht="15" customHeight="1" thickBot="1" x14ac:dyDescent="0.35">
      <c r="B703" s="4"/>
    </row>
    <row r="704" spans="2:2" ht="15" customHeight="1" thickBot="1" x14ac:dyDescent="0.35">
      <c r="B704" s="4"/>
    </row>
    <row r="705" spans="2:2" ht="15" customHeight="1" thickBot="1" x14ac:dyDescent="0.35">
      <c r="B705" s="4"/>
    </row>
    <row r="706" spans="2:2" ht="15" customHeight="1" thickBot="1" x14ac:dyDescent="0.35">
      <c r="B706" s="4"/>
    </row>
    <row r="707" spans="2:2" ht="15" customHeight="1" thickBot="1" x14ac:dyDescent="0.35">
      <c r="B707" s="4"/>
    </row>
    <row r="708" spans="2:2" ht="15" customHeight="1" thickBot="1" x14ac:dyDescent="0.35">
      <c r="B708" s="4"/>
    </row>
    <row r="709" spans="2:2" ht="15" customHeight="1" thickBot="1" x14ac:dyDescent="0.35">
      <c r="B709" s="4"/>
    </row>
    <row r="710" spans="2:2" ht="15" customHeight="1" thickBot="1" x14ac:dyDescent="0.35">
      <c r="B710" s="4"/>
    </row>
    <row r="711" spans="2:2" ht="15" customHeight="1" thickBot="1" x14ac:dyDescent="0.35">
      <c r="B711" s="4"/>
    </row>
    <row r="712" spans="2:2" ht="15" customHeight="1" thickBot="1" x14ac:dyDescent="0.35">
      <c r="B712" s="4"/>
    </row>
    <row r="713" spans="2:2" ht="15" customHeight="1" thickBot="1" x14ac:dyDescent="0.35">
      <c r="B713" s="4"/>
    </row>
    <row r="714" spans="2:2" ht="15" customHeight="1" thickBot="1" x14ac:dyDescent="0.35">
      <c r="B714" s="4"/>
    </row>
    <row r="715" spans="2:2" ht="15" customHeight="1" thickBot="1" x14ac:dyDescent="0.35">
      <c r="B715" s="4"/>
    </row>
    <row r="716" spans="2:2" ht="15" customHeight="1" thickBot="1" x14ac:dyDescent="0.35">
      <c r="B716" s="4"/>
    </row>
    <row r="717" spans="2:2" ht="15" customHeight="1" thickBot="1" x14ac:dyDescent="0.35">
      <c r="B717" s="4"/>
    </row>
    <row r="718" spans="2:2" ht="15" customHeight="1" thickBot="1" x14ac:dyDescent="0.35">
      <c r="B718" s="4"/>
    </row>
    <row r="719" spans="2:2" ht="15" customHeight="1" thickBot="1" x14ac:dyDescent="0.35">
      <c r="B719" s="4"/>
    </row>
    <row r="720" spans="2:2" ht="15" customHeight="1" thickBot="1" x14ac:dyDescent="0.35">
      <c r="B720" s="4"/>
    </row>
    <row r="721" spans="2:2" ht="15" customHeight="1" thickBot="1" x14ac:dyDescent="0.35">
      <c r="B721" s="4"/>
    </row>
    <row r="722" spans="2:2" ht="15" customHeight="1" thickBot="1" x14ac:dyDescent="0.35">
      <c r="B722" s="4"/>
    </row>
    <row r="723" spans="2:2" ht="15" customHeight="1" thickBot="1" x14ac:dyDescent="0.35">
      <c r="B723" s="4"/>
    </row>
    <row r="724" spans="2:2" ht="15" customHeight="1" thickBot="1" x14ac:dyDescent="0.35">
      <c r="B724" s="4"/>
    </row>
    <row r="725" spans="2:2" ht="15" customHeight="1" thickBot="1" x14ac:dyDescent="0.35">
      <c r="B725" s="4"/>
    </row>
    <row r="726" spans="2:2" ht="15" customHeight="1" thickBot="1" x14ac:dyDescent="0.35">
      <c r="B726" s="4"/>
    </row>
    <row r="727" spans="2:2" ht="15" customHeight="1" thickBot="1" x14ac:dyDescent="0.35">
      <c r="B727" s="4"/>
    </row>
    <row r="728" spans="2:2" ht="15" customHeight="1" thickBot="1" x14ac:dyDescent="0.35">
      <c r="B728" s="4"/>
    </row>
    <row r="729" spans="2:2" ht="15" customHeight="1" thickBot="1" x14ac:dyDescent="0.35">
      <c r="B729" s="4"/>
    </row>
    <row r="730" spans="2:2" ht="15" customHeight="1" thickBot="1" x14ac:dyDescent="0.35">
      <c r="B730" s="4"/>
    </row>
    <row r="731" spans="2:2" ht="15" customHeight="1" thickBot="1" x14ac:dyDescent="0.35">
      <c r="B731" s="4"/>
    </row>
    <row r="732" spans="2:2" ht="15" customHeight="1" thickBot="1" x14ac:dyDescent="0.35">
      <c r="B732" s="4"/>
    </row>
    <row r="733" spans="2:2" ht="15" customHeight="1" thickBot="1" x14ac:dyDescent="0.35">
      <c r="B733" s="4"/>
    </row>
    <row r="734" spans="2:2" ht="15" customHeight="1" thickBot="1" x14ac:dyDescent="0.35">
      <c r="B734" s="4"/>
    </row>
    <row r="735" spans="2:2" ht="15" customHeight="1" thickBot="1" x14ac:dyDescent="0.35">
      <c r="B735" s="4"/>
    </row>
    <row r="736" spans="2:2" ht="15" customHeight="1" thickBot="1" x14ac:dyDescent="0.35">
      <c r="B736" s="4"/>
    </row>
    <row r="737" spans="2:2" ht="15" customHeight="1" thickBot="1" x14ac:dyDescent="0.35">
      <c r="B737" s="4"/>
    </row>
    <row r="738" spans="2:2" ht="15" customHeight="1" thickBot="1" x14ac:dyDescent="0.35">
      <c r="B738" s="4"/>
    </row>
    <row r="739" spans="2:2" ht="15" customHeight="1" thickBot="1" x14ac:dyDescent="0.35">
      <c r="B739" s="4"/>
    </row>
    <row r="740" spans="2:2" ht="15" customHeight="1" thickBot="1" x14ac:dyDescent="0.35">
      <c r="B740" s="4"/>
    </row>
    <row r="741" spans="2:2" ht="15" customHeight="1" thickBot="1" x14ac:dyDescent="0.35">
      <c r="B741" s="4"/>
    </row>
    <row r="742" spans="2:2" ht="15" customHeight="1" thickBot="1" x14ac:dyDescent="0.35">
      <c r="B742" s="4"/>
    </row>
    <row r="743" spans="2:2" ht="15" customHeight="1" thickBot="1" x14ac:dyDescent="0.35">
      <c r="B743" s="4"/>
    </row>
    <row r="744" spans="2:2" ht="15" customHeight="1" thickBot="1" x14ac:dyDescent="0.35">
      <c r="B744" s="4"/>
    </row>
    <row r="745" spans="2:2" ht="15" customHeight="1" thickBot="1" x14ac:dyDescent="0.35">
      <c r="B745" s="4"/>
    </row>
    <row r="746" spans="2:2" ht="15" customHeight="1" thickBot="1" x14ac:dyDescent="0.35">
      <c r="B746" s="4"/>
    </row>
    <row r="747" spans="2:2" ht="15" customHeight="1" thickBot="1" x14ac:dyDescent="0.35">
      <c r="B747" s="4"/>
    </row>
    <row r="748" spans="2:2" ht="15" customHeight="1" thickBot="1" x14ac:dyDescent="0.35">
      <c r="B748" s="4"/>
    </row>
    <row r="749" spans="2:2" ht="15" customHeight="1" thickBot="1" x14ac:dyDescent="0.35">
      <c r="B749" s="4"/>
    </row>
    <row r="750" spans="2:2" ht="15" customHeight="1" thickBot="1" x14ac:dyDescent="0.35">
      <c r="B750" s="4"/>
    </row>
    <row r="751" spans="2:2" ht="15" customHeight="1" thickBot="1" x14ac:dyDescent="0.35">
      <c r="B751" s="4"/>
    </row>
    <row r="752" spans="2:2" ht="15" customHeight="1" thickBot="1" x14ac:dyDescent="0.35">
      <c r="B752" s="4"/>
    </row>
    <row r="753" spans="2:2" ht="15" customHeight="1" thickBot="1" x14ac:dyDescent="0.35">
      <c r="B753" s="4"/>
    </row>
    <row r="754" spans="2:2" ht="15" customHeight="1" thickBot="1" x14ac:dyDescent="0.35">
      <c r="B754" s="4"/>
    </row>
    <row r="755" spans="2:2" ht="15" customHeight="1" thickBot="1" x14ac:dyDescent="0.35">
      <c r="B755" s="4"/>
    </row>
    <row r="756" spans="2:2" ht="15" customHeight="1" thickBot="1" x14ac:dyDescent="0.35">
      <c r="B756" s="4"/>
    </row>
    <row r="757" spans="2:2" ht="15" customHeight="1" thickBot="1" x14ac:dyDescent="0.35">
      <c r="B757" s="4"/>
    </row>
    <row r="758" spans="2:2" ht="15" customHeight="1" thickBot="1" x14ac:dyDescent="0.35">
      <c r="B758" s="4"/>
    </row>
    <row r="759" spans="2:2" ht="15" customHeight="1" thickBot="1" x14ac:dyDescent="0.35">
      <c r="B759" s="4"/>
    </row>
    <row r="760" spans="2:2" ht="15" customHeight="1" thickBot="1" x14ac:dyDescent="0.35">
      <c r="B760" s="4"/>
    </row>
    <row r="761" spans="2:2" ht="15" customHeight="1" thickBot="1" x14ac:dyDescent="0.35">
      <c r="B761" s="4"/>
    </row>
    <row r="762" spans="2:2" ht="15" customHeight="1" thickBot="1" x14ac:dyDescent="0.35">
      <c r="B762" s="4"/>
    </row>
    <row r="763" spans="2:2" ht="15" customHeight="1" thickBot="1" x14ac:dyDescent="0.35">
      <c r="B763" s="4"/>
    </row>
    <row r="764" spans="2:2" ht="15" customHeight="1" thickBot="1" x14ac:dyDescent="0.35">
      <c r="B764" s="4"/>
    </row>
    <row r="765" spans="2:2" ht="15" customHeight="1" thickBot="1" x14ac:dyDescent="0.35">
      <c r="B765" s="4"/>
    </row>
    <row r="766" spans="2:2" ht="15" customHeight="1" thickBot="1" x14ac:dyDescent="0.35">
      <c r="B766" s="4"/>
    </row>
    <row r="767" spans="2:2" ht="15" customHeight="1" thickBot="1" x14ac:dyDescent="0.35">
      <c r="B767" s="4"/>
    </row>
    <row r="768" spans="2:2" ht="15" customHeight="1" thickBot="1" x14ac:dyDescent="0.35">
      <c r="B768" s="4"/>
    </row>
    <row r="769" spans="2:2" ht="15" customHeight="1" thickBot="1" x14ac:dyDescent="0.35">
      <c r="B769" s="4"/>
    </row>
    <row r="770" spans="2:2" ht="15" customHeight="1" thickBot="1" x14ac:dyDescent="0.35">
      <c r="B770" s="4"/>
    </row>
    <row r="771" spans="2:2" ht="15" customHeight="1" thickBot="1" x14ac:dyDescent="0.35">
      <c r="B771" s="4"/>
    </row>
    <row r="772" spans="2:2" ht="15" customHeight="1" thickBot="1" x14ac:dyDescent="0.35">
      <c r="B772" s="4"/>
    </row>
    <row r="773" spans="2:2" ht="15" customHeight="1" thickBot="1" x14ac:dyDescent="0.35">
      <c r="B773" s="4"/>
    </row>
    <row r="774" spans="2:2" ht="15" customHeight="1" thickBot="1" x14ac:dyDescent="0.35">
      <c r="B774" s="4"/>
    </row>
    <row r="775" spans="2:2" ht="15" customHeight="1" thickBot="1" x14ac:dyDescent="0.35">
      <c r="B775" s="4"/>
    </row>
    <row r="776" spans="2:2" ht="15" customHeight="1" thickBot="1" x14ac:dyDescent="0.35">
      <c r="B776" s="4"/>
    </row>
    <row r="777" spans="2:2" ht="15" customHeight="1" thickBot="1" x14ac:dyDescent="0.35">
      <c r="B777" s="4"/>
    </row>
    <row r="778" spans="2:2" ht="15" customHeight="1" thickBot="1" x14ac:dyDescent="0.35">
      <c r="B778" s="4"/>
    </row>
    <row r="779" spans="2:2" ht="15" customHeight="1" thickBot="1" x14ac:dyDescent="0.35">
      <c r="B779" s="4"/>
    </row>
    <row r="780" spans="2:2" ht="15" customHeight="1" thickBot="1" x14ac:dyDescent="0.35">
      <c r="B780" s="4"/>
    </row>
    <row r="781" spans="2:2" ht="15" customHeight="1" thickBot="1" x14ac:dyDescent="0.35">
      <c r="B781" s="4"/>
    </row>
    <row r="782" spans="2:2" ht="15" customHeight="1" thickBot="1" x14ac:dyDescent="0.35">
      <c r="B782" s="4"/>
    </row>
    <row r="783" spans="2:2" ht="15" customHeight="1" thickBot="1" x14ac:dyDescent="0.35">
      <c r="B783" s="4"/>
    </row>
    <row r="784" spans="2:2" ht="15" customHeight="1" thickBot="1" x14ac:dyDescent="0.35">
      <c r="B784" s="4"/>
    </row>
    <row r="785" spans="2:2" ht="15" customHeight="1" thickBot="1" x14ac:dyDescent="0.35">
      <c r="B785" s="4"/>
    </row>
    <row r="786" spans="2:2" ht="15" customHeight="1" thickBot="1" x14ac:dyDescent="0.35">
      <c r="B786" s="4"/>
    </row>
    <row r="787" spans="2:2" ht="15" customHeight="1" thickBot="1" x14ac:dyDescent="0.35">
      <c r="B787" s="4"/>
    </row>
    <row r="788" spans="2:2" ht="15" customHeight="1" thickBot="1" x14ac:dyDescent="0.35">
      <c r="B788" s="4"/>
    </row>
    <row r="789" spans="2:2" ht="15" customHeight="1" thickBot="1" x14ac:dyDescent="0.35">
      <c r="B789" s="4"/>
    </row>
    <row r="790" spans="2:2" ht="15" customHeight="1" thickBot="1" x14ac:dyDescent="0.35">
      <c r="B790" s="4"/>
    </row>
    <row r="791" spans="2:2" ht="15" customHeight="1" thickBot="1" x14ac:dyDescent="0.35">
      <c r="B791" s="4"/>
    </row>
    <row r="792" spans="2:2" ht="15" customHeight="1" thickBot="1" x14ac:dyDescent="0.35">
      <c r="B792" s="4"/>
    </row>
    <row r="793" spans="2:2" ht="15" customHeight="1" thickBot="1" x14ac:dyDescent="0.35">
      <c r="B793" s="4"/>
    </row>
    <row r="794" spans="2:2" ht="15" customHeight="1" thickBot="1" x14ac:dyDescent="0.35">
      <c r="B794" s="4"/>
    </row>
    <row r="795" spans="2:2" ht="15" customHeight="1" thickBot="1" x14ac:dyDescent="0.35">
      <c r="B795" s="4"/>
    </row>
    <row r="796" spans="2:2" ht="15" customHeight="1" thickBot="1" x14ac:dyDescent="0.35">
      <c r="B796" s="4"/>
    </row>
    <row r="797" spans="2:2" ht="15" customHeight="1" thickBot="1" x14ac:dyDescent="0.35">
      <c r="B797" s="4"/>
    </row>
    <row r="798" spans="2:2" ht="15" customHeight="1" thickBot="1" x14ac:dyDescent="0.35">
      <c r="B798" s="4"/>
    </row>
    <row r="799" spans="2:2" ht="15" customHeight="1" thickBot="1" x14ac:dyDescent="0.35">
      <c r="B799" s="4"/>
    </row>
    <row r="800" spans="2:2" ht="15" customHeight="1" thickBot="1" x14ac:dyDescent="0.35">
      <c r="B800" s="4"/>
    </row>
    <row r="801" spans="2:2" ht="15" customHeight="1" thickBot="1" x14ac:dyDescent="0.35">
      <c r="B801" s="4"/>
    </row>
    <row r="802" spans="2:2" ht="15" customHeight="1" thickBot="1" x14ac:dyDescent="0.35">
      <c r="B802" s="4"/>
    </row>
    <row r="803" spans="2:2" ht="15" customHeight="1" thickBot="1" x14ac:dyDescent="0.35">
      <c r="B803" s="4"/>
    </row>
    <row r="804" spans="2:2" ht="15" customHeight="1" thickBot="1" x14ac:dyDescent="0.35">
      <c r="B804" s="4"/>
    </row>
    <row r="805" spans="2:2" ht="15" customHeight="1" thickBot="1" x14ac:dyDescent="0.35">
      <c r="B805" s="4"/>
    </row>
    <row r="806" spans="2:2" ht="15" customHeight="1" thickBot="1" x14ac:dyDescent="0.35">
      <c r="B806" s="4"/>
    </row>
    <row r="807" spans="2:2" ht="15" customHeight="1" thickBot="1" x14ac:dyDescent="0.35">
      <c r="B807" s="4"/>
    </row>
    <row r="808" spans="2:2" ht="15" customHeight="1" thickBot="1" x14ac:dyDescent="0.35">
      <c r="B808" s="4"/>
    </row>
    <row r="809" spans="2:2" ht="15" customHeight="1" thickBot="1" x14ac:dyDescent="0.35">
      <c r="B809" s="4"/>
    </row>
    <row r="810" spans="2:2" ht="15" customHeight="1" thickBot="1" x14ac:dyDescent="0.35">
      <c r="B810" s="4"/>
    </row>
    <row r="811" spans="2:2" ht="15" customHeight="1" thickBot="1" x14ac:dyDescent="0.35">
      <c r="B811" s="4"/>
    </row>
    <row r="812" spans="2:2" ht="15" customHeight="1" thickBot="1" x14ac:dyDescent="0.35">
      <c r="B812" s="4"/>
    </row>
    <row r="813" spans="2:2" ht="15" customHeight="1" thickBot="1" x14ac:dyDescent="0.35">
      <c r="B813" s="4"/>
    </row>
    <row r="814" spans="2:2" ht="15" customHeight="1" thickBot="1" x14ac:dyDescent="0.35">
      <c r="B814" s="4"/>
    </row>
    <row r="815" spans="2:2" ht="15" customHeight="1" thickBot="1" x14ac:dyDescent="0.35">
      <c r="B815" s="4"/>
    </row>
    <row r="816" spans="2:2" ht="15" customHeight="1" thickBot="1" x14ac:dyDescent="0.35">
      <c r="B816" s="4"/>
    </row>
    <row r="817" spans="2:2" ht="15" customHeight="1" thickBot="1" x14ac:dyDescent="0.35">
      <c r="B817" s="4"/>
    </row>
    <row r="818" spans="2:2" ht="15" customHeight="1" thickBot="1" x14ac:dyDescent="0.35">
      <c r="B818" s="4"/>
    </row>
    <row r="819" spans="2:2" ht="15" customHeight="1" thickBot="1" x14ac:dyDescent="0.35">
      <c r="B819" s="4"/>
    </row>
    <row r="820" spans="2:2" ht="15" customHeight="1" thickBot="1" x14ac:dyDescent="0.35">
      <c r="B820" s="4"/>
    </row>
    <row r="821" spans="2:2" ht="15" customHeight="1" thickBot="1" x14ac:dyDescent="0.35">
      <c r="B821" s="4"/>
    </row>
    <row r="822" spans="2:2" ht="15" customHeight="1" thickBot="1" x14ac:dyDescent="0.35">
      <c r="B822" s="4"/>
    </row>
    <row r="823" spans="2:2" ht="15" customHeight="1" thickBot="1" x14ac:dyDescent="0.35">
      <c r="B823" s="4"/>
    </row>
    <row r="824" spans="2:2" ht="15" customHeight="1" thickBot="1" x14ac:dyDescent="0.35">
      <c r="B824" s="4"/>
    </row>
    <row r="825" spans="2:2" ht="15" customHeight="1" thickBot="1" x14ac:dyDescent="0.35">
      <c r="B825" s="4"/>
    </row>
    <row r="826" spans="2:2" ht="15" customHeight="1" thickBot="1" x14ac:dyDescent="0.35">
      <c r="B826" s="4"/>
    </row>
    <row r="827" spans="2:2" ht="15" customHeight="1" thickBot="1" x14ac:dyDescent="0.35">
      <c r="B827" s="4"/>
    </row>
    <row r="828" spans="2:2" ht="15" customHeight="1" thickBot="1" x14ac:dyDescent="0.35">
      <c r="B828" s="4"/>
    </row>
    <row r="829" spans="2:2" ht="15" customHeight="1" thickBot="1" x14ac:dyDescent="0.35">
      <c r="B829" s="4"/>
    </row>
    <row r="830" spans="2:2" ht="15" customHeight="1" thickBot="1" x14ac:dyDescent="0.35">
      <c r="B830" s="4"/>
    </row>
    <row r="831" spans="2:2" ht="15" customHeight="1" thickBot="1" x14ac:dyDescent="0.35">
      <c r="B831" s="4"/>
    </row>
    <row r="832" spans="2:2" ht="15" customHeight="1" thickBot="1" x14ac:dyDescent="0.35">
      <c r="B832" s="4"/>
    </row>
    <row r="833" spans="2:2" ht="15" customHeight="1" thickBot="1" x14ac:dyDescent="0.35">
      <c r="B833" s="4"/>
    </row>
    <row r="834" spans="2:2" ht="15" customHeight="1" thickBot="1" x14ac:dyDescent="0.35">
      <c r="B834" s="4"/>
    </row>
    <row r="835" spans="2:2" ht="15" customHeight="1" thickBot="1" x14ac:dyDescent="0.35">
      <c r="B835" s="4"/>
    </row>
    <row r="836" spans="2:2" ht="15" customHeight="1" thickBot="1" x14ac:dyDescent="0.35">
      <c r="B836" s="4"/>
    </row>
    <row r="837" spans="2:2" ht="15" customHeight="1" thickBot="1" x14ac:dyDescent="0.35">
      <c r="B837" s="4"/>
    </row>
    <row r="838" spans="2:2" ht="15" customHeight="1" thickBot="1" x14ac:dyDescent="0.35">
      <c r="B838" s="4"/>
    </row>
    <row r="839" spans="2:2" ht="15" customHeight="1" thickBot="1" x14ac:dyDescent="0.35">
      <c r="B839" s="4"/>
    </row>
    <row r="840" spans="2:2" ht="15" customHeight="1" thickBot="1" x14ac:dyDescent="0.35">
      <c r="B840" s="4"/>
    </row>
    <row r="841" spans="2:2" ht="15" customHeight="1" thickBot="1" x14ac:dyDescent="0.35">
      <c r="B841" s="4"/>
    </row>
    <row r="842" spans="2:2" ht="15" customHeight="1" thickBot="1" x14ac:dyDescent="0.35">
      <c r="B842" s="4"/>
    </row>
    <row r="843" spans="2:2" ht="15" customHeight="1" thickBot="1" x14ac:dyDescent="0.35">
      <c r="B843" s="4"/>
    </row>
    <row r="844" spans="2:2" ht="15" customHeight="1" thickBot="1" x14ac:dyDescent="0.35">
      <c r="B844" s="4"/>
    </row>
    <row r="845" spans="2:2" ht="15" customHeight="1" thickBot="1" x14ac:dyDescent="0.35">
      <c r="B845" s="4"/>
    </row>
    <row r="846" spans="2:2" ht="15" customHeight="1" thickBot="1" x14ac:dyDescent="0.35">
      <c r="B846" s="4"/>
    </row>
    <row r="847" spans="2:2" ht="15" customHeight="1" thickBot="1" x14ac:dyDescent="0.35">
      <c r="B847" s="4"/>
    </row>
    <row r="848" spans="2:2" ht="15" customHeight="1" thickBot="1" x14ac:dyDescent="0.35">
      <c r="B848" s="4"/>
    </row>
    <row r="849" spans="2:2" ht="15" customHeight="1" thickBot="1" x14ac:dyDescent="0.35">
      <c r="B849" s="4"/>
    </row>
    <row r="850" spans="2:2" ht="15" customHeight="1" thickBot="1" x14ac:dyDescent="0.35">
      <c r="B850" s="4"/>
    </row>
    <row r="851" spans="2:2" ht="15" customHeight="1" thickBot="1" x14ac:dyDescent="0.35">
      <c r="B851" s="4"/>
    </row>
    <row r="852" spans="2:2" ht="15" customHeight="1" thickBot="1" x14ac:dyDescent="0.35">
      <c r="B852" s="4"/>
    </row>
    <row r="853" spans="2:2" ht="15" customHeight="1" thickBot="1" x14ac:dyDescent="0.35">
      <c r="B853" s="4"/>
    </row>
    <row r="854" spans="2:2" ht="15" customHeight="1" thickBot="1" x14ac:dyDescent="0.35">
      <c r="B854" s="4"/>
    </row>
    <row r="855" spans="2:2" ht="15" customHeight="1" thickBot="1" x14ac:dyDescent="0.35">
      <c r="B855" s="4"/>
    </row>
    <row r="856" spans="2:2" ht="15" customHeight="1" thickBot="1" x14ac:dyDescent="0.35">
      <c r="B856" s="4"/>
    </row>
    <row r="857" spans="2:2" ht="15" customHeight="1" thickBot="1" x14ac:dyDescent="0.35">
      <c r="B857" s="4"/>
    </row>
    <row r="858" spans="2:2" ht="15" customHeight="1" thickBot="1" x14ac:dyDescent="0.35">
      <c r="B858" s="4"/>
    </row>
    <row r="859" spans="2:2" ht="15" customHeight="1" thickBot="1" x14ac:dyDescent="0.35">
      <c r="B859" s="4"/>
    </row>
    <row r="860" spans="2:2" ht="15" customHeight="1" thickBot="1" x14ac:dyDescent="0.35">
      <c r="B860" s="4"/>
    </row>
    <row r="861" spans="2:2" ht="15" customHeight="1" thickBot="1" x14ac:dyDescent="0.35">
      <c r="B861" s="4"/>
    </row>
    <row r="862" spans="2:2" ht="15" customHeight="1" thickBot="1" x14ac:dyDescent="0.35">
      <c r="B862" s="4"/>
    </row>
    <row r="863" spans="2:2" ht="15" customHeight="1" thickBot="1" x14ac:dyDescent="0.35">
      <c r="B863" s="4"/>
    </row>
    <row r="864" spans="2:2" ht="15" customHeight="1" thickBot="1" x14ac:dyDescent="0.35">
      <c r="B864" s="4"/>
    </row>
    <row r="865" spans="2:2" ht="15" customHeight="1" thickBot="1" x14ac:dyDescent="0.35">
      <c r="B865" s="4"/>
    </row>
    <row r="866" spans="2:2" ht="15" customHeight="1" thickBot="1" x14ac:dyDescent="0.35">
      <c r="B866" s="4"/>
    </row>
    <row r="867" spans="2:2" ht="15" customHeight="1" thickBot="1" x14ac:dyDescent="0.35">
      <c r="B867" s="4"/>
    </row>
    <row r="868" spans="2:2" ht="15" customHeight="1" thickBot="1" x14ac:dyDescent="0.35">
      <c r="B868" s="4"/>
    </row>
    <row r="869" spans="2:2" ht="15" customHeight="1" thickBot="1" x14ac:dyDescent="0.35">
      <c r="B869" s="4"/>
    </row>
    <row r="870" spans="2:2" ht="15" customHeight="1" thickBot="1" x14ac:dyDescent="0.35">
      <c r="B870" s="4"/>
    </row>
    <row r="871" spans="2:2" ht="15" customHeight="1" thickBot="1" x14ac:dyDescent="0.35">
      <c r="B871" s="4"/>
    </row>
    <row r="872" spans="2:2" ht="15" customHeight="1" thickBot="1" x14ac:dyDescent="0.35">
      <c r="B872" s="4"/>
    </row>
    <row r="873" spans="2:2" ht="15" customHeight="1" thickBot="1" x14ac:dyDescent="0.35">
      <c r="B873" s="4"/>
    </row>
    <row r="874" spans="2:2" ht="15" customHeight="1" thickBot="1" x14ac:dyDescent="0.35">
      <c r="B874" s="4"/>
    </row>
    <row r="875" spans="2:2" ht="15" customHeight="1" thickBot="1" x14ac:dyDescent="0.35">
      <c r="B875" s="4"/>
    </row>
    <row r="876" spans="2:2" ht="15" customHeight="1" thickBot="1" x14ac:dyDescent="0.35">
      <c r="B876" s="4"/>
    </row>
    <row r="877" spans="2:2" ht="15" customHeight="1" thickBot="1" x14ac:dyDescent="0.35">
      <c r="B877" s="4"/>
    </row>
    <row r="878" spans="2:2" ht="15" customHeight="1" thickBot="1" x14ac:dyDescent="0.35">
      <c r="B878" s="4"/>
    </row>
    <row r="879" spans="2:2" ht="15" customHeight="1" thickBot="1" x14ac:dyDescent="0.35">
      <c r="B879" s="4"/>
    </row>
    <row r="880" spans="2:2" ht="15" customHeight="1" thickBot="1" x14ac:dyDescent="0.35">
      <c r="B880" s="4"/>
    </row>
    <row r="881" spans="2:2" ht="15" customHeight="1" thickBot="1" x14ac:dyDescent="0.35">
      <c r="B881" s="4"/>
    </row>
    <row r="882" spans="2:2" ht="15" customHeight="1" thickBot="1" x14ac:dyDescent="0.35">
      <c r="B882" s="4"/>
    </row>
    <row r="883" spans="2:2" ht="15" customHeight="1" thickBot="1" x14ac:dyDescent="0.35">
      <c r="B883" s="4"/>
    </row>
    <row r="884" spans="2:2" ht="15" customHeight="1" thickBot="1" x14ac:dyDescent="0.35">
      <c r="B884" s="4"/>
    </row>
    <row r="885" spans="2:2" ht="15" customHeight="1" thickBot="1" x14ac:dyDescent="0.35">
      <c r="B885" s="4"/>
    </row>
    <row r="886" spans="2:2" ht="15" customHeight="1" thickBot="1" x14ac:dyDescent="0.35">
      <c r="B886" s="4"/>
    </row>
    <row r="887" spans="2:2" ht="15" customHeight="1" thickBot="1" x14ac:dyDescent="0.35">
      <c r="B887" s="4"/>
    </row>
    <row r="888" spans="2:2" ht="15" customHeight="1" thickBot="1" x14ac:dyDescent="0.35">
      <c r="B888" s="4"/>
    </row>
    <row r="889" spans="2:2" ht="15" customHeight="1" thickBot="1" x14ac:dyDescent="0.35">
      <c r="B889" s="4"/>
    </row>
    <row r="890" spans="2:2" ht="15" customHeight="1" thickBot="1" x14ac:dyDescent="0.35">
      <c r="B890" s="4"/>
    </row>
    <row r="891" spans="2:2" ht="15" customHeight="1" thickBot="1" x14ac:dyDescent="0.35">
      <c r="B891" s="4"/>
    </row>
    <row r="892" spans="2:2" ht="15" customHeight="1" thickBot="1" x14ac:dyDescent="0.35">
      <c r="B892" s="4"/>
    </row>
    <row r="893" spans="2:2" ht="15" customHeight="1" thickBot="1" x14ac:dyDescent="0.35">
      <c r="B893" s="4"/>
    </row>
    <row r="894" spans="2:2" ht="15" customHeight="1" thickBot="1" x14ac:dyDescent="0.35">
      <c r="B894" s="4"/>
    </row>
    <row r="895" spans="2:2" ht="15" customHeight="1" thickBot="1" x14ac:dyDescent="0.35">
      <c r="B895" s="4"/>
    </row>
    <row r="896" spans="2:2" ht="15" customHeight="1" thickBot="1" x14ac:dyDescent="0.35">
      <c r="B896" s="4"/>
    </row>
    <row r="897" spans="2:2" ht="15" customHeight="1" thickBot="1" x14ac:dyDescent="0.35">
      <c r="B897" s="4"/>
    </row>
    <row r="898" spans="2:2" ht="15" customHeight="1" thickBot="1" x14ac:dyDescent="0.35">
      <c r="B898" s="4"/>
    </row>
    <row r="899" spans="2:2" ht="15" customHeight="1" thickBot="1" x14ac:dyDescent="0.35">
      <c r="B899" s="4"/>
    </row>
    <row r="900" spans="2:2" ht="15" customHeight="1" thickBot="1" x14ac:dyDescent="0.35">
      <c r="B900" s="4"/>
    </row>
    <row r="901" spans="2:2" ht="15" customHeight="1" thickBot="1" x14ac:dyDescent="0.35">
      <c r="B901" s="4"/>
    </row>
    <row r="902" spans="2:2" ht="15" customHeight="1" thickBot="1" x14ac:dyDescent="0.35">
      <c r="B902" s="4"/>
    </row>
    <row r="903" spans="2:2" ht="15" customHeight="1" thickBot="1" x14ac:dyDescent="0.35">
      <c r="B903" s="4"/>
    </row>
    <row r="904" spans="2:2" ht="15" customHeight="1" thickBot="1" x14ac:dyDescent="0.35">
      <c r="B904" s="4"/>
    </row>
    <row r="905" spans="2:2" ht="15" customHeight="1" thickBot="1" x14ac:dyDescent="0.35">
      <c r="B905" s="4"/>
    </row>
    <row r="906" spans="2:2" ht="15" customHeight="1" thickBot="1" x14ac:dyDescent="0.35">
      <c r="B906" s="4"/>
    </row>
    <row r="907" spans="2:2" ht="15" customHeight="1" thickBot="1" x14ac:dyDescent="0.35">
      <c r="B907" s="4"/>
    </row>
    <row r="908" spans="2:2" ht="15" customHeight="1" thickBot="1" x14ac:dyDescent="0.35">
      <c r="B908" s="4"/>
    </row>
    <row r="909" spans="2:2" ht="15" customHeight="1" thickBot="1" x14ac:dyDescent="0.35">
      <c r="B909" s="4"/>
    </row>
    <row r="910" spans="2:2" ht="15" customHeight="1" thickBot="1" x14ac:dyDescent="0.35">
      <c r="B910" s="4"/>
    </row>
    <row r="911" spans="2:2" ht="15" customHeight="1" thickBot="1" x14ac:dyDescent="0.35">
      <c r="B911" s="4"/>
    </row>
    <row r="912" spans="2:2" ht="15" customHeight="1" thickBot="1" x14ac:dyDescent="0.35">
      <c r="B912" s="4"/>
    </row>
    <row r="913" spans="2:2" ht="15" customHeight="1" thickBot="1" x14ac:dyDescent="0.35">
      <c r="B913" s="4"/>
    </row>
    <row r="914" spans="2:2" ht="15" customHeight="1" thickBot="1" x14ac:dyDescent="0.35">
      <c r="B914" s="4"/>
    </row>
    <row r="915" spans="2:2" ht="15" customHeight="1" thickBot="1" x14ac:dyDescent="0.35">
      <c r="B915" s="4"/>
    </row>
    <row r="916" spans="2:2" ht="15" customHeight="1" thickBot="1" x14ac:dyDescent="0.35">
      <c r="B916" s="4"/>
    </row>
    <row r="917" spans="2:2" ht="15" customHeight="1" thickBot="1" x14ac:dyDescent="0.35">
      <c r="B917" s="4"/>
    </row>
    <row r="918" spans="2:2" ht="15" customHeight="1" thickBot="1" x14ac:dyDescent="0.35">
      <c r="B918" s="4"/>
    </row>
    <row r="919" spans="2:2" ht="15" customHeight="1" thickBot="1" x14ac:dyDescent="0.35">
      <c r="B919" s="4"/>
    </row>
    <row r="920" spans="2:2" ht="15" customHeight="1" thickBot="1" x14ac:dyDescent="0.35">
      <c r="B920" s="4"/>
    </row>
    <row r="921" spans="2:2" ht="15" customHeight="1" thickBot="1" x14ac:dyDescent="0.35">
      <c r="B921" s="4"/>
    </row>
    <row r="922" spans="2:2" ht="15" customHeight="1" thickBot="1" x14ac:dyDescent="0.35">
      <c r="B922" s="4"/>
    </row>
    <row r="923" spans="2:2" ht="15" customHeight="1" thickBot="1" x14ac:dyDescent="0.35">
      <c r="B923" s="4"/>
    </row>
    <row r="924" spans="2:2" ht="15" customHeight="1" thickBot="1" x14ac:dyDescent="0.35">
      <c r="B924" s="4"/>
    </row>
    <row r="925" spans="2:2" ht="15" customHeight="1" thickBot="1" x14ac:dyDescent="0.35">
      <c r="B925" s="4"/>
    </row>
    <row r="926" spans="2:2" ht="15" customHeight="1" thickBot="1" x14ac:dyDescent="0.35">
      <c r="B926" s="4"/>
    </row>
    <row r="927" spans="2:2" ht="15" customHeight="1" thickBot="1" x14ac:dyDescent="0.35">
      <c r="B927" s="4"/>
    </row>
    <row r="928" spans="2:2" ht="15" customHeight="1" thickBot="1" x14ac:dyDescent="0.35">
      <c r="B928" s="4"/>
    </row>
    <row r="929" spans="2:2" ht="15" customHeight="1" thickBot="1" x14ac:dyDescent="0.35">
      <c r="B929" s="4"/>
    </row>
    <row r="930" spans="2:2" ht="15" customHeight="1" thickBot="1" x14ac:dyDescent="0.35">
      <c r="B930" s="4"/>
    </row>
    <row r="931" spans="2:2" ht="15" customHeight="1" thickBot="1" x14ac:dyDescent="0.35">
      <c r="B931" s="4"/>
    </row>
    <row r="932" spans="2:2" ht="15" customHeight="1" thickBot="1" x14ac:dyDescent="0.35">
      <c r="B932" s="4"/>
    </row>
    <row r="933" spans="2:2" ht="15" customHeight="1" thickBot="1" x14ac:dyDescent="0.35">
      <c r="B933" s="4"/>
    </row>
    <row r="934" spans="2:2" ht="15" customHeight="1" thickBot="1" x14ac:dyDescent="0.35">
      <c r="B934" s="4"/>
    </row>
    <row r="935" spans="2:2" ht="15" customHeight="1" thickBot="1" x14ac:dyDescent="0.35">
      <c r="B935" s="4"/>
    </row>
    <row r="936" spans="2:2" ht="15" customHeight="1" thickBot="1" x14ac:dyDescent="0.35">
      <c r="B936" s="4"/>
    </row>
    <row r="937" spans="2:2" ht="15" customHeight="1" thickBot="1" x14ac:dyDescent="0.35">
      <c r="B937" s="4"/>
    </row>
    <row r="938" spans="2:2" ht="15" customHeight="1" thickBot="1" x14ac:dyDescent="0.35">
      <c r="B938" s="4"/>
    </row>
    <row r="939" spans="2:2" ht="15" customHeight="1" thickBot="1" x14ac:dyDescent="0.35">
      <c r="B939" s="5"/>
    </row>
    <row r="940" spans="2:2" ht="15" customHeight="1" thickBot="1" x14ac:dyDescent="0.35">
      <c r="B940" s="5"/>
    </row>
    <row r="941" spans="2:2" ht="15" customHeight="1" thickBot="1" x14ac:dyDescent="0.35">
      <c r="B941" s="5"/>
    </row>
    <row r="942" spans="2:2" ht="15" customHeight="1" thickBot="1" x14ac:dyDescent="0.35">
      <c r="B942" s="5"/>
    </row>
    <row r="943" spans="2:2" ht="15" customHeight="1" thickBot="1" x14ac:dyDescent="0.35">
      <c r="B943" s="5"/>
    </row>
    <row r="944" spans="2:2" ht="15" customHeight="1" thickBot="1" x14ac:dyDescent="0.35">
      <c r="B944" s="5"/>
    </row>
    <row r="945" spans="2:2" ht="15" customHeight="1" thickBot="1" x14ac:dyDescent="0.35">
      <c r="B945" s="5"/>
    </row>
    <row r="946" spans="2:2" ht="15" customHeight="1" thickBot="1" x14ac:dyDescent="0.35">
      <c r="B946" s="5"/>
    </row>
    <row r="947" spans="2:2" ht="15" customHeight="1" thickBot="1" x14ac:dyDescent="0.35">
      <c r="B947" s="5"/>
    </row>
    <row r="948" spans="2:2" ht="15" customHeight="1" thickBot="1" x14ac:dyDescent="0.35">
      <c r="B948" s="5"/>
    </row>
    <row r="949" spans="2:2" ht="15" customHeight="1" thickBot="1" x14ac:dyDescent="0.35">
      <c r="B949" s="5"/>
    </row>
    <row r="950" spans="2:2" ht="15" customHeight="1" thickBot="1" x14ac:dyDescent="0.35">
      <c r="B950" s="5"/>
    </row>
    <row r="951" spans="2:2" ht="15" customHeight="1" thickBot="1" x14ac:dyDescent="0.35">
      <c r="B951" s="5"/>
    </row>
    <row r="952" spans="2:2" ht="15" customHeight="1" thickBot="1" x14ac:dyDescent="0.35">
      <c r="B952" s="5"/>
    </row>
    <row r="953" spans="2:2" ht="15" customHeight="1" thickBot="1" x14ac:dyDescent="0.35">
      <c r="B953" s="5"/>
    </row>
    <row r="954" spans="2:2" ht="15" customHeight="1" thickBot="1" x14ac:dyDescent="0.35">
      <c r="B954" s="5"/>
    </row>
    <row r="955" spans="2:2" ht="15" customHeight="1" thickBot="1" x14ac:dyDescent="0.35">
      <c r="B955" s="5"/>
    </row>
    <row r="956" spans="2:2" ht="15" customHeight="1" thickBot="1" x14ac:dyDescent="0.35">
      <c r="B956" s="5"/>
    </row>
    <row r="957" spans="2:2" ht="15" customHeight="1" thickBot="1" x14ac:dyDescent="0.35">
      <c r="B957" s="5"/>
    </row>
    <row r="958" spans="2:2" ht="15" customHeight="1" thickBot="1" x14ac:dyDescent="0.35">
      <c r="B958" s="5"/>
    </row>
    <row r="959" spans="2:2" ht="15" customHeight="1" thickBot="1" x14ac:dyDescent="0.35">
      <c r="B959" s="5"/>
    </row>
    <row r="960" spans="2:2" ht="15" customHeight="1" thickBot="1" x14ac:dyDescent="0.35">
      <c r="B960" s="5"/>
    </row>
    <row r="961" spans="2:2" ht="15" customHeight="1" thickBot="1" x14ac:dyDescent="0.35">
      <c r="B961" s="5"/>
    </row>
    <row r="962" spans="2:2" ht="15" customHeight="1" thickBot="1" x14ac:dyDescent="0.35">
      <c r="B962" s="5"/>
    </row>
    <row r="963" spans="2:2" ht="15" customHeight="1" thickBot="1" x14ac:dyDescent="0.35">
      <c r="B963" s="5"/>
    </row>
    <row r="964" spans="2:2" ht="15" customHeight="1" thickBot="1" x14ac:dyDescent="0.35">
      <c r="B964" s="5"/>
    </row>
    <row r="965" spans="2:2" ht="15" customHeight="1" thickBot="1" x14ac:dyDescent="0.35">
      <c r="B965" s="5"/>
    </row>
    <row r="966" spans="2:2" ht="15" customHeight="1" thickBot="1" x14ac:dyDescent="0.35">
      <c r="B966" s="5"/>
    </row>
    <row r="967" spans="2:2" ht="15" customHeight="1" thickBot="1" x14ac:dyDescent="0.35">
      <c r="B967" s="5"/>
    </row>
    <row r="968" spans="2:2" ht="15" customHeight="1" thickBot="1" x14ac:dyDescent="0.35">
      <c r="B968" s="5"/>
    </row>
    <row r="969" spans="2:2" ht="15" customHeight="1" thickBot="1" x14ac:dyDescent="0.35">
      <c r="B969" s="5"/>
    </row>
    <row r="970" spans="2:2" ht="15" customHeight="1" thickBot="1" x14ac:dyDescent="0.35">
      <c r="B970" s="5"/>
    </row>
    <row r="971" spans="2:2" ht="15" customHeight="1" thickBot="1" x14ac:dyDescent="0.35">
      <c r="B971" s="5"/>
    </row>
    <row r="972" spans="2:2" ht="15" customHeight="1" thickBot="1" x14ac:dyDescent="0.35">
      <c r="B972" s="5"/>
    </row>
    <row r="973" spans="2:2" ht="15" customHeight="1" thickBot="1" x14ac:dyDescent="0.35">
      <c r="B973" s="5"/>
    </row>
    <row r="974" spans="2:2" ht="15" customHeight="1" thickBot="1" x14ac:dyDescent="0.35">
      <c r="B974" s="5"/>
    </row>
    <row r="975" spans="2:2" ht="15" customHeight="1" thickBot="1" x14ac:dyDescent="0.35">
      <c r="B975" s="5"/>
    </row>
    <row r="976" spans="2:2" ht="15" customHeight="1" thickBot="1" x14ac:dyDescent="0.35">
      <c r="B976" s="5"/>
    </row>
    <row r="977" spans="2:2" ht="15" customHeight="1" thickBot="1" x14ac:dyDescent="0.35">
      <c r="B977" s="5"/>
    </row>
    <row r="978" spans="2:2" ht="15" customHeight="1" thickBot="1" x14ac:dyDescent="0.35">
      <c r="B978" s="5"/>
    </row>
    <row r="979" spans="2:2" ht="15" customHeight="1" thickBot="1" x14ac:dyDescent="0.35">
      <c r="B979" s="5"/>
    </row>
    <row r="980" spans="2:2" ht="15" customHeight="1" thickBot="1" x14ac:dyDescent="0.35">
      <c r="B980" s="5"/>
    </row>
    <row r="981" spans="2:2" ht="15" customHeight="1" thickBot="1" x14ac:dyDescent="0.35">
      <c r="B981" s="5"/>
    </row>
    <row r="982" spans="2:2" ht="15" customHeight="1" thickBot="1" x14ac:dyDescent="0.35">
      <c r="B982" s="5"/>
    </row>
    <row r="983" spans="2:2" ht="15" customHeight="1" thickBot="1" x14ac:dyDescent="0.35">
      <c r="B983" s="5"/>
    </row>
    <row r="984" spans="2:2" ht="15" customHeight="1" thickBot="1" x14ac:dyDescent="0.35">
      <c r="B984" s="5"/>
    </row>
  </sheetData>
  <mergeCells count="10">
    <mergeCell ref="A1:D1"/>
    <mergeCell ref="A37:D37"/>
    <mergeCell ref="A5:D5"/>
    <mergeCell ref="A78:D78"/>
    <mergeCell ref="A4:D4"/>
    <mergeCell ref="A20:D20"/>
    <mergeCell ref="A57:D57"/>
    <mergeCell ref="A2:D2"/>
    <mergeCell ref="A11:D11"/>
    <mergeCell ref="A47:D47"/>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L1037"/>
  <sheetViews>
    <sheetView topLeftCell="A258" zoomScale="70" zoomScaleNormal="70" workbookViewId="0">
      <selection activeCell="B290" sqref="B290"/>
    </sheetView>
  </sheetViews>
  <sheetFormatPr defaultRowHeight="18" x14ac:dyDescent="0.35"/>
  <cols>
    <col min="1" max="1" width="6.6640625" customWidth="1"/>
    <col min="2" max="2" width="62.109375" customWidth="1"/>
    <col min="3" max="3" width="47.21875" customWidth="1"/>
    <col min="4" max="4" width="52.109375" style="153" customWidth="1"/>
    <col min="5" max="5" width="17.6640625" customWidth="1"/>
    <col min="6" max="6" width="21.88671875" customWidth="1"/>
    <col min="7" max="7" width="22.44140625" customWidth="1"/>
    <col min="8" max="8" width="14.88671875" style="16" customWidth="1"/>
    <col min="9" max="9" width="10.88671875" style="14" customWidth="1"/>
    <col min="10" max="10" width="11.33203125" customWidth="1"/>
    <col min="11" max="11" width="8" customWidth="1"/>
    <col min="12" max="13" width="11.5546875" customWidth="1"/>
  </cols>
  <sheetData>
    <row r="1" spans="1:12" ht="21" customHeight="1" x14ac:dyDescent="0.3">
      <c r="A1" s="193" t="s">
        <v>0</v>
      </c>
      <c r="B1" s="194"/>
      <c r="C1" s="194"/>
      <c r="D1" s="195"/>
      <c r="E1" s="194"/>
      <c r="F1" s="194"/>
      <c r="G1" s="194"/>
      <c r="H1" s="9"/>
      <c r="I1" s="10"/>
      <c r="J1" s="10"/>
      <c r="K1" s="10"/>
      <c r="L1" s="23"/>
    </row>
    <row r="2" spans="1:12" ht="36.75" customHeight="1" x14ac:dyDescent="0.3">
      <c r="A2" s="193" t="s">
        <v>1</v>
      </c>
      <c r="B2" s="194"/>
      <c r="C2" s="194"/>
      <c r="D2" s="195"/>
      <c r="E2" s="194"/>
      <c r="F2" s="194"/>
      <c r="G2" s="194"/>
      <c r="H2" s="15"/>
      <c r="I2" s="10"/>
      <c r="J2" s="10"/>
      <c r="K2" s="10"/>
      <c r="L2" s="23"/>
    </row>
    <row r="3" spans="1:12" ht="36.75" customHeight="1" x14ac:dyDescent="0.3">
      <c r="A3" s="9"/>
      <c r="B3" s="11"/>
      <c r="C3" s="11"/>
      <c r="D3" s="11"/>
      <c r="E3" s="11"/>
      <c r="F3" s="11"/>
      <c r="G3" s="11"/>
      <c r="H3" s="15"/>
      <c r="I3" s="10">
        <f>SUM(I6:I1836)</f>
        <v>45</v>
      </c>
      <c r="J3" s="10">
        <f>SUM(J6:J1836)</f>
        <v>25</v>
      </c>
      <c r="K3" s="10">
        <f>SUM(K6:K1836)</f>
        <v>2</v>
      </c>
      <c r="L3" s="23"/>
    </row>
    <row r="4" spans="1:12" ht="39.75" customHeight="1" x14ac:dyDescent="0.3">
      <c r="A4" s="165" t="s">
        <v>2</v>
      </c>
      <c r="B4" s="166" t="s">
        <v>3</v>
      </c>
      <c r="C4" s="165" t="s">
        <v>4</v>
      </c>
      <c r="D4" s="165" t="s">
        <v>5</v>
      </c>
      <c r="E4" s="165" t="s">
        <v>6</v>
      </c>
      <c r="F4" s="165" t="s">
        <v>7</v>
      </c>
      <c r="G4" s="165" t="s">
        <v>8</v>
      </c>
      <c r="H4" s="12" t="s">
        <v>9</v>
      </c>
      <c r="I4" s="12" t="s">
        <v>10</v>
      </c>
      <c r="J4" s="12" t="s">
        <v>11</v>
      </c>
      <c r="K4" s="12" t="s">
        <v>12</v>
      </c>
    </row>
    <row r="5" spans="1:12" ht="24" customHeight="1" x14ac:dyDescent="0.3">
      <c r="A5" s="191" t="s">
        <v>13</v>
      </c>
      <c r="B5" s="192"/>
      <c r="C5" s="192"/>
      <c r="D5" s="192"/>
      <c r="E5" s="192"/>
      <c r="F5" s="192"/>
      <c r="G5" s="192"/>
      <c r="H5" s="177"/>
      <c r="I5" s="177"/>
      <c r="J5" s="177"/>
      <c r="K5" s="177"/>
      <c r="L5" s="52"/>
    </row>
    <row r="6" spans="1:12" ht="19.5" customHeight="1" x14ac:dyDescent="0.3">
      <c r="A6" s="191" t="s">
        <v>14</v>
      </c>
      <c r="B6" s="192"/>
      <c r="C6" s="192"/>
      <c r="D6" s="192"/>
      <c r="E6" s="192"/>
      <c r="F6" s="192"/>
      <c r="G6" s="192"/>
      <c r="H6" s="177"/>
      <c r="I6" s="177"/>
      <c r="J6" s="177"/>
      <c r="K6" s="177"/>
      <c r="L6" s="52"/>
    </row>
    <row r="7" spans="1:12" ht="16.5" customHeight="1" x14ac:dyDescent="0.3">
      <c r="A7" s="178">
        <v>1</v>
      </c>
      <c r="B7" s="178" t="s">
        <v>15</v>
      </c>
      <c r="C7" s="178" t="s">
        <v>16</v>
      </c>
      <c r="D7" s="178" t="s">
        <v>17</v>
      </c>
      <c r="E7" s="178" t="s">
        <v>18</v>
      </c>
      <c r="F7" s="178" t="str">
        <f>IF(H7&gt;7,"Phức tạp",IF(H7&gt;3,"Trung bình","Đơn giản"))</f>
        <v>Trung bình</v>
      </c>
      <c r="G7" s="178"/>
      <c r="H7" s="179">
        <f>COUNTA(D8:D11)</f>
        <v>4</v>
      </c>
      <c r="I7" s="180"/>
      <c r="J7" s="180">
        <v>1</v>
      </c>
      <c r="K7" s="180"/>
      <c r="L7" s="52"/>
    </row>
    <row r="8" spans="1:12" ht="16.5" customHeight="1" x14ac:dyDescent="0.3">
      <c r="A8" s="180"/>
      <c r="B8" s="180"/>
      <c r="C8" s="180"/>
      <c r="D8" s="181" t="s">
        <v>19</v>
      </c>
      <c r="E8" s="180"/>
      <c r="F8" s="180"/>
      <c r="G8" s="180"/>
      <c r="H8" s="180"/>
      <c r="I8" s="180"/>
      <c r="J8" s="180"/>
      <c r="K8" s="180"/>
      <c r="L8" s="52"/>
    </row>
    <row r="9" spans="1:12" ht="16.5" customHeight="1" x14ac:dyDescent="0.3">
      <c r="A9" s="180"/>
      <c r="B9" s="180"/>
      <c r="C9" s="180"/>
      <c r="D9" s="181" t="s">
        <v>20</v>
      </c>
      <c r="E9" s="180"/>
      <c r="F9" s="180"/>
      <c r="G9" s="180"/>
      <c r="H9" s="180"/>
      <c r="I9" s="180"/>
      <c r="J9" s="180"/>
      <c r="K9" s="180"/>
      <c r="L9" s="52"/>
    </row>
    <row r="10" spans="1:12" ht="16.5" customHeight="1" x14ac:dyDescent="0.3">
      <c r="A10" s="180"/>
      <c r="B10" s="180"/>
      <c r="C10" s="180"/>
      <c r="D10" s="181" t="s">
        <v>21</v>
      </c>
      <c r="E10" s="180"/>
      <c r="F10" s="180"/>
      <c r="G10" s="180"/>
      <c r="H10" s="180"/>
      <c r="I10" s="180"/>
      <c r="J10" s="180"/>
      <c r="K10" s="180"/>
      <c r="L10" s="52"/>
    </row>
    <row r="11" spans="1:12" ht="16.5" customHeight="1" x14ac:dyDescent="0.3">
      <c r="A11" s="180"/>
      <c r="B11" s="180"/>
      <c r="C11" s="180"/>
      <c r="D11" s="181" t="s">
        <v>22</v>
      </c>
      <c r="E11" s="180"/>
      <c r="F11" s="180"/>
      <c r="G11" s="180"/>
      <c r="H11" s="180"/>
      <c r="I11" s="180"/>
      <c r="J11" s="180"/>
      <c r="K11" s="180"/>
      <c r="L11" s="52"/>
    </row>
    <row r="12" spans="1:12" ht="16.5" customHeight="1" x14ac:dyDescent="0.3">
      <c r="A12" s="178">
        <v>2</v>
      </c>
      <c r="B12" s="178" t="s">
        <v>23</v>
      </c>
      <c r="C12" s="178" t="s">
        <v>16</v>
      </c>
      <c r="D12" s="178" t="s">
        <v>17</v>
      </c>
      <c r="E12" s="178" t="s">
        <v>18</v>
      </c>
      <c r="F12" s="178" t="str">
        <f>IF(H12&gt;7,"Phức tạp",IF(H12&gt;3,"Trung bình","Đơn giản"))</f>
        <v>Trung bình</v>
      </c>
      <c r="G12" s="178"/>
      <c r="H12" s="179">
        <f>COUNTA(D13:D16)</f>
        <v>4</v>
      </c>
      <c r="I12" s="52"/>
      <c r="J12" s="52">
        <v>1</v>
      </c>
      <c r="K12" s="52"/>
      <c r="L12" s="52"/>
    </row>
    <row r="13" spans="1:12" ht="16.5" customHeight="1" x14ac:dyDescent="0.3">
      <c r="A13" s="180"/>
      <c r="B13" s="180"/>
      <c r="C13" s="180"/>
      <c r="D13" s="181" t="s">
        <v>24</v>
      </c>
      <c r="E13" s="180"/>
      <c r="F13" s="180"/>
      <c r="G13" s="180"/>
      <c r="H13" s="180"/>
      <c r="I13" s="180"/>
      <c r="J13" s="180"/>
      <c r="K13" s="180"/>
      <c r="L13" s="52"/>
    </row>
    <row r="14" spans="1:12" ht="16.5" customHeight="1" x14ac:dyDescent="0.3">
      <c r="A14" s="180"/>
      <c r="B14" s="180"/>
      <c r="C14" s="180"/>
      <c r="D14" s="181" t="s">
        <v>25</v>
      </c>
      <c r="E14" s="180"/>
      <c r="F14" s="180"/>
      <c r="G14" s="180"/>
      <c r="H14" s="180"/>
      <c r="I14" s="180"/>
      <c r="J14" s="180"/>
      <c r="K14" s="180"/>
      <c r="L14" s="52"/>
    </row>
    <row r="15" spans="1:12" ht="16.5" customHeight="1" x14ac:dyDescent="0.3">
      <c r="A15" s="180"/>
      <c r="B15" s="180"/>
      <c r="C15" s="180"/>
      <c r="D15" s="181" t="s">
        <v>21</v>
      </c>
      <c r="E15" s="180"/>
      <c r="F15" s="180"/>
      <c r="G15" s="180"/>
      <c r="H15" s="180"/>
      <c r="I15" s="180"/>
      <c r="J15" s="180"/>
      <c r="K15" s="180"/>
      <c r="L15" s="52"/>
    </row>
    <row r="16" spans="1:12" ht="16.5" customHeight="1" x14ac:dyDescent="0.3">
      <c r="A16" s="180"/>
      <c r="B16" s="180"/>
      <c r="C16" s="180"/>
      <c r="D16" s="181" t="s">
        <v>22</v>
      </c>
      <c r="E16" s="180"/>
      <c r="F16" s="180"/>
      <c r="G16" s="180"/>
      <c r="H16" s="180"/>
      <c r="I16" s="180"/>
      <c r="J16" s="180"/>
      <c r="K16" s="180"/>
      <c r="L16" s="52"/>
    </row>
    <row r="17" spans="1:12" ht="16.5" customHeight="1" x14ac:dyDescent="0.3">
      <c r="A17" s="178">
        <v>3</v>
      </c>
      <c r="B17" s="178" t="s">
        <v>26</v>
      </c>
      <c r="C17" s="178" t="s">
        <v>16</v>
      </c>
      <c r="D17" s="178" t="s">
        <v>17</v>
      </c>
      <c r="E17" s="178" t="s">
        <v>18</v>
      </c>
      <c r="F17" s="178" t="str">
        <f>IF(H17&gt;7,"Phức tạp",IF(H17&gt;3,"Trung bình","Đơn giản"))</f>
        <v>Trung bình</v>
      </c>
      <c r="G17" s="178"/>
      <c r="H17" s="179">
        <f>COUNTA(D18:D21)</f>
        <v>4</v>
      </c>
      <c r="I17" s="52"/>
      <c r="J17" s="52">
        <v>1</v>
      </c>
      <c r="K17" s="52"/>
      <c r="L17" s="52"/>
    </row>
    <row r="18" spans="1:12" ht="16.5" customHeight="1" x14ac:dyDescent="0.3">
      <c r="A18" s="180"/>
      <c r="B18" s="180"/>
      <c r="C18" s="180"/>
      <c r="D18" s="181" t="s">
        <v>27</v>
      </c>
      <c r="E18" s="180"/>
      <c r="F18" s="180"/>
      <c r="G18" s="180"/>
      <c r="H18" s="180"/>
      <c r="I18" s="180"/>
      <c r="J18" s="180"/>
      <c r="K18" s="180"/>
      <c r="L18" s="52"/>
    </row>
    <row r="19" spans="1:12" ht="16.5" customHeight="1" x14ac:dyDescent="0.3">
      <c r="A19" s="180"/>
      <c r="B19" s="180"/>
      <c r="C19" s="180"/>
      <c r="D19" s="181" t="s">
        <v>28</v>
      </c>
      <c r="E19" s="180"/>
      <c r="F19" s="180"/>
      <c r="G19" s="180"/>
      <c r="H19" s="180"/>
      <c r="I19" s="180"/>
      <c r="J19" s="180"/>
      <c r="K19" s="180"/>
      <c r="L19" s="52"/>
    </row>
    <row r="20" spans="1:12" ht="16.5" customHeight="1" x14ac:dyDescent="0.3">
      <c r="A20" s="180"/>
      <c r="B20" s="180"/>
      <c r="C20" s="180"/>
      <c r="D20" s="181" t="s">
        <v>21</v>
      </c>
      <c r="E20" s="180"/>
      <c r="F20" s="180"/>
      <c r="G20" s="180"/>
      <c r="H20" s="180"/>
      <c r="I20" s="180"/>
      <c r="J20" s="180"/>
      <c r="K20" s="180"/>
      <c r="L20" s="52"/>
    </row>
    <row r="21" spans="1:12" ht="16.5" customHeight="1" x14ac:dyDescent="0.3">
      <c r="A21" s="180"/>
      <c r="B21" s="180"/>
      <c r="C21" s="180"/>
      <c r="D21" s="181" t="s">
        <v>22</v>
      </c>
      <c r="E21" s="180"/>
      <c r="F21" s="180"/>
      <c r="G21" s="180"/>
      <c r="H21" s="180"/>
      <c r="I21" s="180"/>
      <c r="J21" s="180"/>
      <c r="K21" s="180"/>
      <c r="L21" s="52"/>
    </row>
    <row r="22" spans="1:12" ht="19.5" customHeight="1" x14ac:dyDescent="0.3">
      <c r="A22" s="191" t="s">
        <v>29</v>
      </c>
      <c r="B22" s="192"/>
      <c r="C22" s="192"/>
      <c r="D22" s="192"/>
      <c r="E22" s="192"/>
      <c r="F22" s="192"/>
      <c r="G22" s="192"/>
      <c r="H22" s="177"/>
      <c r="I22" s="177"/>
      <c r="J22" s="177"/>
      <c r="K22" s="177"/>
      <c r="L22" s="52"/>
    </row>
    <row r="23" spans="1:12" ht="16.5" customHeight="1" x14ac:dyDescent="0.3">
      <c r="A23" s="178">
        <v>4</v>
      </c>
      <c r="B23" s="178" t="s">
        <v>33</v>
      </c>
      <c r="C23" s="178" t="s">
        <v>16</v>
      </c>
      <c r="D23" s="178" t="s">
        <v>17</v>
      </c>
      <c r="E23" s="178" t="s">
        <v>18</v>
      </c>
      <c r="F23" s="178" t="str">
        <f>IF(H23&gt;7,"Phức tạp",IF(H23&gt;3,"Trung bình","Đơn giản"))</f>
        <v>Trung bình</v>
      </c>
      <c r="G23" s="178"/>
      <c r="H23" s="179">
        <f>COUNTA(D24:D27)</f>
        <v>4</v>
      </c>
      <c r="I23" s="52"/>
      <c r="J23" s="52">
        <v>1</v>
      </c>
      <c r="K23" s="52"/>
      <c r="L23" s="52"/>
    </row>
    <row r="24" spans="1:12" ht="16.5" customHeight="1" x14ac:dyDescent="0.3">
      <c r="A24" s="180"/>
      <c r="B24" s="180"/>
      <c r="C24" s="180"/>
      <c r="D24" s="181" t="s">
        <v>34</v>
      </c>
      <c r="E24" s="180"/>
      <c r="F24" s="180"/>
      <c r="G24" s="180"/>
      <c r="H24" s="180"/>
      <c r="I24" s="180"/>
      <c r="J24" s="180"/>
      <c r="K24" s="180"/>
      <c r="L24" s="52"/>
    </row>
    <row r="25" spans="1:12" ht="16.5" customHeight="1" x14ac:dyDescent="0.3">
      <c r="A25" s="180"/>
      <c r="B25" s="180"/>
      <c r="C25" s="180"/>
      <c r="D25" s="181" t="s">
        <v>31</v>
      </c>
      <c r="E25" s="180"/>
      <c r="F25" s="180"/>
      <c r="G25" s="180"/>
      <c r="H25" s="180"/>
      <c r="I25" s="180"/>
      <c r="J25" s="180"/>
      <c r="K25" s="180"/>
      <c r="L25" s="52"/>
    </row>
    <row r="26" spans="1:12" ht="16.5" customHeight="1" x14ac:dyDescent="0.3">
      <c r="A26" s="180"/>
      <c r="B26" s="180"/>
      <c r="C26" s="180"/>
      <c r="D26" s="181" t="s">
        <v>32</v>
      </c>
      <c r="E26" s="180"/>
      <c r="F26" s="180"/>
      <c r="G26" s="180"/>
      <c r="H26" s="180"/>
      <c r="I26" s="180"/>
      <c r="J26" s="180"/>
      <c r="K26" s="180"/>
      <c r="L26" s="52"/>
    </row>
    <row r="27" spans="1:12" ht="16.5" customHeight="1" x14ac:dyDescent="0.3">
      <c r="A27" s="180"/>
      <c r="B27" s="180"/>
      <c r="C27" s="180"/>
      <c r="D27" s="181" t="s">
        <v>22</v>
      </c>
      <c r="E27" s="180"/>
      <c r="F27" s="180"/>
      <c r="G27" s="180"/>
      <c r="H27" s="180"/>
      <c r="I27" s="180"/>
      <c r="J27" s="180"/>
      <c r="K27" s="180"/>
      <c r="L27" s="52"/>
    </row>
    <row r="28" spans="1:12" ht="16.5" customHeight="1" x14ac:dyDescent="0.3">
      <c r="A28" s="178">
        <v>5</v>
      </c>
      <c r="B28" s="178" t="s">
        <v>35</v>
      </c>
      <c r="C28" s="178" t="s">
        <v>16</v>
      </c>
      <c r="D28" s="178" t="s">
        <v>17</v>
      </c>
      <c r="E28" s="178" t="s">
        <v>18</v>
      </c>
      <c r="F28" s="178" t="str">
        <f>IF(H28&gt;7,"Phức tạp",IF(H28&gt;3,"Trung bình","Đơn giản"))</f>
        <v>Trung bình</v>
      </c>
      <c r="G28" s="178"/>
      <c r="H28" s="179">
        <f>COUNTA(D29:D33)</f>
        <v>5</v>
      </c>
      <c r="I28" s="52"/>
      <c r="J28" s="52">
        <v>1</v>
      </c>
      <c r="K28" s="52"/>
      <c r="L28" s="52"/>
    </row>
    <row r="29" spans="1:12" ht="16.5" customHeight="1" x14ac:dyDescent="0.3">
      <c r="A29" s="180"/>
      <c r="B29" s="180"/>
      <c r="C29" s="180"/>
      <c r="D29" s="181" t="s">
        <v>36</v>
      </c>
      <c r="E29" s="180"/>
      <c r="F29" s="180"/>
      <c r="G29" s="180"/>
      <c r="H29" s="180"/>
      <c r="I29" s="180"/>
      <c r="J29" s="180"/>
      <c r="K29" s="180"/>
      <c r="L29" s="52"/>
    </row>
    <row r="30" spans="1:12" ht="16.5" customHeight="1" x14ac:dyDescent="0.3">
      <c r="A30" s="180"/>
      <c r="B30" s="180"/>
      <c r="C30" s="180"/>
      <c r="D30" s="181" t="s">
        <v>37</v>
      </c>
      <c r="E30" s="180"/>
      <c r="F30" s="180"/>
      <c r="G30" s="180"/>
      <c r="H30" s="180"/>
      <c r="I30" s="180"/>
      <c r="J30" s="180"/>
      <c r="K30" s="180"/>
      <c r="L30" s="52"/>
    </row>
    <row r="31" spans="1:12" ht="16.5" customHeight="1" x14ac:dyDescent="0.3">
      <c r="A31" s="180"/>
      <c r="B31" s="180"/>
      <c r="C31" s="180"/>
      <c r="D31" s="181" t="s">
        <v>21</v>
      </c>
      <c r="E31" s="180"/>
      <c r="F31" s="180"/>
      <c r="G31" s="180"/>
      <c r="H31" s="180"/>
      <c r="I31" s="180"/>
      <c r="J31" s="180"/>
      <c r="K31" s="180"/>
      <c r="L31" s="52"/>
    </row>
    <row r="32" spans="1:12" ht="16.5" customHeight="1" x14ac:dyDescent="0.3">
      <c r="A32" s="180"/>
      <c r="B32" s="180"/>
      <c r="C32" s="180"/>
      <c r="D32" s="181" t="s">
        <v>22</v>
      </c>
      <c r="E32" s="180"/>
      <c r="F32" s="180"/>
      <c r="G32" s="180"/>
      <c r="H32" s="180"/>
      <c r="I32" s="180"/>
      <c r="J32" s="180"/>
      <c r="K32" s="180"/>
      <c r="L32" s="52"/>
    </row>
    <row r="33" spans="1:12" ht="16.5" customHeight="1" x14ac:dyDescent="0.3">
      <c r="A33" s="180"/>
      <c r="B33" s="180"/>
      <c r="C33" s="180"/>
      <c r="D33" s="181" t="s">
        <v>38</v>
      </c>
      <c r="E33" s="180"/>
      <c r="F33" s="180"/>
      <c r="G33" s="180"/>
      <c r="H33" s="180"/>
      <c r="I33" s="180"/>
      <c r="J33" s="180"/>
      <c r="K33" s="180"/>
      <c r="L33" s="52"/>
    </row>
    <row r="34" spans="1:12" ht="16.5" customHeight="1" x14ac:dyDescent="0.3">
      <c r="A34" s="178">
        <v>6</v>
      </c>
      <c r="B34" s="178" t="s">
        <v>41</v>
      </c>
      <c r="C34" s="178" t="s">
        <v>42</v>
      </c>
      <c r="D34" s="178" t="s">
        <v>17</v>
      </c>
      <c r="E34" s="178" t="s">
        <v>18</v>
      </c>
      <c r="F34" s="178" t="str">
        <f>IF(H34&gt;7,"Phức tạp",IF(H34&gt;3,"Trung bình","Đơn giản"))</f>
        <v>Đơn giản</v>
      </c>
      <c r="G34" s="178"/>
      <c r="H34" s="179">
        <f>COUNTA(D35:D35)</f>
        <v>1</v>
      </c>
      <c r="I34" s="52">
        <v>1</v>
      </c>
      <c r="J34" s="52"/>
      <c r="K34" s="52"/>
      <c r="L34" s="52"/>
    </row>
    <row r="35" spans="1:12" ht="16.5" customHeight="1" x14ac:dyDescent="0.3">
      <c r="A35" s="180"/>
      <c r="B35" s="180"/>
      <c r="C35" s="180"/>
      <c r="D35" s="181" t="s">
        <v>43</v>
      </c>
      <c r="E35" s="180"/>
      <c r="F35" s="180"/>
      <c r="G35" s="180"/>
      <c r="H35" s="180"/>
      <c r="I35" s="180"/>
      <c r="J35" s="180"/>
      <c r="K35" s="180"/>
      <c r="L35" s="52"/>
    </row>
    <row r="36" spans="1:12" ht="16.5" customHeight="1" x14ac:dyDescent="0.3">
      <c r="A36" s="178">
        <v>7</v>
      </c>
      <c r="B36" s="178" t="s">
        <v>44</v>
      </c>
      <c r="C36" s="178" t="s">
        <v>42</v>
      </c>
      <c r="D36" s="178" t="s">
        <v>17</v>
      </c>
      <c r="E36" s="178" t="s">
        <v>18</v>
      </c>
      <c r="F36" s="178" t="str">
        <f>IF(H36&gt;7,"Phức tạp",IF(H36&gt;3,"Trung bình","Đơn giản"))</f>
        <v>Đơn giản</v>
      </c>
      <c r="G36" s="178"/>
      <c r="H36" s="179">
        <f>COUNTA(D37:D37)</f>
        <v>1</v>
      </c>
      <c r="I36" s="52">
        <v>1</v>
      </c>
      <c r="J36" s="52"/>
      <c r="K36" s="52"/>
      <c r="L36" s="52"/>
    </row>
    <row r="37" spans="1:12" ht="16.5" customHeight="1" x14ac:dyDescent="0.3">
      <c r="A37" s="180"/>
      <c r="B37" s="180"/>
      <c r="C37" s="180"/>
      <c r="D37" s="181" t="s">
        <v>45</v>
      </c>
      <c r="E37" s="180"/>
      <c r="F37" s="180"/>
      <c r="G37" s="180"/>
      <c r="H37" s="180"/>
      <c r="I37" s="180"/>
      <c r="J37" s="180"/>
      <c r="K37" s="180"/>
      <c r="L37" s="52"/>
    </row>
    <row r="38" spans="1:12" ht="16.5" customHeight="1" x14ac:dyDescent="0.3">
      <c r="A38" s="178">
        <v>8</v>
      </c>
      <c r="B38" s="178" t="s">
        <v>46</v>
      </c>
      <c r="C38" s="178" t="s">
        <v>42</v>
      </c>
      <c r="D38" s="178" t="s">
        <v>17</v>
      </c>
      <c r="E38" s="178" t="s">
        <v>18</v>
      </c>
      <c r="F38" s="178" t="str">
        <f>IF(H38&gt;7,"Phức tạp",IF(H38&gt;3,"Trung bình","Đơn giản"))</f>
        <v>Trung bình</v>
      </c>
      <c r="G38" s="178"/>
      <c r="H38" s="179">
        <f>COUNTA(D39:D42)</f>
        <v>4</v>
      </c>
      <c r="I38" s="52"/>
      <c r="J38" s="52">
        <v>1</v>
      </c>
      <c r="K38" s="52"/>
      <c r="L38" s="52"/>
    </row>
    <row r="39" spans="1:12" ht="16.5" customHeight="1" x14ac:dyDescent="0.3">
      <c r="A39" s="180"/>
      <c r="B39" s="180"/>
      <c r="C39" s="180"/>
      <c r="D39" s="181" t="s">
        <v>47</v>
      </c>
      <c r="E39" s="180"/>
      <c r="F39" s="180"/>
      <c r="G39" s="180"/>
      <c r="H39" s="180"/>
      <c r="I39" s="180"/>
      <c r="J39" s="180"/>
      <c r="K39" s="180"/>
      <c r="L39" s="52"/>
    </row>
    <row r="40" spans="1:12" ht="16.5" customHeight="1" x14ac:dyDescent="0.3">
      <c r="A40" s="180"/>
      <c r="B40" s="180"/>
      <c r="C40" s="180"/>
      <c r="D40" s="181" t="s">
        <v>48</v>
      </c>
      <c r="E40" s="180"/>
      <c r="F40" s="180"/>
      <c r="G40" s="180"/>
      <c r="H40" s="180"/>
      <c r="I40" s="180"/>
      <c r="J40" s="180"/>
      <c r="K40" s="180"/>
      <c r="L40" s="52"/>
    </row>
    <row r="41" spans="1:12" ht="16.5" customHeight="1" x14ac:dyDescent="0.3">
      <c r="A41" s="180"/>
      <c r="B41" s="180"/>
      <c r="C41" s="180"/>
      <c r="D41" s="181" t="s">
        <v>49</v>
      </c>
      <c r="E41" s="180"/>
      <c r="F41" s="180"/>
      <c r="G41" s="180"/>
      <c r="H41" s="180"/>
      <c r="I41" s="180"/>
      <c r="J41" s="180"/>
      <c r="K41" s="180"/>
      <c r="L41" s="52"/>
    </row>
    <row r="42" spans="1:12" ht="16.5" customHeight="1" x14ac:dyDescent="0.3">
      <c r="A42" s="180"/>
      <c r="B42" s="180"/>
      <c r="C42" s="180"/>
      <c r="D42" s="181" t="s">
        <v>50</v>
      </c>
      <c r="E42" s="180"/>
      <c r="F42" s="180"/>
      <c r="G42" s="180"/>
      <c r="H42" s="180"/>
      <c r="I42" s="180"/>
      <c r="J42" s="180"/>
      <c r="K42" s="180"/>
      <c r="L42" s="52"/>
    </row>
    <row r="43" spans="1:12" ht="19.5" customHeight="1" x14ac:dyDescent="0.3">
      <c r="A43" s="191" t="s">
        <v>51</v>
      </c>
      <c r="B43" s="192"/>
      <c r="C43" s="192"/>
      <c r="D43" s="192"/>
      <c r="E43" s="192"/>
      <c r="F43" s="192"/>
      <c r="G43" s="192"/>
      <c r="H43" s="177"/>
      <c r="I43" s="177"/>
      <c r="J43" s="177"/>
      <c r="K43" s="177"/>
      <c r="L43" s="52"/>
    </row>
    <row r="44" spans="1:12" ht="16.5" customHeight="1" x14ac:dyDescent="0.3">
      <c r="A44" s="178">
        <v>9</v>
      </c>
      <c r="B44" s="178" t="s">
        <v>52</v>
      </c>
      <c r="C44" s="178" t="s">
        <v>53</v>
      </c>
      <c r="D44" s="178" t="s">
        <v>17</v>
      </c>
      <c r="E44" s="178" t="s">
        <v>18</v>
      </c>
      <c r="F44" s="178" t="str">
        <f>IF(H44&gt;7,"Phức tạp",IF(H44&gt;3,"Trung bình","Đơn giản"))</f>
        <v>Trung bình</v>
      </c>
      <c r="G44" s="178"/>
      <c r="H44" s="179">
        <f>COUNTA(D45:D49)</f>
        <v>5</v>
      </c>
      <c r="I44" s="52"/>
      <c r="J44" s="52">
        <v>1</v>
      </c>
      <c r="K44" s="52"/>
      <c r="L44" s="52"/>
    </row>
    <row r="45" spans="1:12" ht="16.5" customHeight="1" x14ac:dyDescent="0.3">
      <c r="A45" s="180"/>
      <c r="B45" s="180"/>
      <c r="C45" s="180"/>
      <c r="D45" s="181" t="s">
        <v>54</v>
      </c>
      <c r="E45" s="180"/>
      <c r="F45" s="180"/>
      <c r="G45" s="180"/>
      <c r="H45" s="180"/>
      <c r="I45" s="180"/>
      <c r="J45" s="180"/>
      <c r="K45" s="180"/>
      <c r="L45" s="52"/>
    </row>
    <row r="46" spans="1:12" ht="16.5" customHeight="1" x14ac:dyDescent="0.3">
      <c r="A46" s="180"/>
      <c r="B46" s="180"/>
      <c r="C46" s="180"/>
      <c r="D46" s="181" t="s">
        <v>55</v>
      </c>
      <c r="E46" s="180"/>
      <c r="F46" s="180"/>
      <c r="G46" s="180"/>
      <c r="H46" s="180"/>
      <c r="I46" s="180"/>
      <c r="J46" s="180"/>
      <c r="K46" s="180"/>
      <c r="L46" s="52"/>
    </row>
    <row r="47" spans="1:12" ht="16.5" customHeight="1" x14ac:dyDescent="0.3">
      <c r="A47" s="180"/>
      <c r="B47" s="180"/>
      <c r="C47" s="180"/>
      <c r="D47" s="181" t="s">
        <v>56</v>
      </c>
      <c r="E47" s="180"/>
      <c r="F47" s="180"/>
      <c r="G47" s="180"/>
      <c r="H47" s="180"/>
      <c r="I47" s="180"/>
      <c r="J47" s="180"/>
      <c r="K47" s="180"/>
      <c r="L47" s="52"/>
    </row>
    <row r="48" spans="1:12" ht="16.5" customHeight="1" x14ac:dyDescent="0.3">
      <c r="A48" s="180"/>
      <c r="B48" s="180"/>
      <c r="C48" s="180"/>
      <c r="D48" s="181" t="s">
        <v>57</v>
      </c>
      <c r="E48" s="180"/>
      <c r="F48" s="180"/>
      <c r="G48" s="180"/>
      <c r="H48" s="180"/>
      <c r="I48" s="180"/>
      <c r="J48" s="180"/>
      <c r="K48" s="180"/>
      <c r="L48" s="52"/>
    </row>
    <row r="49" spans="1:12" ht="16.5" customHeight="1" x14ac:dyDescent="0.3">
      <c r="A49" s="180"/>
      <c r="B49" s="180"/>
      <c r="C49" s="180"/>
      <c r="D49" s="181" t="s">
        <v>58</v>
      </c>
      <c r="E49" s="180"/>
      <c r="F49" s="180"/>
      <c r="G49" s="180"/>
      <c r="H49" s="180"/>
      <c r="I49" s="180"/>
      <c r="J49" s="180"/>
      <c r="K49" s="180"/>
      <c r="L49" s="52"/>
    </row>
    <row r="50" spans="1:12" ht="16.5" customHeight="1" x14ac:dyDescent="0.3">
      <c r="A50" s="178">
        <v>10</v>
      </c>
      <c r="B50" s="178" t="s">
        <v>59</v>
      </c>
      <c r="C50" s="178" t="s">
        <v>16</v>
      </c>
      <c r="D50" s="178" t="s">
        <v>17</v>
      </c>
      <c r="E50" s="178" t="s">
        <v>18</v>
      </c>
      <c r="F50" s="178" t="str">
        <f>IF(H50&gt;7,"Phức tạp",IF(H50&gt;3,"Trung bình","Đơn giản"))</f>
        <v>Đơn giản</v>
      </c>
      <c r="G50" s="178"/>
      <c r="H50" s="179">
        <f>COUNTA(D51:D53)</f>
        <v>3</v>
      </c>
      <c r="I50" s="52">
        <v>1</v>
      </c>
      <c r="J50" s="52"/>
      <c r="K50" s="52"/>
      <c r="L50" s="52"/>
    </row>
    <row r="51" spans="1:12" ht="16.5" customHeight="1" x14ac:dyDescent="0.3">
      <c r="A51" s="180"/>
      <c r="B51" s="180"/>
      <c r="C51" s="180"/>
      <c r="D51" s="181" t="s">
        <v>60</v>
      </c>
      <c r="E51" s="180"/>
      <c r="F51" s="180"/>
      <c r="G51" s="180"/>
      <c r="H51" s="180"/>
      <c r="I51" s="180"/>
      <c r="J51" s="180"/>
      <c r="K51" s="180"/>
      <c r="L51" s="52"/>
    </row>
    <row r="52" spans="1:12" ht="16.5" customHeight="1" x14ac:dyDescent="0.3">
      <c r="A52" s="180"/>
      <c r="B52" s="180"/>
      <c r="C52" s="180"/>
      <c r="D52" s="181" t="s">
        <v>61</v>
      </c>
      <c r="E52" s="180"/>
      <c r="F52" s="180"/>
      <c r="G52" s="180"/>
      <c r="H52" s="180"/>
      <c r="I52" s="180"/>
      <c r="J52" s="180"/>
      <c r="K52" s="180"/>
      <c r="L52" s="52"/>
    </row>
    <row r="53" spans="1:12" ht="16.5" customHeight="1" x14ac:dyDescent="0.3">
      <c r="A53" s="180"/>
      <c r="B53" s="180"/>
      <c r="C53" s="180"/>
      <c r="D53" s="181" t="s">
        <v>62</v>
      </c>
      <c r="E53" s="180"/>
      <c r="F53" s="180"/>
      <c r="G53" s="180"/>
      <c r="H53" s="180"/>
      <c r="I53" s="180"/>
      <c r="J53" s="180"/>
      <c r="K53" s="180"/>
      <c r="L53" s="52"/>
    </row>
    <row r="54" spans="1:12" ht="16.5" customHeight="1" x14ac:dyDescent="0.3">
      <c r="A54" s="178">
        <v>11</v>
      </c>
      <c r="B54" s="178" t="s">
        <v>63</v>
      </c>
      <c r="C54" s="178" t="s">
        <v>53</v>
      </c>
      <c r="D54" s="178" t="s">
        <v>17</v>
      </c>
      <c r="E54" s="178" t="s">
        <v>18</v>
      </c>
      <c r="F54" s="178" t="str">
        <f>IF(H54&gt;7,"Phức tạp",IF(H54&gt;3,"Trung bình","Đơn giản"))</f>
        <v>Trung bình</v>
      </c>
      <c r="G54" s="178"/>
      <c r="H54" s="179">
        <f>COUNTA(D55:D61)</f>
        <v>7</v>
      </c>
      <c r="I54" s="52"/>
      <c r="J54" s="52">
        <v>1</v>
      </c>
      <c r="K54" s="52"/>
      <c r="L54" s="52"/>
    </row>
    <row r="55" spans="1:12" ht="16.5" customHeight="1" x14ac:dyDescent="0.3">
      <c r="A55" s="180"/>
      <c r="B55" s="180"/>
      <c r="C55" s="180"/>
      <c r="D55" s="181" t="s">
        <v>64</v>
      </c>
      <c r="E55" s="180"/>
      <c r="F55" s="180"/>
      <c r="G55" s="180"/>
      <c r="H55" s="180"/>
      <c r="I55" s="180"/>
      <c r="J55" s="180"/>
      <c r="K55" s="180"/>
      <c r="L55" s="52"/>
    </row>
    <row r="56" spans="1:12" ht="16.5" customHeight="1" x14ac:dyDescent="0.3">
      <c r="A56" s="180"/>
      <c r="B56" s="180"/>
      <c r="C56" s="180"/>
      <c r="D56" s="181" t="s">
        <v>65</v>
      </c>
      <c r="E56" s="180"/>
      <c r="F56" s="180"/>
      <c r="G56" s="180"/>
      <c r="H56" s="180"/>
      <c r="I56" s="180"/>
      <c r="J56" s="180"/>
      <c r="K56" s="180"/>
      <c r="L56" s="52"/>
    </row>
    <row r="57" spans="1:12" ht="16.5" customHeight="1" x14ac:dyDescent="0.3">
      <c r="A57" s="180"/>
      <c r="B57" s="180"/>
      <c r="C57" s="180"/>
      <c r="D57" s="181" t="s">
        <v>66</v>
      </c>
      <c r="E57" s="180"/>
      <c r="F57" s="180"/>
      <c r="G57" s="180"/>
      <c r="H57" s="180"/>
      <c r="I57" s="180"/>
      <c r="J57" s="180"/>
      <c r="K57" s="180"/>
      <c r="L57" s="52"/>
    </row>
    <row r="58" spans="1:12" ht="16.5" customHeight="1" x14ac:dyDescent="0.3">
      <c r="A58" s="180"/>
      <c r="B58" s="180"/>
      <c r="C58" s="180"/>
      <c r="D58" s="181" t="s">
        <v>67</v>
      </c>
      <c r="E58" s="180"/>
      <c r="F58" s="180"/>
      <c r="G58" s="180"/>
      <c r="H58" s="180"/>
      <c r="I58" s="180"/>
      <c r="J58" s="180"/>
      <c r="K58" s="180"/>
      <c r="L58" s="52"/>
    </row>
    <row r="59" spans="1:12" ht="16.5" customHeight="1" x14ac:dyDescent="0.3">
      <c r="A59" s="180"/>
      <c r="B59" s="180"/>
      <c r="C59" s="180"/>
      <c r="D59" s="181" t="s">
        <v>68</v>
      </c>
      <c r="E59" s="180"/>
      <c r="F59" s="180"/>
      <c r="G59" s="180"/>
      <c r="H59" s="180"/>
      <c r="I59" s="180"/>
      <c r="J59" s="180"/>
      <c r="K59" s="180"/>
      <c r="L59" s="52"/>
    </row>
    <row r="60" spans="1:12" ht="16.5" customHeight="1" x14ac:dyDescent="0.3">
      <c r="A60" s="180"/>
      <c r="B60" s="180"/>
      <c r="C60" s="180"/>
      <c r="D60" s="181" t="s">
        <v>69</v>
      </c>
      <c r="E60" s="180"/>
      <c r="F60" s="180"/>
      <c r="G60" s="180"/>
      <c r="H60" s="180"/>
      <c r="I60" s="180"/>
      <c r="J60" s="180"/>
      <c r="K60" s="180"/>
      <c r="L60" s="52"/>
    </row>
    <row r="61" spans="1:12" ht="16.5" customHeight="1" x14ac:dyDescent="0.3">
      <c r="A61" s="180"/>
      <c r="B61" s="180"/>
      <c r="C61" s="180"/>
      <c r="D61" s="181" t="s">
        <v>70</v>
      </c>
      <c r="E61" s="180"/>
      <c r="F61" s="180"/>
      <c r="G61" s="180"/>
      <c r="H61" s="180"/>
      <c r="I61" s="180"/>
      <c r="J61" s="180"/>
      <c r="K61" s="180"/>
      <c r="L61" s="52"/>
    </row>
    <row r="62" spans="1:12" ht="16.5" customHeight="1" x14ac:dyDescent="0.3">
      <c r="A62" s="178">
        <v>12</v>
      </c>
      <c r="B62" s="178" t="s">
        <v>71</v>
      </c>
      <c r="C62" s="178" t="s">
        <v>16</v>
      </c>
      <c r="D62" s="178" t="s">
        <v>17</v>
      </c>
      <c r="E62" s="178" t="s">
        <v>18</v>
      </c>
      <c r="F62" s="178" t="str">
        <f>IF(H62&gt;7,"Phức tạp",IF(H62&gt;3,"Trung bình","Đơn giản"))</f>
        <v>Phức tạp</v>
      </c>
      <c r="G62" s="178"/>
      <c r="H62" s="179">
        <f>COUNTA(D63:D71)</f>
        <v>9</v>
      </c>
      <c r="I62" s="52"/>
      <c r="J62" s="52"/>
      <c r="K62" s="52">
        <v>1</v>
      </c>
      <c r="L62" s="52"/>
    </row>
    <row r="63" spans="1:12" ht="16.5" customHeight="1" x14ac:dyDescent="0.3">
      <c r="A63" s="180"/>
      <c r="B63" s="180"/>
      <c r="C63" s="180"/>
      <c r="D63" s="181" t="s">
        <v>72</v>
      </c>
      <c r="E63" s="180"/>
      <c r="F63" s="180"/>
      <c r="G63" s="180"/>
      <c r="H63" s="180"/>
      <c r="I63" s="180"/>
      <c r="J63" s="180"/>
      <c r="K63" s="180"/>
      <c r="L63" s="52"/>
    </row>
    <row r="64" spans="1:12" ht="16.5" customHeight="1" x14ac:dyDescent="0.3">
      <c r="A64" s="180"/>
      <c r="B64" s="180"/>
      <c r="C64" s="180"/>
      <c r="D64" s="181" t="s">
        <v>73</v>
      </c>
      <c r="E64" s="180"/>
      <c r="F64" s="180"/>
      <c r="G64" s="180"/>
      <c r="H64" s="180"/>
      <c r="I64" s="180"/>
      <c r="J64" s="180"/>
      <c r="K64" s="180"/>
      <c r="L64" s="52"/>
    </row>
    <row r="65" spans="1:12" ht="16.5" customHeight="1" x14ac:dyDescent="0.3">
      <c r="A65" s="180"/>
      <c r="B65" s="180"/>
      <c r="C65" s="180"/>
      <c r="D65" s="181" t="s">
        <v>74</v>
      </c>
      <c r="E65" s="180"/>
      <c r="F65" s="180"/>
      <c r="G65" s="180"/>
      <c r="H65" s="180"/>
      <c r="I65" s="180"/>
      <c r="J65" s="180"/>
      <c r="K65" s="180"/>
      <c r="L65" s="52"/>
    </row>
    <row r="66" spans="1:12" ht="16.5" customHeight="1" x14ac:dyDescent="0.3">
      <c r="A66" s="180"/>
      <c r="B66" s="180"/>
      <c r="C66" s="180"/>
      <c r="D66" s="181" t="s">
        <v>75</v>
      </c>
      <c r="E66" s="180"/>
      <c r="F66" s="180"/>
      <c r="G66" s="180"/>
      <c r="H66" s="180"/>
      <c r="I66" s="180"/>
      <c r="J66" s="180"/>
      <c r="K66" s="180"/>
      <c r="L66" s="52"/>
    </row>
    <row r="67" spans="1:12" ht="16.5" customHeight="1" x14ac:dyDescent="0.3">
      <c r="A67" s="180"/>
      <c r="B67" s="180"/>
      <c r="C67" s="180"/>
      <c r="D67" s="181" t="s">
        <v>76</v>
      </c>
      <c r="E67" s="180"/>
      <c r="F67" s="180"/>
      <c r="G67" s="180"/>
      <c r="H67" s="180"/>
      <c r="I67" s="180"/>
      <c r="J67" s="180"/>
      <c r="K67" s="180"/>
      <c r="L67" s="52"/>
    </row>
    <row r="68" spans="1:12" ht="16.5" customHeight="1" x14ac:dyDescent="0.3">
      <c r="A68" s="180"/>
      <c r="B68" s="180"/>
      <c r="C68" s="180"/>
      <c r="D68" s="181" t="s">
        <v>77</v>
      </c>
      <c r="E68" s="180"/>
      <c r="F68" s="180"/>
      <c r="G68" s="180"/>
      <c r="H68" s="180"/>
      <c r="I68" s="180"/>
      <c r="J68" s="180"/>
      <c r="K68" s="180"/>
      <c r="L68" s="52"/>
    </row>
    <row r="69" spans="1:12" ht="16.5" customHeight="1" x14ac:dyDescent="0.3">
      <c r="A69" s="180"/>
      <c r="B69" s="180"/>
      <c r="C69" s="180"/>
      <c r="D69" s="181" t="s">
        <v>78</v>
      </c>
      <c r="E69" s="180"/>
      <c r="F69" s="180"/>
      <c r="G69" s="180"/>
      <c r="H69" s="180"/>
      <c r="I69" s="180"/>
      <c r="J69" s="180"/>
      <c r="K69" s="180"/>
      <c r="L69" s="52"/>
    </row>
    <row r="70" spans="1:12" ht="16.5" customHeight="1" x14ac:dyDescent="0.3">
      <c r="A70" s="180"/>
      <c r="B70" s="180"/>
      <c r="C70" s="180"/>
      <c r="D70" s="181" t="s">
        <v>79</v>
      </c>
      <c r="E70" s="180"/>
      <c r="F70" s="180"/>
      <c r="G70" s="180"/>
      <c r="H70" s="180"/>
      <c r="I70" s="180"/>
      <c r="J70" s="180"/>
      <c r="K70" s="180"/>
      <c r="L70" s="52"/>
    </row>
    <row r="71" spans="1:12" ht="16.5" customHeight="1" x14ac:dyDescent="0.3">
      <c r="A71" s="180"/>
      <c r="B71" s="180"/>
      <c r="C71" s="180"/>
      <c r="D71" s="181" t="s">
        <v>80</v>
      </c>
      <c r="E71" s="180"/>
      <c r="F71" s="180"/>
      <c r="G71" s="180"/>
      <c r="H71" s="180"/>
      <c r="I71" s="180"/>
      <c r="J71" s="180"/>
      <c r="K71" s="180"/>
      <c r="L71" s="52"/>
    </row>
    <row r="72" spans="1:12" ht="16.5" customHeight="1" x14ac:dyDescent="0.3">
      <c r="A72" s="178">
        <v>13</v>
      </c>
      <c r="B72" s="178" t="s">
        <v>81</v>
      </c>
      <c r="C72" s="178" t="s">
        <v>53</v>
      </c>
      <c r="D72" s="178" t="s">
        <v>17</v>
      </c>
      <c r="E72" s="178" t="s">
        <v>18</v>
      </c>
      <c r="F72" s="178" t="str">
        <f>IF(H72&gt;7,"Phức tạp",IF(H72&gt;3,"Trung bình","Đơn giản"))</f>
        <v>Trung bình</v>
      </c>
      <c r="G72" s="178"/>
      <c r="H72" s="179">
        <f>COUNTA(D73:D76)</f>
        <v>4</v>
      </c>
      <c r="I72" s="52"/>
      <c r="J72" s="52">
        <v>1</v>
      </c>
      <c r="K72" s="52"/>
      <c r="L72" s="52"/>
    </row>
    <row r="73" spans="1:12" ht="16.5" customHeight="1" x14ac:dyDescent="0.3">
      <c r="A73" s="180"/>
      <c r="B73" s="180"/>
      <c r="C73" s="180"/>
      <c r="D73" s="181" t="s">
        <v>82</v>
      </c>
      <c r="E73" s="180"/>
      <c r="F73" s="180"/>
      <c r="G73" s="180"/>
      <c r="H73" s="180"/>
      <c r="I73" s="180"/>
      <c r="J73" s="180"/>
      <c r="K73" s="180"/>
      <c r="L73" s="52"/>
    </row>
    <row r="74" spans="1:12" ht="16.5" customHeight="1" x14ac:dyDescent="0.3">
      <c r="A74" s="180"/>
      <c r="B74" s="180"/>
      <c r="C74" s="180"/>
      <c r="D74" s="181" t="s">
        <v>83</v>
      </c>
      <c r="E74" s="180"/>
      <c r="F74" s="180"/>
      <c r="G74" s="180"/>
      <c r="H74" s="180"/>
      <c r="I74" s="180"/>
      <c r="J74" s="180"/>
      <c r="K74" s="180"/>
      <c r="L74" s="52"/>
    </row>
    <row r="75" spans="1:12" ht="16.5" customHeight="1" x14ac:dyDescent="0.3">
      <c r="A75" s="180"/>
      <c r="B75" s="180"/>
      <c r="C75" s="180"/>
      <c r="D75" s="181" t="s">
        <v>84</v>
      </c>
      <c r="E75" s="180"/>
      <c r="F75" s="180"/>
      <c r="G75" s="180"/>
      <c r="H75" s="180"/>
      <c r="I75" s="180"/>
      <c r="J75" s="180"/>
      <c r="K75" s="180"/>
      <c r="L75" s="52"/>
    </row>
    <row r="76" spans="1:12" ht="16.5" customHeight="1" x14ac:dyDescent="0.3">
      <c r="A76" s="180"/>
      <c r="B76" s="180"/>
      <c r="C76" s="180"/>
      <c r="D76" s="181" t="s">
        <v>85</v>
      </c>
      <c r="E76" s="180"/>
      <c r="F76" s="180"/>
      <c r="G76" s="180"/>
      <c r="H76" s="180"/>
      <c r="I76" s="180"/>
      <c r="J76" s="180"/>
      <c r="K76" s="180"/>
      <c r="L76" s="52"/>
    </row>
    <row r="77" spans="1:12" ht="16.5" customHeight="1" x14ac:dyDescent="0.3">
      <c r="A77" s="178">
        <v>14</v>
      </c>
      <c r="B77" s="178" t="s">
        <v>86</v>
      </c>
      <c r="C77" s="178" t="s">
        <v>53</v>
      </c>
      <c r="D77" s="178" t="s">
        <v>17</v>
      </c>
      <c r="E77" s="178" t="s">
        <v>18</v>
      </c>
      <c r="F77" s="178" t="str">
        <f>IF(H77&gt;7,"Phức tạp",IF(H77&gt;3,"Trung bình","Đơn giản"))</f>
        <v>Trung bình</v>
      </c>
      <c r="G77" s="178"/>
      <c r="H77" s="179">
        <f>COUNTA(D78:D83)</f>
        <v>6</v>
      </c>
      <c r="I77" s="52"/>
      <c r="J77" s="52">
        <v>1</v>
      </c>
      <c r="K77" s="52"/>
      <c r="L77" s="52"/>
    </row>
    <row r="78" spans="1:12" ht="16.5" customHeight="1" x14ac:dyDescent="0.3">
      <c r="A78" s="180"/>
      <c r="B78" s="180"/>
      <c r="C78" s="180"/>
      <c r="D78" s="181" t="s">
        <v>87</v>
      </c>
      <c r="E78" s="180"/>
      <c r="F78" s="180"/>
      <c r="G78" s="180"/>
      <c r="H78" s="180"/>
      <c r="I78" s="180"/>
      <c r="J78" s="180"/>
      <c r="K78" s="180"/>
      <c r="L78" s="52"/>
    </row>
    <row r="79" spans="1:12" ht="16.5" customHeight="1" x14ac:dyDescent="0.3">
      <c r="A79" s="180"/>
      <c r="B79" s="180"/>
      <c r="C79" s="180"/>
      <c r="D79" s="181" t="s">
        <v>88</v>
      </c>
      <c r="E79" s="180"/>
      <c r="F79" s="180"/>
      <c r="G79" s="180"/>
      <c r="H79" s="180"/>
      <c r="I79" s="180"/>
      <c r="J79" s="180"/>
      <c r="K79" s="180"/>
      <c r="L79" s="52"/>
    </row>
    <row r="80" spans="1:12" ht="16.5" customHeight="1" x14ac:dyDescent="0.3">
      <c r="A80" s="180"/>
      <c r="B80" s="180"/>
      <c r="C80" s="180"/>
      <c r="D80" s="181" t="s">
        <v>89</v>
      </c>
      <c r="E80" s="180"/>
      <c r="F80" s="180"/>
      <c r="G80" s="180"/>
      <c r="H80" s="180"/>
      <c r="I80" s="180"/>
      <c r="J80" s="180"/>
      <c r="K80" s="180"/>
      <c r="L80" s="52"/>
    </row>
    <row r="81" spans="1:12" ht="16.5" customHeight="1" x14ac:dyDescent="0.3">
      <c r="A81" s="180"/>
      <c r="B81" s="180"/>
      <c r="C81" s="180"/>
      <c r="D81" s="181" t="s">
        <v>90</v>
      </c>
      <c r="E81" s="180"/>
      <c r="F81" s="180"/>
      <c r="G81" s="180"/>
      <c r="H81" s="180"/>
      <c r="I81" s="180"/>
      <c r="J81" s="180"/>
      <c r="K81" s="180"/>
      <c r="L81" s="52"/>
    </row>
    <row r="82" spans="1:12" ht="16.5" customHeight="1" x14ac:dyDescent="0.3">
      <c r="A82" s="180"/>
      <c r="B82" s="180"/>
      <c r="C82" s="180"/>
      <c r="D82" s="181" t="s">
        <v>91</v>
      </c>
      <c r="E82" s="180"/>
      <c r="F82" s="180"/>
      <c r="G82" s="180"/>
      <c r="H82" s="180"/>
      <c r="I82" s="180"/>
      <c r="J82" s="180"/>
      <c r="K82" s="180"/>
      <c r="L82" s="52"/>
    </row>
    <row r="83" spans="1:12" ht="16.5" customHeight="1" x14ac:dyDescent="0.3">
      <c r="A83" s="180"/>
      <c r="B83" s="180"/>
      <c r="C83" s="180"/>
      <c r="D83" s="181" t="s">
        <v>92</v>
      </c>
      <c r="E83" s="180"/>
      <c r="F83" s="180"/>
      <c r="G83" s="180"/>
      <c r="H83" s="180"/>
      <c r="I83" s="180"/>
      <c r="J83" s="180"/>
      <c r="K83" s="180"/>
      <c r="L83" s="52"/>
    </row>
    <row r="84" spans="1:12" ht="16.5" customHeight="1" x14ac:dyDescent="0.3">
      <c r="A84" s="178">
        <v>15</v>
      </c>
      <c r="B84" s="178" t="s">
        <v>93</v>
      </c>
      <c r="C84" s="178" t="s">
        <v>53</v>
      </c>
      <c r="D84" s="178" t="s">
        <v>17</v>
      </c>
      <c r="E84" s="178" t="s">
        <v>18</v>
      </c>
      <c r="F84" s="178" t="str">
        <f>IF(H84&gt;7,"Phức tạp",IF(H84&gt;3,"Trung bình","Đơn giản"))</f>
        <v>Đơn giản</v>
      </c>
      <c r="G84" s="178"/>
      <c r="H84" s="179">
        <f>COUNTA(D85:D85)</f>
        <v>1</v>
      </c>
      <c r="I84" s="52">
        <v>1</v>
      </c>
      <c r="J84" s="52"/>
      <c r="K84" s="52"/>
      <c r="L84" s="52"/>
    </row>
    <row r="85" spans="1:12" ht="16.5" customHeight="1" x14ac:dyDescent="0.3">
      <c r="A85" s="180"/>
      <c r="B85" s="180"/>
      <c r="C85" s="180"/>
      <c r="D85" s="181" t="s">
        <v>94</v>
      </c>
      <c r="E85" s="180"/>
      <c r="F85" s="180"/>
      <c r="G85" s="180"/>
      <c r="H85" s="180"/>
      <c r="I85" s="180"/>
      <c r="J85" s="180"/>
      <c r="K85" s="180"/>
      <c r="L85" s="52"/>
    </row>
    <row r="86" spans="1:12" ht="16.5" customHeight="1" x14ac:dyDescent="0.3">
      <c r="A86" s="178">
        <v>16</v>
      </c>
      <c r="B86" s="178" t="s">
        <v>95</v>
      </c>
      <c r="C86" s="178" t="s">
        <v>53</v>
      </c>
      <c r="D86" s="178" t="s">
        <v>17</v>
      </c>
      <c r="E86" s="178" t="s">
        <v>18</v>
      </c>
      <c r="F86" s="178" t="str">
        <f>IF(H86&gt;7,"Phức tạp",IF(H86&gt;3,"Trung bình","Đơn giản"))</f>
        <v>Đơn giản</v>
      </c>
      <c r="G86" s="178"/>
      <c r="H86" s="179">
        <f>COUNTA(D87:D87)</f>
        <v>1</v>
      </c>
      <c r="I86" s="52">
        <v>1</v>
      </c>
      <c r="J86" s="52"/>
      <c r="K86" s="52"/>
      <c r="L86" s="52"/>
    </row>
    <row r="87" spans="1:12" ht="16.5" customHeight="1" x14ac:dyDescent="0.3">
      <c r="A87" s="180"/>
      <c r="B87" s="180"/>
      <c r="C87" s="180"/>
      <c r="D87" s="181" t="s">
        <v>96</v>
      </c>
      <c r="E87" s="180"/>
      <c r="F87" s="180"/>
      <c r="G87" s="180"/>
      <c r="H87" s="180"/>
      <c r="I87" s="180"/>
      <c r="J87" s="180"/>
      <c r="K87" s="180"/>
      <c r="L87" s="52"/>
    </row>
    <row r="88" spans="1:12" ht="16.5" customHeight="1" x14ac:dyDescent="0.3">
      <c r="A88" s="178">
        <v>17</v>
      </c>
      <c r="B88" s="178" t="s">
        <v>97</v>
      </c>
      <c r="C88" s="178" t="s">
        <v>53</v>
      </c>
      <c r="D88" s="178" t="s">
        <v>17</v>
      </c>
      <c r="E88" s="178" t="s">
        <v>18</v>
      </c>
      <c r="F88" s="178" t="str">
        <f>IF(H88&gt;7,"Phức tạp",IF(H88&gt;3,"Trung bình","Đơn giản"))</f>
        <v>Trung bình</v>
      </c>
      <c r="G88" s="178"/>
      <c r="H88" s="179">
        <f>COUNTA(D89:D93)</f>
        <v>5</v>
      </c>
      <c r="I88" s="52"/>
      <c r="J88" s="52">
        <v>1</v>
      </c>
      <c r="K88" s="52"/>
      <c r="L88" s="52"/>
    </row>
    <row r="89" spans="1:12" ht="16.5" customHeight="1" x14ac:dyDescent="0.3">
      <c r="A89" s="180"/>
      <c r="B89" s="180"/>
      <c r="C89" s="180"/>
      <c r="D89" s="181" t="s">
        <v>98</v>
      </c>
      <c r="E89" s="180"/>
      <c r="F89" s="180"/>
      <c r="G89" s="180"/>
      <c r="H89" s="180"/>
      <c r="I89" s="180"/>
      <c r="J89" s="180"/>
      <c r="K89" s="180"/>
      <c r="L89" s="52"/>
    </row>
    <row r="90" spans="1:12" ht="16.5" customHeight="1" x14ac:dyDescent="0.3">
      <c r="A90" s="180"/>
      <c r="B90" s="180"/>
      <c r="C90" s="180"/>
      <c r="D90" s="181" t="s">
        <v>99</v>
      </c>
      <c r="E90" s="180"/>
      <c r="F90" s="180"/>
      <c r="G90" s="180"/>
      <c r="H90" s="180"/>
      <c r="I90" s="180"/>
      <c r="J90" s="180"/>
      <c r="K90" s="180"/>
      <c r="L90" s="52"/>
    </row>
    <row r="91" spans="1:12" ht="16.5" customHeight="1" x14ac:dyDescent="0.3">
      <c r="A91" s="180"/>
      <c r="B91" s="180"/>
      <c r="C91" s="180"/>
      <c r="D91" s="181" t="s">
        <v>100</v>
      </c>
      <c r="E91" s="180"/>
      <c r="F91" s="180"/>
      <c r="G91" s="180"/>
      <c r="H91" s="180"/>
      <c r="I91" s="180"/>
      <c r="J91" s="180"/>
      <c r="K91" s="180"/>
      <c r="L91" s="52"/>
    </row>
    <row r="92" spans="1:12" ht="16.5" customHeight="1" x14ac:dyDescent="0.3">
      <c r="A92" s="180"/>
      <c r="B92" s="180"/>
      <c r="C92" s="180"/>
      <c r="D92" s="181" t="s">
        <v>101</v>
      </c>
      <c r="E92" s="180"/>
      <c r="F92" s="180"/>
      <c r="G92" s="180"/>
      <c r="H92" s="180"/>
      <c r="I92" s="180"/>
      <c r="J92" s="180"/>
      <c r="K92" s="180"/>
      <c r="L92" s="52"/>
    </row>
    <row r="93" spans="1:12" ht="16.5" customHeight="1" x14ac:dyDescent="0.3">
      <c r="A93" s="180"/>
      <c r="B93" s="180"/>
      <c r="C93" s="180"/>
      <c r="D93" s="181" t="s">
        <v>102</v>
      </c>
      <c r="E93" s="180"/>
      <c r="F93" s="180"/>
      <c r="G93" s="180"/>
      <c r="H93" s="180"/>
      <c r="I93" s="180"/>
      <c r="J93" s="180"/>
      <c r="K93" s="180"/>
      <c r="L93" s="52"/>
    </row>
    <row r="94" spans="1:12" ht="16.5" customHeight="1" x14ac:dyDescent="0.3">
      <c r="A94" s="178">
        <v>18</v>
      </c>
      <c r="B94" s="178" t="s">
        <v>103</v>
      </c>
      <c r="C94" s="178" t="s">
        <v>53</v>
      </c>
      <c r="D94" s="178" t="s">
        <v>17</v>
      </c>
      <c r="E94" s="178" t="s">
        <v>18</v>
      </c>
      <c r="F94" s="178" t="str">
        <f>IF(H94&gt;7,"Phức tạp",IF(H94&gt;3,"Trung bình","Đơn giản"))</f>
        <v>Trung bình</v>
      </c>
      <c r="G94" s="178"/>
      <c r="H94" s="179">
        <f>COUNTA(D95:D99)</f>
        <v>5</v>
      </c>
      <c r="I94" s="52"/>
      <c r="J94" s="52">
        <v>1</v>
      </c>
      <c r="K94" s="52"/>
      <c r="L94" s="52"/>
    </row>
    <row r="95" spans="1:12" ht="16.5" customHeight="1" x14ac:dyDescent="0.3">
      <c r="A95" s="180"/>
      <c r="B95" s="180"/>
      <c r="C95" s="180"/>
      <c r="D95" s="181" t="s">
        <v>98</v>
      </c>
      <c r="E95" s="180"/>
      <c r="F95" s="180"/>
      <c r="G95" s="180"/>
      <c r="H95" s="180"/>
      <c r="I95" s="180"/>
      <c r="J95" s="180"/>
      <c r="K95" s="180"/>
      <c r="L95" s="52"/>
    </row>
    <row r="96" spans="1:12" ht="16.5" customHeight="1" x14ac:dyDescent="0.3">
      <c r="A96" s="180"/>
      <c r="B96" s="180"/>
      <c r="C96" s="180"/>
      <c r="D96" s="181" t="s">
        <v>99</v>
      </c>
      <c r="E96" s="180"/>
      <c r="F96" s="180"/>
      <c r="G96" s="180"/>
      <c r="H96" s="180"/>
      <c r="I96" s="180"/>
      <c r="J96" s="180"/>
      <c r="K96" s="180"/>
      <c r="L96" s="52"/>
    </row>
    <row r="97" spans="1:12" ht="16.5" customHeight="1" x14ac:dyDescent="0.3">
      <c r="A97" s="180"/>
      <c r="B97" s="180"/>
      <c r="C97" s="180"/>
      <c r="D97" s="181" t="s">
        <v>100</v>
      </c>
      <c r="E97" s="180"/>
      <c r="F97" s="180"/>
      <c r="G97" s="180"/>
      <c r="H97" s="180"/>
      <c r="I97" s="180"/>
      <c r="J97" s="180"/>
      <c r="K97" s="180"/>
      <c r="L97" s="52"/>
    </row>
    <row r="98" spans="1:12" ht="16.5" customHeight="1" x14ac:dyDescent="0.3">
      <c r="A98" s="180"/>
      <c r="B98" s="180"/>
      <c r="C98" s="180"/>
      <c r="D98" s="181" t="s">
        <v>101</v>
      </c>
      <c r="E98" s="180"/>
      <c r="F98" s="180"/>
      <c r="G98" s="180"/>
      <c r="H98" s="180"/>
      <c r="I98" s="180"/>
      <c r="J98" s="180"/>
      <c r="K98" s="180"/>
      <c r="L98" s="52"/>
    </row>
    <row r="99" spans="1:12" ht="16.5" customHeight="1" x14ac:dyDescent="0.3">
      <c r="A99" s="180"/>
      <c r="B99" s="180"/>
      <c r="C99" s="180"/>
      <c r="D99" s="181" t="s">
        <v>102</v>
      </c>
      <c r="E99" s="180"/>
      <c r="F99" s="180"/>
      <c r="G99" s="180"/>
      <c r="H99" s="180"/>
      <c r="I99" s="180"/>
      <c r="J99" s="180"/>
      <c r="K99" s="180"/>
      <c r="L99" s="52"/>
    </row>
    <row r="100" spans="1:12" ht="16.5" customHeight="1" x14ac:dyDescent="0.3">
      <c r="A100" s="178">
        <v>19</v>
      </c>
      <c r="B100" s="178" t="s">
        <v>104</v>
      </c>
      <c r="C100" s="178" t="s">
        <v>53</v>
      </c>
      <c r="D100" s="178" t="s">
        <v>17</v>
      </c>
      <c r="E100" s="178" t="s">
        <v>18</v>
      </c>
      <c r="F100" s="178" t="str">
        <f>IF(H100&gt;7,"Phức tạp",IF(H100&gt;3,"Trung bình","Đơn giản"))</f>
        <v>Đơn giản</v>
      </c>
      <c r="G100" s="178"/>
      <c r="H100" s="179">
        <f>COUNTA(D101:D103)</f>
        <v>3</v>
      </c>
      <c r="I100" s="52">
        <v>1</v>
      </c>
      <c r="J100" s="52"/>
      <c r="K100" s="52"/>
      <c r="L100" s="52"/>
    </row>
    <row r="101" spans="1:12" ht="16.5" customHeight="1" x14ac:dyDescent="0.3">
      <c r="A101" s="180"/>
      <c r="B101" s="180"/>
      <c r="C101" s="180"/>
      <c r="D101" s="181" t="s">
        <v>105</v>
      </c>
      <c r="E101" s="180"/>
      <c r="F101" s="180"/>
      <c r="G101" s="180"/>
      <c r="H101" s="180"/>
      <c r="I101" s="180"/>
      <c r="J101" s="180"/>
      <c r="K101" s="180"/>
      <c r="L101" s="52"/>
    </row>
    <row r="102" spans="1:12" ht="16.5" customHeight="1" x14ac:dyDescent="0.3">
      <c r="A102" s="180"/>
      <c r="B102" s="180"/>
      <c r="C102" s="180"/>
      <c r="D102" s="181" t="s">
        <v>106</v>
      </c>
      <c r="E102" s="180"/>
      <c r="F102" s="180"/>
      <c r="G102" s="180"/>
      <c r="H102" s="180"/>
      <c r="I102" s="180"/>
      <c r="J102" s="180"/>
      <c r="K102" s="180"/>
      <c r="L102" s="52"/>
    </row>
    <row r="103" spans="1:12" ht="16.5" customHeight="1" x14ac:dyDescent="0.3">
      <c r="A103" s="180"/>
      <c r="B103" s="180"/>
      <c r="C103" s="180"/>
      <c r="D103" s="181" t="s">
        <v>107</v>
      </c>
      <c r="E103" s="180"/>
      <c r="F103" s="180"/>
      <c r="G103" s="180"/>
      <c r="H103" s="180"/>
      <c r="I103" s="180"/>
      <c r="J103" s="180"/>
      <c r="K103" s="180"/>
      <c r="L103" s="52"/>
    </row>
    <row r="104" spans="1:12" ht="16.5" customHeight="1" x14ac:dyDescent="0.3">
      <c r="A104" s="178">
        <v>20</v>
      </c>
      <c r="B104" s="178" t="s">
        <v>108</v>
      </c>
      <c r="C104" s="178" t="s">
        <v>53</v>
      </c>
      <c r="D104" s="178" t="s">
        <v>17</v>
      </c>
      <c r="E104" s="182" t="s">
        <v>18</v>
      </c>
      <c r="F104" s="178" t="str">
        <f>IF(H104&gt;7,"Phức tạp",IF(H104&gt;3,"Trung bình","Đơn giản"))</f>
        <v>Đơn giản</v>
      </c>
      <c r="G104" s="178"/>
      <c r="H104" s="179">
        <f>COUNTA(D105:D106)</f>
        <v>2</v>
      </c>
      <c r="I104" s="52">
        <v>1</v>
      </c>
      <c r="J104" s="52"/>
      <c r="K104" s="52"/>
      <c r="L104" s="52"/>
    </row>
    <row r="105" spans="1:12" ht="16.5" customHeight="1" x14ac:dyDescent="0.3">
      <c r="A105" s="180"/>
      <c r="B105" s="180"/>
      <c r="C105" s="180"/>
      <c r="D105" s="181" t="s">
        <v>109</v>
      </c>
      <c r="E105" s="183"/>
      <c r="F105" s="180"/>
      <c r="G105" s="180"/>
      <c r="H105" s="180"/>
      <c r="I105" s="180"/>
      <c r="J105" s="180"/>
      <c r="K105" s="180"/>
      <c r="L105" s="52"/>
    </row>
    <row r="106" spans="1:12" ht="16.5" customHeight="1" x14ac:dyDescent="0.3">
      <c r="A106" s="180"/>
      <c r="B106" s="180"/>
      <c r="C106" s="180"/>
      <c r="D106" s="181" t="s">
        <v>110</v>
      </c>
      <c r="E106" s="183"/>
      <c r="F106" s="180"/>
      <c r="G106" s="180"/>
      <c r="H106" s="180"/>
      <c r="I106" s="180"/>
      <c r="J106" s="180"/>
      <c r="K106" s="180"/>
      <c r="L106" s="52"/>
    </row>
    <row r="107" spans="1:12" ht="16.5" customHeight="1" x14ac:dyDescent="0.3">
      <c r="A107" s="178">
        <v>21</v>
      </c>
      <c r="B107" s="178" t="s">
        <v>111</v>
      </c>
      <c r="C107" s="178" t="s">
        <v>53</v>
      </c>
      <c r="D107" s="178" t="s">
        <v>17</v>
      </c>
      <c r="E107" s="182" t="s">
        <v>18</v>
      </c>
      <c r="F107" s="178" t="str">
        <f>IF(H107&gt;7,"Phức tạp",IF(H107&gt;3,"Trung bình","Đơn giản"))</f>
        <v>Đơn giản</v>
      </c>
      <c r="G107" s="178"/>
      <c r="H107" s="179">
        <f>COUNTA(D108:D110)</f>
        <v>3</v>
      </c>
      <c r="I107" s="52">
        <v>1</v>
      </c>
      <c r="J107" s="52"/>
      <c r="K107" s="52"/>
      <c r="L107" s="52"/>
    </row>
    <row r="108" spans="1:12" ht="16.5" customHeight="1" x14ac:dyDescent="0.3">
      <c r="A108" s="180"/>
      <c r="B108" s="180"/>
      <c r="C108" s="180"/>
      <c r="D108" s="181" t="s">
        <v>112</v>
      </c>
      <c r="E108" s="183"/>
      <c r="F108" s="180"/>
      <c r="G108" s="180"/>
      <c r="H108" s="180"/>
      <c r="I108" s="180"/>
      <c r="J108" s="180"/>
      <c r="K108" s="180"/>
      <c r="L108" s="52"/>
    </row>
    <row r="109" spans="1:12" ht="16.5" customHeight="1" x14ac:dyDescent="0.3">
      <c r="A109" s="180"/>
      <c r="B109" s="180"/>
      <c r="C109" s="180"/>
      <c r="D109" s="181" t="s">
        <v>113</v>
      </c>
      <c r="E109" s="183"/>
      <c r="F109" s="180"/>
      <c r="G109" s="180"/>
      <c r="H109" s="180"/>
      <c r="I109" s="180"/>
      <c r="J109" s="180"/>
      <c r="K109" s="180"/>
      <c r="L109" s="52"/>
    </row>
    <row r="110" spans="1:12" ht="16.5" customHeight="1" x14ac:dyDescent="0.3">
      <c r="A110" s="180"/>
      <c r="B110" s="180"/>
      <c r="C110" s="180"/>
      <c r="D110" s="181" t="s">
        <v>114</v>
      </c>
      <c r="E110" s="183"/>
      <c r="F110" s="180"/>
      <c r="G110" s="180"/>
      <c r="H110" s="180"/>
      <c r="I110" s="180"/>
      <c r="J110" s="180"/>
      <c r="K110" s="180"/>
      <c r="L110" s="52"/>
    </row>
    <row r="111" spans="1:12" ht="16.5" customHeight="1" x14ac:dyDescent="0.3">
      <c r="A111" s="178">
        <v>22</v>
      </c>
      <c r="B111" s="178" t="s">
        <v>115</v>
      </c>
      <c r="C111" s="178" t="s">
        <v>53</v>
      </c>
      <c r="D111" s="178" t="s">
        <v>17</v>
      </c>
      <c r="E111" s="182" t="s">
        <v>18</v>
      </c>
      <c r="F111" s="178" t="str">
        <f>IF(H111&gt;7,"Phức tạp",IF(H111&gt;3,"Trung bình","Đơn giản"))</f>
        <v>Đơn giản</v>
      </c>
      <c r="G111" s="178"/>
      <c r="H111" s="179">
        <f>COUNTA(D112:D112)</f>
        <v>1</v>
      </c>
      <c r="I111" s="180">
        <v>1</v>
      </c>
      <c r="J111" s="52"/>
      <c r="K111" s="52"/>
      <c r="L111" s="52"/>
    </row>
    <row r="112" spans="1:12" ht="16.5" customHeight="1" x14ac:dyDescent="0.3">
      <c r="A112" s="180"/>
      <c r="B112" s="180"/>
      <c r="C112" s="180"/>
      <c r="D112" s="181" t="s">
        <v>116</v>
      </c>
      <c r="E112" s="183"/>
      <c r="F112" s="180"/>
      <c r="G112" s="180"/>
      <c r="H112" s="180"/>
      <c r="I112" s="180"/>
      <c r="J112" s="180"/>
      <c r="K112" s="180"/>
      <c r="L112" s="52"/>
    </row>
    <row r="113" spans="1:12" ht="16.5" customHeight="1" x14ac:dyDescent="0.3">
      <c r="A113" s="178">
        <v>23</v>
      </c>
      <c r="B113" s="178" t="s">
        <v>117</v>
      </c>
      <c r="C113" s="178" t="s">
        <v>53</v>
      </c>
      <c r="D113" s="178" t="s">
        <v>17</v>
      </c>
      <c r="E113" s="182" t="s">
        <v>18</v>
      </c>
      <c r="F113" s="178" t="str">
        <f>IF(H113&gt;7,"Phức tạp",IF(H113&gt;3,"Trung bình","Đơn giản"))</f>
        <v>Đơn giản</v>
      </c>
      <c r="G113" s="178"/>
      <c r="H113" s="179">
        <f>COUNTA(D114:D114)</f>
        <v>1</v>
      </c>
      <c r="I113" s="52">
        <v>1</v>
      </c>
      <c r="J113" s="52"/>
      <c r="K113" s="52"/>
      <c r="L113" s="52"/>
    </row>
    <row r="114" spans="1:12" ht="16.5" customHeight="1" x14ac:dyDescent="0.3">
      <c r="A114" s="180"/>
      <c r="B114" s="180"/>
      <c r="C114" s="180"/>
      <c r="D114" s="181" t="s">
        <v>118</v>
      </c>
      <c r="E114" s="183"/>
      <c r="F114" s="180"/>
      <c r="G114" s="180"/>
      <c r="H114" s="180"/>
      <c r="I114" s="180"/>
      <c r="J114" s="180"/>
      <c r="K114" s="180"/>
      <c r="L114" s="52"/>
    </row>
    <row r="115" spans="1:12" ht="16.5" customHeight="1" x14ac:dyDescent="0.3">
      <c r="A115" s="178">
        <v>24</v>
      </c>
      <c r="B115" s="178" t="s">
        <v>119</v>
      </c>
      <c r="C115" s="178" t="s">
        <v>53</v>
      </c>
      <c r="D115" s="178" t="s">
        <v>17</v>
      </c>
      <c r="E115" s="182" t="s">
        <v>18</v>
      </c>
      <c r="F115" s="178" t="str">
        <f>IF(H115&gt;7,"Phức tạp",IF(H115&gt;3,"Trung bình","Đơn giản"))</f>
        <v>Đơn giản</v>
      </c>
      <c r="G115" s="178"/>
      <c r="H115" s="179">
        <f>COUNTA(D116:D116)</f>
        <v>1</v>
      </c>
      <c r="I115" s="52">
        <v>1</v>
      </c>
      <c r="J115" s="52"/>
      <c r="K115" s="52"/>
      <c r="L115" s="52"/>
    </row>
    <row r="116" spans="1:12" ht="16.5" customHeight="1" x14ac:dyDescent="0.3">
      <c r="A116" s="180"/>
      <c r="B116" s="180"/>
      <c r="C116" s="180"/>
      <c r="D116" s="181" t="s">
        <v>120</v>
      </c>
      <c r="E116" s="180"/>
      <c r="F116" s="180"/>
      <c r="G116" s="180"/>
      <c r="H116" s="180"/>
      <c r="I116" s="180"/>
      <c r="J116" s="180"/>
      <c r="K116" s="180"/>
      <c r="L116" s="52"/>
    </row>
    <row r="117" spans="1:12" ht="19.5" customHeight="1" x14ac:dyDescent="0.3">
      <c r="A117" s="191" t="s">
        <v>121</v>
      </c>
      <c r="B117" s="192"/>
      <c r="C117" s="192"/>
      <c r="D117" s="192"/>
      <c r="E117" s="192"/>
      <c r="F117" s="192"/>
      <c r="G117" s="192"/>
      <c r="H117" s="177"/>
      <c r="I117" s="177"/>
      <c r="J117" s="177"/>
      <c r="K117" s="177"/>
      <c r="L117" s="52"/>
    </row>
    <row r="118" spans="1:12" ht="16.5" customHeight="1" x14ac:dyDescent="0.3">
      <c r="A118" s="178">
        <v>25</v>
      </c>
      <c r="B118" s="178" t="s">
        <v>122</v>
      </c>
      <c r="C118" s="178" t="s">
        <v>53</v>
      </c>
      <c r="D118" s="178" t="s">
        <v>17</v>
      </c>
      <c r="E118" s="178" t="s">
        <v>18</v>
      </c>
      <c r="F118" s="178" t="str">
        <f>IF(H118&gt;7,"Phức tạp",IF(H118&gt;3,"Trung bình","Đơn giản"))</f>
        <v>Trung bình</v>
      </c>
      <c r="G118" s="178"/>
      <c r="H118" s="179">
        <f>COUNTA(D119:D125)</f>
        <v>7</v>
      </c>
      <c r="I118" s="52"/>
      <c r="J118" s="52">
        <v>1</v>
      </c>
      <c r="K118" s="52"/>
      <c r="L118" s="52"/>
    </row>
    <row r="119" spans="1:12" ht="16.5" customHeight="1" x14ac:dyDescent="0.3">
      <c r="A119" s="180"/>
      <c r="B119" s="180"/>
      <c r="C119" s="180"/>
      <c r="D119" s="181" t="s">
        <v>123</v>
      </c>
      <c r="E119" s="180"/>
      <c r="F119" s="180"/>
      <c r="G119" s="180"/>
      <c r="H119" s="180"/>
      <c r="I119" s="180"/>
      <c r="J119" s="180"/>
      <c r="K119" s="180"/>
      <c r="L119" s="52"/>
    </row>
    <row r="120" spans="1:12" ht="16.5" customHeight="1" x14ac:dyDescent="0.3">
      <c r="A120" s="180"/>
      <c r="B120" s="180"/>
      <c r="C120" s="180"/>
      <c r="D120" s="181" t="s">
        <v>124</v>
      </c>
      <c r="E120" s="180"/>
      <c r="F120" s="180"/>
      <c r="G120" s="180"/>
      <c r="H120" s="180"/>
      <c r="I120" s="180"/>
      <c r="J120" s="180"/>
      <c r="K120" s="180"/>
      <c r="L120" s="52"/>
    </row>
    <row r="121" spans="1:12" ht="16.5" customHeight="1" x14ac:dyDescent="0.3">
      <c r="A121" s="180"/>
      <c r="B121" s="180"/>
      <c r="C121" s="180"/>
      <c r="D121" s="181" t="s">
        <v>125</v>
      </c>
      <c r="E121" s="180"/>
      <c r="F121" s="180"/>
      <c r="G121" s="180"/>
      <c r="H121" s="180"/>
      <c r="I121" s="180"/>
      <c r="J121" s="180"/>
      <c r="K121" s="180"/>
      <c r="L121" s="52"/>
    </row>
    <row r="122" spans="1:12" ht="16.5" customHeight="1" x14ac:dyDescent="0.3">
      <c r="A122" s="180"/>
      <c r="B122" s="180"/>
      <c r="C122" s="180"/>
      <c r="D122" s="181" t="s">
        <v>126</v>
      </c>
      <c r="E122" s="180"/>
      <c r="F122" s="180"/>
      <c r="G122" s="180"/>
      <c r="H122" s="180"/>
      <c r="I122" s="180"/>
      <c r="J122" s="180"/>
      <c r="K122" s="180"/>
      <c r="L122" s="52"/>
    </row>
    <row r="123" spans="1:12" ht="16.5" customHeight="1" x14ac:dyDescent="0.3">
      <c r="A123" s="180"/>
      <c r="B123" s="180"/>
      <c r="C123" s="180"/>
      <c r="D123" s="181" t="s">
        <v>127</v>
      </c>
      <c r="E123" s="180"/>
      <c r="F123" s="180"/>
      <c r="G123" s="180"/>
      <c r="H123" s="180"/>
      <c r="I123" s="180"/>
      <c r="J123" s="180"/>
      <c r="K123" s="180"/>
      <c r="L123" s="52"/>
    </row>
    <row r="124" spans="1:12" ht="16.5" customHeight="1" x14ac:dyDescent="0.3">
      <c r="A124" s="180"/>
      <c r="B124" s="180"/>
      <c r="C124" s="180"/>
      <c r="D124" s="181" t="s">
        <v>128</v>
      </c>
      <c r="E124" s="180"/>
      <c r="F124" s="180"/>
      <c r="G124" s="180"/>
      <c r="H124" s="180"/>
      <c r="I124" s="180"/>
      <c r="J124" s="180"/>
      <c r="K124" s="180"/>
      <c r="L124" s="52"/>
    </row>
    <row r="125" spans="1:12" ht="16.5" customHeight="1" x14ac:dyDescent="0.3">
      <c r="A125" s="180"/>
      <c r="B125" s="180"/>
      <c r="C125" s="180"/>
      <c r="D125" s="181" t="s">
        <v>129</v>
      </c>
      <c r="E125" s="180"/>
      <c r="F125" s="180"/>
      <c r="G125" s="180"/>
      <c r="H125" s="180"/>
      <c r="I125" s="180"/>
      <c r="J125" s="180"/>
      <c r="K125" s="180"/>
      <c r="L125" s="52"/>
    </row>
    <row r="126" spans="1:12" ht="16.5" customHeight="1" x14ac:dyDescent="0.3">
      <c r="A126" s="178">
        <v>26</v>
      </c>
      <c r="B126" s="178" t="s">
        <v>130</v>
      </c>
      <c r="C126" s="178" t="s">
        <v>53</v>
      </c>
      <c r="D126" s="178" t="s">
        <v>17</v>
      </c>
      <c r="E126" s="178" t="s">
        <v>18</v>
      </c>
      <c r="F126" s="178" t="str">
        <f>IF(H126&gt;7,"Phức tạp",IF(H126&gt;3,"Trung bình","Đơn giản"))</f>
        <v>Trung bình</v>
      </c>
      <c r="G126" s="178"/>
      <c r="H126" s="179">
        <f>COUNTA(D127:D130)</f>
        <v>4</v>
      </c>
      <c r="I126" s="52"/>
      <c r="J126" s="52">
        <v>1</v>
      </c>
      <c r="K126" s="52"/>
      <c r="L126" s="52"/>
    </row>
    <row r="127" spans="1:12" ht="16.5" customHeight="1" x14ac:dyDescent="0.3">
      <c r="A127" s="180"/>
      <c r="B127" s="180"/>
      <c r="C127" s="180"/>
      <c r="D127" s="181" t="s">
        <v>131</v>
      </c>
      <c r="E127" s="180"/>
      <c r="F127" s="180"/>
      <c r="G127" s="180"/>
      <c r="H127" s="180"/>
      <c r="I127" s="180"/>
      <c r="J127" s="180"/>
      <c r="K127" s="180"/>
      <c r="L127" s="52"/>
    </row>
    <row r="128" spans="1:12" ht="16.5" customHeight="1" x14ac:dyDescent="0.3">
      <c r="A128" s="180"/>
      <c r="B128" s="180"/>
      <c r="C128" s="180"/>
      <c r="D128" s="181" t="s">
        <v>132</v>
      </c>
      <c r="E128" s="180"/>
      <c r="F128" s="180"/>
      <c r="G128" s="180"/>
      <c r="H128" s="180"/>
      <c r="I128" s="180"/>
      <c r="J128" s="180"/>
      <c r="K128" s="180"/>
      <c r="L128" s="52"/>
    </row>
    <row r="129" spans="1:12" ht="16.5" customHeight="1" x14ac:dyDescent="0.3">
      <c r="A129" s="180"/>
      <c r="B129" s="180"/>
      <c r="C129" s="180"/>
      <c r="D129" s="181" t="s">
        <v>133</v>
      </c>
      <c r="E129" s="180"/>
      <c r="F129" s="180"/>
      <c r="G129" s="180"/>
      <c r="H129" s="180"/>
      <c r="I129" s="180"/>
      <c r="J129" s="180"/>
      <c r="K129" s="180"/>
      <c r="L129" s="52"/>
    </row>
    <row r="130" spans="1:12" ht="16.5" customHeight="1" x14ac:dyDescent="0.3">
      <c r="A130" s="180"/>
      <c r="B130" s="180"/>
      <c r="C130" s="180"/>
      <c r="D130" s="181" t="s">
        <v>134</v>
      </c>
      <c r="E130" s="180"/>
      <c r="F130" s="180"/>
      <c r="G130" s="180"/>
      <c r="H130" s="180"/>
      <c r="I130" s="180"/>
      <c r="J130" s="180"/>
      <c r="K130" s="180"/>
      <c r="L130" s="52"/>
    </row>
    <row r="131" spans="1:12" ht="16.5" customHeight="1" x14ac:dyDescent="0.3">
      <c r="A131" s="178">
        <v>27</v>
      </c>
      <c r="B131" s="178" t="s">
        <v>135</v>
      </c>
      <c r="C131" s="178" t="s">
        <v>53</v>
      </c>
      <c r="D131" s="178" t="s">
        <v>17</v>
      </c>
      <c r="E131" s="178" t="s">
        <v>18</v>
      </c>
      <c r="F131" s="178" t="str">
        <f>IF(H131&gt;7,"Phức tạp",IF(H131&gt;3,"Trung bình","Đơn giản"))</f>
        <v>Đơn giản</v>
      </c>
      <c r="G131" s="178"/>
      <c r="H131" s="179">
        <f>COUNTA(D132:D133)</f>
        <v>2</v>
      </c>
      <c r="I131" s="52">
        <v>1</v>
      </c>
      <c r="J131" s="52"/>
      <c r="K131" s="52"/>
      <c r="L131" s="52"/>
    </row>
    <row r="132" spans="1:12" ht="16.5" customHeight="1" x14ac:dyDescent="0.3">
      <c r="A132" s="180"/>
      <c r="B132" s="180"/>
      <c r="C132" s="180"/>
      <c r="D132" s="181" t="s">
        <v>136</v>
      </c>
      <c r="E132" s="180"/>
      <c r="F132" s="180"/>
      <c r="G132" s="180"/>
      <c r="H132" s="180"/>
      <c r="I132" s="180"/>
      <c r="J132" s="180"/>
      <c r="K132" s="180"/>
      <c r="L132" s="52"/>
    </row>
    <row r="133" spans="1:12" ht="16.5" customHeight="1" x14ac:dyDescent="0.3">
      <c r="A133" s="180"/>
      <c r="B133" s="180"/>
      <c r="C133" s="180"/>
      <c r="D133" s="181" t="s">
        <v>137</v>
      </c>
      <c r="E133" s="180"/>
      <c r="F133" s="180"/>
      <c r="G133" s="180"/>
      <c r="H133" s="180"/>
      <c r="I133" s="180"/>
      <c r="J133" s="180"/>
      <c r="K133" s="180"/>
      <c r="L133" s="52"/>
    </row>
    <row r="134" spans="1:12" ht="16.5" customHeight="1" x14ac:dyDescent="0.3">
      <c r="A134" s="178">
        <v>28</v>
      </c>
      <c r="B134" s="178" t="s">
        <v>138</v>
      </c>
      <c r="C134" s="178" t="s">
        <v>53</v>
      </c>
      <c r="D134" s="178" t="s">
        <v>17</v>
      </c>
      <c r="E134" s="178" t="s">
        <v>18</v>
      </c>
      <c r="F134" s="178" t="str">
        <f>IF(H134&gt;7,"Phức tạp",IF(H134&gt;3,"Trung bình","Đơn giản"))</f>
        <v>Trung bình</v>
      </c>
      <c r="G134" s="178"/>
      <c r="H134" s="179">
        <f>COUNTA(D135:D139)</f>
        <v>5</v>
      </c>
      <c r="I134" s="52"/>
      <c r="J134" s="52">
        <v>1</v>
      </c>
      <c r="K134" s="52"/>
      <c r="L134" s="52"/>
    </row>
    <row r="135" spans="1:12" ht="16.5" customHeight="1" x14ac:dyDescent="0.3">
      <c r="A135" s="180"/>
      <c r="B135" s="180"/>
      <c r="C135" s="180"/>
      <c r="D135" s="181" t="s">
        <v>139</v>
      </c>
      <c r="E135" s="180"/>
      <c r="F135" s="180"/>
      <c r="G135" s="180"/>
      <c r="H135" s="180"/>
      <c r="I135" s="180"/>
      <c r="J135" s="180"/>
      <c r="K135" s="180"/>
      <c r="L135" s="52"/>
    </row>
    <row r="136" spans="1:12" ht="16.5" customHeight="1" x14ac:dyDescent="0.3">
      <c r="A136" s="180"/>
      <c r="B136" s="180"/>
      <c r="C136" s="180"/>
      <c r="D136" s="181" t="s">
        <v>140</v>
      </c>
      <c r="E136" s="180"/>
      <c r="F136" s="180"/>
      <c r="G136" s="180"/>
      <c r="H136" s="180"/>
      <c r="I136" s="180"/>
      <c r="J136" s="180"/>
      <c r="K136" s="180"/>
      <c r="L136" s="52"/>
    </row>
    <row r="137" spans="1:12" ht="16.5" customHeight="1" x14ac:dyDescent="0.3">
      <c r="A137" s="180"/>
      <c r="B137" s="180"/>
      <c r="C137" s="180"/>
      <c r="D137" s="181" t="s">
        <v>141</v>
      </c>
      <c r="E137" s="180"/>
      <c r="F137" s="180"/>
      <c r="G137" s="180"/>
      <c r="H137" s="180"/>
      <c r="I137" s="180"/>
      <c r="J137" s="180"/>
      <c r="K137" s="180"/>
      <c r="L137" s="52"/>
    </row>
    <row r="138" spans="1:12" ht="16.5" customHeight="1" x14ac:dyDescent="0.3">
      <c r="A138" s="180"/>
      <c r="B138" s="180"/>
      <c r="C138" s="180"/>
      <c r="D138" s="181" t="s">
        <v>142</v>
      </c>
      <c r="E138" s="180"/>
      <c r="F138" s="180"/>
      <c r="G138" s="180"/>
      <c r="H138" s="180"/>
      <c r="I138" s="180"/>
      <c r="J138" s="180"/>
      <c r="K138" s="180"/>
      <c r="L138" s="52"/>
    </row>
    <row r="139" spans="1:12" ht="16.5" customHeight="1" x14ac:dyDescent="0.3">
      <c r="A139" s="180"/>
      <c r="B139" s="180"/>
      <c r="C139" s="180"/>
      <c r="D139" s="181" t="s">
        <v>143</v>
      </c>
      <c r="E139" s="180"/>
      <c r="F139" s="180"/>
      <c r="G139" s="180"/>
      <c r="H139" s="180"/>
      <c r="I139" s="180"/>
      <c r="J139" s="180"/>
      <c r="K139" s="180"/>
      <c r="L139" s="52"/>
    </row>
    <row r="140" spans="1:12" ht="16.5" customHeight="1" x14ac:dyDescent="0.3">
      <c r="A140" s="178">
        <v>29</v>
      </c>
      <c r="B140" s="178" t="s">
        <v>144</v>
      </c>
      <c r="C140" s="178" t="s">
        <v>53</v>
      </c>
      <c r="D140" s="178" t="s">
        <v>17</v>
      </c>
      <c r="E140" s="178" t="s">
        <v>18</v>
      </c>
      <c r="F140" s="178" t="str">
        <f>IF(H140&gt;7,"Phức tạp",IF(H140&gt;3,"Trung bình","Đơn giản"))</f>
        <v>Trung bình</v>
      </c>
      <c r="G140" s="178"/>
      <c r="H140" s="179">
        <f>COUNTA(D141:D145)</f>
        <v>5</v>
      </c>
      <c r="I140" s="52"/>
      <c r="J140" s="52">
        <v>1</v>
      </c>
      <c r="K140" s="52"/>
      <c r="L140" s="52"/>
    </row>
    <row r="141" spans="1:12" ht="16.5" customHeight="1" x14ac:dyDescent="0.3">
      <c r="A141" s="180"/>
      <c r="B141" s="180"/>
      <c r="C141" s="180"/>
      <c r="D141" s="181" t="s">
        <v>145</v>
      </c>
      <c r="E141" s="180"/>
      <c r="F141" s="180"/>
      <c r="G141" s="180"/>
      <c r="H141" s="180"/>
      <c r="I141" s="180"/>
      <c r="J141" s="180"/>
      <c r="K141" s="180"/>
      <c r="L141" s="52"/>
    </row>
    <row r="142" spans="1:12" ht="16.5" customHeight="1" x14ac:dyDescent="0.3">
      <c r="A142" s="180"/>
      <c r="B142" s="180"/>
      <c r="C142" s="180"/>
      <c r="D142" s="181" t="s">
        <v>146</v>
      </c>
      <c r="E142" s="180"/>
      <c r="F142" s="180"/>
      <c r="G142" s="180"/>
      <c r="H142" s="180"/>
      <c r="I142" s="180"/>
      <c r="J142" s="180"/>
      <c r="K142" s="180"/>
      <c r="L142" s="52"/>
    </row>
    <row r="143" spans="1:12" ht="16.5" customHeight="1" x14ac:dyDescent="0.3">
      <c r="A143" s="180"/>
      <c r="B143" s="180"/>
      <c r="C143" s="180"/>
      <c r="D143" s="181" t="s">
        <v>147</v>
      </c>
      <c r="E143" s="180"/>
      <c r="F143" s="180"/>
      <c r="G143" s="180"/>
      <c r="H143" s="180"/>
      <c r="I143" s="180"/>
      <c r="J143" s="180"/>
      <c r="K143" s="180"/>
      <c r="L143" s="52"/>
    </row>
    <row r="144" spans="1:12" ht="16.5" customHeight="1" x14ac:dyDescent="0.3">
      <c r="A144" s="180"/>
      <c r="B144" s="180"/>
      <c r="C144" s="180"/>
      <c r="D144" s="181" t="s">
        <v>148</v>
      </c>
      <c r="E144" s="180"/>
      <c r="F144" s="180"/>
      <c r="G144" s="180"/>
      <c r="H144" s="180"/>
      <c r="I144" s="180"/>
      <c r="J144" s="180"/>
      <c r="K144" s="180"/>
      <c r="L144" s="52"/>
    </row>
    <row r="145" spans="1:12" ht="16.5" customHeight="1" x14ac:dyDescent="0.3">
      <c r="A145" s="180"/>
      <c r="B145" s="180"/>
      <c r="C145" s="180"/>
      <c r="D145" s="181" t="s">
        <v>149</v>
      </c>
      <c r="E145" s="180"/>
      <c r="F145" s="180"/>
      <c r="G145" s="180"/>
      <c r="H145" s="180"/>
      <c r="I145" s="180"/>
      <c r="J145" s="180"/>
      <c r="K145" s="180"/>
      <c r="L145" s="52"/>
    </row>
    <row r="146" spans="1:12" ht="16.5" customHeight="1" x14ac:dyDescent="0.3">
      <c r="A146" s="178">
        <v>30</v>
      </c>
      <c r="B146" s="178" t="s">
        <v>150</v>
      </c>
      <c r="C146" s="178" t="s">
        <v>53</v>
      </c>
      <c r="D146" s="178" t="s">
        <v>17</v>
      </c>
      <c r="E146" s="178" t="s">
        <v>18</v>
      </c>
      <c r="F146" s="178" t="str">
        <f>IF(H146&gt;7,"Phức tạp",IF(H146&gt;3,"Trung bình","Đơn giản"))</f>
        <v>Đơn giản</v>
      </c>
      <c r="G146" s="178"/>
      <c r="H146" s="179">
        <f>COUNTA(D147:D149)</f>
        <v>3</v>
      </c>
      <c r="I146" s="52">
        <v>1</v>
      </c>
      <c r="J146" s="52"/>
      <c r="K146" s="52"/>
      <c r="L146" s="52"/>
    </row>
    <row r="147" spans="1:12" ht="16.5" customHeight="1" x14ac:dyDescent="0.3">
      <c r="A147" s="180"/>
      <c r="B147" s="180"/>
      <c r="C147" s="180"/>
      <c r="D147" s="181" t="s">
        <v>151</v>
      </c>
      <c r="E147" s="180"/>
      <c r="F147" s="180"/>
      <c r="G147" s="180"/>
      <c r="H147" s="180"/>
      <c r="I147" s="180"/>
      <c r="J147" s="180"/>
      <c r="K147" s="180"/>
      <c r="L147" s="52"/>
    </row>
    <row r="148" spans="1:12" ht="16.5" customHeight="1" x14ac:dyDescent="0.3">
      <c r="A148" s="180"/>
      <c r="B148" s="180"/>
      <c r="C148" s="180"/>
      <c r="D148" s="181" t="s">
        <v>152</v>
      </c>
      <c r="E148" s="180"/>
      <c r="F148" s="180"/>
      <c r="G148" s="180"/>
      <c r="H148" s="180"/>
      <c r="I148" s="180"/>
      <c r="J148" s="180"/>
      <c r="K148" s="180"/>
      <c r="L148" s="52"/>
    </row>
    <row r="149" spans="1:12" ht="16.5" customHeight="1" x14ac:dyDescent="0.3">
      <c r="A149" s="180"/>
      <c r="B149" s="180"/>
      <c r="C149" s="180"/>
      <c r="D149" s="181" t="s">
        <v>153</v>
      </c>
      <c r="E149" s="180"/>
      <c r="F149" s="180"/>
      <c r="G149" s="180"/>
      <c r="H149" s="180"/>
      <c r="I149" s="180"/>
      <c r="J149" s="180"/>
      <c r="K149" s="180"/>
      <c r="L149" s="52"/>
    </row>
    <row r="150" spans="1:12" ht="16.5" customHeight="1" x14ac:dyDescent="0.3">
      <c r="A150" s="178">
        <v>31</v>
      </c>
      <c r="B150" s="178" t="s">
        <v>154</v>
      </c>
      <c r="C150" s="178" t="s">
        <v>53</v>
      </c>
      <c r="D150" s="178" t="s">
        <v>17</v>
      </c>
      <c r="E150" s="178" t="s">
        <v>18</v>
      </c>
      <c r="F150" s="178" t="str">
        <f>IF(H150&gt;7,"Phức tạp",IF(H150&gt;3,"Trung bình","Đơn giản"))</f>
        <v>Đơn giản</v>
      </c>
      <c r="G150" s="178"/>
      <c r="H150" s="179">
        <f>COUNTA(D151:D153)</f>
        <v>3</v>
      </c>
      <c r="I150" s="52">
        <v>1</v>
      </c>
      <c r="J150" s="52"/>
      <c r="K150" s="52"/>
      <c r="L150" s="52"/>
    </row>
    <row r="151" spans="1:12" ht="16.5" customHeight="1" x14ac:dyDescent="0.3">
      <c r="A151" s="180"/>
      <c r="B151" s="180"/>
      <c r="C151" s="180"/>
      <c r="D151" s="181" t="s">
        <v>155</v>
      </c>
      <c r="E151" s="180"/>
      <c r="F151" s="180"/>
      <c r="G151" s="180"/>
      <c r="H151" s="180"/>
      <c r="I151" s="180"/>
      <c r="J151" s="180"/>
      <c r="K151" s="180"/>
      <c r="L151" s="52"/>
    </row>
    <row r="152" spans="1:12" ht="16.5" customHeight="1" x14ac:dyDescent="0.3">
      <c r="A152" s="180"/>
      <c r="B152" s="180"/>
      <c r="C152" s="180"/>
      <c r="D152" s="181" t="s">
        <v>156</v>
      </c>
      <c r="E152" s="180"/>
      <c r="F152" s="180"/>
      <c r="G152" s="180"/>
      <c r="H152" s="180"/>
      <c r="I152" s="180"/>
      <c r="J152" s="180"/>
      <c r="K152" s="180"/>
      <c r="L152" s="52"/>
    </row>
    <row r="153" spans="1:12" ht="16.5" customHeight="1" x14ac:dyDescent="0.3">
      <c r="A153" s="180"/>
      <c r="B153" s="180"/>
      <c r="C153" s="180"/>
      <c r="D153" s="181" t="s">
        <v>157</v>
      </c>
      <c r="E153" s="180"/>
      <c r="F153" s="180"/>
      <c r="G153" s="180"/>
      <c r="H153" s="180"/>
      <c r="I153" s="180"/>
      <c r="J153" s="180"/>
      <c r="K153" s="180"/>
      <c r="L153" s="52"/>
    </row>
    <row r="154" spans="1:12" ht="16.5" customHeight="1" x14ac:dyDescent="0.3">
      <c r="A154" s="178">
        <v>32</v>
      </c>
      <c r="B154" s="178" t="s">
        <v>158</v>
      </c>
      <c r="C154" s="178" t="s">
        <v>53</v>
      </c>
      <c r="D154" s="178" t="s">
        <v>17</v>
      </c>
      <c r="E154" s="178" t="s">
        <v>18</v>
      </c>
      <c r="F154" s="178" t="str">
        <f>IF(H154&gt;7,"Phức tạp",IF(H154&gt;3,"Trung bình","Đơn giản"))</f>
        <v>Trung bình</v>
      </c>
      <c r="G154" s="178"/>
      <c r="H154" s="179">
        <f>COUNTA(D155:D159)</f>
        <v>5</v>
      </c>
      <c r="I154" s="52"/>
      <c r="J154" s="52">
        <v>1</v>
      </c>
      <c r="K154" s="52"/>
      <c r="L154" s="52"/>
    </row>
    <row r="155" spans="1:12" ht="16.5" customHeight="1" x14ac:dyDescent="0.3">
      <c r="A155" s="180"/>
      <c r="B155" s="180"/>
      <c r="C155" s="180"/>
      <c r="D155" s="181" t="s">
        <v>159</v>
      </c>
      <c r="E155" s="180"/>
      <c r="F155" s="180"/>
      <c r="G155" s="180"/>
      <c r="H155" s="180"/>
      <c r="I155" s="180"/>
      <c r="J155" s="180"/>
      <c r="K155" s="180"/>
      <c r="L155" s="52"/>
    </row>
    <row r="156" spans="1:12" ht="16.5" customHeight="1" x14ac:dyDescent="0.3">
      <c r="A156" s="180"/>
      <c r="B156" s="180"/>
      <c r="C156" s="180"/>
      <c r="D156" s="181" t="s">
        <v>160</v>
      </c>
      <c r="E156" s="180"/>
      <c r="F156" s="180"/>
      <c r="G156" s="180"/>
      <c r="H156" s="180"/>
      <c r="I156" s="180"/>
      <c r="J156" s="180"/>
      <c r="K156" s="180"/>
      <c r="L156" s="52"/>
    </row>
    <row r="157" spans="1:12" ht="16.5" customHeight="1" x14ac:dyDescent="0.3">
      <c r="A157" s="180"/>
      <c r="B157" s="180"/>
      <c r="C157" s="180"/>
      <c r="D157" s="181" t="s">
        <v>161</v>
      </c>
      <c r="E157" s="180"/>
      <c r="F157" s="180"/>
      <c r="G157" s="180"/>
      <c r="H157" s="180"/>
      <c r="I157" s="180"/>
      <c r="J157" s="180"/>
      <c r="K157" s="180"/>
      <c r="L157" s="52"/>
    </row>
    <row r="158" spans="1:12" ht="16.5" customHeight="1" x14ac:dyDescent="0.3">
      <c r="A158" s="180"/>
      <c r="B158" s="180"/>
      <c r="C158" s="180"/>
      <c r="D158" s="181" t="s">
        <v>162</v>
      </c>
      <c r="E158" s="180"/>
      <c r="F158" s="180"/>
      <c r="G158" s="180"/>
      <c r="H158" s="180"/>
      <c r="I158" s="180"/>
      <c r="J158" s="180"/>
      <c r="K158" s="180"/>
      <c r="L158" s="52"/>
    </row>
    <row r="159" spans="1:12" ht="16.5" customHeight="1" x14ac:dyDescent="0.3">
      <c r="A159" s="180"/>
      <c r="B159" s="180"/>
      <c r="C159" s="180"/>
      <c r="D159" s="181" t="s">
        <v>163</v>
      </c>
      <c r="E159" s="180"/>
      <c r="F159" s="180"/>
      <c r="G159" s="180"/>
      <c r="H159" s="180"/>
      <c r="I159" s="180"/>
      <c r="J159" s="180"/>
      <c r="K159" s="180"/>
      <c r="L159" s="52"/>
    </row>
    <row r="160" spans="1:12" ht="16.5" customHeight="1" x14ac:dyDescent="0.3">
      <c r="A160" s="178">
        <v>33</v>
      </c>
      <c r="B160" s="178" t="s">
        <v>164</v>
      </c>
      <c r="C160" s="178" t="s">
        <v>165</v>
      </c>
      <c r="D160" s="178" t="s">
        <v>17</v>
      </c>
      <c r="E160" s="178" t="s">
        <v>18</v>
      </c>
      <c r="F160" s="178" t="str">
        <f>IF(H160&gt;7,"Phức tạp",IF(H160&gt;3,"Trung bình","Đơn giản"))</f>
        <v>Đơn giản</v>
      </c>
      <c r="G160" s="178"/>
      <c r="H160" s="179">
        <f>COUNTA(D161:D163)</f>
        <v>3</v>
      </c>
      <c r="I160" s="52">
        <v>1</v>
      </c>
      <c r="J160" s="52"/>
      <c r="K160" s="52"/>
      <c r="L160" s="52"/>
    </row>
    <row r="161" spans="1:12" ht="16.5" customHeight="1" x14ac:dyDescent="0.3">
      <c r="A161" s="180"/>
      <c r="B161" s="180"/>
      <c r="C161" s="180"/>
      <c r="D161" s="181" t="s">
        <v>166</v>
      </c>
      <c r="E161" s="180"/>
      <c r="F161" s="180"/>
      <c r="G161" s="180"/>
      <c r="H161" s="180"/>
      <c r="I161" s="180"/>
      <c r="J161" s="180"/>
      <c r="K161" s="180"/>
      <c r="L161" s="52"/>
    </row>
    <row r="162" spans="1:12" ht="16.5" customHeight="1" x14ac:dyDescent="0.3">
      <c r="A162" s="180"/>
      <c r="B162" s="180"/>
      <c r="C162" s="180"/>
      <c r="D162" s="181" t="s">
        <v>167</v>
      </c>
      <c r="E162" s="180"/>
      <c r="F162" s="180"/>
      <c r="G162" s="180"/>
      <c r="H162" s="180"/>
      <c r="I162" s="180"/>
      <c r="J162" s="180"/>
      <c r="K162" s="180"/>
      <c r="L162" s="52"/>
    </row>
    <row r="163" spans="1:12" ht="16.5" customHeight="1" x14ac:dyDescent="0.3">
      <c r="A163" s="180"/>
      <c r="B163" s="180"/>
      <c r="C163" s="180"/>
      <c r="D163" s="181" t="s">
        <v>168</v>
      </c>
      <c r="E163" s="180"/>
      <c r="F163" s="180"/>
      <c r="G163" s="180"/>
      <c r="H163" s="180"/>
      <c r="I163" s="180"/>
      <c r="J163" s="180"/>
      <c r="K163" s="180"/>
      <c r="L163" s="52"/>
    </row>
    <row r="164" spans="1:12" ht="19.5" customHeight="1" x14ac:dyDescent="0.3">
      <c r="A164" s="191" t="s">
        <v>169</v>
      </c>
      <c r="B164" s="192"/>
      <c r="C164" s="192"/>
      <c r="D164" s="192"/>
      <c r="E164" s="192"/>
      <c r="F164" s="192"/>
      <c r="G164" s="192"/>
      <c r="H164" s="177"/>
      <c r="I164" s="177"/>
      <c r="J164" s="177"/>
      <c r="K164" s="177"/>
      <c r="L164" s="52"/>
    </row>
    <row r="165" spans="1:12" ht="16.5" customHeight="1" x14ac:dyDescent="0.3">
      <c r="A165" s="178">
        <v>34</v>
      </c>
      <c r="B165" s="178" t="s">
        <v>170</v>
      </c>
      <c r="C165" s="178" t="s">
        <v>16</v>
      </c>
      <c r="D165" s="178" t="s">
        <v>17</v>
      </c>
      <c r="E165" s="178" t="s">
        <v>18</v>
      </c>
      <c r="F165" s="178" t="str">
        <f>IF(H165&gt;7,"Phức tạp",IF(H165&gt;3,"Trung bình","Đơn giản"))</f>
        <v>Trung bình</v>
      </c>
      <c r="G165" s="178"/>
      <c r="H165" s="179">
        <f>COUNTA(D166:D169)</f>
        <v>4</v>
      </c>
      <c r="I165" s="52"/>
      <c r="J165" s="52">
        <v>1</v>
      </c>
      <c r="K165" s="52"/>
      <c r="L165" s="52"/>
    </row>
    <row r="166" spans="1:12" ht="16.5" customHeight="1" x14ac:dyDescent="0.3">
      <c r="A166" s="180"/>
      <c r="B166" s="180"/>
      <c r="C166" s="180"/>
      <c r="D166" s="181" t="s">
        <v>171</v>
      </c>
      <c r="E166" s="180"/>
      <c r="F166" s="180"/>
      <c r="G166" s="180"/>
      <c r="H166" s="180"/>
      <c r="I166" s="180"/>
      <c r="J166" s="180"/>
      <c r="K166" s="180"/>
      <c r="L166" s="52"/>
    </row>
    <row r="167" spans="1:12" ht="16.5" customHeight="1" x14ac:dyDescent="0.3">
      <c r="A167" s="180"/>
      <c r="B167" s="180"/>
      <c r="C167" s="180"/>
      <c r="D167" s="181" t="s">
        <v>172</v>
      </c>
      <c r="E167" s="180"/>
      <c r="F167" s="180"/>
      <c r="G167" s="180"/>
      <c r="H167" s="180"/>
      <c r="I167" s="180"/>
      <c r="J167" s="180"/>
      <c r="K167" s="180"/>
      <c r="L167" s="52"/>
    </row>
    <row r="168" spans="1:12" ht="16.5" customHeight="1" x14ac:dyDescent="0.3">
      <c r="A168" s="180"/>
      <c r="B168" s="180"/>
      <c r="C168" s="180"/>
      <c r="D168" s="181" t="s">
        <v>173</v>
      </c>
      <c r="E168" s="180"/>
      <c r="F168" s="180"/>
      <c r="G168" s="180"/>
      <c r="H168" s="180"/>
      <c r="I168" s="180"/>
      <c r="J168" s="180"/>
      <c r="K168" s="180"/>
      <c r="L168" s="52"/>
    </row>
    <row r="169" spans="1:12" ht="16.5" customHeight="1" x14ac:dyDescent="0.3">
      <c r="A169" s="180"/>
      <c r="B169" s="180"/>
      <c r="C169" s="180"/>
      <c r="D169" s="181" t="s">
        <v>22</v>
      </c>
      <c r="E169" s="180"/>
      <c r="F169" s="180"/>
      <c r="G169" s="180"/>
      <c r="H169" s="180"/>
      <c r="I169" s="180"/>
      <c r="J169" s="180"/>
      <c r="K169" s="180"/>
      <c r="L169" s="52"/>
    </row>
    <row r="170" spans="1:12" ht="16.5" customHeight="1" x14ac:dyDescent="0.3">
      <c r="A170" s="178">
        <v>35</v>
      </c>
      <c r="B170" s="178" t="s">
        <v>174</v>
      </c>
      <c r="C170" s="178" t="s">
        <v>16</v>
      </c>
      <c r="D170" s="178" t="s">
        <v>17</v>
      </c>
      <c r="E170" s="178" t="s">
        <v>18</v>
      </c>
      <c r="F170" s="178" t="str">
        <f>IF(H170&gt;7,"Phức tạp",IF(H170&gt;3,"Trung bình","Đơn giản"))</f>
        <v>Trung bình</v>
      </c>
      <c r="G170" s="178"/>
      <c r="H170" s="179">
        <f>COUNTA(D171:D175)</f>
        <v>5</v>
      </c>
      <c r="I170" s="52"/>
      <c r="J170" s="52">
        <v>1</v>
      </c>
      <c r="K170" s="52"/>
      <c r="L170" s="52"/>
    </row>
    <row r="171" spans="1:12" ht="16.5" customHeight="1" x14ac:dyDescent="0.3">
      <c r="A171" s="180"/>
      <c r="B171" s="180"/>
      <c r="C171" s="180"/>
      <c r="D171" s="181" t="s">
        <v>175</v>
      </c>
      <c r="E171" s="180"/>
      <c r="F171" s="180"/>
      <c r="G171" s="180"/>
      <c r="H171" s="180"/>
      <c r="I171" s="180"/>
      <c r="J171" s="180"/>
      <c r="K171" s="180"/>
      <c r="L171" s="52"/>
    </row>
    <row r="172" spans="1:12" ht="16.5" customHeight="1" x14ac:dyDescent="0.3">
      <c r="A172" s="180"/>
      <c r="B172" s="180"/>
      <c r="C172" s="180"/>
      <c r="D172" s="181" t="s">
        <v>176</v>
      </c>
      <c r="E172" s="180"/>
      <c r="F172" s="180"/>
      <c r="G172" s="180"/>
      <c r="H172" s="180"/>
      <c r="I172" s="180"/>
      <c r="J172" s="180"/>
      <c r="K172" s="180"/>
      <c r="L172" s="52"/>
    </row>
    <row r="173" spans="1:12" ht="16.5" customHeight="1" x14ac:dyDescent="0.3">
      <c r="A173" s="180"/>
      <c r="B173" s="180"/>
      <c r="C173" s="180"/>
      <c r="D173" s="181" t="s">
        <v>21</v>
      </c>
      <c r="E173" s="180"/>
      <c r="F173" s="180"/>
      <c r="G173" s="180"/>
      <c r="H173" s="180"/>
      <c r="I173" s="180"/>
      <c r="J173" s="180"/>
      <c r="K173" s="180"/>
      <c r="L173" s="52"/>
    </row>
    <row r="174" spans="1:12" ht="16.5" customHeight="1" x14ac:dyDescent="0.3">
      <c r="A174" s="180"/>
      <c r="B174" s="180"/>
      <c r="C174" s="180"/>
      <c r="D174" s="181" t="s">
        <v>22</v>
      </c>
      <c r="E174" s="180"/>
      <c r="F174" s="180"/>
      <c r="G174" s="180"/>
      <c r="H174" s="180"/>
      <c r="I174" s="180"/>
      <c r="J174" s="180"/>
      <c r="K174" s="180"/>
      <c r="L174" s="52"/>
    </row>
    <row r="175" spans="1:12" ht="16.5" customHeight="1" x14ac:dyDescent="0.3">
      <c r="A175" s="180"/>
      <c r="B175" s="180"/>
      <c r="C175" s="180"/>
      <c r="D175" s="181" t="s">
        <v>177</v>
      </c>
      <c r="E175" s="180"/>
      <c r="F175" s="180"/>
      <c r="G175" s="180"/>
      <c r="H175" s="180"/>
      <c r="I175" s="180"/>
      <c r="J175" s="180"/>
      <c r="K175" s="180"/>
      <c r="L175" s="52"/>
    </row>
    <row r="176" spans="1:12" ht="16.5" customHeight="1" x14ac:dyDescent="0.3">
      <c r="A176" s="178">
        <v>36</v>
      </c>
      <c r="B176" s="178" t="s">
        <v>178</v>
      </c>
      <c r="C176" s="178" t="s">
        <v>53</v>
      </c>
      <c r="D176" s="178" t="s">
        <v>17</v>
      </c>
      <c r="E176" s="178" t="s">
        <v>18</v>
      </c>
      <c r="F176" s="178" t="str">
        <f>IF(H176&gt;7,"Phức tạp",IF(H176&gt;3,"Trung bình","Đơn giản"))</f>
        <v>Phức tạp</v>
      </c>
      <c r="G176" s="178"/>
      <c r="H176" s="179">
        <f>COUNTA(D177:D184)</f>
        <v>8</v>
      </c>
      <c r="I176" s="52"/>
      <c r="J176" s="52"/>
      <c r="K176" s="52">
        <v>1</v>
      </c>
      <c r="L176" s="52"/>
    </row>
    <row r="177" spans="1:12" ht="16.5" customHeight="1" x14ac:dyDescent="0.3">
      <c r="A177" s="180"/>
      <c r="B177" s="180"/>
      <c r="C177" s="180"/>
      <c r="D177" s="181" t="s">
        <v>179</v>
      </c>
      <c r="E177" s="180"/>
      <c r="F177" s="180"/>
      <c r="G177" s="180"/>
      <c r="H177" s="180"/>
      <c r="I177" s="180"/>
      <c r="J177" s="180"/>
      <c r="K177" s="180"/>
      <c r="L177" s="52"/>
    </row>
    <row r="178" spans="1:12" ht="16.5" customHeight="1" x14ac:dyDescent="0.3">
      <c r="A178" s="180"/>
      <c r="B178" s="180"/>
      <c r="C178" s="180"/>
      <c r="D178" s="181" t="s">
        <v>180</v>
      </c>
      <c r="E178" s="180"/>
      <c r="F178" s="180"/>
      <c r="G178" s="180"/>
      <c r="H178" s="180"/>
      <c r="I178" s="180"/>
      <c r="J178" s="180"/>
      <c r="K178" s="180"/>
      <c r="L178" s="52"/>
    </row>
    <row r="179" spans="1:12" ht="16.5" customHeight="1" x14ac:dyDescent="0.3">
      <c r="A179" s="180"/>
      <c r="B179" s="180"/>
      <c r="C179" s="180"/>
      <c r="D179" s="181" t="s">
        <v>181</v>
      </c>
      <c r="E179" s="180"/>
      <c r="F179" s="180"/>
      <c r="G179" s="180"/>
      <c r="H179" s="180"/>
      <c r="I179" s="180"/>
      <c r="J179" s="180"/>
      <c r="K179" s="180"/>
      <c r="L179" s="52"/>
    </row>
    <row r="180" spans="1:12" ht="16.5" customHeight="1" x14ac:dyDescent="0.3">
      <c r="A180" s="180"/>
      <c r="B180" s="180"/>
      <c r="C180" s="180"/>
      <c r="D180" s="181" t="s">
        <v>182</v>
      </c>
      <c r="E180" s="180"/>
      <c r="F180" s="180"/>
      <c r="G180" s="180"/>
      <c r="H180" s="180"/>
      <c r="I180" s="180"/>
      <c r="J180" s="180"/>
      <c r="K180" s="180"/>
      <c r="L180" s="52"/>
    </row>
    <row r="181" spans="1:12" ht="16.5" customHeight="1" x14ac:dyDescent="0.3">
      <c r="A181" s="180"/>
      <c r="B181" s="180"/>
      <c r="C181" s="180"/>
      <c r="D181" s="181" t="s">
        <v>183</v>
      </c>
      <c r="E181" s="180"/>
      <c r="F181" s="180"/>
      <c r="G181" s="180"/>
      <c r="H181" s="180"/>
      <c r="I181" s="180"/>
      <c r="J181" s="180"/>
      <c r="K181" s="180"/>
      <c r="L181" s="52"/>
    </row>
    <row r="182" spans="1:12" ht="16.5" customHeight="1" x14ac:dyDescent="0.3">
      <c r="A182" s="180"/>
      <c r="B182" s="180"/>
      <c r="C182" s="180"/>
      <c r="D182" s="181" t="s">
        <v>184</v>
      </c>
      <c r="E182" s="180"/>
      <c r="F182" s="180"/>
      <c r="G182" s="180"/>
      <c r="H182" s="180"/>
      <c r="I182" s="180"/>
      <c r="J182" s="180"/>
      <c r="K182" s="180"/>
      <c r="L182" s="52"/>
    </row>
    <row r="183" spans="1:12" ht="16.5" customHeight="1" x14ac:dyDescent="0.3">
      <c r="A183" s="180"/>
      <c r="B183" s="180"/>
      <c r="C183" s="180"/>
      <c r="D183" s="181" t="s">
        <v>185</v>
      </c>
      <c r="E183" s="180"/>
      <c r="F183" s="180"/>
      <c r="G183" s="180"/>
      <c r="H183" s="180"/>
      <c r="I183" s="180"/>
      <c r="J183" s="180"/>
      <c r="K183" s="180"/>
      <c r="L183" s="52"/>
    </row>
    <row r="184" spans="1:12" ht="16.5" customHeight="1" x14ac:dyDescent="0.3">
      <c r="A184" s="180"/>
      <c r="B184" s="180"/>
      <c r="C184" s="180"/>
      <c r="D184" s="181" t="s">
        <v>186</v>
      </c>
      <c r="E184" s="180"/>
      <c r="F184" s="180"/>
      <c r="G184" s="180"/>
      <c r="H184" s="180"/>
      <c r="I184" s="180"/>
      <c r="J184" s="180"/>
      <c r="K184" s="180"/>
      <c r="L184" s="52"/>
    </row>
    <row r="185" spans="1:12" ht="16.5" customHeight="1" x14ac:dyDescent="0.3">
      <c r="A185" s="178">
        <v>37</v>
      </c>
      <c r="B185" s="178" t="s">
        <v>187</v>
      </c>
      <c r="C185" s="178" t="s">
        <v>53</v>
      </c>
      <c r="D185" s="178" t="s">
        <v>17</v>
      </c>
      <c r="E185" s="178" t="s">
        <v>18</v>
      </c>
      <c r="F185" s="178" t="str">
        <f>IF(H185&gt;7,"Phức tạp",IF(H185&gt;3,"Trung bình","Đơn giản"))</f>
        <v>Trung bình</v>
      </c>
      <c r="G185" s="178"/>
      <c r="H185" s="179">
        <f>COUNTA(D186:D191)</f>
        <v>6</v>
      </c>
      <c r="I185" s="52"/>
      <c r="J185" s="52">
        <v>1</v>
      </c>
      <c r="K185" s="52"/>
      <c r="L185" s="52"/>
    </row>
    <row r="186" spans="1:12" ht="16.5" customHeight="1" x14ac:dyDescent="0.3">
      <c r="A186" s="180"/>
      <c r="B186" s="180"/>
      <c r="C186" s="180"/>
      <c r="D186" s="181" t="s">
        <v>188</v>
      </c>
      <c r="E186" s="180"/>
      <c r="F186" s="180"/>
      <c r="G186" s="180"/>
      <c r="H186" s="180"/>
      <c r="I186" s="180"/>
      <c r="J186" s="180"/>
      <c r="K186" s="180"/>
      <c r="L186" s="52"/>
    </row>
    <row r="187" spans="1:12" ht="16.5" customHeight="1" x14ac:dyDescent="0.3">
      <c r="A187" s="180"/>
      <c r="B187" s="180"/>
      <c r="C187" s="180"/>
      <c r="D187" s="181" t="s">
        <v>189</v>
      </c>
      <c r="E187" s="180"/>
      <c r="F187" s="180"/>
      <c r="G187" s="180"/>
      <c r="H187" s="180"/>
      <c r="I187" s="180"/>
      <c r="J187" s="180"/>
      <c r="K187" s="180"/>
      <c r="L187" s="52"/>
    </row>
    <row r="188" spans="1:12" ht="16.5" customHeight="1" x14ac:dyDescent="0.3">
      <c r="A188" s="180"/>
      <c r="B188" s="180"/>
      <c r="C188" s="180"/>
      <c r="D188" s="181" t="s">
        <v>190</v>
      </c>
      <c r="E188" s="180"/>
      <c r="F188" s="180"/>
      <c r="G188" s="180"/>
      <c r="H188" s="180"/>
      <c r="I188" s="180"/>
      <c r="J188" s="180"/>
      <c r="K188" s="180"/>
      <c r="L188" s="52"/>
    </row>
    <row r="189" spans="1:12" ht="16.5" customHeight="1" x14ac:dyDescent="0.3">
      <c r="A189" s="180"/>
      <c r="B189" s="180"/>
      <c r="C189" s="180"/>
      <c r="D189" s="181" t="s">
        <v>191</v>
      </c>
      <c r="E189" s="180"/>
      <c r="F189" s="180"/>
      <c r="G189" s="180"/>
      <c r="H189" s="180"/>
      <c r="I189" s="180"/>
      <c r="J189" s="180"/>
      <c r="K189" s="180"/>
      <c r="L189" s="52"/>
    </row>
    <row r="190" spans="1:12" ht="16.5" customHeight="1" x14ac:dyDescent="0.3">
      <c r="A190" s="180"/>
      <c r="B190" s="180"/>
      <c r="C190" s="180"/>
      <c r="D190" s="181" t="s">
        <v>192</v>
      </c>
      <c r="E190" s="180"/>
      <c r="F190" s="180"/>
      <c r="G190" s="180"/>
      <c r="H190" s="180"/>
      <c r="I190" s="180"/>
      <c r="J190" s="180"/>
      <c r="K190" s="180"/>
      <c r="L190" s="52"/>
    </row>
    <row r="191" spans="1:12" ht="16.5" customHeight="1" x14ac:dyDescent="0.3">
      <c r="A191" s="180"/>
      <c r="B191" s="180"/>
      <c r="C191" s="180"/>
      <c r="D191" s="181" t="s">
        <v>193</v>
      </c>
      <c r="E191" s="180"/>
      <c r="F191" s="180"/>
      <c r="G191" s="180"/>
      <c r="H191" s="180"/>
      <c r="I191" s="180"/>
      <c r="J191" s="180"/>
      <c r="K191" s="180"/>
      <c r="L191" s="52"/>
    </row>
    <row r="192" spans="1:12" ht="16.5" customHeight="1" x14ac:dyDescent="0.3">
      <c r="A192" s="178">
        <v>38</v>
      </c>
      <c r="B192" s="178" t="s">
        <v>192</v>
      </c>
      <c r="C192" s="178" t="s">
        <v>53</v>
      </c>
      <c r="D192" s="178" t="s">
        <v>17</v>
      </c>
      <c r="E192" s="178" t="s">
        <v>18</v>
      </c>
      <c r="F192" s="178" t="str">
        <f>IF(H192&gt;7,"Phức tạp",IF(H192&gt;3,"Trung bình","Đơn giản"))</f>
        <v>Trung bình</v>
      </c>
      <c r="G192" s="178"/>
      <c r="H192" s="179">
        <f>COUNTA(D193:D196)</f>
        <v>4</v>
      </c>
      <c r="I192" s="52"/>
      <c r="J192" s="52">
        <v>1</v>
      </c>
      <c r="K192" s="52"/>
      <c r="L192" s="52"/>
    </row>
    <row r="193" spans="1:12" ht="16.5" customHeight="1" x14ac:dyDescent="0.3">
      <c r="A193" s="180"/>
      <c r="B193" s="180"/>
      <c r="C193" s="180"/>
      <c r="D193" s="181" t="s">
        <v>194</v>
      </c>
      <c r="E193" s="180"/>
      <c r="F193" s="180"/>
      <c r="G193" s="180"/>
      <c r="H193" s="180"/>
      <c r="I193" s="180"/>
      <c r="J193" s="180"/>
      <c r="K193" s="180"/>
      <c r="L193" s="52"/>
    </row>
    <row r="194" spans="1:12" ht="16.5" customHeight="1" x14ac:dyDescent="0.3">
      <c r="A194" s="180"/>
      <c r="B194" s="180"/>
      <c r="C194" s="180"/>
      <c r="D194" s="181" t="s">
        <v>195</v>
      </c>
      <c r="E194" s="180"/>
      <c r="F194" s="180"/>
      <c r="G194" s="180"/>
      <c r="H194" s="180"/>
      <c r="I194" s="180"/>
      <c r="J194" s="180"/>
      <c r="K194" s="180"/>
      <c r="L194" s="52"/>
    </row>
    <row r="195" spans="1:12" ht="16.5" customHeight="1" x14ac:dyDescent="0.3">
      <c r="A195" s="180"/>
      <c r="B195" s="180"/>
      <c r="C195" s="180"/>
      <c r="D195" s="181" t="s">
        <v>196</v>
      </c>
      <c r="E195" s="180"/>
      <c r="F195" s="180"/>
      <c r="G195" s="180"/>
      <c r="H195" s="180"/>
      <c r="I195" s="180"/>
      <c r="J195" s="180"/>
      <c r="K195" s="180"/>
      <c r="L195" s="52"/>
    </row>
    <row r="196" spans="1:12" ht="16.5" customHeight="1" x14ac:dyDescent="0.3">
      <c r="A196" s="180"/>
      <c r="B196" s="180"/>
      <c r="C196" s="180"/>
      <c r="D196" s="181" t="s">
        <v>197</v>
      </c>
      <c r="E196" s="180"/>
      <c r="F196" s="180"/>
      <c r="G196" s="180"/>
      <c r="H196" s="180"/>
      <c r="I196" s="180"/>
      <c r="J196" s="180"/>
      <c r="K196" s="180"/>
      <c r="L196" s="52"/>
    </row>
    <row r="197" spans="1:12" ht="16.5" customHeight="1" x14ac:dyDescent="0.3">
      <c r="A197" s="178">
        <v>39</v>
      </c>
      <c r="B197" s="178" t="s">
        <v>193</v>
      </c>
      <c r="C197" s="178" t="s">
        <v>53</v>
      </c>
      <c r="D197" s="178" t="s">
        <v>17</v>
      </c>
      <c r="E197" s="178" t="s">
        <v>18</v>
      </c>
      <c r="F197" s="178" t="str">
        <f>IF(H197&gt;7,"Phức tạp",IF(H197&gt;3,"Trung bình","Đơn giản"))</f>
        <v>Trung bình</v>
      </c>
      <c r="G197" s="178"/>
      <c r="H197" s="179">
        <f>COUNTA(D198:D201)</f>
        <v>4</v>
      </c>
      <c r="I197" s="52"/>
      <c r="J197" s="52">
        <v>1</v>
      </c>
      <c r="K197" s="52"/>
      <c r="L197" s="52"/>
    </row>
    <row r="198" spans="1:12" ht="16.5" customHeight="1" x14ac:dyDescent="0.3">
      <c r="A198" s="180"/>
      <c r="B198" s="180"/>
      <c r="C198" s="180"/>
      <c r="D198" s="181" t="s">
        <v>194</v>
      </c>
      <c r="E198" s="180"/>
      <c r="F198" s="180"/>
      <c r="G198" s="180"/>
      <c r="H198" s="180"/>
      <c r="I198" s="180"/>
      <c r="J198" s="180"/>
      <c r="K198" s="180"/>
      <c r="L198" s="52"/>
    </row>
    <row r="199" spans="1:12" ht="16.5" customHeight="1" x14ac:dyDescent="0.3">
      <c r="A199" s="180"/>
      <c r="B199" s="180"/>
      <c r="C199" s="180"/>
      <c r="D199" s="181" t="s">
        <v>195</v>
      </c>
      <c r="E199" s="180"/>
      <c r="F199" s="180"/>
      <c r="G199" s="180"/>
      <c r="H199" s="180"/>
      <c r="I199" s="180"/>
      <c r="J199" s="180"/>
      <c r="K199" s="180"/>
      <c r="L199" s="52"/>
    </row>
    <row r="200" spans="1:12" ht="16.5" customHeight="1" x14ac:dyDescent="0.3">
      <c r="A200" s="180"/>
      <c r="B200" s="180"/>
      <c r="C200" s="180"/>
      <c r="D200" s="181" t="s">
        <v>196</v>
      </c>
      <c r="E200" s="180"/>
      <c r="F200" s="180"/>
      <c r="G200" s="180"/>
      <c r="H200" s="180"/>
      <c r="I200" s="180"/>
      <c r="J200" s="180"/>
      <c r="K200" s="180"/>
      <c r="L200" s="52"/>
    </row>
    <row r="201" spans="1:12" ht="16.5" customHeight="1" x14ac:dyDescent="0.3">
      <c r="A201" s="180"/>
      <c r="B201" s="180"/>
      <c r="C201" s="180"/>
      <c r="D201" s="181" t="s">
        <v>198</v>
      </c>
      <c r="E201" s="180"/>
      <c r="F201" s="180"/>
      <c r="G201" s="180"/>
      <c r="H201" s="180"/>
      <c r="I201" s="180"/>
      <c r="J201" s="180"/>
      <c r="K201" s="180"/>
      <c r="L201" s="52"/>
    </row>
    <row r="202" spans="1:12" ht="16.5" customHeight="1" x14ac:dyDescent="0.3">
      <c r="A202" s="178">
        <v>40</v>
      </c>
      <c r="B202" s="178" t="s">
        <v>199</v>
      </c>
      <c r="C202" s="178" t="s">
        <v>53</v>
      </c>
      <c r="D202" s="178" t="s">
        <v>17</v>
      </c>
      <c r="E202" s="178" t="s">
        <v>18</v>
      </c>
      <c r="F202" s="178" t="str">
        <f>IF(H202&gt;7,"Phức tạp",IF(H202&gt;3,"Trung bình","Đơn giản"))</f>
        <v>Đơn giản</v>
      </c>
      <c r="G202" s="178"/>
      <c r="H202" s="179">
        <f>COUNTA(D203:D204)</f>
        <v>2</v>
      </c>
      <c r="I202" s="52">
        <v>1</v>
      </c>
      <c r="J202" s="52"/>
      <c r="K202" s="52"/>
      <c r="L202" s="52"/>
    </row>
    <row r="203" spans="1:12" ht="16.5" customHeight="1" x14ac:dyDescent="0.3">
      <c r="A203" s="180"/>
      <c r="B203" s="180"/>
      <c r="C203" s="180"/>
      <c r="D203" s="181" t="s">
        <v>200</v>
      </c>
      <c r="E203" s="180"/>
      <c r="F203" s="180"/>
      <c r="G203" s="180"/>
      <c r="H203" s="180"/>
      <c r="I203" s="180"/>
      <c r="J203" s="180"/>
      <c r="K203" s="180"/>
      <c r="L203" s="52"/>
    </row>
    <row r="204" spans="1:12" ht="16.5" customHeight="1" x14ac:dyDescent="0.3">
      <c r="A204" s="180"/>
      <c r="B204" s="180"/>
      <c r="C204" s="180"/>
      <c r="D204" s="181" t="s">
        <v>201</v>
      </c>
      <c r="E204" s="180"/>
      <c r="F204" s="180"/>
      <c r="G204" s="180"/>
      <c r="H204" s="180"/>
      <c r="I204" s="180"/>
      <c r="J204" s="180"/>
      <c r="K204" s="180"/>
      <c r="L204" s="52"/>
    </row>
    <row r="205" spans="1:12" ht="16.5" customHeight="1" x14ac:dyDescent="0.3">
      <c r="A205" s="178">
        <v>41</v>
      </c>
      <c r="B205" s="178" t="s">
        <v>202</v>
      </c>
      <c r="C205" s="178" t="s">
        <v>53</v>
      </c>
      <c r="D205" s="178" t="s">
        <v>17</v>
      </c>
      <c r="E205" s="178" t="s">
        <v>18</v>
      </c>
      <c r="F205" s="178" t="str">
        <f>IF(H205&gt;7,"Phức tạp",IF(H205&gt;3,"Trung bình","Đơn giản"))</f>
        <v>Đơn giản</v>
      </c>
      <c r="G205" s="178"/>
      <c r="H205" s="179">
        <f>COUNTA(D206:D207)</f>
        <v>2</v>
      </c>
      <c r="I205" s="52">
        <v>1</v>
      </c>
      <c r="J205" s="52"/>
      <c r="K205" s="52"/>
      <c r="L205" s="52"/>
    </row>
    <row r="206" spans="1:12" ht="16.5" customHeight="1" x14ac:dyDescent="0.3">
      <c r="A206" s="180"/>
      <c r="B206" s="180"/>
      <c r="C206" s="180"/>
      <c r="D206" s="181" t="s">
        <v>200</v>
      </c>
      <c r="E206" s="180"/>
      <c r="F206" s="180"/>
      <c r="G206" s="180"/>
      <c r="H206" s="180"/>
      <c r="I206" s="180"/>
      <c r="J206" s="180"/>
      <c r="K206" s="180"/>
      <c r="L206" s="52"/>
    </row>
    <row r="207" spans="1:12" ht="16.5" customHeight="1" x14ac:dyDescent="0.3">
      <c r="A207" s="180"/>
      <c r="B207" s="180"/>
      <c r="C207" s="180"/>
      <c r="D207" s="181" t="s">
        <v>203</v>
      </c>
      <c r="E207" s="180"/>
      <c r="F207" s="180"/>
      <c r="G207" s="180"/>
      <c r="H207" s="180"/>
      <c r="I207" s="180"/>
      <c r="J207" s="180"/>
      <c r="K207" s="180"/>
      <c r="L207" s="52"/>
    </row>
    <row r="208" spans="1:12" ht="16.5" customHeight="1" x14ac:dyDescent="0.3">
      <c r="A208" s="178">
        <v>42</v>
      </c>
      <c r="B208" s="178" t="s">
        <v>204</v>
      </c>
      <c r="C208" s="178" t="s">
        <v>53</v>
      </c>
      <c r="D208" s="178" t="s">
        <v>17</v>
      </c>
      <c r="E208" s="178" t="s">
        <v>18</v>
      </c>
      <c r="F208" s="178" t="str">
        <f>IF(H208&gt;7,"Phức tạp",IF(H208&gt;3,"Trung bình","Đơn giản"))</f>
        <v>Đơn giản</v>
      </c>
      <c r="G208" s="178"/>
      <c r="H208" s="179">
        <f>COUNTA(D209:D210)</f>
        <v>2</v>
      </c>
      <c r="I208" s="52">
        <v>1</v>
      </c>
      <c r="J208" s="52"/>
      <c r="K208" s="52"/>
      <c r="L208" s="52"/>
    </row>
    <row r="209" spans="1:12" ht="16.5" customHeight="1" x14ac:dyDescent="0.3">
      <c r="A209" s="180"/>
      <c r="B209" s="180"/>
      <c r="C209" s="180"/>
      <c r="D209" s="181" t="s">
        <v>205</v>
      </c>
      <c r="E209" s="180"/>
      <c r="F209" s="180"/>
      <c r="G209" s="180"/>
      <c r="H209" s="180"/>
      <c r="I209" s="180"/>
      <c r="J209" s="180"/>
      <c r="K209" s="180"/>
      <c r="L209" s="52"/>
    </row>
    <row r="210" spans="1:12" ht="16.5" customHeight="1" x14ac:dyDescent="0.3">
      <c r="A210" s="180"/>
      <c r="B210" s="180"/>
      <c r="C210" s="180"/>
      <c r="D210" s="181" t="s">
        <v>206</v>
      </c>
      <c r="E210" s="180"/>
      <c r="F210" s="180"/>
      <c r="G210" s="180"/>
      <c r="H210" s="180"/>
      <c r="I210" s="180"/>
      <c r="J210" s="180"/>
      <c r="K210" s="180"/>
      <c r="L210" s="52"/>
    </row>
    <row r="211" spans="1:12" ht="24" customHeight="1" x14ac:dyDescent="0.3">
      <c r="A211" s="191" t="s">
        <v>207</v>
      </c>
      <c r="B211" s="192"/>
      <c r="C211" s="192"/>
      <c r="D211" s="192"/>
      <c r="E211" s="192"/>
      <c r="F211" s="192"/>
      <c r="G211" s="192"/>
      <c r="H211" s="177"/>
      <c r="I211" s="177"/>
      <c r="J211" s="177"/>
      <c r="K211" s="177"/>
      <c r="L211" s="52"/>
    </row>
    <row r="212" spans="1:12" ht="16.5" customHeight="1" x14ac:dyDescent="0.3">
      <c r="A212" s="178">
        <v>43</v>
      </c>
      <c r="B212" s="178" t="s">
        <v>208</v>
      </c>
      <c r="C212" s="178" t="s">
        <v>165</v>
      </c>
      <c r="D212" s="178" t="s">
        <v>17</v>
      </c>
      <c r="E212" s="178" t="s">
        <v>18</v>
      </c>
      <c r="F212" s="178" t="str">
        <f>IF(H212&gt;7,"Phức tạp",IF(H212&gt;3,"Trung bình","Đơn giản"))</f>
        <v>Trung bình</v>
      </c>
      <c r="G212" s="178"/>
      <c r="H212" s="179">
        <f>COUNTA(D213:D216)</f>
        <v>4</v>
      </c>
      <c r="I212" s="52"/>
      <c r="J212" s="52">
        <v>1</v>
      </c>
      <c r="K212" s="52"/>
      <c r="L212" s="52"/>
    </row>
    <row r="213" spans="1:12" ht="16.5" customHeight="1" x14ac:dyDescent="0.3">
      <c r="A213" s="180"/>
      <c r="B213" s="180"/>
      <c r="C213" s="180"/>
      <c r="D213" s="181" t="s">
        <v>209</v>
      </c>
      <c r="E213" s="180"/>
      <c r="F213" s="180"/>
      <c r="G213" s="180"/>
      <c r="H213" s="180"/>
      <c r="I213" s="180"/>
      <c r="J213" s="180"/>
      <c r="K213" s="180"/>
      <c r="L213" s="52"/>
    </row>
    <row r="214" spans="1:12" ht="16.5" customHeight="1" x14ac:dyDescent="0.3">
      <c r="A214" s="180"/>
      <c r="B214" s="180"/>
      <c r="C214" s="180"/>
      <c r="D214" s="181" t="s">
        <v>210</v>
      </c>
      <c r="E214" s="180"/>
      <c r="F214" s="180"/>
      <c r="G214" s="180"/>
      <c r="H214" s="180"/>
      <c r="I214" s="180"/>
      <c r="J214" s="180"/>
      <c r="K214" s="180"/>
      <c r="L214" s="52"/>
    </row>
    <row r="215" spans="1:12" ht="16.5" customHeight="1" x14ac:dyDescent="0.3">
      <c r="A215" s="180"/>
      <c r="B215" s="180"/>
      <c r="C215" s="180"/>
      <c r="D215" s="181" t="s">
        <v>211</v>
      </c>
      <c r="E215" s="180"/>
      <c r="F215" s="180"/>
      <c r="G215" s="180"/>
      <c r="H215" s="180"/>
      <c r="I215" s="180"/>
      <c r="J215" s="180"/>
      <c r="K215" s="180"/>
      <c r="L215" s="52"/>
    </row>
    <row r="216" spans="1:12" ht="16.5" customHeight="1" x14ac:dyDescent="0.3">
      <c r="A216" s="180"/>
      <c r="B216" s="180"/>
      <c r="C216" s="180"/>
      <c r="D216" s="181" t="s">
        <v>212</v>
      </c>
      <c r="E216" s="180"/>
      <c r="F216" s="180"/>
      <c r="G216" s="180"/>
      <c r="H216" s="180"/>
      <c r="I216" s="180"/>
      <c r="J216" s="180"/>
      <c r="K216" s="180"/>
      <c r="L216" s="52"/>
    </row>
    <row r="217" spans="1:12" ht="16.5" customHeight="1" x14ac:dyDescent="0.3">
      <c r="A217" s="178">
        <v>44</v>
      </c>
      <c r="B217" s="178" t="s">
        <v>213</v>
      </c>
      <c r="C217" s="178" t="s">
        <v>165</v>
      </c>
      <c r="D217" s="178" t="s">
        <v>17</v>
      </c>
      <c r="E217" s="178" t="s">
        <v>18</v>
      </c>
      <c r="F217" s="178" t="str">
        <f>IF(H217&gt;7,"Phức tạp",IF(H217&gt;3,"Trung bình","Đơn giản"))</f>
        <v>Đơn giản</v>
      </c>
      <c r="G217" s="178"/>
      <c r="H217" s="179">
        <f>COUNTA(D218:D219)</f>
        <v>2</v>
      </c>
      <c r="I217" s="52">
        <v>1</v>
      </c>
      <c r="J217" s="52"/>
      <c r="K217" s="52"/>
      <c r="L217" s="52"/>
    </row>
    <row r="218" spans="1:12" ht="16.5" customHeight="1" x14ac:dyDescent="0.3">
      <c r="A218" s="180"/>
      <c r="B218" s="180"/>
      <c r="C218" s="180"/>
      <c r="D218" s="181" t="s">
        <v>214</v>
      </c>
      <c r="E218" s="180"/>
      <c r="F218" s="180"/>
      <c r="G218" s="180"/>
      <c r="H218" s="180"/>
      <c r="I218" s="180"/>
      <c r="J218" s="180"/>
      <c r="K218" s="180"/>
      <c r="L218" s="52"/>
    </row>
    <row r="219" spans="1:12" ht="16.5" customHeight="1" x14ac:dyDescent="0.3">
      <c r="A219" s="180"/>
      <c r="B219" s="180"/>
      <c r="C219" s="180"/>
      <c r="D219" s="181" t="s">
        <v>215</v>
      </c>
      <c r="E219" s="180"/>
      <c r="F219" s="180"/>
      <c r="G219" s="180"/>
      <c r="H219" s="180"/>
      <c r="I219" s="180"/>
      <c r="J219" s="180"/>
      <c r="K219" s="180"/>
      <c r="L219" s="52"/>
    </row>
    <row r="220" spans="1:12" ht="16.5" customHeight="1" x14ac:dyDescent="0.3">
      <c r="A220" s="178">
        <v>45</v>
      </c>
      <c r="B220" s="178" t="s">
        <v>216</v>
      </c>
      <c r="C220" s="178" t="s">
        <v>165</v>
      </c>
      <c r="D220" s="178" t="s">
        <v>17</v>
      </c>
      <c r="E220" s="178" t="s">
        <v>18</v>
      </c>
      <c r="F220" s="178" t="str">
        <f>IF(H220&gt;7,"Phức tạp",IF(H220&gt;3,"Trung bình","Đơn giản"))</f>
        <v>Đơn giản</v>
      </c>
      <c r="G220" s="178"/>
      <c r="H220" s="179">
        <f>COUNTA(D221:D221)</f>
        <v>1</v>
      </c>
      <c r="I220" s="52">
        <v>1</v>
      </c>
      <c r="J220" s="52"/>
      <c r="K220" s="52"/>
      <c r="L220" s="52"/>
    </row>
    <row r="221" spans="1:12" ht="16.5" customHeight="1" x14ac:dyDescent="0.3">
      <c r="A221" s="180"/>
      <c r="B221" s="180"/>
      <c r="C221" s="180"/>
      <c r="D221" s="181" t="s">
        <v>217</v>
      </c>
      <c r="E221" s="180"/>
      <c r="F221" s="180"/>
      <c r="G221" s="180"/>
      <c r="H221" s="180"/>
      <c r="I221" s="180"/>
      <c r="J221" s="180"/>
      <c r="K221" s="180"/>
      <c r="L221" s="52"/>
    </row>
    <row r="222" spans="1:12" ht="16.5" customHeight="1" x14ac:dyDescent="0.3">
      <c r="A222" s="178">
        <v>46</v>
      </c>
      <c r="B222" s="178" t="s">
        <v>218</v>
      </c>
      <c r="C222" s="178" t="s">
        <v>165</v>
      </c>
      <c r="D222" s="178" t="s">
        <v>17</v>
      </c>
      <c r="E222" s="178" t="s">
        <v>18</v>
      </c>
      <c r="F222" s="178" t="str">
        <f>IF(H222&gt;7,"Phức tạp",IF(H222&gt;3,"Trung bình","Đơn giản"))</f>
        <v>Đơn giản</v>
      </c>
      <c r="G222" s="178"/>
      <c r="H222" s="179">
        <f>COUNTA(D223:D223)</f>
        <v>1</v>
      </c>
      <c r="I222" s="52">
        <v>1</v>
      </c>
      <c r="J222" s="52"/>
      <c r="K222" s="52"/>
      <c r="L222" s="52"/>
    </row>
    <row r="223" spans="1:12" ht="16.5" customHeight="1" x14ac:dyDescent="0.3">
      <c r="A223" s="180"/>
      <c r="B223" s="180"/>
      <c r="C223" s="180"/>
      <c r="D223" s="181" t="s">
        <v>219</v>
      </c>
      <c r="E223" s="180"/>
      <c r="F223" s="180"/>
      <c r="G223" s="180"/>
      <c r="H223" s="180"/>
      <c r="I223" s="180"/>
      <c r="J223" s="180"/>
      <c r="K223" s="180"/>
      <c r="L223" s="52"/>
    </row>
    <row r="224" spans="1:12" ht="16.5" customHeight="1" x14ac:dyDescent="0.3">
      <c r="A224" s="178">
        <v>47</v>
      </c>
      <c r="B224" s="178" t="s">
        <v>220</v>
      </c>
      <c r="C224" s="178" t="s">
        <v>165</v>
      </c>
      <c r="D224" s="178" t="s">
        <v>17</v>
      </c>
      <c r="E224" s="178" t="s">
        <v>18</v>
      </c>
      <c r="F224" s="178" t="str">
        <f>IF(H224&gt;7,"Phức tạp",IF(H224&gt;3,"Trung bình","Đơn giản"))</f>
        <v>Đơn giản</v>
      </c>
      <c r="G224" s="178"/>
      <c r="H224" s="179">
        <f>COUNTA(D225:D225)</f>
        <v>1</v>
      </c>
      <c r="I224" s="52">
        <v>1</v>
      </c>
      <c r="J224" s="52"/>
      <c r="K224" s="52"/>
      <c r="L224" s="52"/>
    </row>
    <row r="225" spans="1:12" ht="16.5" customHeight="1" x14ac:dyDescent="0.3">
      <c r="A225" s="180"/>
      <c r="B225" s="180"/>
      <c r="C225" s="180"/>
      <c r="D225" s="181" t="s">
        <v>221</v>
      </c>
      <c r="E225" s="180"/>
      <c r="F225" s="180"/>
      <c r="G225" s="180"/>
      <c r="H225" s="180"/>
      <c r="I225" s="180"/>
      <c r="J225" s="180"/>
      <c r="K225" s="180"/>
      <c r="L225" s="52"/>
    </row>
    <row r="226" spans="1:12" ht="16.5" customHeight="1" x14ac:dyDescent="0.3">
      <c r="A226" s="178">
        <v>48</v>
      </c>
      <c r="B226" s="178" t="s">
        <v>222</v>
      </c>
      <c r="C226" s="178" t="s">
        <v>165</v>
      </c>
      <c r="D226" s="178" t="s">
        <v>17</v>
      </c>
      <c r="E226" s="178" t="s">
        <v>18</v>
      </c>
      <c r="F226" s="178" t="str">
        <f>IF(H226&gt;7,"Phức tạp",IF(H226&gt;3,"Trung bình","Đơn giản"))</f>
        <v>Đơn giản</v>
      </c>
      <c r="G226" s="178"/>
      <c r="H226" s="179">
        <f>COUNTA(D227:D227)</f>
        <v>1</v>
      </c>
      <c r="I226" s="52">
        <v>1</v>
      </c>
      <c r="J226" s="52"/>
      <c r="K226" s="52"/>
      <c r="L226" s="52"/>
    </row>
    <row r="227" spans="1:12" ht="16.5" customHeight="1" x14ac:dyDescent="0.3">
      <c r="A227" s="180"/>
      <c r="B227" s="180"/>
      <c r="C227" s="180"/>
      <c r="D227" s="181" t="s">
        <v>223</v>
      </c>
      <c r="E227" s="180"/>
      <c r="F227" s="180"/>
      <c r="G227" s="180"/>
      <c r="H227" s="180"/>
      <c r="I227" s="180"/>
      <c r="J227" s="180"/>
      <c r="K227" s="180"/>
      <c r="L227" s="52"/>
    </row>
    <row r="228" spans="1:12" ht="16.5" customHeight="1" x14ac:dyDescent="0.3">
      <c r="A228" s="178">
        <v>49</v>
      </c>
      <c r="B228" s="178" t="s">
        <v>224</v>
      </c>
      <c r="C228" s="178" t="s">
        <v>165</v>
      </c>
      <c r="D228" s="178" t="s">
        <v>17</v>
      </c>
      <c r="E228" s="178" t="s">
        <v>18</v>
      </c>
      <c r="F228" s="178" t="str">
        <f>IF(H228&gt;7,"Phức tạp",IF(H228&gt;3,"Trung bình","Đơn giản"))</f>
        <v>Đơn giản</v>
      </c>
      <c r="G228" s="178"/>
      <c r="H228" s="179">
        <f>COUNTA(D229:D229)</f>
        <v>1</v>
      </c>
      <c r="I228" s="52">
        <v>1</v>
      </c>
      <c r="J228" s="52"/>
      <c r="K228" s="52"/>
      <c r="L228" s="52"/>
    </row>
    <row r="229" spans="1:12" ht="16.5" customHeight="1" x14ac:dyDescent="0.3">
      <c r="A229" s="180"/>
      <c r="B229" s="180"/>
      <c r="C229" s="180"/>
      <c r="D229" s="181" t="s">
        <v>223</v>
      </c>
      <c r="E229" s="180"/>
      <c r="F229" s="180"/>
      <c r="G229" s="180"/>
      <c r="H229" s="180"/>
      <c r="I229" s="180"/>
      <c r="J229" s="180"/>
      <c r="K229" s="180"/>
      <c r="L229" s="52"/>
    </row>
    <row r="230" spans="1:12" ht="16.5" customHeight="1" x14ac:dyDescent="0.3">
      <c r="A230" s="178">
        <v>50</v>
      </c>
      <c r="B230" s="178" t="s">
        <v>225</v>
      </c>
      <c r="C230" s="178" t="s">
        <v>165</v>
      </c>
      <c r="D230" s="178" t="s">
        <v>17</v>
      </c>
      <c r="E230" s="178" t="s">
        <v>18</v>
      </c>
      <c r="F230" s="178" t="str">
        <f>IF(H230&gt;7,"Phức tạp",IF(H230&gt;3,"Trung bình","Đơn giản"))</f>
        <v>Đơn giản</v>
      </c>
      <c r="G230" s="178"/>
      <c r="H230" s="179">
        <f>COUNTA(D231:D231)</f>
        <v>1</v>
      </c>
      <c r="I230" s="52">
        <v>1</v>
      </c>
      <c r="J230" s="52"/>
      <c r="K230" s="52"/>
      <c r="L230" s="52"/>
    </row>
    <row r="231" spans="1:12" ht="16.5" customHeight="1" x14ac:dyDescent="0.3">
      <c r="A231" s="180"/>
      <c r="B231" s="180"/>
      <c r="C231" s="180"/>
      <c r="D231" s="181" t="s">
        <v>223</v>
      </c>
      <c r="E231" s="180"/>
      <c r="F231" s="180"/>
      <c r="G231" s="180"/>
      <c r="H231" s="180"/>
      <c r="I231" s="180"/>
      <c r="J231" s="180"/>
      <c r="K231" s="180"/>
      <c r="L231" s="52"/>
    </row>
    <row r="232" spans="1:12" ht="16.5" customHeight="1" x14ac:dyDescent="0.3">
      <c r="A232" s="178">
        <v>51</v>
      </c>
      <c r="B232" s="178" t="s">
        <v>226</v>
      </c>
      <c r="C232" s="178" t="s">
        <v>165</v>
      </c>
      <c r="D232" s="178" t="s">
        <v>17</v>
      </c>
      <c r="E232" s="178" t="s">
        <v>18</v>
      </c>
      <c r="F232" s="178" t="str">
        <f>IF(H232&gt;7,"Phức tạp",IF(H232&gt;3,"Trung bình","Đơn giản"))</f>
        <v>Đơn giản</v>
      </c>
      <c r="G232" s="178"/>
      <c r="H232" s="179">
        <f>COUNTA(D233:D233)</f>
        <v>1</v>
      </c>
      <c r="I232" s="52">
        <v>1</v>
      </c>
      <c r="J232" s="52"/>
      <c r="K232" s="52"/>
      <c r="L232" s="52"/>
    </row>
    <row r="233" spans="1:12" ht="16.5" customHeight="1" x14ac:dyDescent="0.3">
      <c r="A233" s="180"/>
      <c r="B233" s="180"/>
      <c r="C233" s="180"/>
      <c r="D233" s="181" t="s">
        <v>223</v>
      </c>
      <c r="E233" s="180"/>
      <c r="F233" s="180"/>
      <c r="G233" s="180"/>
      <c r="H233" s="180"/>
      <c r="I233" s="180"/>
      <c r="J233" s="180"/>
      <c r="K233" s="180"/>
      <c r="L233" s="52"/>
    </row>
    <row r="234" spans="1:12" ht="16.5" customHeight="1" x14ac:dyDescent="0.3">
      <c r="A234" s="178">
        <v>52</v>
      </c>
      <c r="B234" s="178" t="s">
        <v>227</v>
      </c>
      <c r="C234" s="178" t="s">
        <v>165</v>
      </c>
      <c r="D234" s="178" t="s">
        <v>17</v>
      </c>
      <c r="E234" s="178" t="s">
        <v>18</v>
      </c>
      <c r="F234" s="178" t="str">
        <f>IF(H234&gt;7,"Phức tạp",IF(H234&gt;3,"Trung bình","Đơn giản"))</f>
        <v>Đơn giản</v>
      </c>
      <c r="G234" s="178"/>
      <c r="H234" s="179">
        <f>COUNTA(D235:D235)</f>
        <v>1</v>
      </c>
      <c r="I234" s="52">
        <v>1</v>
      </c>
      <c r="J234" s="52"/>
      <c r="K234" s="52"/>
      <c r="L234" s="52"/>
    </row>
    <row r="235" spans="1:12" ht="16.5" customHeight="1" x14ac:dyDescent="0.3">
      <c r="A235" s="180"/>
      <c r="B235" s="180"/>
      <c r="C235" s="180"/>
      <c r="D235" s="181" t="s">
        <v>223</v>
      </c>
      <c r="E235" s="180"/>
      <c r="F235" s="180"/>
      <c r="G235" s="180"/>
      <c r="H235" s="180"/>
      <c r="I235" s="180"/>
      <c r="J235" s="180"/>
      <c r="K235" s="180"/>
      <c r="L235" s="52"/>
    </row>
    <row r="236" spans="1:12" ht="16.5" customHeight="1" x14ac:dyDescent="0.3">
      <c r="A236" s="178">
        <v>53</v>
      </c>
      <c r="B236" s="178" t="s">
        <v>228</v>
      </c>
      <c r="C236" s="178" t="s">
        <v>165</v>
      </c>
      <c r="D236" s="178" t="s">
        <v>17</v>
      </c>
      <c r="E236" s="178" t="s">
        <v>18</v>
      </c>
      <c r="F236" s="178" t="str">
        <f>IF(H236&gt;7,"Phức tạp",IF(H236&gt;3,"Trung bình","Đơn giản"))</f>
        <v>Đơn giản</v>
      </c>
      <c r="G236" s="178"/>
      <c r="H236" s="179">
        <f>COUNTA(D237:D237)</f>
        <v>1</v>
      </c>
      <c r="I236" s="52">
        <v>1</v>
      </c>
      <c r="J236" s="52"/>
      <c r="K236" s="52"/>
      <c r="L236" s="52"/>
    </row>
    <row r="237" spans="1:12" ht="16.5" customHeight="1" x14ac:dyDescent="0.3">
      <c r="A237" s="180"/>
      <c r="B237" s="180"/>
      <c r="C237" s="180"/>
      <c r="D237" s="181" t="s">
        <v>229</v>
      </c>
      <c r="E237" s="180"/>
      <c r="F237" s="180"/>
      <c r="G237" s="180"/>
      <c r="H237" s="180"/>
      <c r="I237" s="180"/>
      <c r="J237" s="180"/>
      <c r="K237" s="180"/>
      <c r="L237" s="52"/>
    </row>
    <row r="238" spans="1:12" ht="16.5" customHeight="1" x14ac:dyDescent="0.3">
      <c r="A238" s="178">
        <v>54</v>
      </c>
      <c r="B238" s="178" t="s">
        <v>545</v>
      </c>
      <c r="C238" s="178" t="s">
        <v>165</v>
      </c>
      <c r="D238" s="178" t="s">
        <v>17</v>
      </c>
      <c r="E238" s="178" t="s">
        <v>18</v>
      </c>
      <c r="F238" s="178" t="str">
        <f>IF(H238&gt;7,"Phức tạp",IF(H238&gt;3,"Trung bình","Đơn giản"))</f>
        <v>Đơn giản</v>
      </c>
      <c r="G238" s="178"/>
      <c r="H238" s="179">
        <f>COUNTA(D239:D239)</f>
        <v>1</v>
      </c>
      <c r="I238" s="52">
        <v>1</v>
      </c>
      <c r="J238" s="52"/>
      <c r="K238" s="52"/>
      <c r="L238" s="52"/>
    </row>
    <row r="239" spans="1:12" ht="16.5" customHeight="1" x14ac:dyDescent="0.3">
      <c r="A239" s="180"/>
      <c r="B239" s="180"/>
      <c r="C239" s="180"/>
      <c r="D239" s="181" t="s">
        <v>219</v>
      </c>
      <c r="E239" s="180"/>
      <c r="F239" s="180"/>
      <c r="G239" s="180"/>
      <c r="H239" s="180"/>
      <c r="I239" s="180"/>
      <c r="J239" s="180"/>
      <c r="K239" s="180"/>
      <c r="L239" s="52"/>
    </row>
    <row r="240" spans="1:12" ht="16.5" customHeight="1" x14ac:dyDescent="0.3">
      <c r="A240" s="178">
        <v>55</v>
      </c>
      <c r="B240" s="178" t="s">
        <v>343</v>
      </c>
      <c r="C240" s="178" t="s">
        <v>165</v>
      </c>
      <c r="D240" s="178" t="s">
        <v>17</v>
      </c>
      <c r="E240" s="178" t="s">
        <v>18</v>
      </c>
      <c r="F240" s="178" t="str">
        <f>IF(H240&gt;7,"Phức tạp",IF(H240&gt;3,"Trung bình","Đơn giản"))</f>
        <v>Đơn giản</v>
      </c>
      <c r="G240" s="178"/>
      <c r="H240" s="179">
        <f>COUNTA(D241:D241)</f>
        <v>1</v>
      </c>
      <c r="I240" s="52">
        <v>1</v>
      </c>
      <c r="J240" s="52"/>
      <c r="K240" s="52"/>
      <c r="L240" s="52"/>
    </row>
    <row r="241" spans="1:12" ht="16.5" customHeight="1" x14ac:dyDescent="0.3">
      <c r="A241" s="180"/>
      <c r="B241" s="180"/>
      <c r="C241" s="180"/>
      <c r="D241" s="181" t="s">
        <v>230</v>
      </c>
      <c r="E241" s="180"/>
      <c r="F241" s="180"/>
      <c r="G241" s="180"/>
      <c r="H241" s="180"/>
      <c r="I241" s="180"/>
      <c r="J241" s="180"/>
      <c r="K241" s="180"/>
      <c r="L241" s="52"/>
    </row>
    <row r="242" spans="1:12" ht="16.5" customHeight="1" x14ac:dyDescent="0.3">
      <c r="A242" s="178">
        <v>56</v>
      </c>
      <c r="B242" s="178" t="s">
        <v>344</v>
      </c>
      <c r="C242" s="178" t="s">
        <v>165</v>
      </c>
      <c r="D242" s="178" t="s">
        <v>17</v>
      </c>
      <c r="E242" s="178" t="s">
        <v>18</v>
      </c>
      <c r="F242" s="178" t="str">
        <f>IF(H242&gt;7,"Phức tạp",IF(H242&gt;3,"Trung bình","Đơn giản"))</f>
        <v>Đơn giản</v>
      </c>
      <c r="G242" s="178"/>
      <c r="H242" s="179">
        <f>COUNTA(D243:D243)</f>
        <v>1</v>
      </c>
      <c r="I242" s="52">
        <v>1</v>
      </c>
      <c r="J242" s="52"/>
      <c r="K242" s="52"/>
      <c r="L242" s="52"/>
    </row>
    <row r="243" spans="1:12" ht="16.5" customHeight="1" x14ac:dyDescent="0.3">
      <c r="A243" s="180"/>
      <c r="B243" s="180"/>
      <c r="C243" s="180"/>
      <c r="D243" s="181" t="s">
        <v>230</v>
      </c>
      <c r="E243" s="180"/>
      <c r="F243" s="180"/>
      <c r="G243" s="180"/>
      <c r="H243" s="180"/>
      <c r="I243" s="180"/>
      <c r="J243" s="180"/>
      <c r="K243" s="180"/>
      <c r="L243" s="52"/>
    </row>
    <row r="244" spans="1:12" ht="16.5" customHeight="1" x14ac:dyDescent="0.3">
      <c r="A244" s="178">
        <v>57</v>
      </c>
      <c r="B244" s="178" t="s">
        <v>345</v>
      </c>
      <c r="C244" s="178" t="s">
        <v>165</v>
      </c>
      <c r="D244" s="178" t="s">
        <v>17</v>
      </c>
      <c r="E244" s="178" t="s">
        <v>18</v>
      </c>
      <c r="F244" s="178" t="str">
        <f>IF(H244&gt;7,"Phức tạp",IF(H244&gt;3,"Trung bình","Đơn giản"))</f>
        <v>Đơn giản</v>
      </c>
      <c r="G244" s="178"/>
      <c r="H244" s="179">
        <f>COUNTA(D245:D245)</f>
        <v>1</v>
      </c>
      <c r="I244" s="52">
        <v>1</v>
      </c>
      <c r="J244" s="52"/>
      <c r="K244" s="52"/>
      <c r="L244" s="52"/>
    </row>
    <row r="245" spans="1:12" ht="16.5" customHeight="1" x14ac:dyDescent="0.3">
      <c r="A245" s="180"/>
      <c r="B245" s="180"/>
      <c r="C245" s="180"/>
      <c r="D245" s="181" t="s">
        <v>231</v>
      </c>
      <c r="E245" s="180"/>
      <c r="F245" s="180"/>
      <c r="G245" s="180"/>
      <c r="H245" s="180"/>
      <c r="I245" s="180"/>
      <c r="J245" s="180"/>
      <c r="K245" s="180"/>
      <c r="L245" s="52"/>
    </row>
    <row r="246" spans="1:12" ht="16.5" customHeight="1" x14ac:dyDescent="0.3">
      <c r="A246" s="178">
        <v>58</v>
      </c>
      <c r="B246" s="178" t="s">
        <v>346</v>
      </c>
      <c r="C246" s="178" t="s">
        <v>165</v>
      </c>
      <c r="D246" s="178" t="s">
        <v>17</v>
      </c>
      <c r="E246" s="178" t="s">
        <v>18</v>
      </c>
      <c r="F246" s="178" t="str">
        <f>IF(H246&gt;7,"Phức tạp",IF(H246&gt;3,"Trung bình","Đơn giản"))</f>
        <v>Đơn giản</v>
      </c>
      <c r="G246" s="178"/>
      <c r="H246" s="179">
        <f>COUNTA(D247:D247)</f>
        <v>1</v>
      </c>
      <c r="I246" s="52">
        <v>1</v>
      </c>
      <c r="J246" s="52"/>
      <c r="K246" s="52"/>
      <c r="L246" s="52"/>
    </row>
    <row r="247" spans="1:12" ht="16.5" customHeight="1" x14ac:dyDescent="0.3">
      <c r="A247" s="180"/>
      <c r="B247" s="180"/>
      <c r="C247" s="180"/>
      <c r="D247" s="181" t="s">
        <v>232</v>
      </c>
      <c r="E247" s="180"/>
      <c r="F247" s="180"/>
      <c r="G247" s="180"/>
      <c r="H247" s="180"/>
      <c r="I247" s="180"/>
      <c r="J247" s="180"/>
      <c r="K247" s="180"/>
      <c r="L247" s="52"/>
    </row>
    <row r="248" spans="1:12" ht="16.5" customHeight="1" x14ac:dyDescent="0.3">
      <c r="A248" s="178">
        <v>59</v>
      </c>
      <c r="B248" s="178" t="s">
        <v>347</v>
      </c>
      <c r="C248" s="178" t="s">
        <v>165</v>
      </c>
      <c r="D248" s="178" t="s">
        <v>17</v>
      </c>
      <c r="E248" s="178" t="s">
        <v>18</v>
      </c>
      <c r="F248" s="178" t="str">
        <f>IF(H248&gt;7,"Phức tạp",IF(H248&gt;3,"Trung bình","Đơn giản"))</f>
        <v>Đơn giản</v>
      </c>
      <c r="G248" s="178"/>
      <c r="H248" s="179">
        <f>COUNTA(D249:D249)</f>
        <v>1</v>
      </c>
      <c r="I248" s="52">
        <v>1</v>
      </c>
      <c r="J248" s="52"/>
      <c r="K248" s="52"/>
      <c r="L248" s="52"/>
    </row>
    <row r="249" spans="1:12" ht="16.5" customHeight="1" x14ac:dyDescent="0.3">
      <c r="A249" s="180"/>
      <c r="B249" s="180"/>
      <c r="C249" s="180"/>
      <c r="D249" s="181" t="s">
        <v>232</v>
      </c>
      <c r="E249" s="180"/>
      <c r="F249" s="180"/>
      <c r="G249" s="180"/>
      <c r="H249" s="180"/>
      <c r="I249" s="180"/>
      <c r="J249" s="180"/>
      <c r="K249" s="180"/>
      <c r="L249" s="52"/>
    </row>
    <row r="250" spans="1:12" ht="16.5" customHeight="1" x14ac:dyDescent="0.3">
      <c r="A250" s="178">
        <v>60</v>
      </c>
      <c r="B250" s="178" t="s">
        <v>546</v>
      </c>
      <c r="C250" s="178" t="s">
        <v>165</v>
      </c>
      <c r="D250" s="178" t="s">
        <v>17</v>
      </c>
      <c r="E250" s="178" t="s">
        <v>18</v>
      </c>
      <c r="F250" s="178" t="str">
        <f>IF(H250&gt;7,"Phức tạp",IF(H250&gt;3,"Trung bình","Đơn giản"))</f>
        <v>Đơn giản</v>
      </c>
      <c r="G250" s="178"/>
      <c r="H250" s="179">
        <f>COUNTA(D251:D251)</f>
        <v>1</v>
      </c>
      <c r="I250" s="52">
        <v>1</v>
      </c>
      <c r="J250" s="52"/>
      <c r="K250" s="52"/>
      <c r="L250" s="52"/>
    </row>
    <row r="251" spans="1:12" ht="16.5" customHeight="1" x14ac:dyDescent="0.3">
      <c r="A251" s="180"/>
      <c r="B251" s="180"/>
      <c r="C251" s="180"/>
      <c r="D251" s="181" t="s">
        <v>233</v>
      </c>
      <c r="E251" s="180"/>
      <c r="F251" s="180"/>
      <c r="G251" s="180"/>
      <c r="H251" s="180"/>
      <c r="I251" s="180"/>
      <c r="J251" s="180"/>
      <c r="K251" s="180"/>
      <c r="L251" s="52"/>
    </row>
    <row r="252" spans="1:12" ht="16.5" customHeight="1" x14ac:dyDescent="0.3">
      <c r="A252" s="178">
        <v>61</v>
      </c>
      <c r="B252" s="178" t="s">
        <v>348</v>
      </c>
      <c r="C252" s="178" t="s">
        <v>165</v>
      </c>
      <c r="D252" s="178" t="s">
        <v>17</v>
      </c>
      <c r="E252" s="178" t="s">
        <v>18</v>
      </c>
      <c r="F252" s="178" t="str">
        <f>IF(H252&gt;7,"Phức tạp",IF(H252&gt;3,"Trung bình","Đơn giản"))</f>
        <v>Đơn giản</v>
      </c>
      <c r="G252" s="178"/>
      <c r="H252" s="179">
        <f>COUNTA(D253:D253)</f>
        <v>1</v>
      </c>
      <c r="I252" s="52">
        <v>1</v>
      </c>
      <c r="J252" s="52"/>
      <c r="K252" s="52"/>
      <c r="L252" s="52"/>
    </row>
    <row r="253" spans="1:12" ht="16.5" customHeight="1" x14ac:dyDescent="0.3">
      <c r="A253" s="180"/>
      <c r="B253" s="180"/>
      <c r="C253" s="180"/>
      <c r="D253" s="181" t="s">
        <v>233</v>
      </c>
      <c r="E253" s="180"/>
      <c r="F253" s="180"/>
      <c r="G253" s="180"/>
      <c r="H253" s="180"/>
      <c r="I253" s="180"/>
      <c r="J253" s="180"/>
      <c r="K253" s="180"/>
      <c r="L253" s="52"/>
    </row>
    <row r="254" spans="1:12" ht="16.5" customHeight="1" x14ac:dyDescent="0.3">
      <c r="A254" s="178">
        <v>62</v>
      </c>
      <c r="B254" s="178" t="s">
        <v>547</v>
      </c>
      <c r="C254" s="178" t="s">
        <v>165</v>
      </c>
      <c r="D254" s="178" t="s">
        <v>17</v>
      </c>
      <c r="E254" s="178" t="s">
        <v>18</v>
      </c>
      <c r="F254" s="178" t="str">
        <f>IF(H254&gt;7,"Phức tạp",IF(H254&gt;3,"Trung bình","Đơn giản"))</f>
        <v>Đơn giản</v>
      </c>
      <c r="G254" s="178"/>
      <c r="H254" s="179">
        <f>COUNTA(D255:D255)</f>
        <v>1</v>
      </c>
      <c r="I254" s="52">
        <v>1</v>
      </c>
      <c r="J254" s="52"/>
      <c r="K254" s="52"/>
      <c r="L254" s="52"/>
    </row>
    <row r="255" spans="1:12" ht="16.5" customHeight="1" x14ac:dyDescent="0.3">
      <c r="A255" s="180"/>
      <c r="B255" s="180"/>
      <c r="C255" s="180"/>
      <c r="D255" s="181" t="s">
        <v>233</v>
      </c>
      <c r="E255" s="180"/>
      <c r="F255" s="180"/>
      <c r="G255" s="180"/>
      <c r="H255" s="180"/>
      <c r="I255" s="180"/>
      <c r="J255" s="180"/>
      <c r="K255" s="180"/>
      <c r="L255" s="52"/>
    </row>
    <row r="256" spans="1:12" ht="24" customHeight="1" x14ac:dyDescent="0.3">
      <c r="A256" s="191" t="s">
        <v>234</v>
      </c>
      <c r="B256" s="192"/>
      <c r="C256" s="192"/>
      <c r="D256" s="192"/>
      <c r="E256" s="192"/>
      <c r="F256" s="192"/>
      <c r="G256" s="192"/>
      <c r="H256" s="177"/>
      <c r="I256" s="177"/>
      <c r="J256" s="177"/>
      <c r="K256" s="177"/>
      <c r="L256" s="52"/>
    </row>
    <row r="257" spans="1:12" ht="16.5" customHeight="1" x14ac:dyDescent="0.3">
      <c r="A257" s="178">
        <v>63</v>
      </c>
      <c r="B257" s="178" t="s">
        <v>235</v>
      </c>
      <c r="C257" s="178" t="s">
        <v>236</v>
      </c>
      <c r="D257" s="178" t="s">
        <v>17</v>
      </c>
      <c r="E257" s="178" t="s">
        <v>18</v>
      </c>
      <c r="F257" s="178" t="str">
        <f>IF(H257&gt;7,"Phức tạp",IF(H257&gt;3,"Trung bình","Đơn giản"))</f>
        <v>Trung bình</v>
      </c>
      <c r="G257" s="178"/>
      <c r="H257" s="179">
        <f>COUNTA(D258:D261)</f>
        <v>4</v>
      </c>
      <c r="I257" s="52"/>
      <c r="J257" s="52">
        <v>1</v>
      </c>
      <c r="K257" s="52"/>
      <c r="L257" s="52"/>
    </row>
    <row r="258" spans="1:12" ht="16.5" customHeight="1" x14ac:dyDescent="0.3">
      <c r="A258" s="180"/>
      <c r="B258" s="180"/>
      <c r="C258" s="180"/>
      <c r="D258" s="181" t="s">
        <v>237</v>
      </c>
      <c r="E258" s="180"/>
      <c r="F258" s="180"/>
      <c r="G258" s="180"/>
      <c r="H258" s="180"/>
      <c r="I258" s="180"/>
      <c r="J258" s="180"/>
      <c r="K258" s="180"/>
      <c r="L258" s="52"/>
    </row>
    <row r="259" spans="1:12" ht="16.5" customHeight="1" x14ac:dyDescent="0.3">
      <c r="A259" s="180"/>
      <c r="B259" s="180"/>
      <c r="C259" s="180"/>
      <c r="D259" s="181" t="s">
        <v>238</v>
      </c>
      <c r="E259" s="180"/>
      <c r="F259" s="180"/>
      <c r="G259" s="180"/>
      <c r="H259" s="180"/>
      <c r="I259" s="180"/>
      <c r="J259" s="180"/>
      <c r="K259" s="180"/>
      <c r="L259" s="52"/>
    </row>
    <row r="260" spans="1:12" ht="16.5" customHeight="1" x14ac:dyDescent="0.3">
      <c r="A260" s="180"/>
      <c r="B260" s="180"/>
      <c r="C260" s="180"/>
      <c r="D260" s="181" t="s">
        <v>239</v>
      </c>
      <c r="E260" s="180"/>
      <c r="F260" s="180"/>
      <c r="G260" s="180"/>
      <c r="H260" s="180"/>
      <c r="I260" s="180"/>
      <c r="J260" s="180"/>
      <c r="K260" s="180"/>
      <c r="L260" s="52"/>
    </row>
    <row r="261" spans="1:12" ht="16.5" customHeight="1" x14ac:dyDescent="0.3">
      <c r="A261" s="180"/>
      <c r="B261" s="180"/>
      <c r="C261" s="180"/>
      <c r="D261" s="181" t="s">
        <v>240</v>
      </c>
      <c r="E261" s="180"/>
      <c r="F261" s="180"/>
      <c r="G261" s="180"/>
      <c r="H261" s="180"/>
      <c r="I261" s="180"/>
      <c r="J261" s="180"/>
      <c r="K261" s="180"/>
      <c r="L261" s="52"/>
    </row>
    <row r="262" spans="1:12" ht="16.5" customHeight="1" x14ac:dyDescent="0.3">
      <c r="A262" s="178">
        <v>64</v>
      </c>
      <c r="B262" s="178" t="s">
        <v>241</v>
      </c>
      <c r="C262" s="178" t="s">
        <v>236</v>
      </c>
      <c r="D262" s="178" t="s">
        <v>17</v>
      </c>
      <c r="E262" s="178" t="s">
        <v>18</v>
      </c>
      <c r="F262" s="178" t="str">
        <f>IF(H262&gt;7,"Phức tạp",IF(H262&gt;3,"Trung bình","Đơn giản"))</f>
        <v>Đơn giản</v>
      </c>
      <c r="G262" s="178"/>
      <c r="H262" s="179">
        <f>COUNTA(D263:D263)</f>
        <v>1</v>
      </c>
      <c r="I262" s="52">
        <v>1</v>
      </c>
      <c r="J262" s="52"/>
      <c r="K262" s="52"/>
      <c r="L262" s="52"/>
    </row>
    <row r="263" spans="1:12" ht="16.5" customHeight="1" x14ac:dyDescent="0.3">
      <c r="A263" s="180"/>
      <c r="B263" s="180"/>
      <c r="C263" s="180"/>
      <c r="D263" s="181" t="s">
        <v>242</v>
      </c>
      <c r="E263" s="180"/>
      <c r="F263" s="180"/>
      <c r="G263" s="180"/>
      <c r="H263" s="180"/>
      <c r="I263" s="180"/>
      <c r="J263" s="180"/>
      <c r="K263" s="180"/>
      <c r="L263" s="52"/>
    </row>
    <row r="264" spans="1:12" ht="16.5" customHeight="1" x14ac:dyDescent="0.3">
      <c r="A264" s="178">
        <v>65</v>
      </c>
      <c r="B264" s="178" t="s">
        <v>243</v>
      </c>
      <c r="C264" s="178" t="s">
        <v>236</v>
      </c>
      <c r="D264" s="178" t="s">
        <v>17</v>
      </c>
      <c r="E264" s="178" t="s">
        <v>18</v>
      </c>
      <c r="F264" s="178" t="str">
        <f>IF(H264&gt;7,"Phức tạp",IF(H264&gt;3,"Trung bình","Đơn giản"))</f>
        <v>Đơn giản</v>
      </c>
      <c r="G264" s="178"/>
      <c r="H264" s="179">
        <f>COUNTA(D265:D267)</f>
        <v>3</v>
      </c>
      <c r="I264" s="52">
        <v>1</v>
      </c>
      <c r="J264" s="52"/>
      <c r="K264" s="52"/>
      <c r="L264" s="52"/>
    </row>
    <row r="265" spans="1:12" ht="16.5" customHeight="1" x14ac:dyDescent="0.3">
      <c r="A265" s="180"/>
      <c r="B265" s="180"/>
      <c r="C265" s="180"/>
      <c r="D265" s="181" t="s">
        <v>244</v>
      </c>
      <c r="E265" s="180"/>
      <c r="F265" s="180"/>
      <c r="G265" s="180"/>
      <c r="H265" s="180"/>
      <c r="I265" s="180"/>
      <c r="J265" s="180"/>
      <c r="K265" s="180"/>
      <c r="L265" s="52"/>
    </row>
    <row r="266" spans="1:12" ht="16.5" customHeight="1" x14ac:dyDescent="0.3">
      <c r="A266" s="180"/>
      <c r="B266" s="180"/>
      <c r="C266" s="180"/>
      <c r="D266" s="181" t="s">
        <v>245</v>
      </c>
      <c r="E266" s="180"/>
      <c r="F266" s="180"/>
      <c r="G266" s="180"/>
      <c r="H266" s="180"/>
      <c r="I266" s="180"/>
      <c r="J266" s="180"/>
      <c r="K266" s="180"/>
      <c r="L266" s="52"/>
    </row>
    <row r="267" spans="1:12" ht="16.5" customHeight="1" x14ac:dyDescent="0.3">
      <c r="A267" s="180"/>
      <c r="B267" s="180"/>
      <c r="C267" s="180"/>
      <c r="D267" s="181" t="s">
        <v>246</v>
      </c>
      <c r="E267" s="180"/>
      <c r="F267" s="180"/>
      <c r="G267" s="180"/>
      <c r="H267" s="180"/>
      <c r="I267" s="180"/>
      <c r="J267" s="180"/>
      <c r="K267" s="180"/>
      <c r="L267" s="52"/>
    </row>
    <row r="268" spans="1:12" ht="16.5" customHeight="1" x14ac:dyDescent="0.3">
      <c r="A268" s="178">
        <v>66</v>
      </c>
      <c r="B268" s="178" t="s">
        <v>247</v>
      </c>
      <c r="C268" s="178" t="s">
        <v>236</v>
      </c>
      <c r="D268" s="178" t="s">
        <v>17</v>
      </c>
      <c r="E268" s="178" t="s">
        <v>18</v>
      </c>
      <c r="F268" s="178" t="str">
        <f>IF(H268&gt;7,"Phức tạp",IF(H268&gt;3,"Trung bình","Đơn giản"))</f>
        <v>Trung bình</v>
      </c>
      <c r="G268" s="178"/>
      <c r="H268" s="179">
        <f>COUNTA(D269:D274)</f>
        <v>6</v>
      </c>
      <c r="I268" s="52"/>
      <c r="J268" s="52">
        <v>1</v>
      </c>
      <c r="K268" s="52"/>
      <c r="L268" s="52"/>
    </row>
    <row r="269" spans="1:12" ht="16.5" customHeight="1" x14ac:dyDescent="0.3">
      <c r="A269" s="180"/>
      <c r="B269" s="180"/>
      <c r="C269" s="180"/>
      <c r="D269" s="181" t="s">
        <v>248</v>
      </c>
      <c r="E269" s="180"/>
      <c r="F269" s="180"/>
      <c r="G269" s="180"/>
      <c r="H269" s="180"/>
      <c r="I269" s="180"/>
      <c r="J269" s="180"/>
      <c r="K269" s="180"/>
      <c r="L269" s="52"/>
    </row>
    <row r="270" spans="1:12" ht="16.5" customHeight="1" x14ac:dyDescent="0.3">
      <c r="A270" s="180"/>
      <c r="B270" s="180"/>
      <c r="C270" s="180"/>
      <c r="D270" s="181" t="s">
        <v>249</v>
      </c>
      <c r="E270" s="180"/>
      <c r="F270" s="180"/>
      <c r="G270" s="180"/>
      <c r="H270" s="180"/>
      <c r="I270" s="180"/>
      <c r="J270" s="180"/>
      <c r="K270" s="180"/>
      <c r="L270" s="52"/>
    </row>
    <row r="271" spans="1:12" ht="16.5" customHeight="1" x14ac:dyDescent="0.3">
      <c r="A271" s="180"/>
      <c r="B271" s="180"/>
      <c r="C271" s="180"/>
      <c r="D271" s="181" t="s">
        <v>250</v>
      </c>
      <c r="E271" s="180"/>
      <c r="F271" s="180"/>
      <c r="G271" s="180"/>
      <c r="H271" s="180"/>
      <c r="I271" s="180"/>
      <c r="J271" s="180"/>
      <c r="K271" s="180"/>
      <c r="L271" s="52"/>
    </row>
    <row r="272" spans="1:12" ht="16.5" customHeight="1" x14ac:dyDescent="0.3">
      <c r="A272" s="180"/>
      <c r="B272" s="180"/>
      <c r="C272" s="180"/>
      <c r="D272" s="181" t="s">
        <v>251</v>
      </c>
      <c r="E272" s="180"/>
      <c r="F272" s="180"/>
      <c r="G272" s="180"/>
      <c r="H272" s="180"/>
      <c r="I272" s="180"/>
      <c r="J272" s="180"/>
      <c r="K272" s="180"/>
      <c r="L272" s="52"/>
    </row>
    <row r="273" spans="1:12" ht="16.5" customHeight="1" x14ac:dyDescent="0.3">
      <c r="A273" s="180"/>
      <c r="B273" s="180"/>
      <c r="C273" s="180"/>
      <c r="D273" s="181" t="s">
        <v>252</v>
      </c>
      <c r="E273" s="180"/>
      <c r="F273" s="180"/>
      <c r="G273" s="180"/>
      <c r="H273" s="180"/>
      <c r="I273" s="180"/>
      <c r="J273" s="180"/>
      <c r="K273" s="180"/>
      <c r="L273" s="52"/>
    </row>
    <row r="274" spans="1:12" ht="16.5" customHeight="1" x14ac:dyDescent="0.3">
      <c r="A274" s="180"/>
      <c r="B274" s="180"/>
      <c r="C274" s="180"/>
      <c r="D274" s="181" t="s">
        <v>253</v>
      </c>
      <c r="E274" s="180"/>
      <c r="F274" s="180"/>
      <c r="G274" s="180"/>
      <c r="H274" s="180"/>
      <c r="I274" s="180"/>
      <c r="J274" s="180"/>
      <c r="K274" s="180"/>
      <c r="L274" s="52"/>
    </row>
    <row r="275" spans="1:12" ht="16.5" customHeight="1" x14ac:dyDescent="0.3">
      <c r="A275" s="178">
        <v>67</v>
      </c>
      <c r="B275" s="178" t="s">
        <v>254</v>
      </c>
      <c r="C275" s="178" t="s">
        <v>236</v>
      </c>
      <c r="D275" s="178" t="s">
        <v>17</v>
      </c>
      <c r="E275" s="178" t="s">
        <v>18</v>
      </c>
      <c r="F275" s="178" t="str">
        <f>IF(H275&gt;7,"Phức tạp",IF(H275&gt;3,"Trung bình","Đơn giản"))</f>
        <v>Đơn giản</v>
      </c>
      <c r="G275" s="178"/>
      <c r="H275" s="179">
        <f>COUNTA(D276:D277)</f>
        <v>2</v>
      </c>
      <c r="I275" s="52">
        <v>1</v>
      </c>
      <c r="J275" s="52"/>
      <c r="K275" s="52"/>
      <c r="L275" s="52"/>
    </row>
    <row r="276" spans="1:12" ht="16.5" customHeight="1" x14ac:dyDescent="0.3">
      <c r="A276" s="180"/>
      <c r="B276" s="180"/>
      <c r="C276" s="180"/>
      <c r="D276" s="181" t="s">
        <v>255</v>
      </c>
      <c r="E276" s="180"/>
      <c r="F276" s="180"/>
      <c r="G276" s="180"/>
      <c r="H276" s="180"/>
      <c r="I276" s="180"/>
      <c r="J276" s="180"/>
      <c r="K276" s="180"/>
      <c r="L276" s="52"/>
    </row>
    <row r="277" spans="1:12" ht="16.5" customHeight="1" x14ac:dyDescent="0.3">
      <c r="A277" s="180"/>
      <c r="B277" s="180"/>
      <c r="C277" s="180"/>
      <c r="D277" s="181" t="s">
        <v>256</v>
      </c>
      <c r="E277" s="180"/>
      <c r="F277" s="180"/>
      <c r="G277" s="180"/>
      <c r="H277" s="180"/>
      <c r="I277" s="180"/>
      <c r="J277" s="180"/>
      <c r="K277" s="180"/>
      <c r="L277" s="52"/>
    </row>
    <row r="278" spans="1:12" ht="16.5" customHeight="1" x14ac:dyDescent="0.3">
      <c r="A278" s="178">
        <v>68</v>
      </c>
      <c r="B278" s="178" t="s">
        <v>257</v>
      </c>
      <c r="C278" s="178" t="s">
        <v>236</v>
      </c>
      <c r="D278" s="178" t="s">
        <v>17</v>
      </c>
      <c r="E278" s="178" t="s">
        <v>18</v>
      </c>
      <c r="F278" s="178" t="str">
        <f>IF(H278&gt;7,"Phức tạp",IF(H278&gt;3,"Trung bình","Đơn giản"))</f>
        <v>Đơn giản</v>
      </c>
      <c r="G278" s="178"/>
      <c r="H278" s="179">
        <f>COUNTA(D279:D280)</f>
        <v>2</v>
      </c>
      <c r="I278" s="52">
        <v>1</v>
      </c>
      <c r="J278" s="52"/>
      <c r="K278" s="52"/>
      <c r="L278" s="52"/>
    </row>
    <row r="279" spans="1:12" ht="16.5" customHeight="1" x14ac:dyDescent="0.3">
      <c r="A279" s="180"/>
      <c r="B279" s="180"/>
      <c r="C279" s="180"/>
      <c r="D279" s="181" t="s">
        <v>258</v>
      </c>
      <c r="E279" s="180"/>
      <c r="F279" s="180"/>
      <c r="G279" s="180"/>
      <c r="H279" s="180"/>
      <c r="I279" s="180"/>
      <c r="J279" s="180"/>
      <c r="K279" s="180"/>
      <c r="L279" s="52"/>
    </row>
    <row r="280" spans="1:12" ht="16.5" customHeight="1" x14ac:dyDescent="0.3">
      <c r="A280" s="180"/>
      <c r="B280" s="180"/>
      <c r="C280" s="180"/>
      <c r="D280" s="181" t="s">
        <v>259</v>
      </c>
      <c r="E280" s="180"/>
      <c r="F280" s="180"/>
      <c r="G280" s="180"/>
      <c r="H280" s="180"/>
      <c r="I280" s="180"/>
      <c r="J280" s="180"/>
      <c r="K280" s="180"/>
      <c r="L280" s="52"/>
    </row>
    <row r="281" spans="1:12" ht="16.5" customHeight="1" x14ac:dyDescent="0.3">
      <c r="A281" s="178">
        <v>69</v>
      </c>
      <c r="B281" s="178" t="s">
        <v>260</v>
      </c>
      <c r="C281" s="178" t="s">
        <v>236</v>
      </c>
      <c r="D281" s="178" t="s">
        <v>17</v>
      </c>
      <c r="E281" s="178" t="s">
        <v>18</v>
      </c>
      <c r="F281" s="178" t="str">
        <f>IF(H281&gt;7,"Phức tạp",IF(H281&gt;3,"Trung bình","Đơn giản"))</f>
        <v>Đơn giản</v>
      </c>
      <c r="G281" s="178"/>
      <c r="H281" s="179">
        <f>COUNTA(D282:D282)</f>
        <v>1</v>
      </c>
      <c r="I281" s="52">
        <v>1</v>
      </c>
      <c r="J281" s="52"/>
      <c r="K281" s="52"/>
      <c r="L281" s="52"/>
    </row>
    <row r="282" spans="1:12" ht="16.5" customHeight="1" x14ac:dyDescent="0.3">
      <c r="A282" s="180"/>
      <c r="B282" s="180"/>
      <c r="C282" s="180"/>
      <c r="D282" s="181" t="s">
        <v>261</v>
      </c>
      <c r="E282" s="180"/>
      <c r="F282" s="180"/>
      <c r="G282" s="180"/>
      <c r="H282" s="180"/>
      <c r="I282" s="180"/>
      <c r="J282" s="180"/>
      <c r="K282" s="180"/>
      <c r="L282" s="52"/>
    </row>
    <row r="283" spans="1:12" ht="16.5" customHeight="1" x14ac:dyDescent="0.3">
      <c r="A283" s="178">
        <v>70</v>
      </c>
      <c r="B283" s="178" t="s">
        <v>262</v>
      </c>
      <c r="C283" s="178" t="s">
        <v>165</v>
      </c>
      <c r="D283" s="178" t="s">
        <v>17</v>
      </c>
      <c r="E283" s="178" t="s">
        <v>18</v>
      </c>
      <c r="F283" s="178" t="str">
        <f>IF(H283&gt;7,"Phức tạp",IF(H283&gt;3,"Trung bình","Đơn giản"))</f>
        <v>Đơn giản</v>
      </c>
      <c r="G283" s="178"/>
      <c r="H283" s="179">
        <f>COUNTA(D284:D284)</f>
        <v>1</v>
      </c>
      <c r="I283" s="52">
        <v>1</v>
      </c>
      <c r="J283" s="52"/>
      <c r="K283" s="52"/>
      <c r="L283" s="52"/>
    </row>
    <row r="284" spans="1:12" ht="16.5" customHeight="1" x14ac:dyDescent="0.3">
      <c r="A284" s="180"/>
      <c r="B284" s="180"/>
      <c r="C284" s="180"/>
      <c r="D284" s="181" t="s">
        <v>263</v>
      </c>
      <c r="E284" s="180"/>
      <c r="F284" s="180"/>
      <c r="G284" s="180"/>
      <c r="H284" s="180"/>
      <c r="I284" s="180"/>
      <c r="J284" s="180"/>
      <c r="K284" s="180"/>
      <c r="L284" s="52"/>
    </row>
    <row r="285" spans="1:12" ht="16.5" customHeight="1" x14ac:dyDescent="0.3">
      <c r="A285" s="178">
        <v>71</v>
      </c>
      <c r="B285" s="178" t="s">
        <v>264</v>
      </c>
      <c r="C285" s="178" t="s">
        <v>236</v>
      </c>
      <c r="D285" s="178" t="s">
        <v>17</v>
      </c>
      <c r="E285" s="178" t="s">
        <v>18</v>
      </c>
      <c r="F285" s="178" t="str">
        <f>IF(H285&gt;7,"Phức tạp",IF(H285&gt;3,"Trung bình","Đơn giản"))</f>
        <v>Đơn giản</v>
      </c>
      <c r="G285" s="178"/>
      <c r="H285" s="179">
        <f>COUNTA(D286:D286)</f>
        <v>1</v>
      </c>
      <c r="I285" s="52">
        <v>1</v>
      </c>
      <c r="J285" s="52"/>
      <c r="K285" s="52"/>
      <c r="L285" s="52"/>
    </row>
    <row r="286" spans="1:12" ht="16.5" customHeight="1" x14ac:dyDescent="0.3">
      <c r="A286" s="180"/>
      <c r="B286" s="180"/>
      <c r="C286" s="180"/>
      <c r="D286" s="181" t="s">
        <v>265</v>
      </c>
      <c r="E286" s="180"/>
      <c r="F286" s="180"/>
      <c r="G286" s="180"/>
      <c r="H286" s="180"/>
      <c r="I286" s="180"/>
      <c r="J286" s="180"/>
      <c r="K286" s="180"/>
      <c r="L286" s="52"/>
    </row>
    <row r="287" spans="1:12" ht="16.5" customHeight="1" x14ac:dyDescent="0.3">
      <c r="A287" s="178">
        <v>72</v>
      </c>
      <c r="B287" s="178" t="s">
        <v>266</v>
      </c>
      <c r="C287" s="178" t="s">
        <v>236</v>
      </c>
      <c r="D287" s="178" t="s">
        <v>17</v>
      </c>
      <c r="E287" s="178" t="s">
        <v>18</v>
      </c>
      <c r="F287" s="178" t="str">
        <f>IF(H287&gt;7,"Phức tạp",IF(H287&gt;3,"Trung bình","Đơn giản"))</f>
        <v>Đơn giản</v>
      </c>
      <c r="G287" s="178"/>
      <c r="H287" s="179">
        <f>COUNTA(D288:D288)</f>
        <v>1</v>
      </c>
      <c r="I287" s="52">
        <v>1</v>
      </c>
      <c r="J287" s="52"/>
      <c r="K287" s="52"/>
      <c r="L287" s="52"/>
    </row>
    <row r="288" spans="1:12" ht="16.5" customHeight="1" x14ac:dyDescent="0.3">
      <c r="A288" s="180"/>
      <c r="B288" s="180"/>
      <c r="C288" s="180"/>
      <c r="D288" s="181" t="s">
        <v>267</v>
      </c>
      <c r="E288" s="180"/>
      <c r="F288" s="180"/>
      <c r="G288" s="180"/>
      <c r="H288" s="180"/>
      <c r="I288" s="180"/>
      <c r="J288" s="180"/>
      <c r="K288" s="180"/>
      <c r="L288" s="52"/>
    </row>
    <row r="289" spans="4:5" ht="14.4" customHeight="1" x14ac:dyDescent="0.35"/>
    <row r="290" spans="4:5" x14ac:dyDescent="0.35">
      <c r="D290" s="156"/>
    </row>
    <row r="291" spans="4:5" x14ac:dyDescent="0.35">
      <c r="D291" s="185" t="s">
        <v>18</v>
      </c>
      <c r="E291" s="186"/>
    </row>
    <row r="292" spans="4:5" x14ac:dyDescent="0.35">
      <c r="D292" s="53" t="s">
        <v>10</v>
      </c>
      <c r="E292" s="187">
        <f>I3</f>
        <v>45</v>
      </c>
    </row>
    <row r="293" spans="4:5" x14ac:dyDescent="0.35">
      <c r="D293" s="53" t="s">
        <v>11</v>
      </c>
      <c r="E293" s="187">
        <f>J3</f>
        <v>25</v>
      </c>
    </row>
    <row r="294" spans="4:5" x14ac:dyDescent="0.35">
      <c r="D294" s="53" t="s">
        <v>12</v>
      </c>
      <c r="E294" s="187">
        <f>K3</f>
        <v>2</v>
      </c>
    </row>
    <row r="295" spans="4:5" x14ac:dyDescent="0.35">
      <c r="D295" s="185" t="s">
        <v>367</v>
      </c>
      <c r="E295" s="188"/>
    </row>
    <row r="296" spans="4:5" x14ac:dyDescent="0.35">
      <c r="D296" s="53" t="s">
        <v>10</v>
      </c>
      <c r="E296" s="187">
        <v>0</v>
      </c>
    </row>
    <row r="297" spans="4:5" x14ac:dyDescent="0.35">
      <c r="D297" s="53" t="s">
        <v>11</v>
      </c>
      <c r="E297" s="187">
        <v>0</v>
      </c>
    </row>
    <row r="298" spans="4:5" x14ac:dyDescent="0.35">
      <c r="D298" s="53" t="s">
        <v>12</v>
      </c>
      <c r="E298" s="187">
        <v>0</v>
      </c>
    </row>
    <row r="299" spans="4:5" x14ac:dyDescent="0.35">
      <c r="D299" s="185" t="s">
        <v>368</v>
      </c>
      <c r="E299" s="188"/>
    </row>
    <row r="300" spans="4:5" x14ac:dyDescent="0.35">
      <c r="D300" s="53" t="s">
        <v>10</v>
      </c>
      <c r="E300" s="187">
        <v>0</v>
      </c>
    </row>
    <row r="301" spans="4:5" x14ac:dyDescent="0.35">
      <c r="D301" s="53" t="s">
        <v>11</v>
      </c>
      <c r="E301" s="187">
        <v>0</v>
      </c>
    </row>
    <row r="302" spans="4:5" x14ac:dyDescent="0.35">
      <c r="D302" s="53" t="s">
        <v>12</v>
      </c>
      <c r="E302" s="187">
        <v>0</v>
      </c>
    </row>
    <row r="303" spans="4:5" x14ac:dyDescent="0.35">
      <c r="D303" s="189" t="s">
        <v>544</v>
      </c>
      <c r="E303" s="190">
        <f>SUM(E292:E302)</f>
        <v>72</v>
      </c>
    </row>
    <row r="304" spans="4:5" x14ac:dyDescent="0.35">
      <c r="D304" s="156"/>
    </row>
    <row r="305" spans="4:4" x14ac:dyDescent="0.35">
      <c r="D305" s="156"/>
    </row>
    <row r="306" spans="4:4" x14ac:dyDescent="0.35">
      <c r="D306" s="156"/>
    </row>
    <row r="307" spans="4:4" x14ac:dyDescent="0.35">
      <c r="D307" s="156"/>
    </row>
    <row r="308" spans="4:4" x14ac:dyDescent="0.35">
      <c r="D308" s="156"/>
    </row>
    <row r="309" spans="4:4" x14ac:dyDescent="0.35">
      <c r="D309" s="156"/>
    </row>
    <row r="310" spans="4:4" x14ac:dyDescent="0.35">
      <c r="D310" s="156"/>
    </row>
    <row r="311" spans="4:4" x14ac:dyDescent="0.35">
      <c r="D311" s="156"/>
    </row>
    <row r="312" spans="4:4" x14ac:dyDescent="0.35">
      <c r="D312" s="156"/>
    </row>
    <row r="313" spans="4:4" x14ac:dyDescent="0.35">
      <c r="D313" s="156"/>
    </row>
    <row r="314" spans="4:4" x14ac:dyDescent="0.35">
      <c r="D314" s="156"/>
    </row>
    <row r="315" spans="4:4" x14ac:dyDescent="0.35">
      <c r="D315" s="156"/>
    </row>
    <row r="316" spans="4:4" x14ac:dyDescent="0.35">
      <c r="D316" s="156"/>
    </row>
    <row r="317" spans="4:4" x14ac:dyDescent="0.35">
      <c r="D317" s="156"/>
    </row>
    <row r="318" spans="4:4" x14ac:dyDescent="0.35">
      <c r="D318" s="156"/>
    </row>
    <row r="319" spans="4:4" x14ac:dyDescent="0.35">
      <c r="D319" s="156"/>
    </row>
    <row r="320" spans="4:4" x14ac:dyDescent="0.35">
      <c r="D320" s="156"/>
    </row>
    <row r="321" spans="4:4" x14ac:dyDescent="0.35">
      <c r="D321" s="156"/>
    </row>
    <row r="322" spans="4:4" x14ac:dyDescent="0.35">
      <c r="D322" s="156"/>
    </row>
    <row r="323" spans="4:4" x14ac:dyDescent="0.35">
      <c r="D323" s="156"/>
    </row>
    <row r="324" spans="4:4" x14ac:dyDescent="0.35">
      <c r="D324" s="156"/>
    </row>
    <row r="325" spans="4:4" x14ac:dyDescent="0.35">
      <c r="D325" s="156"/>
    </row>
    <row r="326" spans="4:4" x14ac:dyDescent="0.35">
      <c r="D326" s="156"/>
    </row>
    <row r="327" spans="4:4" x14ac:dyDescent="0.35">
      <c r="D327" s="156"/>
    </row>
    <row r="328" spans="4:4" x14ac:dyDescent="0.35">
      <c r="D328" s="156"/>
    </row>
    <row r="329" spans="4:4" x14ac:dyDescent="0.35">
      <c r="D329" s="156"/>
    </row>
    <row r="330" spans="4:4" x14ac:dyDescent="0.35">
      <c r="D330" s="156"/>
    </row>
    <row r="331" spans="4:4" x14ac:dyDescent="0.35">
      <c r="D331" s="156"/>
    </row>
    <row r="332" spans="4:4" x14ac:dyDescent="0.35">
      <c r="D332" s="156"/>
    </row>
    <row r="333" spans="4:4" x14ac:dyDescent="0.35">
      <c r="D333" s="156"/>
    </row>
    <row r="334" spans="4:4" x14ac:dyDescent="0.35">
      <c r="D334" s="156"/>
    </row>
    <row r="335" spans="4:4" x14ac:dyDescent="0.35">
      <c r="D335" s="156"/>
    </row>
    <row r="336" spans="4:4" x14ac:dyDescent="0.35">
      <c r="D336" s="156"/>
    </row>
    <row r="337" spans="4:4" x14ac:dyDescent="0.35">
      <c r="D337" s="156"/>
    </row>
    <row r="338" spans="4:4" x14ac:dyDescent="0.35">
      <c r="D338" s="156"/>
    </row>
    <row r="339" spans="4:4" x14ac:dyDescent="0.35">
      <c r="D339" s="156"/>
    </row>
    <row r="340" spans="4:4" x14ac:dyDescent="0.35">
      <c r="D340" s="156"/>
    </row>
    <row r="341" spans="4:4" x14ac:dyDescent="0.35">
      <c r="D341" s="156"/>
    </row>
    <row r="342" spans="4:4" x14ac:dyDescent="0.35">
      <c r="D342" s="156"/>
    </row>
    <row r="343" spans="4:4" x14ac:dyDescent="0.35">
      <c r="D343" s="156"/>
    </row>
    <row r="344" spans="4:4" x14ac:dyDescent="0.35">
      <c r="D344" s="156"/>
    </row>
    <row r="345" spans="4:4" x14ac:dyDescent="0.35">
      <c r="D345" s="156"/>
    </row>
    <row r="346" spans="4:4" x14ac:dyDescent="0.35">
      <c r="D346" s="156"/>
    </row>
    <row r="347" spans="4:4" x14ac:dyDescent="0.35">
      <c r="D347" s="156"/>
    </row>
    <row r="348" spans="4:4" x14ac:dyDescent="0.35">
      <c r="D348" s="156"/>
    </row>
    <row r="349" spans="4:4" x14ac:dyDescent="0.35">
      <c r="D349" s="156"/>
    </row>
    <row r="350" spans="4:4" x14ac:dyDescent="0.35">
      <c r="D350" s="156"/>
    </row>
    <row r="351" spans="4:4" x14ac:dyDescent="0.35">
      <c r="D351" s="156"/>
    </row>
    <row r="352" spans="4:4" x14ac:dyDescent="0.35">
      <c r="D352" s="156"/>
    </row>
    <row r="353" spans="4:4" x14ac:dyDescent="0.35">
      <c r="D353" s="156"/>
    </row>
    <row r="354" spans="4:4" x14ac:dyDescent="0.35">
      <c r="D354" s="156"/>
    </row>
    <row r="355" spans="4:4" x14ac:dyDescent="0.35">
      <c r="D355" s="156"/>
    </row>
    <row r="356" spans="4:4" x14ac:dyDescent="0.35">
      <c r="D356" s="156"/>
    </row>
    <row r="357" spans="4:4" x14ac:dyDescent="0.35">
      <c r="D357" s="156"/>
    </row>
    <row r="358" spans="4:4" x14ac:dyDescent="0.35">
      <c r="D358" s="156"/>
    </row>
    <row r="359" spans="4:4" x14ac:dyDescent="0.35">
      <c r="D359" s="156"/>
    </row>
    <row r="360" spans="4:4" x14ac:dyDescent="0.35">
      <c r="D360" s="156"/>
    </row>
    <row r="361" spans="4:4" x14ac:dyDescent="0.35">
      <c r="D361" s="156"/>
    </row>
    <row r="362" spans="4:4" x14ac:dyDescent="0.35">
      <c r="D362" s="156"/>
    </row>
    <row r="363" spans="4:4" x14ac:dyDescent="0.35">
      <c r="D363" s="156"/>
    </row>
    <row r="364" spans="4:4" x14ac:dyDescent="0.35">
      <c r="D364" s="156"/>
    </row>
    <row r="365" spans="4:4" x14ac:dyDescent="0.35">
      <c r="D365" s="156"/>
    </row>
    <row r="366" spans="4:4" x14ac:dyDescent="0.35">
      <c r="D366" s="156"/>
    </row>
    <row r="367" spans="4:4" x14ac:dyDescent="0.35">
      <c r="D367" s="156"/>
    </row>
    <row r="368" spans="4:4" x14ac:dyDescent="0.35">
      <c r="D368" s="156"/>
    </row>
    <row r="369" spans="4:4" x14ac:dyDescent="0.35">
      <c r="D369" s="156"/>
    </row>
    <row r="370" spans="4:4" x14ac:dyDescent="0.35">
      <c r="D370" s="156"/>
    </row>
    <row r="371" spans="4:4" x14ac:dyDescent="0.35">
      <c r="D371" s="156"/>
    </row>
    <row r="372" spans="4:4" x14ac:dyDescent="0.35">
      <c r="D372" s="156"/>
    </row>
    <row r="373" spans="4:4" x14ac:dyDescent="0.35">
      <c r="D373" s="156"/>
    </row>
    <row r="374" spans="4:4" x14ac:dyDescent="0.35">
      <c r="D374" s="156"/>
    </row>
    <row r="375" spans="4:4" x14ac:dyDescent="0.35">
      <c r="D375" s="156"/>
    </row>
    <row r="376" spans="4:4" x14ac:dyDescent="0.35">
      <c r="D376" s="156"/>
    </row>
    <row r="377" spans="4:4" x14ac:dyDescent="0.35">
      <c r="D377" s="156"/>
    </row>
    <row r="378" spans="4:4" x14ac:dyDescent="0.35">
      <c r="D378" s="156"/>
    </row>
    <row r="379" spans="4:4" x14ac:dyDescent="0.35">
      <c r="D379" s="156"/>
    </row>
    <row r="380" spans="4:4" x14ac:dyDescent="0.35">
      <c r="D380" s="156"/>
    </row>
    <row r="381" spans="4:4" x14ac:dyDescent="0.35">
      <c r="D381" s="156"/>
    </row>
    <row r="382" spans="4:4" x14ac:dyDescent="0.35">
      <c r="D382" s="156"/>
    </row>
    <row r="383" spans="4:4" x14ac:dyDescent="0.35">
      <c r="D383" s="156"/>
    </row>
    <row r="384" spans="4:4" x14ac:dyDescent="0.35">
      <c r="D384" s="156"/>
    </row>
    <row r="385" spans="4:4" x14ac:dyDescent="0.35">
      <c r="D385" s="156"/>
    </row>
    <row r="386" spans="4:4" x14ac:dyDescent="0.35">
      <c r="D386" s="156"/>
    </row>
    <row r="387" spans="4:4" x14ac:dyDescent="0.35">
      <c r="D387" s="156"/>
    </row>
    <row r="388" spans="4:4" x14ac:dyDescent="0.35">
      <c r="D388" s="156"/>
    </row>
    <row r="389" spans="4:4" x14ac:dyDescent="0.35">
      <c r="D389" s="156"/>
    </row>
    <row r="390" spans="4:4" x14ac:dyDescent="0.35">
      <c r="D390" s="156"/>
    </row>
    <row r="391" spans="4:4" x14ac:dyDescent="0.35">
      <c r="D391" s="156"/>
    </row>
    <row r="392" spans="4:4" x14ac:dyDescent="0.35">
      <c r="D392" s="156"/>
    </row>
    <row r="393" spans="4:4" x14ac:dyDescent="0.35">
      <c r="D393" s="156"/>
    </row>
    <row r="394" spans="4:4" x14ac:dyDescent="0.35">
      <c r="D394" s="156"/>
    </row>
    <row r="395" spans="4:4" x14ac:dyDescent="0.35">
      <c r="D395" s="156"/>
    </row>
    <row r="396" spans="4:4" x14ac:dyDescent="0.35">
      <c r="D396" s="156"/>
    </row>
    <row r="397" spans="4:4" x14ac:dyDescent="0.35">
      <c r="D397" s="156"/>
    </row>
    <row r="398" spans="4:4" x14ac:dyDescent="0.35">
      <c r="D398" s="156"/>
    </row>
    <row r="399" spans="4:4" x14ac:dyDescent="0.35">
      <c r="D399" s="156"/>
    </row>
    <row r="400" spans="4:4" x14ac:dyDescent="0.35">
      <c r="D400" s="156"/>
    </row>
    <row r="401" spans="4:4" x14ac:dyDescent="0.35">
      <c r="D401" s="156"/>
    </row>
    <row r="402" spans="4:4" x14ac:dyDescent="0.35">
      <c r="D402" s="156"/>
    </row>
    <row r="403" spans="4:4" x14ac:dyDescent="0.35">
      <c r="D403" s="156"/>
    </row>
    <row r="404" spans="4:4" x14ac:dyDescent="0.35">
      <c r="D404" s="156"/>
    </row>
    <row r="405" spans="4:4" x14ac:dyDescent="0.35">
      <c r="D405" s="156"/>
    </row>
    <row r="406" spans="4:4" x14ac:dyDescent="0.35">
      <c r="D406" s="156"/>
    </row>
    <row r="407" spans="4:4" x14ac:dyDescent="0.35">
      <c r="D407" s="156"/>
    </row>
    <row r="408" spans="4:4" x14ac:dyDescent="0.35">
      <c r="D408" s="156"/>
    </row>
    <row r="409" spans="4:4" x14ac:dyDescent="0.35">
      <c r="D409" s="156"/>
    </row>
    <row r="410" spans="4:4" x14ac:dyDescent="0.35">
      <c r="D410" s="156"/>
    </row>
    <row r="411" spans="4:4" x14ac:dyDescent="0.35">
      <c r="D411" s="156"/>
    </row>
    <row r="412" spans="4:4" x14ac:dyDescent="0.35">
      <c r="D412" s="156"/>
    </row>
    <row r="413" spans="4:4" x14ac:dyDescent="0.35">
      <c r="D413" s="156"/>
    </row>
    <row r="414" spans="4:4" x14ac:dyDescent="0.35">
      <c r="D414" s="156"/>
    </row>
    <row r="415" spans="4:4" x14ac:dyDescent="0.35">
      <c r="D415" s="156"/>
    </row>
    <row r="416" spans="4:4" x14ac:dyDescent="0.35">
      <c r="D416" s="156"/>
    </row>
    <row r="417" spans="4:4" x14ac:dyDescent="0.35">
      <c r="D417" s="156"/>
    </row>
    <row r="418" spans="4:4" x14ac:dyDescent="0.35">
      <c r="D418" s="156"/>
    </row>
    <row r="419" spans="4:4" x14ac:dyDescent="0.35">
      <c r="D419" s="156"/>
    </row>
    <row r="420" spans="4:4" x14ac:dyDescent="0.35">
      <c r="D420" s="156"/>
    </row>
    <row r="421" spans="4:4" x14ac:dyDescent="0.35">
      <c r="D421" s="156"/>
    </row>
    <row r="422" spans="4:4" x14ac:dyDescent="0.35">
      <c r="D422" s="156"/>
    </row>
    <row r="423" spans="4:4" x14ac:dyDescent="0.35">
      <c r="D423" s="156"/>
    </row>
    <row r="424" spans="4:4" x14ac:dyDescent="0.35">
      <c r="D424" s="156"/>
    </row>
    <row r="425" spans="4:4" x14ac:dyDescent="0.35">
      <c r="D425" s="156"/>
    </row>
    <row r="426" spans="4:4" x14ac:dyDescent="0.35">
      <c r="D426" s="156"/>
    </row>
    <row r="427" spans="4:4" x14ac:dyDescent="0.35">
      <c r="D427" s="156"/>
    </row>
    <row r="428" spans="4:4" x14ac:dyDescent="0.35">
      <c r="D428" s="156"/>
    </row>
    <row r="429" spans="4:4" x14ac:dyDescent="0.35">
      <c r="D429" s="156"/>
    </row>
    <row r="430" spans="4:4" x14ac:dyDescent="0.35">
      <c r="D430" s="156"/>
    </row>
    <row r="431" spans="4:4" x14ac:dyDescent="0.35">
      <c r="D431" s="156"/>
    </row>
    <row r="432" spans="4:4" x14ac:dyDescent="0.35">
      <c r="D432" s="156"/>
    </row>
    <row r="433" spans="4:4" x14ac:dyDescent="0.35">
      <c r="D433" s="156"/>
    </row>
    <row r="434" spans="4:4" x14ac:dyDescent="0.35">
      <c r="D434" s="156"/>
    </row>
    <row r="435" spans="4:4" x14ac:dyDescent="0.35">
      <c r="D435" s="156"/>
    </row>
    <row r="436" spans="4:4" x14ac:dyDescent="0.35">
      <c r="D436" s="156"/>
    </row>
    <row r="437" spans="4:4" x14ac:dyDescent="0.35">
      <c r="D437" s="156"/>
    </row>
    <row r="438" spans="4:4" x14ac:dyDescent="0.35">
      <c r="D438" s="156"/>
    </row>
    <row r="439" spans="4:4" x14ac:dyDescent="0.35">
      <c r="D439" s="156"/>
    </row>
    <row r="440" spans="4:4" x14ac:dyDescent="0.35">
      <c r="D440" s="156"/>
    </row>
    <row r="441" spans="4:4" x14ac:dyDescent="0.35">
      <c r="D441" s="156"/>
    </row>
    <row r="442" spans="4:4" x14ac:dyDescent="0.35">
      <c r="D442" s="156"/>
    </row>
    <row r="443" spans="4:4" x14ac:dyDescent="0.35">
      <c r="D443" s="156"/>
    </row>
    <row r="444" spans="4:4" x14ac:dyDescent="0.35">
      <c r="D444" s="156"/>
    </row>
    <row r="445" spans="4:4" x14ac:dyDescent="0.35">
      <c r="D445" s="156"/>
    </row>
    <row r="446" spans="4:4" x14ac:dyDescent="0.35">
      <c r="D446" s="156"/>
    </row>
    <row r="447" spans="4:4" x14ac:dyDescent="0.35">
      <c r="D447" s="156"/>
    </row>
    <row r="448" spans="4:4" x14ac:dyDescent="0.35">
      <c r="D448" s="156"/>
    </row>
    <row r="449" spans="4:4" x14ac:dyDescent="0.35">
      <c r="D449" s="156"/>
    </row>
    <row r="450" spans="4:4" x14ac:dyDescent="0.35">
      <c r="D450" s="156"/>
    </row>
    <row r="451" spans="4:4" x14ac:dyDescent="0.35">
      <c r="D451" s="156"/>
    </row>
    <row r="452" spans="4:4" x14ac:dyDescent="0.35">
      <c r="D452" s="156"/>
    </row>
    <row r="453" spans="4:4" x14ac:dyDescent="0.35">
      <c r="D453" s="156"/>
    </row>
    <row r="454" spans="4:4" x14ac:dyDescent="0.35">
      <c r="D454" s="156"/>
    </row>
    <row r="455" spans="4:4" x14ac:dyDescent="0.35">
      <c r="D455" s="156"/>
    </row>
    <row r="456" spans="4:4" x14ac:dyDescent="0.35">
      <c r="D456" s="156"/>
    </row>
    <row r="457" spans="4:4" x14ac:dyDescent="0.35">
      <c r="D457" s="156"/>
    </row>
    <row r="458" spans="4:4" x14ac:dyDescent="0.35">
      <c r="D458" s="156"/>
    </row>
    <row r="459" spans="4:4" x14ac:dyDescent="0.35">
      <c r="D459" s="156"/>
    </row>
    <row r="460" spans="4:4" x14ac:dyDescent="0.35">
      <c r="D460" s="156"/>
    </row>
    <row r="461" spans="4:4" x14ac:dyDescent="0.35">
      <c r="D461" s="156"/>
    </row>
    <row r="462" spans="4:4" x14ac:dyDescent="0.35">
      <c r="D462" s="156"/>
    </row>
    <row r="463" spans="4:4" x14ac:dyDescent="0.35">
      <c r="D463" s="156"/>
    </row>
    <row r="464" spans="4:4" x14ac:dyDescent="0.35">
      <c r="D464" s="156"/>
    </row>
    <row r="465" spans="4:4" x14ac:dyDescent="0.35">
      <c r="D465" s="156"/>
    </row>
    <row r="466" spans="4:4" x14ac:dyDescent="0.35">
      <c r="D466" s="156"/>
    </row>
    <row r="467" spans="4:4" x14ac:dyDescent="0.35">
      <c r="D467" s="156"/>
    </row>
    <row r="468" spans="4:4" x14ac:dyDescent="0.35">
      <c r="D468" s="156"/>
    </row>
    <row r="469" spans="4:4" x14ac:dyDescent="0.35">
      <c r="D469" s="156"/>
    </row>
    <row r="470" spans="4:4" x14ac:dyDescent="0.35">
      <c r="D470" s="156"/>
    </row>
    <row r="471" spans="4:4" x14ac:dyDescent="0.35">
      <c r="D471" s="156"/>
    </row>
    <row r="472" spans="4:4" x14ac:dyDescent="0.35">
      <c r="D472" s="156"/>
    </row>
    <row r="473" spans="4:4" x14ac:dyDescent="0.35">
      <c r="D473" s="156"/>
    </row>
    <row r="474" spans="4:4" x14ac:dyDescent="0.35">
      <c r="D474" s="156"/>
    </row>
    <row r="475" spans="4:4" x14ac:dyDescent="0.35">
      <c r="D475" s="156"/>
    </row>
    <row r="476" spans="4:4" x14ac:dyDescent="0.35">
      <c r="D476" s="156"/>
    </row>
    <row r="477" spans="4:4" x14ac:dyDescent="0.35">
      <c r="D477" s="156"/>
    </row>
    <row r="478" spans="4:4" x14ac:dyDescent="0.35">
      <c r="D478" s="156"/>
    </row>
    <row r="479" spans="4:4" x14ac:dyDescent="0.35">
      <c r="D479" s="156"/>
    </row>
    <row r="480" spans="4:4" x14ac:dyDescent="0.35">
      <c r="D480" s="156"/>
    </row>
    <row r="481" spans="4:4" x14ac:dyDescent="0.35">
      <c r="D481" s="156"/>
    </row>
    <row r="482" spans="4:4" x14ac:dyDescent="0.35">
      <c r="D482" s="156"/>
    </row>
    <row r="483" spans="4:4" x14ac:dyDescent="0.35">
      <c r="D483" s="156"/>
    </row>
    <row r="484" spans="4:4" x14ac:dyDescent="0.35">
      <c r="D484" s="156"/>
    </row>
    <row r="485" spans="4:4" x14ac:dyDescent="0.35">
      <c r="D485" s="156"/>
    </row>
    <row r="486" spans="4:4" x14ac:dyDescent="0.35">
      <c r="D486" s="156"/>
    </row>
    <row r="487" spans="4:4" x14ac:dyDescent="0.35">
      <c r="D487" s="156"/>
    </row>
    <row r="488" spans="4:4" x14ac:dyDescent="0.35">
      <c r="D488" s="156"/>
    </row>
    <row r="489" spans="4:4" x14ac:dyDescent="0.35">
      <c r="D489" s="156"/>
    </row>
    <row r="490" spans="4:4" x14ac:dyDescent="0.35">
      <c r="D490" s="156"/>
    </row>
    <row r="491" spans="4:4" x14ac:dyDescent="0.35">
      <c r="D491" s="156"/>
    </row>
    <row r="492" spans="4:4" x14ac:dyDescent="0.35">
      <c r="D492" s="156"/>
    </row>
    <row r="493" spans="4:4" x14ac:dyDescent="0.35">
      <c r="D493" s="156"/>
    </row>
    <row r="494" spans="4:4" x14ac:dyDescent="0.35">
      <c r="D494" s="156"/>
    </row>
    <row r="495" spans="4:4" x14ac:dyDescent="0.35">
      <c r="D495" s="156"/>
    </row>
    <row r="496" spans="4:4" x14ac:dyDescent="0.35">
      <c r="D496" s="156"/>
    </row>
    <row r="497" spans="4:4" x14ac:dyDescent="0.35">
      <c r="D497" s="156"/>
    </row>
    <row r="498" spans="4:4" x14ac:dyDescent="0.35">
      <c r="D498" s="156"/>
    </row>
    <row r="499" spans="4:4" x14ac:dyDescent="0.35">
      <c r="D499" s="156"/>
    </row>
    <row r="500" spans="4:4" x14ac:dyDescent="0.35">
      <c r="D500" s="156"/>
    </row>
    <row r="501" spans="4:4" x14ac:dyDescent="0.35">
      <c r="D501" s="156"/>
    </row>
    <row r="502" spans="4:4" x14ac:dyDescent="0.35">
      <c r="D502" s="156"/>
    </row>
    <row r="503" spans="4:4" x14ac:dyDescent="0.35">
      <c r="D503" s="156"/>
    </row>
    <row r="504" spans="4:4" x14ac:dyDescent="0.35">
      <c r="D504" s="156"/>
    </row>
    <row r="505" spans="4:4" x14ac:dyDescent="0.35">
      <c r="D505" s="156"/>
    </row>
    <row r="506" spans="4:4" x14ac:dyDescent="0.35">
      <c r="D506" s="156"/>
    </row>
    <row r="507" spans="4:4" x14ac:dyDescent="0.35">
      <c r="D507" s="156"/>
    </row>
    <row r="508" spans="4:4" x14ac:dyDescent="0.35">
      <c r="D508" s="156"/>
    </row>
    <row r="509" spans="4:4" x14ac:dyDescent="0.35">
      <c r="D509" s="156"/>
    </row>
    <row r="510" spans="4:4" x14ac:dyDescent="0.35">
      <c r="D510" s="156"/>
    </row>
    <row r="511" spans="4:4" x14ac:dyDescent="0.35">
      <c r="D511" s="156"/>
    </row>
    <row r="512" spans="4:4" x14ac:dyDescent="0.35">
      <c r="D512" s="156"/>
    </row>
    <row r="513" spans="4:4" x14ac:dyDescent="0.35">
      <c r="D513" s="156"/>
    </row>
    <row r="514" spans="4:4" x14ac:dyDescent="0.35">
      <c r="D514" s="156"/>
    </row>
    <row r="515" spans="4:4" x14ac:dyDescent="0.35">
      <c r="D515" s="156"/>
    </row>
    <row r="516" spans="4:4" x14ac:dyDescent="0.35">
      <c r="D516" s="156"/>
    </row>
    <row r="517" spans="4:4" x14ac:dyDescent="0.35">
      <c r="D517" s="156"/>
    </row>
    <row r="518" spans="4:4" x14ac:dyDescent="0.35">
      <c r="D518" s="156"/>
    </row>
    <row r="519" spans="4:4" x14ac:dyDescent="0.35">
      <c r="D519" s="156"/>
    </row>
    <row r="520" spans="4:4" x14ac:dyDescent="0.35">
      <c r="D520" s="156"/>
    </row>
    <row r="521" spans="4:4" x14ac:dyDescent="0.35">
      <c r="D521" s="156"/>
    </row>
    <row r="522" spans="4:4" x14ac:dyDescent="0.35">
      <c r="D522" s="156"/>
    </row>
    <row r="523" spans="4:4" x14ac:dyDescent="0.35">
      <c r="D523" s="156"/>
    </row>
    <row r="524" spans="4:4" x14ac:dyDescent="0.35">
      <c r="D524" s="156"/>
    </row>
    <row r="525" spans="4:4" x14ac:dyDescent="0.35">
      <c r="D525" s="156"/>
    </row>
    <row r="526" spans="4:4" x14ac:dyDescent="0.35">
      <c r="D526" s="156"/>
    </row>
    <row r="527" spans="4:4" x14ac:dyDescent="0.35">
      <c r="D527" s="156"/>
    </row>
    <row r="528" spans="4:4" x14ac:dyDescent="0.35">
      <c r="D528" s="156"/>
    </row>
    <row r="529" spans="4:4" x14ac:dyDescent="0.35">
      <c r="D529" s="156"/>
    </row>
    <row r="530" spans="4:4" x14ac:dyDescent="0.35">
      <c r="D530" s="156"/>
    </row>
    <row r="531" spans="4:4" x14ac:dyDescent="0.35">
      <c r="D531" s="156"/>
    </row>
    <row r="532" spans="4:4" x14ac:dyDescent="0.35">
      <c r="D532" s="156"/>
    </row>
    <row r="533" spans="4:4" x14ac:dyDescent="0.35">
      <c r="D533" s="156"/>
    </row>
    <row r="534" spans="4:4" x14ac:dyDescent="0.35">
      <c r="D534" s="156"/>
    </row>
    <row r="535" spans="4:4" x14ac:dyDescent="0.35">
      <c r="D535" s="156"/>
    </row>
    <row r="536" spans="4:4" x14ac:dyDescent="0.35">
      <c r="D536" s="156"/>
    </row>
    <row r="537" spans="4:4" x14ac:dyDescent="0.35">
      <c r="D537" s="156"/>
    </row>
    <row r="538" spans="4:4" x14ac:dyDescent="0.35">
      <c r="D538" s="156"/>
    </row>
    <row r="539" spans="4:4" x14ac:dyDescent="0.35">
      <c r="D539" s="156"/>
    </row>
    <row r="540" spans="4:4" x14ac:dyDescent="0.35">
      <c r="D540" s="156"/>
    </row>
    <row r="541" spans="4:4" x14ac:dyDescent="0.35">
      <c r="D541" s="156"/>
    </row>
    <row r="542" spans="4:4" x14ac:dyDescent="0.35">
      <c r="D542" s="156"/>
    </row>
    <row r="543" spans="4:4" x14ac:dyDescent="0.35">
      <c r="D543" s="156"/>
    </row>
    <row r="544" spans="4:4" x14ac:dyDescent="0.35">
      <c r="D544" s="156"/>
    </row>
    <row r="545" spans="4:4" x14ac:dyDescent="0.35">
      <c r="D545" s="156"/>
    </row>
    <row r="546" spans="4:4" x14ac:dyDescent="0.35">
      <c r="D546" s="156"/>
    </row>
    <row r="547" spans="4:4" x14ac:dyDescent="0.35">
      <c r="D547" s="156"/>
    </row>
    <row r="548" spans="4:4" x14ac:dyDescent="0.35">
      <c r="D548" s="156"/>
    </row>
    <row r="549" spans="4:4" x14ac:dyDescent="0.35">
      <c r="D549" s="156"/>
    </row>
    <row r="550" spans="4:4" x14ac:dyDescent="0.35">
      <c r="D550" s="156"/>
    </row>
    <row r="551" spans="4:4" x14ac:dyDescent="0.35">
      <c r="D551" s="156"/>
    </row>
    <row r="552" spans="4:4" x14ac:dyDescent="0.35">
      <c r="D552" s="156"/>
    </row>
    <row r="553" spans="4:4" x14ac:dyDescent="0.35">
      <c r="D553" s="156"/>
    </row>
    <row r="554" spans="4:4" x14ac:dyDescent="0.35">
      <c r="D554" s="156"/>
    </row>
    <row r="555" spans="4:4" x14ac:dyDescent="0.35">
      <c r="D555" s="156"/>
    </row>
    <row r="556" spans="4:4" x14ac:dyDescent="0.35">
      <c r="D556" s="156"/>
    </row>
    <row r="557" spans="4:4" x14ac:dyDescent="0.35">
      <c r="D557" s="156"/>
    </row>
    <row r="558" spans="4:4" x14ac:dyDescent="0.35">
      <c r="D558" s="156"/>
    </row>
    <row r="559" spans="4:4" x14ac:dyDescent="0.35">
      <c r="D559" s="156"/>
    </row>
    <row r="560" spans="4:4" x14ac:dyDescent="0.35">
      <c r="D560" s="156"/>
    </row>
    <row r="561" spans="4:4" x14ac:dyDescent="0.35">
      <c r="D561" s="156"/>
    </row>
    <row r="562" spans="4:4" x14ac:dyDescent="0.35">
      <c r="D562" s="156"/>
    </row>
    <row r="563" spans="4:4" x14ac:dyDescent="0.35">
      <c r="D563" s="156"/>
    </row>
    <row r="564" spans="4:4" x14ac:dyDescent="0.35">
      <c r="D564" s="156"/>
    </row>
    <row r="565" spans="4:4" x14ac:dyDescent="0.35">
      <c r="D565" s="156"/>
    </row>
    <row r="566" spans="4:4" x14ac:dyDescent="0.35">
      <c r="D566" s="156"/>
    </row>
    <row r="567" spans="4:4" x14ac:dyDescent="0.35">
      <c r="D567" s="156"/>
    </row>
    <row r="568" spans="4:4" x14ac:dyDescent="0.35">
      <c r="D568" s="156"/>
    </row>
    <row r="569" spans="4:4" x14ac:dyDescent="0.35">
      <c r="D569" s="156"/>
    </row>
    <row r="570" spans="4:4" x14ac:dyDescent="0.35">
      <c r="D570" s="156"/>
    </row>
    <row r="571" spans="4:4" x14ac:dyDescent="0.35">
      <c r="D571" s="156"/>
    </row>
    <row r="572" spans="4:4" x14ac:dyDescent="0.35">
      <c r="D572" s="156"/>
    </row>
    <row r="573" spans="4:4" x14ac:dyDescent="0.35">
      <c r="D573" s="156"/>
    </row>
    <row r="574" spans="4:4" x14ac:dyDescent="0.35">
      <c r="D574" s="156"/>
    </row>
    <row r="575" spans="4:4" x14ac:dyDescent="0.35">
      <c r="D575" s="156"/>
    </row>
    <row r="576" spans="4:4" x14ac:dyDescent="0.35">
      <c r="D576" s="156"/>
    </row>
    <row r="577" spans="4:4" x14ac:dyDescent="0.35">
      <c r="D577" s="156"/>
    </row>
    <row r="578" spans="4:4" x14ac:dyDescent="0.35">
      <c r="D578" s="156"/>
    </row>
    <row r="579" spans="4:4" x14ac:dyDescent="0.35">
      <c r="D579" s="156"/>
    </row>
    <row r="580" spans="4:4" x14ac:dyDescent="0.35">
      <c r="D580" s="156"/>
    </row>
    <row r="581" spans="4:4" x14ac:dyDescent="0.35">
      <c r="D581" s="156"/>
    </row>
    <row r="582" spans="4:4" x14ac:dyDescent="0.35">
      <c r="D582" s="156"/>
    </row>
    <row r="583" spans="4:4" x14ac:dyDescent="0.35">
      <c r="D583" s="156"/>
    </row>
    <row r="584" spans="4:4" x14ac:dyDescent="0.35">
      <c r="D584" s="156"/>
    </row>
    <row r="585" spans="4:4" x14ac:dyDescent="0.35">
      <c r="D585" s="156"/>
    </row>
    <row r="586" spans="4:4" x14ac:dyDescent="0.35">
      <c r="D586" s="156"/>
    </row>
    <row r="587" spans="4:4" x14ac:dyDescent="0.35">
      <c r="D587" s="156"/>
    </row>
    <row r="588" spans="4:4" x14ac:dyDescent="0.35">
      <c r="D588" s="156"/>
    </row>
    <row r="589" spans="4:4" x14ac:dyDescent="0.35">
      <c r="D589" s="156"/>
    </row>
    <row r="590" spans="4:4" x14ac:dyDescent="0.35">
      <c r="D590" s="156"/>
    </row>
    <row r="591" spans="4:4" x14ac:dyDescent="0.35">
      <c r="D591" s="156"/>
    </row>
    <row r="592" spans="4:4" x14ac:dyDescent="0.35">
      <c r="D592" s="156"/>
    </row>
    <row r="593" spans="4:4" x14ac:dyDescent="0.35">
      <c r="D593" s="156"/>
    </row>
    <row r="594" spans="4:4" x14ac:dyDescent="0.35">
      <c r="D594" s="156"/>
    </row>
    <row r="595" spans="4:4" x14ac:dyDescent="0.35">
      <c r="D595" s="156"/>
    </row>
    <row r="596" spans="4:4" x14ac:dyDescent="0.35">
      <c r="D596" s="156"/>
    </row>
    <row r="597" spans="4:4" x14ac:dyDescent="0.35">
      <c r="D597" s="156"/>
    </row>
    <row r="598" spans="4:4" x14ac:dyDescent="0.35">
      <c r="D598" s="156"/>
    </row>
    <row r="599" spans="4:4" x14ac:dyDescent="0.35">
      <c r="D599" s="156"/>
    </row>
    <row r="600" spans="4:4" x14ac:dyDescent="0.35">
      <c r="D600" s="156"/>
    </row>
    <row r="601" spans="4:4" x14ac:dyDescent="0.35">
      <c r="D601" s="156"/>
    </row>
    <row r="602" spans="4:4" x14ac:dyDescent="0.35">
      <c r="D602" s="156"/>
    </row>
    <row r="603" spans="4:4" x14ac:dyDescent="0.35">
      <c r="D603" s="156"/>
    </row>
    <row r="604" spans="4:4" x14ac:dyDescent="0.35">
      <c r="D604" s="156"/>
    </row>
    <row r="605" spans="4:4" x14ac:dyDescent="0.35">
      <c r="D605" s="156"/>
    </row>
    <row r="606" spans="4:4" x14ac:dyDescent="0.35">
      <c r="D606" s="156"/>
    </row>
    <row r="607" spans="4:4" x14ac:dyDescent="0.35">
      <c r="D607" s="156"/>
    </row>
    <row r="608" spans="4:4" x14ac:dyDescent="0.35">
      <c r="D608" s="156"/>
    </row>
    <row r="609" spans="4:4" x14ac:dyDescent="0.35">
      <c r="D609" s="156"/>
    </row>
    <row r="610" spans="4:4" x14ac:dyDescent="0.35">
      <c r="D610" s="156"/>
    </row>
    <row r="611" spans="4:4" x14ac:dyDescent="0.35">
      <c r="D611" s="156"/>
    </row>
    <row r="612" spans="4:4" x14ac:dyDescent="0.35">
      <c r="D612" s="156"/>
    </row>
    <row r="613" spans="4:4" x14ac:dyDescent="0.35">
      <c r="D613" s="156"/>
    </row>
    <row r="614" spans="4:4" x14ac:dyDescent="0.35">
      <c r="D614" s="156"/>
    </row>
    <row r="615" spans="4:4" x14ac:dyDescent="0.35">
      <c r="D615" s="156"/>
    </row>
    <row r="616" spans="4:4" x14ac:dyDescent="0.35">
      <c r="D616" s="156"/>
    </row>
    <row r="617" spans="4:4" x14ac:dyDescent="0.35">
      <c r="D617" s="156"/>
    </row>
    <row r="618" spans="4:4" x14ac:dyDescent="0.35">
      <c r="D618" s="156"/>
    </row>
    <row r="619" spans="4:4" x14ac:dyDescent="0.35">
      <c r="D619" s="156"/>
    </row>
    <row r="620" spans="4:4" x14ac:dyDescent="0.35">
      <c r="D620" s="156"/>
    </row>
    <row r="621" spans="4:4" x14ac:dyDescent="0.35">
      <c r="D621" s="156"/>
    </row>
    <row r="622" spans="4:4" x14ac:dyDescent="0.35">
      <c r="D622" s="156"/>
    </row>
    <row r="623" spans="4:4" x14ac:dyDescent="0.35">
      <c r="D623" s="156"/>
    </row>
    <row r="624" spans="4:4" x14ac:dyDescent="0.35">
      <c r="D624" s="156"/>
    </row>
    <row r="625" spans="4:4" x14ac:dyDescent="0.35">
      <c r="D625" s="156"/>
    </row>
    <row r="626" spans="4:4" x14ac:dyDescent="0.35">
      <c r="D626" s="156"/>
    </row>
    <row r="627" spans="4:4" x14ac:dyDescent="0.35">
      <c r="D627" s="156"/>
    </row>
    <row r="628" spans="4:4" x14ac:dyDescent="0.35">
      <c r="D628" s="156"/>
    </row>
    <row r="629" spans="4:4" x14ac:dyDescent="0.35">
      <c r="D629" s="156"/>
    </row>
    <row r="630" spans="4:4" x14ac:dyDescent="0.35">
      <c r="D630" s="156"/>
    </row>
    <row r="631" spans="4:4" x14ac:dyDescent="0.35">
      <c r="D631" s="156"/>
    </row>
    <row r="632" spans="4:4" x14ac:dyDescent="0.35">
      <c r="D632" s="156"/>
    </row>
    <row r="633" spans="4:4" x14ac:dyDescent="0.35">
      <c r="D633" s="156"/>
    </row>
    <row r="634" spans="4:4" x14ac:dyDescent="0.35">
      <c r="D634" s="156"/>
    </row>
    <row r="635" spans="4:4" x14ac:dyDescent="0.35">
      <c r="D635" s="156"/>
    </row>
    <row r="636" spans="4:4" x14ac:dyDescent="0.35">
      <c r="D636" s="156"/>
    </row>
    <row r="637" spans="4:4" x14ac:dyDescent="0.35">
      <c r="D637" s="156"/>
    </row>
    <row r="638" spans="4:4" x14ac:dyDescent="0.35">
      <c r="D638" s="156"/>
    </row>
    <row r="639" spans="4:4" x14ac:dyDescent="0.35">
      <c r="D639" s="156"/>
    </row>
    <row r="640" spans="4:4" x14ac:dyDescent="0.35">
      <c r="D640" s="156"/>
    </row>
    <row r="641" spans="4:4" x14ac:dyDescent="0.35">
      <c r="D641" s="156"/>
    </row>
    <row r="642" spans="4:4" x14ac:dyDescent="0.35">
      <c r="D642" s="156"/>
    </row>
    <row r="643" spans="4:4" x14ac:dyDescent="0.35">
      <c r="D643" s="156"/>
    </row>
    <row r="644" spans="4:4" x14ac:dyDescent="0.35">
      <c r="D644" s="156"/>
    </row>
    <row r="645" spans="4:4" x14ac:dyDescent="0.35">
      <c r="D645" s="156"/>
    </row>
    <row r="646" spans="4:4" x14ac:dyDescent="0.35">
      <c r="D646" s="156"/>
    </row>
    <row r="647" spans="4:4" x14ac:dyDescent="0.35">
      <c r="D647" s="156"/>
    </row>
    <row r="648" spans="4:4" x14ac:dyDescent="0.35">
      <c r="D648" s="156"/>
    </row>
    <row r="649" spans="4:4" x14ac:dyDescent="0.35">
      <c r="D649" s="156"/>
    </row>
    <row r="650" spans="4:4" x14ac:dyDescent="0.35">
      <c r="D650" s="156"/>
    </row>
    <row r="651" spans="4:4" x14ac:dyDescent="0.35">
      <c r="D651" s="156"/>
    </row>
    <row r="652" spans="4:4" x14ac:dyDescent="0.35">
      <c r="D652" s="156"/>
    </row>
    <row r="653" spans="4:4" x14ac:dyDescent="0.35">
      <c r="D653" s="156"/>
    </row>
    <row r="654" spans="4:4" x14ac:dyDescent="0.35">
      <c r="D654" s="156"/>
    </row>
    <row r="655" spans="4:4" x14ac:dyDescent="0.35">
      <c r="D655" s="156"/>
    </row>
    <row r="656" spans="4:4" x14ac:dyDescent="0.35">
      <c r="D656" s="156"/>
    </row>
    <row r="657" spans="4:4" x14ac:dyDescent="0.35">
      <c r="D657" s="156"/>
    </row>
    <row r="658" spans="4:4" x14ac:dyDescent="0.35">
      <c r="D658" s="156"/>
    </row>
    <row r="659" spans="4:4" x14ac:dyDescent="0.35">
      <c r="D659" s="156"/>
    </row>
    <row r="660" spans="4:4" x14ac:dyDescent="0.35">
      <c r="D660" s="156"/>
    </row>
    <row r="661" spans="4:4" x14ac:dyDescent="0.35">
      <c r="D661" s="156"/>
    </row>
    <row r="662" spans="4:4" x14ac:dyDescent="0.35">
      <c r="D662" s="156"/>
    </row>
    <row r="663" spans="4:4" x14ac:dyDescent="0.35">
      <c r="D663" s="156"/>
    </row>
    <row r="664" spans="4:4" x14ac:dyDescent="0.35">
      <c r="D664" s="156"/>
    </row>
    <row r="665" spans="4:4" x14ac:dyDescent="0.35">
      <c r="D665" s="156"/>
    </row>
    <row r="666" spans="4:4" x14ac:dyDescent="0.35">
      <c r="D666" s="156"/>
    </row>
    <row r="667" spans="4:4" x14ac:dyDescent="0.35">
      <c r="D667" s="156"/>
    </row>
    <row r="668" spans="4:4" x14ac:dyDescent="0.35">
      <c r="D668" s="156"/>
    </row>
    <row r="669" spans="4:4" x14ac:dyDescent="0.35">
      <c r="D669" s="156"/>
    </row>
    <row r="670" spans="4:4" x14ac:dyDescent="0.35">
      <c r="D670" s="156"/>
    </row>
    <row r="671" spans="4:4" x14ac:dyDescent="0.35">
      <c r="D671" s="156"/>
    </row>
    <row r="672" spans="4:4" x14ac:dyDescent="0.35">
      <c r="D672" s="156"/>
    </row>
    <row r="673" spans="4:4" x14ac:dyDescent="0.35">
      <c r="D673" s="156"/>
    </row>
    <row r="674" spans="4:4" x14ac:dyDescent="0.35">
      <c r="D674" s="156"/>
    </row>
    <row r="675" spans="4:4" x14ac:dyDescent="0.35">
      <c r="D675" s="156"/>
    </row>
    <row r="676" spans="4:4" x14ac:dyDescent="0.35">
      <c r="D676" s="156"/>
    </row>
    <row r="677" spans="4:4" x14ac:dyDescent="0.35">
      <c r="D677" s="156"/>
    </row>
    <row r="678" spans="4:4" x14ac:dyDescent="0.35">
      <c r="D678" s="156"/>
    </row>
    <row r="679" spans="4:4" x14ac:dyDescent="0.35">
      <c r="D679" s="156"/>
    </row>
    <row r="680" spans="4:4" x14ac:dyDescent="0.35">
      <c r="D680" s="156"/>
    </row>
    <row r="681" spans="4:4" x14ac:dyDescent="0.35">
      <c r="D681" s="156"/>
    </row>
    <row r="682" spans="4:4" x14ac:dyDescent="0.35">
      <c r="D682" s="156"/>
    </row>
    <row r="683" spans="4:4" x14ac:dyDescent="0.35">
      <c r="D683" s="156"/>
    </row>
    <row r="684" spans="4:4" x14ac:dyDescent="0.35">
      <c r="D684" s="156"/>
    </row>
    <row r="685" spans="4:4" x14ac:dyDescent="0.35">
      <c r="D685" s="156"/>
    </row>
    <row r="686" spans="4:4" x14ac:dyDescent="0.35">
      <c r="D686" s="156"/>
    </row>
    <row r="687" spans="4:4" x14ac:dyDescent="0.35">
      <c r="D687" s="156"/>
    </row>
    <row r="688" spans="4:4" x14ac:dyDescent="0.35">
      <c r="D688" s="156"/>
    </row>
    <row r="689" spans="4:4" x14ac:dyDescent="0.35">
      <c r="D689" s="156"/>
    </row>
    <row r="690" spans="4:4" x14ac:dyDescent="0.35">
      <c r="D690" s="156"/>
    </row>
    <row r="691" spans="4:4" x14ac:dyDescent="0.35">
      <c r="D691" s="156"/>
    </row>
    <row r="692" spans="4:4" x14ac:dyDescent="0.35">
      <c r="D692" s="156"/>
    </row>
    <row r="693" spans="4:4" x14ac:dyDescent="0.35">
      <c r="D693" s="156"/>
    </row>
    <row r="694" spans="4:4" x14ac:dyDescent="0.35">
      <c r="D694" s="156"/>
    </row>
    <row r="695" spans="4:4" x14ac:dyDescent="0.35">
      <c r="D695" s="156"/>
    </row>
    <row r="696" spans="4:4" x14ac:dyDescent="0.35">
      <c r="D696" s="156"/>
    </row>
    <row r="697" spans="4:4" x14ac:dyDescent="0.35">
      <c r="D697" s="156"/>
    </row>
    <row r="698" spans="4:4" x14ac:dyDescent="0.35">
      <c r="D698" s="156"/>
    </row>
    <row r="699" spans="4:4" x14ac:dyDescent="0.35">
      <c r="D699" s="156"/>
    </row>
    <row r="700" spans="4:4" x14ac:dyDescent="0.35">
      <c r="D700" s="156"/>
    </row>
    <row r="701" spans="4:4" x14ac:dyDescent="0.35">
      <c r="D701" s="156"/>
    </row>
    <row r="702" spans="4:4" x14ac:dyDescent="0.35">
      <c r="D702" s="156"/>
    </row>
    <row r="703" spans="4:4" x14ac:dyDescent="0.35">
      <c r="D703" s="156"/>
    </row>
    <row r="704" spans="4:4" x14ac:dyDescent="0.35">
      <c r="D704" s="156"/>
    </row>
    <row r="705" spans="4:4" x14ac:dyDescent="0.35">
      <c r="D705" s="156"/>
    </row>
    <row r="706" spans="4:4" x14ac:dyDescent="0.35">
      <c r="D706" s="156"/>
    </row>
    <row r="707" spans="4:4" x14ac:dyDescent="0.35">
      <c r="D707" s="156"/>
    </row>
    <row r="708" spans="4:4" x14ac:dyDescent="0.35">
      <c r="D708" s="156"/>
    </row>
    <row r="709" spans="4:4" x14ac:dyDescent="0.35">
      <c r="D709" s="156"/>
    </row>
    <row r="710" spans="4:4" x14ac:dyDescent="0.35">
      <c r="D710" s="156"/>
    </row>
    <row r="711" spans="4:4" x14ac:dyDescent="0.35">
      <c r="D711" s="156"/>
    </row>
    <row r="712" spans="4:4" x14ac:dyDescent="0.35">
      <c r="D712" s="156"/>
    </row>
    <row r="713" spans="4:4" x14ac:dyDescent="0.35">
      <c r="D713" s="156"/>
    </row>
    <row r="714" spans="4:4" x14ac:dyDescent="0.35">
      <c r="D714" s="156"/>
    </row>
    <row r="715" spans="4:4" x14ac:dyDescent="0.35">
      <c r="D715" s="156"/>
    </row>
    <row r="716" spans="4:4" x14ac:dyDescent="0.35">
      <c r="D716" s="156"/>
    </row>
    <row r="717" spans="4:4" x14ac:dyDescent="0.35">
      <c r="D717" s="156"/>
    </row>
    <row r="718" spans="4:4" x14ac:dyDescent="0.35">
      <c r="D718" s="156"/>
    </row>
    <row r="719" spans="4:4" x14ac:dyDescent="0.35">
      <c r="D719" s="156"/>
    </row>
    <row r="720" spans="4:4" x14ac:dyDescent="0.35">
      <c r="D720" s="156"/>
    </row>
    <row r="721" spans="4:4" x14ac:dyDescent="0.35">
      <c r="D721" s="156"/>
    </row>
    <row r="722" spans="4:4" x14ac:dyDescent="0.35">
      <c r="D722" s="156"/>
    </row>
    <row r="723" spans="4:4" x14ac:dyDescent="0.35">
      <c r="D723" s="156"/>
    </row>
    <row r="724" spans="4:4" x14ac:dyDescent="0.35">
      <c r="D724" s="156"/>
    </row>
    <row r="725" spans="4:4" x14ac:dyDescent="0.35">
      <c r="D725" s="156"/>
    </row>
    <row r="726" spans="4:4" x14ac:dyDescent="0.35">
      <c r="D726" s="156"/>
    </row>
    <row r="727" spans="4:4" x14ac:dyDescent="0.35">
      <c r="D727" s="156"/>
    </row>
    <row r="728" spans="4:4" x14ac:dyDescent="0.35">
      <c r="D728" s="156"/>
    </row>
    <row r="729" spans="4:4" x14ac:dyDescent="0.35">
      <c r="D729" s="156"/>
    </row>
    <row r="730" spans="4:4" x14ac:dyDescent="0.35">
      <c r="D730" s="156"/>
    </row>
    <row r="731" spans="4:4" x14ac:dyDescent="0.35">
      <c r="D731" s="156"/>
    </row>
    <row r="732" spans="4:4" x14ac:dyDescent="0.35">
      <c r="D732" s="156"/>
    </row>
    <row r="733" spans="4:4" x14ac:dyDescent="0.35">
      <c r="D733" s="156"/>
    </row>
    <row r="734" spans="4:4" x14ac:dyDescent="0.35">
      <c r="D734" s="156"/>
    </row>
    <row r="735" spans="4:4" x14ac:dyDescent="0.35">
      <c r="D735" s="156"/>
    </row>
    <row r="736" spans="4:4" x14ac:dyDescent="0.35">
      <c r="D736" s="156"/>
    </row>
    <row r="737" spans="4:4" x14ac:dyDescent="0.35">
      <c r="D737" s="156"/>
    </row>
    <row r="738" spans="4:4" x14ac:dyDescent="0.35">
      <c r="D738" s="156"/>
    </row>
    <row r="739" spans="4:4" x14ac:dyDescent="0.35">
      <c r="D739" s="156"/>
    </row>
    <row r="740" spans="4:4" x14ac:dyDescent="0.35">
      <c r="D740" s="156"/>
    </row>
    <row r="741" spans="4:4" x14ac:dyDescent="0.35">
      <c r="D741" s="156"/>
    </row>
    <row r="742" spans="4:4" x14ac:dyDescent="0.35">
      <c r="D742" s="156"/>
    </row>
    <row r="743" spans="4:4" x14ac:dyDescent="0.35">
      <c r="D743" s="156"/>
    </row>
    <row r="744" spans="4:4" x14ac:dyDescent="0.35">
      <c r="D744" s="156"/>
    </row>
    <row r="745" spans="4:4" x14ac:dyDescent="0.35">
      <c r="D745" s="156"/>
    </row>
    <row r="746" spans="4:4" x14ac:dyDescent="0.35">
      <c r="D746" s="156"/>
    </row>
    <row r="747" spans="4:4" x14ac:dyDescent="0.35">
      <c r="D747" s="156"/>
    </row>
    <row r="748" spans="4:4" x14ac:dyDescent="0.35">
      <c r="D748" s="156"/>
    </row>
    <row r="749" spans="4:4" x14ac:dyDescent="0.35">
      <c r="D749" s="156"/>
    </row>
    <row r="750" spans="4:4" x14ac:dyDescent="0.35">
      <c r="D750" s="156"/>
    </row>
    <row r="751" spans="4:4" x14ac:dyDescent="0.35">
      <c r="D751" s="156"/>
    </row>
    <row r="752" spans="4:4" x14ac:dyDescent="0.35">
      <c r="D752" s="156"/>
    </row>
    <row r="753" spans="4:4" x14ac:dyDescent="0.35">
      <c r="D753" s="156"/>
    </row>
    <row r="754" spans="4:4" x14ac:dyDescent="0.35">
      <c r="D754" s="156"/>
    </row>
    <row r="755" spans="4:4" x14ac:dyDescent="0.35">
      <c r="D755" s="156"/>
    </row>
    <row r="756" spans="4:4" x14ac:dyDescent="0.35">
      <c r="D756" s="156"/>
    </row>
    <row r="757" spans="4:4" x14ac:dyDescent="0.35">
      <c r="D757" s="156"/>
    </row>
    <row r="758" spans="4:4" x14ac:dyDescent="0.35">
      <c r="D758" s="156"/>
    </row>
    <row r="759" spans="4:4" x14ac:dyDescent="0.35">
      <c r="D759" s="156"/>
    </row>
    <row r="760" spans="4:4" x14ac:dyDescent="0.35">
      <c r="D760" s="156"/>
    </row>
    <row r="761" spans="4:4" x14ac:dyDescent="0.35">
      <c r="D761" s="156"/>
    </row>
    <row r="762" spans="4:4" x14ac:dyDescent="0.35">
      <c r="D762" s="156"/>
    </row>
    <row r="763" spans="4:4" x14ac:dyDescent="0.35">
      <c r="D763" s="156"/>
    </row>
    <row r="764" spans="4:4" x14ac:dyDescent="0.35">
      <c r="D764" s="156"/>
    </row>
    <row r="765" spans="4:4" x14ac:dyDescent="0.35">
      <c r="D765" s="156"/>
    </row>
    <row r="766" spans="4:4" x14ac:dyDescent="0.35">
      <c r="D766" s="156"/>
    </row>
    <row r="767" spans="4:4" x14ac:dyDescent="0.35">
      <c r="D767" s="156"/>
    </row>
    <row r="768" spans="4:4" x14ac:dyDescent="0.35">
      <c r="D768" s="156"/>
    </row>
    <row r="769" spans="4:4" x14ac:dyDescent="0.35">
      <c r="D769" s="156"/>
    </row>
    <row r="770" spans="4:4" x14ac:dyDescent="0.35">
      <c r="D770" s="156"/>
    </row>
    <row r="771" spans="4:4" x14ac:dyDescent="0.35">
      <c r="D771" s="156"/>
    </row>
    <row r="772" spans="4:4" x14ac:dyDescent="0.35">
      <c r="D772" s="156"/>
    </row>
    <row r="773" spans="4:4" x14ac:dyDescent="0.35">
      <c r="D773" s="156"/>
    </row>
    <row r="774" spans="4:4" x14ac:dyDescent="0.35">
      <c r="D774" s="156"/>
    </row>
    <row r="775" spans="4:4" x14ac:dyDescent="0.35">
      <c r="D775" s="156"/>
    </row>
    <row r="776" spans="4:4" x14ac:dyDescent="0.35">
      <c r="D776" s="156"/>
    </row>
    <row r="777" spans="4:4" x14ac:dyDescent="0.35">
      <c r="D777" s="156"/>
    </row>
    <row r="778" spans="4:4" x14ac:dyDescent="0.35">
      <c r="D778" s="156"/>
    </row>
    <row r="779" spans="4:4" x14ac:dyDescent="0.35">
      <c r="D779" s="156"/>
    </row>
    <row r="780" spans="4:4" x14ac:dyDescent="0.35">
      <c r="D780" s="156"/>
    </row>
    <row r="781" spans="4:4" x14ac:dyDescent="0.35">
      <c r="D781" s="156"/>
    </row>
    <row r="782" spans="4:4" x14ac:dyDescent="0.35">
      <c r="D782" s="156"/>
    </row>
    <row r="783" spans="4:4" x14ac:dyDescent="0.35">
      <c r="D783" s="156"/>
    </row>
    <row r="784" spans="4:4" x14ac:dyDescent="0.35">
      <c r="D784" s="156"/>
    </row>
    <row r="785" spans="4:4" x14ac:dyDescent="0.35">
      <c r="D785" s="156"/>
    </row>
    <row r="786" spans="4:4" x14ac:dyDescent="0.35">
      <c r="D786" s="156"/>
    </row>
    <row r="787" spans="4:4" x14ac:dyDescent="0.35">
      <c r="D787" s="156"/>
    </row>
    <row r="788" spans="4:4" x14ac:dyDescent="0.35">
      <c r="D788" s="156"/>
    </row>
    <row r="789" spans="4:4" x14ac:dyDescent="0.35">
      <c r="D789" s="156"/>
    </row>
    <row r="790" spans="4:4" x14ac:dyDescent="0.35">
      <c r="D790" s="156"/>
    </row>
    <row r="791" spans="4:4" x14ac:dyDescent="0.35">
      <c r="D791" s="156"/>
    </row>
    <row r="792" spans="4:4" x14ac:dyDescent="0.35">
      <c r="D792" s="156"/>
    </row>
    <row r="793" spans="4:4" x14ac:dyDescent="0.35">
      <c r="D793" s="156"/>
    </row>
    <row r="794" spans="4:4" x14ac:dyDescent="0.35">
      <c r="D794" s="156"/>
    </row>
    <row r="795" spans="4:4" x14ac:dyDescent="0.35">
      <c r="D795" s="156"/>
    </row>
    <row r="796" spans="4:4" x14ac:dyDescent="0.35">
      <c r="D796" s="156"/>
    </row>
    <row r="797" spans="4:4" x14ac:dyDescent="0.35">
      <c r="D797" s="156"/>
    </row>
    <row r="798" spans="4:4" x14ac:dyDescent="0.35">
      <c r="D798" s="156"/>
    </row>
    <row r="799" spans="4:4" x14ac:dyDescent="0.35">
      <c r="D799" s="156"/>
    </row>
    <row r="800" spans="4:4" x14ac:dyDescent="0.35">
      <c r="D800" s="156"/>
    </row>
    <row r="801" spans="4:4" x14ac:dyDescent="0.35">
      <c r="D801" s="156"/>
    </row>
    <row r="802" spans="4:4" x14ac:dyDescent="0.35">
      <c r="D802" s="156"/>
    </row>
    <row r="803" spans="4:4" x14ac:dyDescent="0.35">
      <c r="D803" s="156"/>
    </row>
    <row r="804" spans="4:4" x14ac:dyDescent="0.35">
      <c r="D804" s="156"/>
    </row>
    <row r="805" spans="4:4" x14ac:dyDescent="0.35">
      <c r="D805" s="156"/>
    </row>
    <row r="806" spans="4:4" x14ac:dyDescent="0.35">
      <c r="D806" s="156"/>
    </row>
    <row r="807" spans="4:4" x14ac:dyDescent="0.35">
      <c r="D807" s="156"/>
    </row>
    <row r="808" spans="4:4" x14ac:dyDescent="0.35">
      <c r="D808" s="156"/>
    </row>
    <row r="809" spans="4:4" x14ac:dyDescent="0.35">
      <c r="D809" s="156"/>
    </row>
    <row r="810" spans="4:4" x14ac:dyDescent="0.35">
      <c r="D810" s="156"/>
    </row>
    <row r="811" spans="4:4" x14ac:dyDescent="0.35">
      <c r="D811" s="156"/>
    </row>
    <row r="812" spans="4:4" x14ac:dyDescent="0.35">
      <c r="D812" s="156"/>
    </row>
    <row r="813" spans="4:4" x14ac:dyDescent="0.35">
      <c r="D813" s="156"/>
    </row>
    <row r="814" spans="4:4" x14ac:dyDescent="0.35">
      <c r="D814" s="156"/>
    </row>
    <row r="815" spans="4:4" x14ac:dyDescent="0.35">
      <c r="D815" s="156"/>
    </row>
    <row r="816" spans="4:4" x14ac:dyDescent="0.35">
      <c r="D816" s="156"/>
    </row>
    <row r="817" spans="4:4" x14ac:dyDescent="0.35">
      <c r="D817" s="156"/>
    </row>
    <row r="818" spans="4:4" x14ac:dyDescent="0.35">
      <c r="D818" s="156"/>
    </row>
    <row r="819" spans="4:4" x14ac:dyDescent="0.35">
      <c r="D819" s="156"/>
    </row>
    <row r="820" spans="4:4" x14ac:dyDescent="0.35">
      <c r="D820" s="156"/>
    </row>
    <row r="821" spans="4:4" x14ac:dyDescent="0.35">
      <c r="D821" s="156"/>
    </row>
    <row r="822" spans="4:4" x14ac:dyDescent="0.35">
      <c r="D822" s="156"/>
    </row>
    <row r="823" spans="4:4" x14ac:dyDescent="0.35">
      <c r="D823" s="156"/>
    </row>
    <row r="824" spans="4:4" x14ac:dyDescent="0.35">
      <c r="D824" s="156"/>
    </row>
    <row r="825" spans="4:4" x14ac:dyDescent="0.35">
      <c r="D825" s="156"/>
    </row>
    <row r="826" spans="4:4" x14ac:dyDescent="0.35">
      <c r="D826" s="156"/>
    </row>
    <row r="827" spans="4:4" x14ac:dyDescent="0.35">
      <c r="D827" s="156"/>
    </row>
    <row r="828" spans="4:4" x14ac:dyDescent="0.35">
      <c r="D828" s="156"/>
    </row>
    <row r="829" spans="4:4" x14ac:dyDescent="0.35">
      <c r="D829" s="156"/>
    </row>
    <row r="830" spans="4:4" x14ac:dyDescent="0.35">
      <c r="D830" s="156"/>
    </row>
    <row r="831" spans="4:4" x14ac:dyDescent="0.35">
      <c r="D831" s="156"/>
    </row>
    <row r="832" spans="4:4" x14ac:dyDescent="0.35">
      <c r="D832" s="156"/>
    </row>
    <row r="833" spans="4:4" x14ac:dyDescent="0.35">
      <c r="D833" s="156"/>
    </row>
    <row r="834" spans="4:4" x14ac:dyDescent="0.35">
      <c r="D834" s="156"/>
    </row>
    <row r="835" spans="4:4" x14ac:dyDescent="0.35">
      <c r="D835" s="156"/>
    </row>
    <row r="836" spans="4:4" x14ac:dyDescent="0.35">
      <c r="D836" s="156"/>
    </row>
    <row r="837" spans="4:4" x14ac:dyDescent="0.35">
      <c r="D837" s="156"/>
    </row>
    <row r="838" spans="4:4" x14ac:dyDescent="0.35">
      <c r="D838" s="156"/>
    </row>
    <row r="839" spans="4:4" x14ac:dyDescent="0.35">
      <c r="D839" s="156"/>
    </row>
    <row r="840" spans="4:4" x14ac:dyDescent="0.35">
      <c r="D840" s="156"/>
    </row>
    <row r="841" spans="4:4" x14ac:dyDescent="0.35">
      <c r="D841" s="156"/>
    </row>
    <row r="842" spans="4:4" x14ac:dyDescent="0.35">
      <c r="D842" s="156"/>
    </row>
    <row r="843" spans="4:4" x14ac:dyDescent="0.35">
      <c r="D843" s="156"/>
    </row>
    <row r="844" spans="4:4" x14ac:dyDescent="0.35">
      <c r="D844" s="156"/>
    </row>
    <row r="845" spans="4:4" x14ac:dyDescent="0.35">
      <c r="D845" s="156"/>
    </row>
    <row r="846" spans="4:4" x14ac:dyDescent="0.35">
      <c r="D846" s="156"/>
    </row>
    <row r="847" spans="4:4" x14ac:dyDescent="0.35">
      <c r="D847" s="156"/>
    </row>
    <row r="848" spans="4:4" x14ac:dyDescent="0.35">
      <c r="D848" s="156"/>
    </row>
    <row r="849" spans="4:4" x14ac:dyDescent="0.35">
      <c r="D849" s="156"/>
    </row>
    <row r="850" spans="4:4" x14ac:dyDescent="0.35">
      <c r="D850" s="156"/>
    </row>
    <row r="851" spans="4:4" x14ac:dyDescent="0.35">
      <c r="D851" s="156"/>
    </row>
    <row r="852" spans="4:4" x14ac:dyDescent="0.35">
      <c r="D852" s="156"/>
    </row>
    <row r="853" spans="4:4" x14ac:dyDescent="0.35">
      <c r="D853" s="156"/>
    </row>
    <row r="854" spans="4:4" x14ac:dyDescent="0.35">
      <c r="D854" s="156"/>
    </row>
    <row r="855" spans="4:4" x14ac:dyDescent="0.35">
      <c r="D855" s="156"/>
    </row>
    <row r="856" spans="4:4" x14ac:dyDescent="0.35">
      <c r="D856" s="156"/>
    </row>
    <row r="857" spans="4:4" x14ac:dyDescent="0.35">
      <c r="D857" s="156"/>
    </row>
    <row r="858" spans="4:4" x14ac:dyDescent="0.35">
      <c r="D858" s="156"/>
    </row>
    <row r="859" spans="4:4" x14ac:dyDescent="0.35">
      <c r="D859" s="156"/>
    </row>
    <row r="860" spans="4:4" x14ac:dyDescent="0.35">
      <c r="D860" s="156"/>
    </row>
    <row r="861" spans="4:4" x14ac:dyDescent="0.35">
      <c r="D861" s="156"/>
    </row>
    <row r="862" spans="4:4" x14ac:dyDescent="0.35">
      <c r="D862" s="156"/>
    </row>
    <row r="863" spans="4:4" x14ac:dyDescent="0.35">
      <c r="D863" s="156"/>
    </row>
    <row r="864" spans="4:4" x14ac:dyDescent="0.35">
      <c r="D864" s="156"/>
    </row>
    <row r="865" spans="4:4" x14ac:dyDescent="0.35">
      <c r="D865" s="156"/>
    </row>
    <row r="866" spans="4:4" x14ac:dyDescent="0.35">
      <c r="D866" s="156"/>
    </row>
    <row r="867" spans="4:4" x14ac:dyDescent="0.35">
      <c r="D867" s="156"/>
    </row>
    <row r="868" spans="4:4" x14ac:dyDescent="0.35">
      <c r="D868" s="156"/>
    </row>
    <row r="869" spans="4:4" x14ac:dyDescent="0.35">
      <c r="D869" s="156"/>
    </row>
    <row r="870" spans="4:4" x14ac:dyDescent="0.35">
      <c r="D870" s="156"/>
    </row>
    <row r="871" spans="4:4" x14ac:dyDescent="0.35">
      <c r="D871" s="156"/>
    </row>
    <row r="872" spans="4:4" x14ac:dyDescent="0.35">
      <c r="D872" s="156"/>
    </row>
    <row r="873" spans="4:4" x14ac:dyDescent="0.35">
      <c r="D873" s="156"/>
    </row>
    <row r="874" spans="4:4" x14ac:dyDescent="0.35">
      <c r="D874" s="156"/>
    </row>
    <row r="875" spans="4:4" x14ac:dyDescent="0.35">
      <c r="D875" s="156"/>
    </row>
    <row r="876" spans="4:4" x14ac:dyDescent="0.35">
      <c r="D876" s="156"/>
    </row>
    <row r="877" spans="4:4" x14ac:dyDescent="0.35">
      <c r="D877" s="156"/>
    </row>
    <row r="878" spans="4:4" x14ac:dyDescent="0.35">
      <c r="D878" s="156"/>
    </row>
    <row r="879" spans="4:4" x14ac:dyDescent="0.35">
      <c r="D879" s="156"/>
    </row>
    <row r="880" spans="4:4" x14ac:dyDescent="0.35">
      <c r="D880" s="156"/>
    </row>
    <row r="881" spans="4:4" x14ac:dyDescent="0.35">
      <c r="D881" s="156"/>
    </row>
    <row r="882" spans="4:4" x14ac:dyDescent="0.35">
      <c r="D882" s="156"/>
    </row>
    <row r="883" spans="4:4" x14ac:dyDescent="0.35">
      <c r="D883" s="156"/>
    </row>
    <row r="884" spans="4:4" x14ac:dyDescent="0.35">
      <c r="D884" s="156"/>
    </row>
    <row r="885" spans="4:4" x14ac:dyDescent="0.35">
      <c r="D885" s="156"/>
    </row>
    <row r="886" spans="4:4" x14ac:dyDescent="0.35">
      <c r="D886" s="156"/>
    </row>
    <row r="887" spans="4:4" x14ac:dyDescent="0.35">
      <c r="D887" s="156"/>
    </row>
    <row r="888" spans="4:4" x14ac:dyDescent="0.35">
      <c r="D888" s="156"/>
    </row>
    <row r="889" spans="4:4" x14ac:dyDescent="0.35">
      <c r="D889" s="156"/>
    </row>
    <row r="890" spans="4:4" x14ac:dyDescent="0.35">
      <c r="D890" s="156"/>
    </row>
    <row r="891" spans="4:4" x14ac:dyDescent="0.35">
      <c r="D891" s="156"/>
    </row>
    <row r="892" spans="4:4" x14ac:dyDescent="0.35">
      <c r="D892" s="156"/>
    </row>
    <row r="893" spans="4:4" x14ac:dyDescent="0.35">
      <c r="D893" s="156"/>
    </row>
    <row r="894" spans="4:4" x14ac:dyDescent="0.35">
      <c r="D894" s="156"/>
    </row>
    <row r="895" spans="4:4" x14ac:dyDescent="0.35">
      <c r="D895" s="156"/>
    </row>
    <row r="896" spans="4:4" x14ac:dyDescent="0.35">
      <c r="D896" s="156"/>
    </row>
    <row r="897" spans="4:4" x14ac:dyDescent="0.35">
      <c r="D897" s="156"/>
    </row>
    <row r="898" spans="4:4" x14ac:dyDescent="0.35">
      <c r="D898" s="156"/>
    </row>
    <row r="899" spans="4:4" x14ac:dyDescent="0.35">
      <c r="D899" s="156"/>
    </row>
    <row r="900" spans="4:4" x14ac:dyDescent="0.35">
      <c r="D900" s="156"/>
    </row>
    <row r="901" spans="4:4" x14ac:dyDescent="0.35">
      <c r="D901" s="156"/>
    </row>
    <row r="902" spans="4:4" x14ac:dyDescent="0.35">
      <c r="D902" s="156"/>
    </row>
    <row r="903" spans="4:4" x14ac:dyDescent="0.35">
      <c r="D903" s="156"/>
    </row>
    <row r="904" spans="4:4" x14ac:dyDescent="0.35">
      <c r="D904" s="156"/>
    </row>
    <row r="905" spans="4:4" x14ac:dyDescent="0.35">
      <c r="D905" s="156"/>
    </row>
    <row r="906" spans="4:4" x14ac:dyDescent="0.35">
      <c r="D906" s="156"/>
    </row>
    <row r="907" spans="4:4" x14ac:dyDescent="0.35">
      <c r="D907" s="156"/>
    </row>
    <row r="908" spans="4:4" x14ac:dyDescent="0.35">
      <c r="D908" s="156"/>
    </row>
    <row r="909" spans="4:4" x14ac:dyDescent="0.35">
      <c r="D909" s="156"/>
    </row>
    <row r="910" spans="4:4" x14ac:dyDescent="0.35">
      <c r="D910" s="156"/>
    </row>
    <row r="911" spans="4:4" x14ac:dyDescent="0.35">
      <c r="D911" s="156"/>
    </row>
    <row r="912" spans="4:4" x14ac:dyDescent="0.35">
      <c r="D912" s="156"/>
    </row>
    <row r="913" spans="4:4" x14ac:dyDescent="0.35">
      <c r="D913" s="156"/>
    </row>
    <row r="914" spans="4:4" x14ac:dyDescent="0.35">
      <c r="D914" s="156"/>
    </row>
    <row r="915" spans="4:4" x14ac:dyDescent="0.35">
      <c r="D915" s="156"/>
    </row>
    <row r="916" spans="4:4" x14ac:dyDescent="0.35">
      <c r="D916" s="156"/>
    </row>
    <row r="917" spans="4:4" x14ac:dyDescent="0.35">
      <c r="D917" s="156"/>
    </row>
    <row r="918" spans="4:4" x14ac:dyDescent="0.35">
      <c r="D918" s="156"/>
    </row>
    <row r="919" spans="4:4" x14ac:dyDescent="0.35">
      <c r="D919" s="156"/>
    </row>
    <row r="920" spans="4:4" x14ac:dyDescent="0.35">
      <c r="D920" s="156"/>
    </row>
    <row r="921" spans="4:4" x14ac:dyDescent="0.35">
      <c r="D921" s="156"/>
    </row>
    <row r="922" spans="4:4" x14ac:dyDescent="0.35">
      <c r="D922" s="156"/>
    </row>
    <row r="923" spans="4:4" x14ac:dyDescent="0.35">
      <c r="D923" s="156"/>
    </row>
    <row r="924" spans="4:4" x14ac:dyDescent="0.35">
      <c r="D924" s="156"/>
    </row>
    <row r="925" spans="4:4" x14ac:dyDescent="0.35">
      <c r="D925" s="156"/>
    </row>
    <row r="926" spans="4:4" x14ac:dyDescent="0.35">
      <c r="D926" s="156"/>
    </row>
    <row r="927" spans="4:4" x14ac:dyDescent="0.35">
      <c r="D927" s="156"/>
    </row>
    <row r="928" spans="4:4" x14ac:dyDescent="0.35">
      <c r="D928" s="156"/>
    </row>
    <row r="929" spans="4:4" x14ac:dyDescent="0.35">
      <c r="D929" s="156"/>
    </row>
    <row r="930" spans="4:4" x14ac:dyDescent="0.35">
      <c r="D930" s="156"/>
    </row>
    <row r="931" spans="4:4" x14ac:dyDescent="0.35">
      <c r="D931" s="156"/>
    </row>
    <row r="932" spans="4:4" x14ac:dyDescent="0.35">
      <c r="D932" s="156"/>
    </row>
    <row r="933" spans="4:4" x14ac:dyDescent="0.35">
      <c r="D933" s="156"/>
    </row>
    <row r="934" spans="4:4" x14ac:dyDescent="0.35">
      <c r="D934" s="156"/>
    </row>
    <row r="935" spans="4:4" x14ac:dyDescent="0.35">
      <c r="D935" s="156"/>
    </row>
    <row r="936" spans="4:4" x14ac:dyDescent="0.35">
      <c r="D936" s="156"/>
    </row>
    <row r="937" spans="4:4" x14ac:dyDescent="0.35">
      <c r="D937" s="156"/>
    </row>
    <row r="938" spans="4:4" x14ac:dyDescent="0.35">
      <c r="D938" s="156"/>
    </row>
    <row r="939" spans="4:4" x14ac:dyDescent="0.35">
      <c r="D939" s="156"/>
    </row>
    <row r="940" spans="4:4" x14ac:dyDescent="0.35">
      <c r="D940" s="156"/>
    </row>
    <row r="941" spans="4:4" x14ac:dyDescent="0.35">
      <c r="D941" s="156"/>
    </row>
    <row r="942" spans="4:4" x14ac:dyDescent="0.35">
      <c r="D942" s="156"/>
    </row>
    <row r="943" spans="4:4" x14ac:dyDescent="0.35">
      <c r="D943" s="156"/>
    </row>
    <row r="944" spans="4:4" x14ac:dyDescent="0.35">
      <c r="D944" s="156"/>
    </row>
    <row r="945" spans="4:4" x14ac:dyDescent="0.35">
      <c r="D945" s="156"/>
    </row>
    <row r="946" spans="4:4" x14ac:dyDescent="0.35">
      <c r="D946" s="156"/>
    </row>
    <row r="947" spans="4:4" x14ac:dyDescent="0.35">
      <c r="D947" s="156"/>
    </row>
    <row r="948" spans="4:4" x14ac:dyDescent="0.35">
      <c r="D948" s="156"/>
    </row>
    <row r="949" spans="4:4" x14ac:dyDescent="0.35">
      <c r="D949" s="156"/>
    </row>
    <row r="950" spans="4:4" x14ac:dyDescent="0.35">
      <c r="D950" s="156"/>
    </row>
    <row r="951" spans="4:4" x14ac:dyDescent="0.35">
      <c r="D951" s="156"/>
    </row>
    <row r="952" spans="4:4" x14ac:dyDescent="0.35">
      <c r="D952" s="156"/>
    </row>
    <row r="953" spans="4:4" x14ac:dyDescent="0.35">
      <c r="D953" s="156"/>
    </row>
    <row r="954" spans="4:4" x14ac:dyDescent="0.35">
      <c r="D954" s="156"/>
    </row>
    <row r="955" spans="4:4" x14ac:dyDescent="0.35">
      <c r="D955" s="156"/>
    </row>
    <row r="956" spans="4:4" x14ac:dyDescent="0.35">
      <c r="D956" s="156"/>
    </row>
    <row r="957" spans="4:4" x14ac:dyDescent="0.35">
      <c r="D957" s="156"/>
    </row>
    <row r="958" spans="4:4" x14ac:dyDescent="0.35">
      <c r="D958" s="156"/>
    </row>
    <row r="959" spans="4:4" x14ac:dyDescent="0.35">
      <c r="D959" s="156"/>
    </row>
    <row r="960" spans="4:4" x14ac:dyDescent="0.35">
      <c r="D960" s="156"/>
    </row>
    <row r="961" spans="4:4" x14ac:dyDescent="0.35">
      <c r="D961" s="156"/>
    </row>
    <row r="962" spans="4:4" x14ac:dyDescent="0.35">
      <c r="D962" s="156"/>
    </row>
    <row r="963" spans="4:4" x14ac:dyDescent="0.35">
      <c r="D963" s="156"/>
    </row>
    <row r="964" spans="4:4" x14ac:dyDescent="0.35">
      <c r="D964" s="156"/>
    </row>
    <row r="965" spans="4:4" x14ac:dyDescent="0.35">
      <c r="D965" s="156"/>
    </row>
    <row r="966" spans="4:4" x14ac:dyDescent="0.35">
      <c r="D966" s="156"/>
    </row>
    <row r="967" spans="4:4" x14ac:dyDescent="0.35">
      <c r="D967" s="156"/>
    </row>
    <row r="968" spans="4:4" x14ac:dyDescent="0.35">
      <c r="D968" s="156"/>
    </row>
    <row r="969" spans="4:4" x14ac:dyDescent="0.35">
      <c r="D969" s="156"/>
    </row>
    <row r="970" spans="4:4" x14ac:dyDescent="0.35">
      <c r="D970" s="156"/>
    </row>
    <row r="971" spans="4:4" x14ac:dyDescent="0.35">
      <c r="D971" s="156"/>
    </row>
    <row r="972" spans="4:4" x14ac:dyDescent="0.35">
      <c r="D972" s="156"/>
    </row>
    <row r="973" spans="4:4" x14ac:dyDescent="0.35">
      <c r="D973" s="156"/>
    </row>
    <row r="974" spans="4:4" x14ac:dyDescent="0.35">
      <c r="D974" s="156"/>
    </row>
    <row r="975" spans="4:4" x14ac:dyDescent="0.35">
      <c r="D975" s="156"/>
    </row>
    <row r="976" spans="4:4" x14ac:dyDescent="0.35">
      <c r="D976" s="156"/>
    </row>
    <row r="977" spans="4:4" x14ac:dyDescent="0.35">
      <c r="D977" s="156"/>
    </row>
    <row r="978" spans="4:4" x14ac:dyDescent="0.35">
      <c r="D978" s="156"/>
    </row>
    <row r="979" spans="4:4" x14ac:dyDescent="0.35">
      <c r="D979" s="156"/>
    </row>
    <row r="980" spans="4:4" x14ac:dyDescent="0.35">
      <c r="D980" s="156"/>
    </row>
    <row r="981" spans="4:4" x14ac:dyDescent="0.35">
      <c r="D981" s="156"/>
    </row>
    <row r="982" spans="4:4" x14ac:dyDescent="0.35">
      <c r="D982" s="156"/>
    </row>
    <row r="983" spans="4:4" x14ac:dyDescent="0.35">
      <c r="D983" s="156"/>
    </row>
    <row r="984" spans="4:4" x14ac:dyDescent="0.35">
      <c r="D984" s="156"/>
    </row>
    <row r="985" spans="4:4" x14ac:dyDescent="0.35">
      <c r="D985" s="156"/>
    </row>
    <row r="986" spans="4:4" x14ac:dyDescent="0.35">
      <c r="D986" s="156"/>
    </row>
    <row r="987" spans="4:4" x14ac:dyDescent="0.35">
      <c r="D987" s="156"/>
    </row>
    <row r="988" spans="4:4" x14ac:dyDescent="0.35">
      <c r="D988" s="156"/>
    </row>
    <row r="989" spans="4:4" x14ac:dyDescent="0.35">
      <c r="D989" s="156"/>
    </row>
    <row r="990" spans="4:4" x14ac:dyDescent="0.35">
      <c r="D990" s="156"/>
    </row>
    <row r="991" spans="4:4" x14ac:dyDescent="0.35">
      <c r="D991" s="156"/>
    </row>
    <row r="992" spans="4:4" x14ac:dyDescent="0.35">
      <c r="D992" s="157"/>
    </row>
    <row r="993" spans="4:4" x14ac:dyDescent="0.35">
      <c r="D993" s="157"/>
    </row>
    <row r="994" spans="4:4" x14ac:dyDescent="0.35">
      <c r="D994" s="157"/>
    </row>
    <row r="995" spans="4:4" x14ac:dyDescent="0.35">
      <c r="D995" s="157"/>
    </row>
    <row r="996" spans="4:4" x14ac:dyDescent="0.35">
      <c r="D996" s="157"/>
    </row>
    <row r="997" spans="4:4" x14ac:dyDescent="0.35">
      <c r="D997" s="157"/>
    </row>
    <row r="998" spans="4:4" x14ac:dyDescent="0.35">
      <c r="D998" s="157"/>
    </row>
    <row r="999" spans="4:4" x14ac:dyDescent="0.35">
      <c r="D999" s="157"/>
    </row>
    <row r="1000" spans="4:4" x14ac:dyDescent="0.35">
      <c r="D1000" s="157"/>
    </row>
    <row r="1001" spans="4:4" x14ac:dyDescent="0.35">
      <c r="D1001" s="157"/>
    </row>
    <row r="1002" spans="4:4" x14ac:dyDescent="0.35">
      <c r="D1002" s="157"/>
    </row>
    <row r="1003" spans="4:4" x14ac:dyDescent="0.35">
      <c r="D1003" s="157"/>
    </row>
    <row r="1004" spans="4:4" x14ac:dyDescent="0.35">
      <c r="D1004" s="157"/>
    </row>
    <row r="1005" spans="4:4" x14ac:dyDescent="0.35">
      <c r="D1005" s="157"/>
    </row>
    <row r="1006" spans="4:4" x14ac:dyDescent="0.35">
      <c r="D1006" s="157"/>
    </row>
    <row r="1007" spans="4:4" x14ac:dyDescent="0.35">
      <c r="D1007" s="157"/>
    </row>
    <row r="1008" spans="4:4" x14ac:dyDescent="0.35">
      <c r="D1008" s="157"/>
    </row>
    <row r="1009" spans="4:4" x14ac:dyDescent="0.35">
      <c r="D1009" s="157"/>
    </row>
    <row r="1010" spans="4:4" x14ac:dyDescent="0.35">
      <c r="D1010" s="157"/>
    </row>
    <row r="1011" spans="4:4" x14ac:dyDescent="0.35">
      <c r="D1011" s="157"/>
    </row>
    <row r="1012" spans="4:4" x14ac:dyDescent="0.35">
      <c r="D1012" s="157"/>
    </row>
    <row r="1013" spans="4:4" x14ac:dyDescent="0.35">
      <c r="D1013" s="157"/>
    </row>
    <row r="1014" spans="4:4" x14ac:dyDescent="0.35">
      <c r="D1014" s="157"/>
    </row>
    <row r="1015" spans="4:4" x14ac:dyDescent="0.35">
      <c r="D1015" s="157"/>
    </row>
    <row r="1016" spans="4:4" x14ac:dyDescent="0.35">
      <c r="D1016" s="157"/>
    </row>
    <row r="1017" spans="4:4" x14ac:dyDescent="0.35">
      <c r="D1017" s="157"/>
    </row>
    <row r="1018" spans="4:4" x14ac:dyDescent="0.35">
      <c r="D1018" s="157"/>
    </row>
    <row r="1019" spans="4:4" x14ac:dyDescent="0.35">
      <c r="D1019" s="157"/>
    </row>
    <row r="1020" spans="4:4" x14ac:dyDescent="0.35">
      <c r="D1020" s="157"/>
    </row>
    <row r="1021" spans="4:4" x14ac:dyDescent="0.35">
      <c r="D1021" s="157"/>
    </row>
    <row r="1022" spans="4:4" x14ac:dyDescent="0.35">
      <c r="D1022" s="157"/>
    </row>
    <row r="1023" spans="4:4" x14ac:dyDescent="0.35">
      <c r="D1023" s="157"/>
    </row>
    <row r="1024" spans="4:4" x14ac:dyDescent="0.35">
      <c r="D1024" s="157"/>
    </row>
    <row r="1025" spans="4:4" x14ac:dyDescent="0.35">
      <c r="D1025" s="157"/>
    </row>
    <row r="1026" spans="4:4" x14ac:dyDescent="0.35">
      <c r="D1026" s="157"/>
    </row>
    <row r="1027" spans="4:4" x14ac:dyDescent="0.35">
      <c r="D1027" s="157"/>
    </row>
    <row r="1028" spans="4:4" x14ac:dyDescent="0.35">
      <c r="D1028" s="157"/>
    </row>
    <row r="1029" spans="4:4" x14ac:dyDescent="0.35">
      <c r="D1029" s="157"/>
    </row>
    <row r="1030" spans="4:4" x14ac:dyDescent="0.35">
      <c r="D1030" s="157"/>
    </row>
    <row r="1031" spans="4:4" x14ac:dyDescent="0.35">
      <c r="D1031" s="157"/>
    </row>
    <row r="1032" spans="4:4" x14ac:dyDescent="0.35">
      <c r="D1032" s="157"/>
    </row>
    <row r="1033" spans="4:4" x14ac:dyDescent="0.35">
      <c r="D1033" s="157"/>
    </row>
    <row r="1034" spans="4:4" x14ac:dyDescent="0.35">
      <c r="D1034" s="157"/>
    </row>
    <row r="1035" spans="4:4" x14ac:dyDescent="0.35">
      <c r="D1035" s="157"/>
    </row>
    <row r="1036" spans="4:4" x14ac:dyDescent="0.35">
      <c r="D1036" s="157"/>
    </row>
    <row r="1037" spans="4:4" x14ac:dyDescent="0.35">
      <c r="D1037" s="157"/>
    </row>
  </sheetData>
  <mergeCells count="10">
    <mergeCell ref="A256:G256"/>
    <mergeCell ref="A164:G164"/>
    <mergeCell ref="A5:G5"/>
    <mergeCell ref="A1:G1"/>
    <mergeCell ref="A43:G43"/>
    <mergeCell ref="A6:G6"/>
    <mergeCell ref="A22:G22"/>
    <mergeCell ref="A211:G211"/>
    <mergeCell ref="A117:G117"/>
    <mergeCell ref="A2:G2"/>
  </mergeCells>
  <conditionalFormatting sqref="E4">
    <cfRule type="duplicateValues" dxfId="5" priority="4"/>
    <cfRule type="duplicateValues" dxfId="4" priority="5"/>
    <cfRule type="duplicateValues" dxfId="3" priority="6"/>
  </conditionalFormatting>
  <conditionalFormatting sqref="F4">
    <cfRule type="duplicateValues" dxfId="2" priority="1"/>
    <cfRule type="duplicateValues" dxfId="1" priority="2"/>
    <cfRule type="duplicateValues" dxfId="0" priority="3"/>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5"/>
  </sheetPr>
  <dimension ref="A2:F8"/>
  <sheetViews>
    <sheetView zoomScale="70" zoomScaleNormal="70" workbookViewId="0">
      <selection activeCell="J14" sqref="J14"/>
    </sheetView>
  </sheetViews>
  <sheetFormatPr defaultRowHeight="14.4" x14ac:dyDescent="0.3"/>
  <cols>
    <col min="1" max="1" width="7.6640625" customWidth="1"/>
    <col min="2" max="2" width="30" customWidth="1"/>
    <col min="3" max="3" width="25.6640625" customWidth="1"/>
    <col min="4" max="4" width="12" customWidth="1"/>
    <col min="5" max="5" width="24" customWidth="1"/>
    <col min="6" max="6" width="28.44140625" customWidth="1"/>
  </cols>
  <sheetData>
    <row r="2" spans="1:6" ht="49.5" customHeight="1" x14ac:dyDescent="0.3">
      <c r="A2" s="208" t="s">
        <v>349</v>
      </c>
      <c r="B2" s="194"/>
      <c r="C2" s="194"/>
      <c r="D2" s="194"/>
      <c r="E2" s="194"/>
      <c r="F2" s="194"/>
    </row>
    <row r="3" spans="1:6" ht="17.399999999999999" customHeight="1" x14ac:dyDescent="0.35">
      <c r="A3" s="17"/>
      <c r="B3" s="18"/>
      <c r="C3" s="18"/>
      <c r="D3" s="19"/>
      <c r="E3" s="19"/>
      <c r="F3" s="19"/>
    </row>
    <row r="4" spans="1:6" ht="33.6" customHeight="1" x14ac:dyDescent="0.3">
      <c r="A4" s="151" t="s">
        <v>2</v>
      </c>
      <c r="B4" s="151" t="s">
        <v>350</v>
      </c>
      <c r="C4" s="151" t="s">
        <v>351</v>
      </c>
      <c r="D4" s="151" t="s">
        <v>352</v>
      </c>
      <c r="E4" s="151" t="s">
        <v>353</v>
      </c>
      <c r="F4" s="152" t="s">
        <v>354</v>
      </c>
    </row>
    <row r="5" spans="1:6" ht="33.6" customHeight="1" x14ac:dyDescent="0.3">
      <c r="A5" s="21">
        <v>1</v>
      </c>
      <c r="B5" s="3" t="s">
        <v>355</v>
      </c>
      <c r="C5" s="39" t="s">
        <v>356</v>
      </c>
      <c r="D5" s="22">
        <v>1</v>
      </c>
      <c r="E5" s="22">
        <v>0</v>
      </c>
      <c r="F5" s="22">
        <f>D5*E5</f>
        <v>0</v>
      </c>
    </row>
    <row r="6" spans="1:6" ht="100.8" customHeight="1" x14ac:dyDescent="0.3">
      <c r="A6" s="21">
        <v>2</v>
      </c>
      <c r="B6" s="3" t="s">
        <v>357</v>
      </c>
      <c r="C6" s="39" t="s">
        <v>358</v>
      </c>
      <c r="D6" s="22">
        <v>2</v>
      </c>
      <c r="E6" s="22">
        <f>COUNTIF($C$9:$C$9,B6)</f>
        <v>0</v>
      </c>
      <c r="F6" s="22">
        <f>D6*E6</f>
        <v>0</v>
      </c>
    </row>
    <row r="7" spans="1:6" ht="33.6" customHeight="1" x14ac:dyDescent="0.3">
      <c r="A7" s="21">
        <v>3</v>
      </c>
      <c r="B7" s="3" t="s">
        <v>330</v>
      </c>
      <c r="C7" s="39" t="s">
        <v>359</v>
      </c>
      <c r="D7" s="22">
        <v>3</v>
      </c>
      <c r="E7" s="22">
        <v>3</v>
      </c>
      <c r="F7" s="22">
        <f>D7*E7</f>
        <v>9</v>
      </c>
    </row>
    <row r="8" spans="1:6" ht="17.399999999999999" customHeight="1" x14ac:dyDescent="0.3">
      <c r="A8" s="20"/>
      <c r="B8" s="20" t="s">
        <v>360</v>
      </c>
      <c r="C8" s="20" t="s">
        <v>361</v>
      </c>
      <c r="D8" s="20"/>
      <c r="E8" s="20"/>
      <c r="F8" s="20">
        <f>SUM(F5:F7)</f>
        <v>9</v>
      </c>
    </row>
  </sheetData>
  <mergeCells count="1">
    <mergeCell ref="A2:F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sheetPr>
  <dimension ref="A2:F17"/>
  <sheetViews>
    <sheetView topLeftCell="A3" workbookViewId="0">
      <selection activeCell="F17" sqref="F17"/>
    </sheetView>
  </sheetViews>
  <sheetFormatPr defaultRowHeight="14.4" x14ac:dyDescent="0.3"/>
  <cols>
    <col min="1" max="1" width="6.88671875" customWidth="1"/>
    <col min="2" max="2" width="17.33203125" customWidth="1"/>
    <col min="3" max="3" width="12.44140625" customWidth="1"/>
    <col min="4" max="4" width="15" customWidth="1"/>
    <col min="5" max="5" width="15.88671875" customWidth="1"/>
    <col min="6" max="6" width="18.5546875" customWidth="1"/>
  </cols>
  <sheetData>
    <row r="2" spans="1:6" ht="55.5" customHeight="1" x14ac:dyDescent="0.3">
      <c r="A2" s="208" t="s">
        <v>362</v>
      </c>
      <c r="B2" s="194"/>
      <c r="C2" s="194"/>
      <c r="D2" s="194"/>
      <c r="E2" s="194"/>
      <c r="F2" s="194"/>
    </row>
    <row r="3" spans="1:6" ht="16.8" customHeight="1" x14ac:dyDescent="0.3">
      <c r="A3" s="23"/>
      <c r="B3" s="24"/>
      <c r="C3" s="24"/>
      <c r="D3" s="24"/>
      <c r="E3" s="24"/>
      <c r="F3" s="24"/>
    </row>
    <row r="4" spans="1:6" ht="50.4" customHeight="1" x14ac:dyDescent="0.3">
      <c r="A4" s="25" t="s">
        <v>2</v>
      </c>
      <c r="B4" s="25" t="s">
        <v>363</v>
      </c>
      <c r="C4" s="25" t="s">
        <v>352</v>
      </c>
      <c r="D4" s="25" t="s">
        <v>364</v>
      </c>
      <c r="E4" s="25" t="s">
        <v>365</v>
      </c>
      <c r="F4" s="25" t="s">
        <v>366</v>
      </c>
    </row>
    <row r="5" spans="1:6" ht="16.8" customHeight="1" x14ac:dyDescent="0.3">
      <c r="A5" s="26">
        <v>1</v>
      </c>
      <c r="B5" s="25" t="s">
        <v>18</v>
      </c>
      <c r="C5" s="27"/>
      <c r="D5" s="27"/>
      <c r="E5" s="27"/>
      <c r="F5" s="27"/>
    </row>
    <row r="6" spans="1:6" ht="16.8" customHeight="1" x14ac:dyDescent="0.3">
      <c r="A6" s="209"/>
      <c r="B6" s="27" t="s">
        <v>10</v>
      </c>
      <c r="C6" s="27">
        <v>5</v>
      </c>
      <c r="D6" s="27">
        <v>1</v>
      </c>
      <c r="E6" s="184">
        <f>COUNTIFS('PLIII.Chuyển đổi UC'!$E$7:$E$1836,"B",'PLIII.Chuyển đổi UC'!$F$7:$F$1836,"Đơn giản")</f>
        <v>45</v>
      </c>
      <c r="F6" s="27">
        <f>D6*C6*E6</f>
        <v>225</v>
      </c>
    </row>
    <row r="7" spans="1:6" ht="16.8" customHeight="1" x14ac:dyDescent="0.3">
      <c r="A7" s="210"/>
      <c r="B7" s="27" t="s">
        <v>11</v>
      </c>
      <c r="C7" s="27">
        <v>10</v>
      </c>
      <c r="D7" s="27">
        <v>1</v>
      </c>
      <c r="E7" s="184">
        <f>COUNTIFS('PLIII.Chuyển đổi UC'!$E$7:$E$1836,"B",'PLIII.Chuyển đổi UC'!$F$7:$F$1836,"Trung bình")</f>
        <v>25</v>
      </c>
      <c r="F7" s="27">
        <f>D7*C7*E7</f>
        <v>250</v>
      </c>
    </row>
    <row r="8" spans="1:6" ht="16.8" customHeight="1" x14ac:dyDescent="0.3">
      <c r="A8" s="211"/>
      <c r="B8" s="27" t="s">
        <v>12</v>
      </c>
      <c r="C8" s="27">
        <v>15</v>
      </c>
      <c r="D8" s="27">
        <v>1</v>
      </c>
      <c r="E8" s="184">
        <f>COUNTIFS('PLIII.Chuyển đổi UC'!$E$7:$E$1836,"B",'PLIII.Chuyển đổi UC'!$F$7:$F$1836,"Phức tạp")</f>
        <v>2</v>
      </c>
      <c r="F8" s="27">
        <f>D8*C8*E8</f>
        <v>30</v>
      </c>
    </row>
    <row r="9" spans="1:6" ht="16.8" customHeight="1" x14ac:dyDescent="0.3">
      <c r="A9" s="26">
        <v>2</v>
      </c>
      <c r="B9" s="25" t="s">
        <v>367</v>
      </c>
      <c r="C9" s="27"/>
      <c r="D9" s="27"/>
      <c r="E9" s="28"/>
      <c r="F9" s="27"/>
    </row>
    <row r="10" spans="1:6" ht="16.8" customHeight="1" x14ac:dyDescent="0.3">
      <c r="A10" s="209"/>
      <c r="B10" s="27" t="s">
        <v>10</v>
      </c>
      <c r="C10" s="27">
        <v>5</v>
      </c>
      <c r="D10" s="27">
        <v>1.2</v>
      </c>
      <c r="E10" s="184">
        <f>COUNTIFS('PLIII.Chuyển đổi UC'!$E$7:$E$1836,"M",'PLIII.Chuyển đổi UC'!$F$7:$F$1836,"Đơn giản")</f>
        <v>0</v>
      </c>
      <c r="F10" s="27">
        <f>C10*D10*E10</f>
        <v>0</v>
      </c>
    </row>
    <row r="11" spans="1:6" ht="16.8" customHeight="1" x14ac:dyDescent="0.3">
      <c r="A11" s="210"/>
      <c r="B11" s="27" t="s">
        <v>11</v>
      </c>
      <c r="C11" s="27">
        <v>10</v>
      </c>
      <c r="D11" s="27">
        <v>1.2</v>
      </c>
      <c r="E11" s="184">
        <f>COUNTIFS('PLIII.Chuyển đổi UC'!$E$7:$E$1836,"M",'PLIII.Chuyển đổi UC'!$F$7:$F$1836,"Trung bình")</f>
        <v>0</v>
      </c>
      <c r="F11" s="27">
        <f>D11*C11*E11</f>
        <v>0</v>
      </c>
    </row>
    <row r="12" spans="1:6" ht="16.8" customHeight="1" x14ac:dyDescent="0.3">
      <c r="A12" s="211"/>
      <c r="B12" s="27" t="s">
        <v>12</v>
      </c>
      <c r="C12" s="27">
        <v>15</v>
      </c>
      <c r="D12" s="27">
        <v>1.2</v>
      </c>
      <c r="E12" s="184">
        <f>COUNTIFS('PLIII.Chuyển đổi UC'!$E$7:$E$1836,"M",'PLIII.Chuyển đổi UC'!$F$7:$F$1836,"Phức tạp")</f>
        <v>0</v>
      </c>
      <c r="F12" s="27">
        <f>D12*C12*E12</f>
        <v>0</v>
      </c>
    </row>
    <row r="13" spans="1:6" ht="16.8" customHeight="1" x14ac:dyDescent="0.3">
      <c r="A13" s="26">
        <v>3</v>
      </c>
      <c r="B13" s="25" t="s">
        <v>368</v>
      </c>
      <c r="C13" s="27"/>
      <c r="D13" s="27"/>
      <c r="E13" s="28"/>
      <c r="F13" s="27"/>
    </row>
    <row r="14" spans="1:6" ht="16.8" customHeight="1" x14ac:dyDescent="0.3">
      <c r="A14" s="209"/>
      <c r="B14" s="27" t="s">
        <v>10</v>
      </c>
      <c r="C14" s="27">
        <v>5</v>
      </c>
      <c r="D14" s="27">
        <v>1.5</v>
      </c>
      <c r="E14" s="184">
        <f>COUNTIFS('PLIII.Chuyển đổi UC'!$E$7:$E$1836,"T",'PLIII.Chuyển đổi UC'!$F$7:$F$1836,"Đơn giản")</f>
        <v>0</v>
      </c>
      <c r="F14" s="27">
        <f>D14*C14*E14</f>
        <v>0</v>
      </c>
    </row>
    <row r="15" spans="1:6" ht="16.8" customHeight="1" x14ac:dyDescent="0.3">
      <c r="A15" s="210"/>
      <c r="B15" s="27" t="s">
        <v>11</v>
      </c>
      <c r="C15" s="27">
        <v>10</v>
      </c>
      <c r="D15" s="27">
        <v>1.5</v>
      </c>
      <c r="E15" s="184">
        <f>COUNTIFS('PLIII.Chuyển đổi UC'!$E$7:$E$1836,"T",'PLIII.Chuyển đổi UC'!$F$7:$F$1836,"Trung bình")</f>
        <v>0</v>
      </c>
      <c r="F15" s="27">
        <f>D15*C15*E15</f>
        <v>0</v>
      </c>
    </row>
    <row r="16" spans="1:6" ht="16.8" customHeight="1" x14ac:dyDescent="0.3">
      <c r="A16" s="211"/>
      <c r="B16" s="27" t="s">
        <v>12</v>
      </c>
      <c r="C16" s="27">
        <v>15</v>
      </c>
      <c r="D16" s="27">
        <v>1.5</v>
      </c>
      <c r="E16" s="184">
        <f>COUNTIFS('PLIII.Chuyển đổi UC'!$E$7:$E$1836,"T",'PLIII.Chuyển đổi UC'!$F$7:$F$1836,"Phức tạp")</f>
        <v>0</v>
      </c>
      <c r="F16" s="27">
        <f>D16*C16*E16</f>
        <v>0</v>
      </c>
    </row>
    <row r="17" spans="1:6" ht="16.8" customHeight="1" x14ac:dyDescent="0.3">
      <c r="A17" s="26"/>
      <c r="B17" s="25" t="s">
        <v>360</v>
      </c>
      <c r="C17" s="29"/>
      <c r="D17" s="30"/>
      <c r="E17" s="31" t="s">
        <v>369</v>
      </c>
      <c r="F17" s="25">
        <f>SUM(F6:F16)</f>
        <v>505</v>
      </c>
    </row>
  </sheetData>
  <mergeCells count="4">
    <mergeCell ref="A14:A16"/>
    <mergeCell ref="A2:F2"/>
    <mergeCell ref="A6:A8"/>
    <mergeCell ref="A10:A1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sheetPr>
  <dimension ref="A1:F18"/>
  <sheetViews>
    <sheetView zoomScale="70" zoomScaleNormal="70" workbookViewId="0">
      <selection activeCell="F6" sqref="F6"/>
    </sheetView>
  </sheetViews>
  <sheetFormatPr defaultRowHeight="14.4" x14ac:dyDescent="0.3"/>
  <cols>
    <col min="1" max="1" width="4.33203125" bestFit="1" customWidth="1"/>
    <col min="2" max="2" width="25" customWidth="1"/>
    <col min="3" max="3" width="12.5546875" customWidth="1"/>
    <col min="4" max="4" width="17.6640625" customWidth="1"/>
    <col min="5" max="5" width="12" customWidth="1"/>
    <col min="6" max="6" width="136.33203125" customWidth="1"/>
  </cols>
  <sheetData>
    <row r="1" spans="1:6" ht="53.25" customHeight="1" x14ac:dyDescent="0.3">
      <c r="A1" s="208" t="s">
        <v>370</v>
      </c>
      <c r="B1" s="194"/>
      <c r="C1" s="194"/>
      <c r="D1" s="194"/>
      <c r="E1" s="194"/>
      <c r="F1" s="194"/>
    </row>
    <row r="2" spans="1:6" ht="16.8" customHeight="1" x14ac:dyDescent="0.3">
      <c r="A2" s="208"/>
      <c r="B2" s="194"/>
      <c r="C2" s="194"/>
      <c r="D2" s="194"/>
      <c r="E2" s="194"/>
      <c r="F2" s="194"/>
    </row>
    <row r="3" spans="1:6" ht="16.8" customHeight="1" x14ac:dyDescent="0.3">
      <c r="A3" s="32" t="s">
        <v>2</v>
      </c>
      <c r="B3" s="32" t="s">
        <v>371</v>
      </c>
      <c r="C3" s="32" t="s">
        <v>352</v>
      </c>
      <c r="D3" s="32" t="s">
        <v>372</v>
      </c>
      <c r="E3" s="32" t="s">
        <v>373</v>
      </c>
      <c r="F3" s="32" t="s">
        <v>8</v>
      </c>
    </row>
    <row r="4" spans="1:6" ht="16.8" customHeight="1" x14ac:dyDescent="0.3">
      <c r="A4" s="1" t="s">
        <v>292</v>
      </c>
      <c r="B4" s="33" t="s">
        <v>374</v>
      </c>
      <c r="C4" s="32"/>
      <c r="D4" s="34"/>
      <c r="E4" s="33">
        <f>SUM(E5:E17)</f>
        <v>27.5</v>
      </c>
      <c r="F4" s="34"/>
    </row>
    <row r="5" spans="1:6" ht="132" customHeight="1" x14ac:dyDescent="0.3">
      <c r="A5" s="2" t="s">
        <v>375</v>
      </c>
      <c r="B5" s="35" t="s">
        <v>376</v>
      </c>
      <c r="C5" s="36">
        <v>1</v>
      </c>
      <c r="D5" s="37">
        <v>0</v>
      </c>
      <c r="E5" s="34">
        <f t="shared" ref="E5:E17" si="0">C5*D5</f>
        <v>0</v>
      </c>
      <c r="F5" s="38" t="s">
        <v>377</v>
      </c>
    </row>
    <row r="6" spans="1:6" ht="132" customHeight="1" x14ac:dyDescent="0.3">
      <c r="A6" s="2">
        <v>2</v>
      </c>
      <c r="B6" s="39" t="s">
        <v>378</v>
      </c>
      <c r="C6" s="34">
        <v>1</v>
      </c>
      <c r="D6" s="162">
        <v>2</v>
      </c>
      <c r="E6" s="34">
        <f t="shared" si="0"/>
        <v>2</v>
      </c>
      <c r="F6" s="38" t="s">
        <v>379</v>
      </c>
    </row>
    <row r="7" spans="1:6" ht="303.60000000000002" customHeight="1" x14ac:dyDescent="0.3">
      <c r="A7" s="2">
        <v>3</v>
      </c>
      <c r="B7" s="3" t="s">
        <v>380</v>
      </c>
      <c r="C7" s="34">
        <v>1</v>
      </c>
      <c r="D7" s="161">
        <v>2</v>
      </c>
      <c r="E7" s="34">
        <f t="shared" si="0"/>
        <v>2</v>
      </c>
      <c r="F7" s="40" t="s">
        <v>381</v>
      </c>
    </row>
    <row r="8" spans="1:6" ht="224.4" customHeight="1" x14ac:dyDescent="0.3">
      <c r="A8" s="2">
        <v>4</v>
      </c>
      <c r="B8" s="3" t="s">
        <v>382</v>
      </c>
      <c r="C8" s="36">
        <v>2</v>
      </c>
      <c r="D8" s="37">
        <v>2</v>
      </c>
      <c r="E8" s="34">
        <f t="shared" si="0"/>
        <v>4</v>
      </c>
      <c r="F8" s="40" t="s">
        <v>383</v>
      </c>
    </row>
    <row r="9" spans="1:6" ht="92.4" customHeight="1" x14ac:dyDescent="0.3">
      <c r="A9" s="2">
        <v>5</v>
      </c>
      <c r="B9" s="39" t="s">
        <v>384</v>
      </c>
      <c r="C9" s="34">
        <v>1</v>
      </c>
      <c r="D9" s="37">
        <v>3</v>
      </c>
      <c r="E9" s="34">
        <f t="shared" si="0"/>
        <v>3</v>
      </c>
      <c r="F9" s="40" t="s">
        <v>385</v>
      </c>
    </row>
    <row r="10" spans="1:6" ht="158.4" customHeight="1" x14ac:dyDescent="0.3">
      <c r="A10" s="2">
        <v>6</v>
      </c>
      <c r="B10" s="3" t="s">
        <v>386</v>
      </c>
      <c r="C10" s="34">
        <v>0.5</v>
      </c>
      <c r="D10" s="37">
        <v>2</v>
      </c>
      <c r="E10" s="34">
        <f t="shared" si="0"/>
        <v>1</v>
      </c>
      <c r="F10" s="40" t="s">
        <v>387</v>
      </c>
    </row>
    <row r="11" spans="1:6" ht="66" customHeight="1" x14ac:dyDescent="0.3">
      <c r="A11" s="2">
        <v>7</v>
      </c>
      <c r="B11" s="3" t="s">
        <v>388</v>
      </c>
      <c r="C11" s="34">
        <v>0.5</v>
      </c>
      <c r="D11" s="37">
        <v>3</v>
      </c>
      <c r="E11" s="34">
        <f t="shared" si="0"/>
        <v>1.5</v>
      </c>
      <c r="F11" s="40" t="s">
        <v>389</v>
      </c>
    </row>
    <row r="12" spans="1:6" ht="211.2" customHeight="1" x14ac:dyDescent="0.3">
      <c r="A12" s="2">
        <v>8</v>
      </c>
      <c r="B12" s="3" t="s">
        <v>390</v>
      </c>
      <c r="C12" s="36">
        <v>1</v>
      </c>
      <c r="D12" s="37">
        <v>3</v>
      </c>
      <c r="E12" s="34">
        <f t="shared" si="0"/>
        <v>3</v>
      </c>
      <c r="F12" s="40" t="s">
        <v>391</v>
      </c>
    </row>
    <row r="13" spans="1:6" ht="52.8" customHeight="1" x14ac:dyDescent="0.3">
      <c r="A13" s="2">
        <v>9</v>
      </c>
      <c r="B13" s="39" t="s">
        <v>392</v>
      </c>
      <c r="C13" s="34">
        <v>1</v>
      </c>
      <c r="D13" s="37">
        <v>3</v>
      </c>
      <c r="E13" s="34">
        <f t="shared" si="0"/>
        <v>3</v>
      </c>
      <c r="F13" s="40" t="s">
        <v>393</v>
      </c>
    </row>
    <row r="14" spans="1:6" ht="92.4" customHeight="1" x14ac:dyDescent="0.3">
      <c r="A14" s="2">
        <v>10</v>
      </c>
      <c r="B14" s="3" t="s">
        <v>394</v>
      </c>
      <c r="C14" s="34">
        <v>1</v>
      </c>
      <c r="D14" s="37">
        <v>3</v>
      </c>
      <c r="E14" s="34">
        <f t="shared" si="0"/>
        <v>3</v>
      </c>
      <c r="F14" s="40" t="s">
        <v>395</v>
      </c>
    </row>
    <row r="15" spans="1:6" ht="158.4" customHeight="1" x14ac:dyDescent="0.3">
      <c r="A15" s="2">
        <v>11</v>
      </c>
      <c r="B15" s="39" t="s">
        <v>396</v>
      </c>
      <c r="C15" s="36">
        <v>2</v>
      </c>
      <c r="D15" s="37">
        <v>1</v>
      </c>
      <c r="E15" s="34">
        <f t="shared" si="0"/>
        <v>2</v>
      </c>
      <c r="F15" s="40" t="s">
        <v>397</v>
      </c>
    </row>
    <row r="16" spans="1:6" ht="92.4" customHeight="1" x14ac:dyDescent="0.3">
      <c r="A16" s="2">
        <v>12</v>
      </c>
      <c r="B16" s="39" t="s">
        <v>398</v>
      </c>
      <c r="C16" s="34">
        <v>1</v>
      </c>
      <c r="D16" s="37">
        <v>2</v>
      </c>
      <c r="E16" s="34">
        <f t="shared" si="0"/>
        <v>2</v>
      </c>
      <c r="F16" s="40" t="s">
        <v>399</v>
      </c>
    </row>
    <row r="17" spans="1:6" ht="92.4" customHeight="1" x14ac:dyDescent="0.3">
      <c r="A17" s="2">
        <v>13</v>
      </c>
      <c r="B17" s="39" t="s">
        <v>400</v>
      </c>
      <c r="C17" s="34">
        <v>1</v>
      </c>
      <c r="D17" s="37">
        <v>1</v>
      </c>
      <c r="E17" s="34">
        <f t="shared" si="0"/>
        <v>1</v>
      </c>
      <c r="F17" s="40" t="s">
        <v>401</v>
      </c>
    </row>
    <row r="18" spans="1:6" ht="50.4" customHeight="1" x14ac:dyDescent="0.3">
      <c r="A18" s="1" t="s">
        <v>311</v>
      </c>
      <c r="B18" s="41" t="s">
        <v>402</v>
      </c>
      <c r="C18" s="32"/>
      <c r="D18" s="33"/>
      <c r="E18" s="33">
        <f>0.6+(0.01*E4)</f>
        <v>0.875</v>
      </c>
      <c r="F18" s="33"/>
    </row>
  </sheetData>
  <mergeCells count="2">
    <mergeCell ref="A2:F2"/>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sheetPr>
  <dimension ref="A1:F15"/>
  <sheetViews>
    <sheetView topLeftCell="A2" workbookViewId="0">
      <selection activeCell="D11" sqref="D11"/>
    </sheetView>
  </sheetViews>
  <sheetFormatPr defaultRowHeight="14.4" x14ac:dyDescent="0.3"/>
  <cols>
    <col min="1" max="1" width="5.33203125" customWidth="1"/>
    <col min="2" max="2" width="58.109375" customWidth="1"/>
    <col min="3" max="3" width="16.5546875" customWidth="1"/>
    <col min="4" max="6" width="14.44140625" customWidth="1"/>
  </cols>
  <sheetData>
    <row r="1" spans="1:6" ht="84.75" customHeight="1" x14ac:dyDescent="0.3">
      <c r="A1" s="212" t="s">
        <v>403</v>
      </c>
      <c r="B1" s="194"/>
      <c r="C1" s="194"/>
      <c r="D1" s="194"/>
      <c r="E1" s="194"/>
      <c r="F1" s="194"/>
    </row>
    <row r="2" spans="1:6" ht="15.6" customHeight="1" x14ac:dyDescent="0.3">
      <c r="A2" s="163"/>
      <c r="B2" s="163"/>
      <c r="C2" s="163"/>
      <c r="D2" s="163"/>
      <c r="E2" s="163"/>
      <c r="F2" s="163"/>
    </row>
    <row r="3" spans="1:6" ht="50.4" customHeight="1" x14ac:dyDescent="0.3">
      <c r="A3" s="42" t="s">
        <v>2</v>
      </c>
      <c r="B3" s="42" t="s">
        <v>404</v>
      </c>
      <c r="C3" s="42" t="s">
        <v>352</v>
      </c>
      <c r="D3" s="42" t="s">
        <v>372</v>
      </c>
      <c r="E3" s="42" t="s">
        <v>373</v>
      </c>
      <c r="F3" s="42" t="s">
        <v>405</v>
      </c>
    </row>
    <row r="4" spans="1:6" ht="21.75" customHeight="1" x14ac:dyDescent="0.3">
      <c r="A4" s="43" t="s">
        <v>292</v>
      </c>
      <c r="B4" s="44" t="s">
        <v>406</v>
      </c>
      <c r="C4" s="44"/>
      <c r="D4" s="45">
        <f>SUM(D5:D12)</f>
        <v>30</v>
      </c>
      <c r="E4" s="45">
        <f>SUM(E5:E12)</f>
        <v>26</v>
      </c>
      <c r="F4" s="44"/>
    </row>
    <row r="5" spans="1:6" ht="18.75" customHeight="1" x14ac:dyDescent="0.3">
      <c r="A5" s="46">
        <v>1</v>
      </c>
      <c r="B5" s="48" t="s">
        <v>407</v>
      </c>
      <c r="C5" s="47">
        <v>1.5</v>
      </c>
      <c r="D5" s="164">
        <v>5</v>
      </c>
      <c r="E5" s="49">
        <f t="shared" ref="E5:E12" si="0">C5*D5</f>
        <v>7.5</v>
      </c>
      <c r="F5" s="47">
        <f t="shared" ref="F5:F12" si="1">IF(E5&gt;3,1,IF(E5&gt;2,0.6,IF(E5&gt;1,0.1,IF(E5&gt;0,0.05,0))))</f>
        <v>1</v>
      </c>
    </row>
    <row r="6" spans="1:6" ht="21" customHeight="1" x14ac:dyDescent="0.3">
      <c r="A6" s="46">
        <v>2</v>
      </c>
      <c r="B6" s="48" t="s">
        <v>408</v>
      </c>
      <c r="C6" s="47">
        <v>0.5</v>
      </c>
      <c r="D6" s="164">
        <v>5</v>
      </c>
      <c r="E6" s="49">
        <f t="shared" si="0"/>
        <v>2.5</v>
      </c>
      <c r="F6" s="47">
        <f t="shared" si="1"/>
        <v>0.6</v>
      </c>
    </row>
    <row r="7" spans="1:6" ht="21.75" customHeight="1" x14ac:dyDescent="0.3">
      <c r="A7" s="46">
        <v>3</v>
      </c>
      <c r="B7" s="48" t="s">
        <v>409</v>
      </c>
      <c r="C7" s="47">
        <v>1</v>
      </c>
      <c r="D7" s="164">
        <v>5</v>
      </c>
      <c r="E7" s="49">
        <f t="shared" si="0"/>
        <v>5</v>
      </c>
      <c r="F7" s="47">
        <f t="shared" si="1"/>
        <v>1</v>
      </c>
    </row>
    <row r="8" spans="1:6" ht="19.5" customHeight="1" x14ac:dyDescent="0.3">
      <c r="A8" s="46">
        <v>4</v>
      </c>
      <c r="B8" s="48" t="s">
        <v>410</v>
      </c>
      <c r="C8" s="47">
        <v>0.5</v>
      </c>
      <c r="D8" s="164">
        <v>4</v>
      </c>
      <c r="E8" s="49">
        <f t="shared" si="0"/>
        <v>2</v>
      </c>
      <c r="F8" s="47">
        <f t="shared" si="1"/>
        <v>0.1</v>
      </c>
    </row>
    <row r="9" spans="1:6" ht="21" customHeight="1" x14ac:dyDescent="0.3">
      <c r="A9" s="46">
        <v>5</v>
      </c>
      <c r="B9" s="48" t="s">
        <v>411</v>
      </c>
      <c r="C9" s="47">
        <v>1</v>
      </c>
      <c r="D9" s="164">
        <v>4</v>
      </c>
      <c r="E9" s="49">
        <f t="shared" si="0"/>
        <v>4</v>
      </c>
      <c r="F9" s="47">
        <f t="shared" si="1"/>
        <v>1</v>
      </c>
    </row>
    <row r="10" spans="1:6" ht="24" customHeight="1" x14ac:dyDescent="0.3">
      <c r="A10" s="46">
        <v>6</v>
      </c>
      <c r="B10" s="47" t="s">
        <v>412</v>
      </c>
      <c r="C10" s="47">
        <v>2</v>
      </c>
      <c r="D10" s="50">
        <v>4</v>
      </c>
      <c r="E10" s="49">
        <f t="shared" si="0"/>
        <v>8</v>
      </c>
      <c r="F10" s="47">
        <f t="shared" si="1"/>
        <v>1</v>
      </c>
    </row>
    <row r="11" spans="1:6" ht="22.5" customHeight="1" x14ac:dyDescent="0.3">
      <c r="A11" s="46">
        <v>7</v>
      </c>
      <c r="B11" s="47" t="s">
        <v>413</v>
      </c>
      <c r="C11" s="47">
        <v>-1</v>
      </c>
      <c r="D11" s="50">
        <v>0</v>
      </c>
      <c r="E11" s="49">
        <f t="shared" si="0"/>
        <v>0</v>
      </c>
      <c r="F11" s="47">
        <f t="shared" si="1"/>
        <v>0</v>
      </c>
    </row>
    <row r="12" spans="1:6" ht="20.25" customHeight="1" x14ac:dyDescent="0.3">
      <c r="A12" s="46">
        <v>8</v>
      </c>
      <c r="B12" s="48" t="s">
        <v>414</v>
      </c>
      <c r="C12" s="47">
        <v>-1</v>
      </c>
      <c r="D12" s="50">
        <v>3</v>
      </c>
      <c r="E12" s="49">
        <f t="shared" si="0"/>
        <v>-3</v>
      </c>
      <c r="F12" s="47">
        <f t="shared" si="1"/>
        <v>0</v>
      </c>
    </row>
    <row r="13" spans="1:6" ht="24.75" customHeight="1" x14ac:dyDescent="0.3">
      <c r="A13" s="43" t="s">
        <v>311</v>
      </c>
      <c r="B13" s="44" t="s">
        <v>415</v>
      </c>
      <c r="C13" s="44"/>
      <c r="D13" s="44"/>
      <c r="E13" s="168">
        <f>ROUND(1.4+(-0.03*E4),4)</f>
        <v>0.62</v>
      </c>
      <c r="F13" s="44"/>
    </row>
    <row r="14" spans="1:6" ht="24" customHeight="1" x14ac:dyDescent="0.3">
      <c r="A14" s="43" t="s">
        <v>314</v>
      </c>
      <c r="B14" s="44" t="s">
        <v>416</v>
      </c>
      <c r="C14" s="44"/>
      <c r="D14" s="44"/>
      <c r="E14" s="44"/>
      <c r="F14" s="44">
        <f>SUM(F5:F13)</f>
        <v>4.7</v>
      </c>
    </row>
    <row r="15" spans="1:6" ht="24" customHeight="1" x14ac:dyDescent="0.3">
      <c r="A15" s="43" t="s">
        <v>317</v>
      </c>
      <c r="B15" s="44" t="s">
        <v>312</v>
      </c>
      <c r="C15" s="44"/>
      <c r="D15" s="44"/>
      <c r="E15" s="44"/>
      <c r="F15" s="51">
        <f>IF(F14&gt;=3,26-(F14-3)*6/2.2,IF(F14&gt;=1,40-(F14-1)*7,48 -F14*8))</f>
        <v>21.363636363636363</v>
      </c>
    </row>
  </sheetData>
  <mergeCells count="1">
    <mergeCell ref="A1:F1"/>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37"/>
  <sheetViews>
    <sheetView topLeftCell="A32" workbookViewId="0">
      <selection activeCell="H44" sqref="H44"/>
    </sheetView>
  </sheetViews>
  <sheetFormatPr defaultRowHeight="14.4" x14ac:dyDescent="0.3"/>
  <cols>
    <col min="1" max="1" width="5.6640625" bestFit="1" customWidth="1"/>
    <col min="2" max="2" width="26.33203125" customWidth="1"/>
    <col min="3" max="7" width="5.6640625" bestFit="1" customWidth="1"/>
  </cols>
  <sheetData>
    <row r="1" spans="1:12" ht="16.8" customHeight="1" x14ac:dyDescent="0.3">
      <c r="A1" s="208" t="s">
        <v>417</v>
      </c>
      <c r="B1" s="194"/>
      <c r="C1" s="194"/>
      <c r="D1" s="194"/>
      <c r="E1" s="194"/>
      <c r="F1" s="194"/>
      <c r="G1" s="194"/>
      <c r="H1" s="194"/>
      <c r="I1" s="194"/>
      <c r="J1" s="194"/>
      <c r="K1" s="194"/>
      <c r="L1" s="194"/>
    </row>
    <row r="2" spans="1:12" ht="16.8" customHeight="1" x14ac:dyDescent="0.3">
      <c r="A2" s="203"/>
      <c r="B2" s="198"/>
      <c r="C2" s="198"/>
      <c r="D2" s="198"/>
      <c r="E2" s="198"/>
      <c r="F2" s="198"/>
      <c r="G2" s="198"/>
      <c r="H2" s="52"/>
      <c r="I2" s="52"/>
      <c r="J2" s="52"/>
      <c r="K2" s="52"/>
      <c r="L2" s="52"/>
    </row>
    <row r="3" spans="1:12" ht="16.8" customHeight="1" x14ac:dyDescent="0.3">
      <c r="A3" s="213" t="s">
        <v>270</v>
      </c>
      <c r="B3" s="213" t="s">
        <v>371</v>
      </c>
      <c r="C3" s="200" t="s">
        <v>418</v>
      </c>
      <c r="D3" s="192"/>
      <c r="E3" s="192"/>
      <c r="F3" s="192"/>
      <c r="G3" s="192"/>
      <c r="H3" s="192"/>
      <c r="I3" s="192"/>
      <c r="J3" s="192"/>
      <c r="K3" s="192"/>
      <c r="L3" s="201"/>
    </row>
    <row r="4" spans="1:12" ht="16.5" customHeight="1" x14ac:dyDescent="0.3">
      <c r="A4" s="194"/>
      <c r="B4" s="194"/>
      <c r="C4" s="200" t="s">
        <v>419</v>
      </c>
      <c r="D4" s="192"/>
      <c r="E4" s="192"/>
      <c r="F4" s="192"/>
      <c r="G4" s="192"/>
      <c r="H4" s="192"/>
      <c r="I4" s="201"/>
      <c r="J4" s="200" t="s">
        <v>420</v>
      </c>
      <c r="K4" s="201"/>
      <c r="L4" s="41" t="s">
        <v>421</v>
      </c>
    </row>
    <row r="5" spans="1:12" ht="26.25" customHeight="1" x14ac:dyDescent="0.3">
      <c r="A5" s="198"/>
      <c r="B5" s="198"/>
      <c r="C5" s="42" t="s">
        <v>422</v>
      </c>
      <c r="D5" s="42" t="s">
        <v>423</v>
      </c>
      <c r="E5" s="42" t="s">
        <v>424</v>
      </c>
      <c r="F5" s="42" t="s">
        <v>425</v>
      </c>
      <c r="G5" s="42" t="s">
        <v>426</v>
      </c>
      <c r="H5" s="42" t="s">
        <v>427</v>
      </c>
      <c r="I5" s="42" t="s">
        <v>428</v>
      </c>
      <c r="J5" s="42" t="s">
        <v>429</v>
      </c>
      <c r="K5" s="42" t="s">
        <v>430</v>
      </c>
      <c r="L5" s="42" t="s">
        <v>431</v>
      </c>
    </row>
    <row r="6" spans="1:12" ht="16.8" customHeight="1" x14ac:dyDescent="0.3">
      <c r="A6" s="42">
        <v>1</v>
      </c>
      <c r="B6" s="41" t="s">
        <v>432</v>
      </c>
      <c r="C6" s="42"/>
      <c r="D6" s="53"/>
      <c r="E6" s="53"/>
      <c r="F6" s="53"/>
      <c r="G6" s="42"/>
      <c r="H6" s="42"/>
      <c r="I6" s="42"/>
      <c r="J6" s="42"/>
      <c r="K6" s="42"/>
      <c r="L6" s="42"/>
    </row>
    <row r="7" spans="1:12" ht="16.8" customHeight="1" x14ac:dyDescent="0.3">
      <c r="A7" s="214" t="s">
        <v>433</v>
      </c>
      <c r="B7" s="201"/>
      <c r="C7" s="53"/>
      <c r="D7" s="53"/>
      <c r="E7" s="53"/>
      <c r="F7" s="53"/>
      <c r="G7" s="53"/>
      <c r="H7" s="53"/>
      <c r="I7" s="53"/>
      <c r="J7" s="53"/>
      <c r="K7" s="53"/>
      <c r="L7" s="53"/>
    </row>
    <row r="8" spans="1:12" ht="16.8" customHeight="1" x14ac:dyDescent="0.3">
      <c r="A8" s="53"/>
      <c r="B8" s="3" t="s">
        <v>434</v>
      </c>
      <c r="C8" s="53">
        <v>3</v>
      </c>
      <c r="D8" s="53">
        <v>3</v>
      </c>
      <c r="E8" s="53">
        <v>3</v>
      </c>
      <c r="F8" s="53">
        <v>3</v>
      </c>
      <c r="G8" s="53">
        <v>3</v>
      </c>
      <c r="H8" s="53">
        <v>3</v>
      </c>
      <c r="I8" s="53">
        <v>3</v>
      </c>
      <c r="J8" s="53">
        <v>3.5</v>
      </c>
      <c r="K8" s="53">
        <v>3.5</v>
      </c>
      <c r="L8" s="53">
        <v>4</v>
      </c>
    </row>
    <row r="9" spans="1:12" ht="16.8" customHeight="1" x14ac:dyDescent="0.3">
      <c r="A9" s="53"/>
      <c r="B9" s="3" t="s">
        <v>435</v>
      </c>
      <c r="C9" s="53">
        <v>3</v>
      </c>
      <c r="D9" s="53">
        <v>3</v>
      </c>
      <c r="E9" s="53">
        <v>3</v>
      </c>
      <c r="F9" s="53">
        <v>3</v>
      </c>
      <c r="G9" s="53">
        <v>3</v>
      </c>
      <c r="H9" s="53">
        <v>3</v>
      </c>
      <c r="I9" s="53">
        <v>3</v>
      </c>
      <c r="J9" s="53">
        <v>3.5</v>
      </c>
      <c r="K9" s="53">
        <v>3.5</v>
      </c>
      <c r="L9" s="53">
        <v>4</v>
      </c>
    </row>
    <row r="10" spans="1:12" ht="16.8" customHeight="1" x14ac:dyDescent="0.3">
      <c r="A10" s="53"/>
      <c r="B10" s="3" t="s">
        <v>436</v>
      </c>
      <c r="C10" s="53">
        <v>3</v>
      </c>
      <c r="D10" s="53">
        <v>3</v>
      </c>
      <c r="E10" s="53">
        <v>3</v>
      </c>
      <c r="F10" s="53">
        <v>3</v>
      </c>
      <c r="G10" s="53">
        <v>3</v>
      </c>
      <c r="H10" s="53">
        <v>3</v>
      </c>
      <c r="I10" s="53">
        <v>3</v>
      </c>
      <c r="J10" s="53">
        <v>3.5</v>
      </c>
      <c r="K10" s="53">
        <v>3.5</v>
      </c>
      <c r="L10" s="53">
        <v>4</v>
      </c>
    </row>
    <row r="11" spans="1:12" ht="16.8" customHeight="1" x14ac:dyDescent="0.3">
      <c r="A11" s="214" t="s">
        <v>437</v>
      </c>
      <c r="B11" s="201"/>
      <c r="C11" s="53"/>
      <c r="D11" s="53"/>
      <c r="E11" s="53"/>
      <c r="F11" s="53"/>
      <c r="G11" s="53"/>
      <c r="H11" s="53"/>
      <c r="I11" s="53"/>
      <c r="J11" s="53"/>
      <c r="K11" s="53"/>
      <c r="L11" s="53"/>
    </row>
    <row r="12" spans="1:12" ht="16.8" customHeight="1" x14ac:dyDescent="0.3">
      <c r="A12" s="53"/>
      <c r="B12" s="3" t="s">
        <v>438</v>
      </c>
      <c r="C12" s="53">
        <v>3</v>
      </c>
      <c r="D12" s="53">
        <v>3</v>
      </c>
      <c r="E12" s="53">
        <v>3.5</v>
      </c>
      <c r="F12" s="53">
        <v>3.5</v>
      </c>
      <c r="G12" s="53">
        <v>4</v>
      </c>
      <c r="H12" s="53">
        <v>3</v>
      </c>
      <c r="I12" s="53">
        <v>3</v>
      </c>
      <c r="J12" s="53">
        <v>3.5</v>
      </c>
      <c r="K12" s="53">
        <v>3.5</v>
      </c>
      <c r="L12" s="53">
        <v>4</v>
      </c>
    </row>
    <row r="13" spans="1:12" ht="16.8" customHeight="1" x14ac:dyDescent="0.3">
      <c r="A13" s="53"/>
      <c r="B13" s="3" t="s">
        <v>439</v>
      </c>
      <c r="C13" s="53">
        <v>3</v>
      </c>
      <c r="D13" s="53">
        <v>3</v>
      </c>
      <c r="E13" s="53">
        <v>3.5</v>
      </c>
      <c r="F13" s="53">
        <v>3.5</v>
      </c>
      <c r="G13" s="53">
        <v>4</v>
      </c>
      <c r="H13" s="53">
        <v>3</v>
      </c>
      <c r="I13" s="53">
        <v>3</v>
      </c>
      <c r="J13" s="53">
        <v>3.5</v>
      </c>
      <c r="K13" s="53">
        <v>3.5</v>
      </c>
      <c r="L13" s="53">
        <v>4</v>
      </c>
    </row>
    <row r="14" spans="1:12" ht="33.6" customHeight="1" x14ac:dyDescent="0.3">
      <c r="A14" s="42">
        <v>2</v>
      </c>
      <c r="B14" s="41" t="s">
        <v>440</v>
      </c>
      <c r="C14" s="53"/>
      <c r="D14" s="53"/>
      <c r="E14" s="53"/>
      <c r="F14" s="53"/>
      <c r="G14" s="53"/>
      <c r="H14" s="53"/>
      <c r="I14" s="53"/>
      <c r="J14" s="53"/>
      <c r="K14" s="53"/>
      <c r="L14" s="53"/>
    </row>
    <row r="15" spans="1:12" ht="16.8" customHeight="1" x14ac:dyDescent="0.3">
      <c r="A15" s="214" t="s">
        <v>441</v>
      </c>
      <c r="B15" s="201"/>
      <c r="C15" s="53"/>
      <c r="D15" s="53"/>
      <c r="E15" s="53"/>
      <c r="F15" s="53"/>
      <c r="G15" s="53"/>
      <c r="H15" s="53"/>
      <c r="I15" s="53"/>
      <c r="J15" s="53"/>
      <c r="K15" s="53"/>
      <c r="L15" s="53"/>
    </row>
    <row r="16" spans="1:12" ht="16.8" customHeight="1" x14ac:dyDescent="0.3">
      <c r="A16" s="53"/>
      <c r="B16" s="3" t="s">
        <v>442</v>
      </c>
      <c r="C16" s="53">
        <v>2</v>
      </c>
      <c r="D16" s="53">
        <v>2.5</v>
      </c>
      <c r="E16" s="53">
        <v>2.5</v>
      </c>
      <c r="F16" s="53">
        <v>3.5</v>
      </c>
      <c r="G16" s="53">
        <v>3.5</v>
      </c>
      <c r="H16" s="53">
        <v>2.5</v>
      </c>
      <c r="I16" s="53">
        <v>2.5</v>
      </c>
      <c r="J16" s="53">
        <v>3.5</v>
      </c>
      <c r="K16" s="53">
        <v>3.5</v>
      </c>
      <c r="L16" s="53">
        <v>4.5</v>
      </c>
    </row>
    <row r="17" spans="1:12" ht="16.8" customHeight="1" x14ac:dyDescent="0.3">
      <c r="A17" s="53"/>
      <c r="B17" s="3" t="s">
        <v>443</v>
      </c>
      <c r="C17" s="53">
        <v>2</v>
      </c>
      <c r="D17" s="53">
        <v>2</v>
      </c>
      <c r="E17" s="53">
        <v>2.5</v>
      </c>
      <c r="F17" s="53">
        <v>2.5</v>
      </c>
      <c r="G17" s="53">
        <v>2</v>
      </c>
      <c r="H17" s="53">
        <v>2</v>
      </c>
      <c r="I17" s="53">
        <v>2</v>
      </c>
      <c r="J17" s="53">
        <v>3</v>
      </c>
      <c r="K17" s="53">
        <v>3.5</v>
      </c>
      <c r="L17" s="53">
        <v>4</v>
      </c>
    </row>
    <row r="18" spans="1:12" ht="16.8" customHeight="1" x14ac:dyDescent="0.3">
      <c r="A18" s="214" t="s">
        <v>444</v>
      </c>
      <c r="B18" s="201"/>
      <c r="C18" s="53"/>
      <c r="D18" s="53"/>
      <c r="E18" s="53"/>
      <c r="F18" s="53"/>
      <c r="G18" s="53"/>
      <c r="H18" s="53"/>
      <c r="I18" s="53"/>
      <c r="J18" s="53"/>
      <c r="K18" s="53"/>
      <c r="L18" s="53"/>
    </row>
    <row r="19" spans="1:12" ht="16.8" customHeight="1" x14ac:dyDescent="0.3">
      <c r="A19" s="53"/>
      <c r="B19" s="3" t="s">
        <v>445</v>
      </c>
      <c r="C19" s="53">
        <v>2</v>
      </c>
      <c r="D19" s="53">
        <v>2.5</v>
      </c>
      <c r="E19" s="53">
        <v>2.5</v>
      </c>
      <c r="F19" s="53">
        <v>3</v>
      </c>
      <c r="G19" s="53">
        <v>3</v>
      </c>
      <c r="H19" s="53">
        <v>2.5</v>
      </c>
      <c r="I19" s="53">
        <v>2.5</v>
      </c>
      <c r="J19" s="53">
        <v>3.5</v>
      </c>
      <c r="K19" s="53">
        <v>3.5</v>
      </c>
      <c r="L19" s="53">
        <v>4</v>
      </c>
    </row>
    <row r="20" spans="1:12" ht="16.8" customHeight="1" x14ac:dyDescent="0.3">
      <c r="A20" s="53"/>
      <c r="B20" s="3" t="s">
        <v>446</v>
      </c>
      <c r="C20" s="53">
        <v>3</v>
      </c>
      <c r="D20" s="53">
        <v>3</v>
      </c>
      <c r="E20" s="53">
        <v>4</v>
      </c>
      <c r="F20" s="53">
        <v>3</v>
      </c>
      <c r="G20" s="53">
        <v>4</v>
      </c>
      <c r="H20" s="53">
        <v>3</v>
      </c>
      <c r="I20" s="53">
        <v>3</v>
      </c>
      <c r="J20" s="53">
        <v>4</v>
      </c>
      <c r="K20" s="53">
        <v>4</v>
      </c>
      <c r="L20" s="53">
        <v>4</v>
      </c>
    </row>
    <row r="21" spans="1:12" ht="16.8" customHeight="1" x14ac:dyDescent="0.3">
      <c r="A21" s="53"/>
      <c r="B21" s="3" t="s">
        <v>447</v>
      </c>
      <c r="C21" s="53">
        <v>2</v>
      </c>
      <c r="D21" s="53">
        <v>2</v>
      </c>
      <c r="E21" s="53">
        <v>2</v>
      </c>
      <c r="F21" s="53">
        <v>3</v>
      </c>
      <c r="G21" s="53">
        <v>3</v>
      </c>
      <c r="H21" s="53">
        <v>2</v>
      </c>
      <c r="I21" s="53">
        <v>2</v>
      </c>
      <c r="J21" s="53">
        <v>3</v>
      </c>
      <c r="K21" s="53">
        <v>3</v>
      </c>
      <c r="L21" s="53">
        <v>4</v>
      </c>
    </row>
    <row r="22" spans="1:12" ht="16.8" customHeight="1" x14ac:dyDescent="0.3">
      <c r="A22" s="53"/>
      <c r="B22" s="3" t="s">
        <v>448</v>
      </c>
      <c r="C22" s="53">
        <v>2</v>
      </c>
      <c r="D22" s="53">
        <v>2</v>
      </c>
      <c r="E22" s="53">
        <v>1.5</v>
      </c>
      <c r="F22" s="53">
        <v>2</v>
      </c>
      <c r="G22" s="53">
        <v>2</v>
      </c>
      <c r="H22" s="53">
        <v>2</v>
      </c>
      <c r="I22" s="53">
        <v>2</v>
      </c>
      <c r="J22" s="53">
        <v>3</v>
      </c>
      <c r="K22" s="53">
        <v>3.5</v>
      </c>
      <c r="L22" s="53">
        <v>4.5</v>
      </c>
    </row>
    <row r="23" spans="1:12" ht="16.8" customHeight="1" x14ac:dyDescent="0.3">
      <c r="A23" s="53"/>
      <c r="B23" s="3" t="s">
        <v>449</v>
      </c>
      <c r="C23" s="53">
        <v>2</v>
      </c>
      <c r="D23" s="53">
        <v>2</v>
      </c>
      <c r="E23" s="53">
        <v>2</v>
      </c>
      <c r="F23" s="53">
        <v>2</v>
      </c>
      <c r="G23" s="53">
        <v>2</v>
      </c>
      <c r="H23" s="53">
        <v>2.5</v>
      </c>
      <c r="I23" s="53">
        <v>2</v>
      </c>
      <c r="J23" s="53">
        <v>3</v>
      </c>
      <c r="K23" s="53">
        <v>3</v>
      </c>
      <c r="L23" s="53">
        <v>4</v>
      </c>
    </row>
    <row r="24" spans="1:12" ht="16.8" customHeight="1" x14ac:dyDescent="0.3">
      <c r="A24" s="53"/>
      <c r="B24" s="3" t="s">
        <v>450</v>
      </c>
      <c r="C24" s="53">
        <v>2.5</v>
      </c>
      <c r="D24" s="53">
        <v>2</v>
      </c>
      <c r="E24" s="53">
        <v>2</v>
      </c>
      <c r="F24" s="53">
        <v>2.5</v>
      </c>
      <c r="G24" s="53">
        <v>2.5</v>
      </c>
      <c r="H24" s="53">
        <v>2</v>
      </c>
      <c r="I24" s="53">
        <v>2</v>
      </c>
      <c r="J24" s="53">
        <v>3</v>
      </c>
      <c r="K24" s="53">
        <v>3</v>
      </c>
      <c r="L24" s="53">
        <v>4.5</v>
      </c>
    </row>
    <row r="25" spans="1:12" ht="36" customHeight="1" x14ac:dyDescent="0.3">
      <c r="A25" s="214" t="s">
        <v>451</v>
      </c>
      <c r="B25" s="201"/>
      <c r="C25" s="53"/>
      <c r="D25" s="53"/>
      <c r="E25" s="53"/>
      <c r="F25" s="53"/>
      <c r="G25" s="53"/>
      <c r="H25" s="53"/>
      <c r="I25" s="53"/>
      <c r="J25" s="53"/>
      <c r="K25" s="53"/>
      <c r="L25" s="53"/>
    </row>
    <row r="26" spans="1:12" ht="16.8" customHeight="1" x14ac:dyDescent="0.3">
      <c r="A26" s="53"/>
      <c r="B26" s="3" t="s">
        <v>452</v>
      </c>
      <c r="C26" s="53">
        <v>2</v>
      </c>
      <c r="D26" s="53">
        <v>2</v>
      </c>
      <c r="E26" s="53">
        <v>2</v>
      </c>
      <c r="F26" s="53">
        <v>3</v>
      </c>
      <c r="G26" s="53">
        <v>3</v>
      </c>
      <c r="H26" s="53">
        <v>2</v>
      </c>
      <c r="I26" s="53">
        <v>2</v>
      </c>
      <c r="J26" s="53">
        <v>3</v>
      </c>
      <c r="K26" s="53">
        <v>3</v>
      </c>
      <c r="L26" s="53">
        <v>4</v>
      </c>
    </row>
    <row r="27" spans="1:12" ht="16.8" customHeight="1" x14ac:dyDescent="0.3">
      <c r="A27" s="53"/>
      <c r="B27" s="3" t="s">
        <v>453</v>
      </c>
      <c r="C27" s="53">
        <v>3</v>
      </c>
      <c r="D27" s="53">
        <v>3</v>
      </c>
      <c r="E27" s="53">
        <v>3</v>
      </c>
      <c r="F27" s="53">
        <v>3.5</v>
      </c>
      <c r="G27" s="53">
        <v>3.5</v>
      </c>
      <c r="H27" s="53">
        <v>3</v>
      </c>
      <c r="I27" s="53">
        <v>3</v>
      </c>
      <c r="J27" s="53">
        <v>3</v>
      </c>
      <c r="K27" s="53">
        <v>3</v>
      </c>
      <c r="L27" s="53">
        <v>4.5</v>
      </c>
    </row>
    <row r="28" spans="1:12" ht="16.8" customHeight="1" x14ac:dyDescent="0.3">
      <c r="A28" s="53"/>
      <c r="B28" s="3" t="s">
        <v>454</v>
      </c>
      <c r="C28" s="53">
        <v>2.5</v>
      </c>
      <c r="D28" s="53">
        <v>2</v>
      </c>
      <c r="E28" s="53">
        <v>2</v>
      </c>
      <c r="F28" s="53">
        <v>3</v>
      </c>
      <c r="G28" s="53">
        <v>3.5</v>
      </c>
      <c r="H28" s="53">
        <v>2</v>
      </c>
      <c r="I28" s="53">
        <v>2</v>
      </c>
      <c r="J28" s="53">
        <v>3</v>
      </c>
      <c r="K28" s="53">
        <v>3</v>
      </c>
      <c r="L28" s="53">
        <v>4.5</v>
      </c>
    </row>
    <row r="29" spans="1:12" ht="16.8" customHeight="1" x14ac:dyDescent="0.3">
      <c r="A29" s="53"/>
      <c r="B29" s="3" t="s">
        <v>455</v>
      </c>
      <c r="C29" s="53">
        <v>2.5</v>
      </c>
      <c r="D29" s="53">
        <v>2.5</v>
      </c>
      <c r="E29" s="53">
        <v>2</v>
      </c>
      <c r="F29" s="53">
        <v>2.5</v>
      </c>
      <c r="G29" s="53">
        <v>3</v>
      </c>
      <c r="H29" s="53">
        <v>2.5</v>
      </c>
      <c r="I29" s="53">
        <v>2.5</v>
      </c>
      <c r="J29" s="53">
        <v>3.5</v>
      </c>
      <c r="K29" s="53">
        <v>3.5</v>
      </c>
      <c r="L29" s="53">
        <v>4</v>
      </c>
    </row>
    <row r="30" spans="1:12" ht="16.8" customHeight="1" x14ac:dyDescent="0.3">
      <c r="A30" s="53"/>
      <c r="B30" s="3" t="s">
        <v>456</v>
      </c>
      <c r="C30" s="53">
        <v>3</v>
      </c>
      <c r="D30" s="53">
        <v>3</v>
      </c>
      <c r="E30" s="53">
        <v>3</v>
      </c>
      <c r="F30" s="53">
        <v>3</v>
      </c>
      <c r="G30" s="53">
        <v>3</v>
      </c>
      <c r="H30" s="53">
        <v>3</v>
      </c>
      <c r="I30" s="53">
        <v>3</v>
      </c>
      <c r="J30" s="53">
        <v>3</v>
      </c>
      <c r="K30" s="53">
        <v>3</v>
      </c>
      <c r="L30" s="53">
        <v>4</v>
      </c>
    </row>
    <row r="31" spans="1:12" ht="16.8" customHeight="1" x14ac:dyDescent="0.3">
      <c r="A31" s="53"/>
      <c r="B31" s="3" t="s">
        <v>457</v>
      </c>
      <c r="C31" s="53">
        <v>2</v>
      </c>
      <c r="D31" s="53">
        <v>2</v>
      </c>
      <c r="E31" s="53">
        <v>2.5</v>
      </c>
      <c r="F31" s="53">
        <v>3</v>
      </c>
      <c r="G31" s="53">
        <v>3</v>
      </c>
      <c r="H31" s="53">
        <v>2</v>
      </c>
      <c r="I31" s="53">
        <v>2</v>
      </c>
      <c r="J31" s="53">
        <v>3</v>
      </c>
      <c r="K31" s="53">
        <v>3.5</v>
      </c>
      <c r="L31" s="53">
        <v>4</v>
      </c>
    </row>
    <row r="32" spans="1:12" ht="50.4" customHeight="1" x14ac:dyDescent="0.3">
      <c r="A32" s="42">
        <v>3</v>
      </c>
      <c r="B32" s="54" t="s">
        <v>458</v>
      </c>
      <c r="C32" s="42"/>
      <c r="D32" s="42"/>
      <c r="E32" s="42"/>
      <c r="F32" s="42"/>
      <c r="G32" s="42"/>
      <c r="H32" s="42"/>
      <c r="I32" s="42"/>
      <c r="J32" s="42"/>
      <c r="K32" s="42"/>
      <c r="L32" s="42"/>
    </row>
    <row r="33" spans="1:12" ht="100.8" customHeight="1" x14ac:dyDescent="0.3">
      <c r="A33" s="53"/>
      <c r="B33" s="55" t="s">
        <v>459</v>
      </c>
      <c r="C33" s="53">
        <v>4</v>
      </c>
      <c r="D33" s="53">
        <v>4</v>
      </c>
      <c r="E33" s="53">
        <v>4</v>
      </c>
      <c r="F33" s="53">
        <v>4</v>
      </c>
      <c r="G33" s="53">
        <v>4</v>
      </c>
      <c r="H33" s="53">
        <v>4</v>
      </c>
      <c r="I33" s="53">
        <v>4</v>
      </c>
      <c r="J33" s="53">
        <v>4</v>
      </c>
      <c r="K33" s="53">
        <v>4</v>
      </c>
      <c r="L33" s="53">
        <v>4</v>
      </c>
    </row>
    <row r="34" spans="1:12" ht="33.6" customHeight="1" x14ac:dyDescent="0.3">
      <c r="A34" s="53"/>
      <c r="B34" s="55" t="s">
        <v>460</v>
      </c>
      <c r="C34" s="53">
        <v>3</v>
      </c>
      <c r="D34" s="53">
        <v>3</v>
      </c>
      <c r="E34" s="53">
        <v>4</v>
      </c>
      <c r="F34" s="53">
        <v>4</v>
      </c>
      <c r="G34" s="53">
        <v>4</v>
      </c>
      <c r="H34" s="53">
        <v>4</v>
      </c>
      <c r="I34" s="53">
        <v>4</v>
      </c>
      <c r="J34" s="53">
        <v>4</v>
      </c>
      <c r="K34" s="53">
        <v>4</v>
      </c>
      <c r="L34" s="53">
        <v>4</v>
      </c>
    </row>
    <row r="35" spans="1:12" ht="33.6" customHeight="1" x14ac:dyDescent="0.3">
      <c r="A35" s="53"/>
      <c r="B35" s="55" t="s">
        <v>461</v>
      </c>
      <c r="C35" s="53">
        <v>3</v>
      </c>
      <c r="D35" s="53">
        <v>3</v>
      </c>
      <c r="E35" s="53">
        <v>4</v>
      </c>
      <c r="F35" s="53">
        <v>4</v>
      </c>
      <c r="G35" s="53">
        <v>4</v>
      </c>
      <c r="H35" s="53">
        <v>4</v>
      </c>
      <c r="I35" s="53">
        <v>4</v>
      </c>
      <c r="J35" s="53">
        <v>4</v>
      </c>
      <c r="K35" s="53">
        <v>4</v>
      </c>
      <c r="L35" s="53">
        <v>4</v>
      </c>
    </row>
    <row r="36" spans="1:12" ht="33.6" customHeight="1" x14ac:dyDescent="0.3">
      <c r="A36" s="53"/>
      <c r="B36" s="55" t="s">
        <v>462</v>
      </c>
      <c r="C36" s="56">
        <v>2</v>
      </c>
      <c r="D36" s="56">
        <v>2</v>
      </c>
      <c r="E36" s="56">
        <v>2</v>
      </c>
      <c r="F36" s="56">
        <v>2.5</v>
      </c>
      <c r="G36" s="56">
        <v>2.5</v>
      </c>
      <c r="H36" s="56">
        <v>2.5</v>
      </c>
      <c r="I36" s="56">
        <v>2.5</v>
      </c>
      <c r="J36" s="56">
        <v>3.5</v>
      </c>
      <c r="K36" s="53">
        <v>3.5</v>
      </c>
      <c r="L36" s="53">
        <v>4</v>
      </c>
    </row>
    <row r="37" spans="1:12" ht="16.8" customHeight="1" x14ac:dyDescent="0.3">
      <c r="A37" s="53"/>
      <c r="B37" s="55" t="s">
        <v>463</v>
      </c>
      <c r="C37" s="56">
        <v>2</v>
      </c>
      <c r="D37" s="56">
        <v>2</v>
      </c>
      <c r="E37" s="56">
        <v>3</v>
      </c>
      <c r="F37" s="56">
        <v>3</v>
      </c>
      <c r="G37" s="56">
        <v>3</v>
      </c>
      <c r="H37" s="56">
        <v>3</v>
      </c>
      <c r="I37" s="56">
        <v>3</v>
      </c>
      <c r="J37" s="56">
        <v>3</v>
      </c>
      <c r="K37" s="53">
        <v>3</v>
      </c>
      <c r="L37" s="53">
        <v>3</v>
      </c>
    </row>
  </sheetData>
  <mergeCells count="12">
    <mergeCell ref="A15:B15"/>
    <mergeCell ref="A7:B7"/>
    <mergeCell ref="A25:B25"/>
    <mergeCell ref="A11:B11"/>
    <mergeCell ref="A18:B18"/>
    <mergeCell ref="A1:L1"/>
    <mergeCell ref="C3:L3"/>
    <mergeCell ref="A3:A5"/>
    <mergeCell ref="C4:I4"/>
    <mergeCell ref="A2:G2"/>
    <mergeCell ref="B3:B5"/>
    <mergeCell ref="J4:K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7030A0"/>
  </sheetPr>
  <dimension ref="A1:F14"/>
  <sheetViews>
    <sheetView topLeftCell="E1" workbookViewId="0">
      <selection activeCell="D12" sqref="D12"/>
    </sheetView>
  </sheetViews>
  <sheetFormatPr defaultRowHeight="14.4" x14ac:dyDescent="0.3"/>
  <cols>
    <col min="2" max="2" width="6.109375" customWidth="1"/>
    <col min="3" max="3" width="26.6640625" customWidth="1"/>
    <col min="4" max="4" width="18" customWidth="1"/>
    <col min="5" max="5" width="13.109375" customWidth="1"/>
    <col min="6" max="6" width="36.88671875" customWidth="1"/>
  </cols>
  <sheetData>
    <row r="1" spans="1:6" ht="16.8" customHeight="1" x14ac:dyDescent="0.3">
      <c r="A1" s="57"/>
      <c r="B1" s="208" t="s">
        <v>464</v>
      </c>
      <c r="C1" s="194"/>
      <c r="D1" s="194"/>
      <c r="E1" s="194"/>
      <c r="F1" s="194"/>
    </row>
    <row r="2" spans="1:6" ht="16.8" customHeight="1" x14ac:dyDescent="0.3">
      <c r="A2" s="57"/>
      <c r="B2" s="215" t="s">
        <v>465</v>
      </c>
      <c r="C2" s="194"/>
      <c r="D2" s="194"/>
      <c r="E2" s="194"/>
      <c r="F2" s="194"/>
    </row>
    <row r="3" spans="1:6" ht="33.6" customHeight="1" x14ac:dyDescent="0.3">
      <c r="A3" s="57"/>
      <c r="B3" s="58" t="s">
        <v>270</v>
      </c>
      <c r="C3" s="58" t="s">
        <v>466</v>
      </c>
      <c r="D3" s="58" t="s">
        <v>467</v>
      </c>
      <c r="E3" s="58" t="s">
        <v>468</v>
      </c>
      <c r="F3" s="58" t="s">
        <v>8</v>
      </c>
    </row>
    <row r="4" spans="1:6" ht="16.8" customHeight="1" x14ac:dyDescent="0.3">
      <c r="A4" s="57"/>
      <c r="B4" s="59">
        <v>1</v>
      </c>
      <c r="C4" s="60" t="s">
        <v>421</v>
      </c>
      <c r="D4" s="160">
        <v>0.2</v>
      </c>
      <c r="E4" s="61">
        <f>bangluong!E16</f>
        <v>71095.5</v>
      </c>
      <c r="F4" s="62" t="s">
        <v>469</v>
      </c>
    </row>
    <row r="5" spans="1:6" ht="16.8" customHeight="1" x14ac:dyDescent="0.3">
      <c r="A5" s="57"/>
      <c r="B5" s="59">
        <v>2</v>
      </c>
      <c r="C5" s="60" t="s">
        <v>420</v>
      </c>
      <c r="D5" s="160">
        <v>0.2</v>
      </c>
      <c r="E5" s="61">
        <f>bangluong!D16</f>
        <v>63649.6875</v>
      </c>
      <c r="F5" s="62" t="s">
        <v>470</v>
      </c>
    </row>
    <row r="6" spans="1:6" ht="16.8" customHeight="1" x14ac:dyDescent="0.3">
      <c r="A6" s="57"/>
      <c r="B6" s="59">
        <v>3</v>
      </c>
      <c r="C6" s="60" t="s">
        <v>419</v>
      </c>
      <c r="D6" s="160">
        <v>0.6</v>
      </c>
      <c r="E6" s="61">
        <f>bangluong!C16</f>
        <v>56203.875</v>
      </c>
      <c r="F6" s="62" t="s">
        <v>471</v>
      </c>
    </row>
    <row r="7" spans="1:6" ht="30" customHeight="1" x14ac:dyDescent="0.3">
      <c r="A7" s="57"/>
      <c r="B7" s="216" t="s">
        <v>472</v>
      </c>
      <c r="C7" s="192"/>
      <c r="D7" s="159"/>
      <c r="E7" s="63">
        <f>D4*E4+D5*E5+D6*E6</f>
        <v>60671.362499999996</v>
      </c>
      <c r="F7" s="64"/>
    </row>
    <row r="8" spans="1:6" ht="16.8" customHeight="1" x14ac:dyDescent="0.3">
      <c r="A8" s="57"/>
    </row>
    <row r="9" spans="1:6" ht="16.8" customHeight="1" x14ac:dyDescent="0.3">
      <c r="A9" s="57"/>
    </row>
    <row r="10" spans="1:6" ht="16.8" customHeight="1" x14ac:dyDescent="0.3">
      <c r="A10" s="57"/>
    </row>
    <row r="11" spans="1:6" ht="16.8" customHeight="1" x14ac:dyDescent="0.3">
      <c r="A11" s="57"/>
    </row>
    <row r="12" spans="1:6" ht="16.8" customHeight="1" x14ac:dyDescent="0.3">
      <c r="A12" s="57"/>
    </row>
    <row r="13" spans="1:6" ht="16.8" customHeight="1" x14ac:dyDescent="0.3">
      <c r="A13" s="57"/>
    </row>
    <row r="14" spans="1:6" ht="16.8" customHeight="1" x14ac:dyDescent="0.3">
      <c r="A14" s="57"/>
    </row>
  </sheetData>
  <mergeCells count="3">
    <mergeCell ref="B2:F2"/>
    <mergeCell ref="B1:F1"/>
    <mergeCell ref="B7:C7"/>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7030A0"/>
  </sheetPr>
  <dimension ref="A2:K34"/>
  <sheetViews>
    <sheetView topLeftCell="F21" workbookViewId="0">
      <selection activeCell="D16" sqref="D16"/>
    </sheetView>
  </sheetViews>
  <sheetFormatPr defaultRowHeight="14.4" x14ac:dyDescent="0.3"/>
  <cols>
    <col min="1" max="1" width="5.109375" customWidth="1"/>
    <col min="2" max="2" width="40.88671875" customWidth="1"/>
    <col min="3" max="10" width="12" customWidth="1"/>
    <col min="11" max="11" width="38.88671875" customWidth="1"/>
  </cols>
  <sheetData>
    <row r="2" spans="1:11" x14ac:dyDescent="0.3">
      <c r="A2" s="217" t="s">
        <v>473</v>
      </c>
      <c r="B2" s="194"/>
      <c r="C2" s="194"/>
      <c r="D2" s="194"/>
      <c r="E2" s="194"/>
      <c r="F2" s="194"/>
      <c r="G2" s="194"/>
      <c r="H2" s="194"/>
      <c r="I2" s="194"/>
      <c r="J2" s="194"/>
      <c r="K2" s="194"/>
    </row>
    <row r="3" spans="1:11" x14ac:dyDescent="0.3">
      <c r="A3" s="65"/>
      <c r="B3" s="65"/>
      <c r="C3" s="65"/>
      <c r="D3" s="65"/>
      <c r="E3" s="65"/>
      <c r="F3" s="65"/>
      <c r="G3" s="65"/>
      <c r="H3" s="65"/>
      <c r="I3" s="65"/>
      <c r="J3" s="65"/>
      <c r="K3" s="66" t="s">
        <v>474</v>
      </c>
    </row>
    <row r="4" spans="1:11" x14ac:dyDescent="0.3">
      <c r="A4" s="67" t="s">
        <v>2</v>
      </c>
      <c r="B4" s="67" t="s">
        <v>475</v>
      </c>
      <c r="C4" s="218"/>
      <c r="D4" s="192"/>
      <c r="E4" s="192"/>
      <c r="F4" s="192"/>
      <c r="G4" s="192"/>
      <c r="H4" s="192"/>
      <c r="I4" s="192"/>
      <c r="J4" s="201"/>
      <c r="K4" s="67" t="s">
        <v>476</v>
      </c>
    </row>
    <row r="5" spans="1:11" x14ac:dyDescent="0.3">
      <c r="A5" s="68">
        <v>1</v>
      </c>
      <c r="B5" s="69" t="s">
        <v>477</v>
      </c>
      <c r="C5" s="70" t="s">
        <v>478</v>
      </c>
      <c r="D5" s="70" t="s">
        <v>479</v>
      </c>
      <c r="E5" s="70" t="s">
        <v>480</v>
      </c>
      <c r="F5" s="70" t="s">
        <v>481</v>
      </c>
      <c r="G5" s="70" t="s">
        <v>482</v>
      </c>
      <c r="H5" s="70" t="s">
        <v>483</v>
      </c>
      <c r="I5" s="70" t="s">
        <v>484</v>
      </c>
      <c r="J5" s="70" t="s">
        <v>485</v>
      </c>
      <c r="K5" s="69"/>
    </row>
    <row r="6" spans="1:11" ht="27.6" customHeight="1" x14ac:dyDescent="0.3">
      <c r="A6" s="68">
        <v>2</v>
      </c>
      <c r="B6" s="69" t="s">
        <v>486</v>
      </c>
      <c r="C6" s="71">
        <v>2.34</v>
      </c>
      <c r="D6" s="71">
        <v>2.65</v>
      </c>
      <c r="E6" s="71">
        <v>2.96</v>
      </c>
      <c r="F6" s="71">
        <v>3.27</v>
      </c>
      <c r="G6" s="71">
        <v>3.58</v>
      </c>
      <c r="H6" s="71">
        <v>3.89</v>
      </c>
      <c r="I6" s="71">
        <v>4.2</v>
      </c>
      <c r="J6" s="71">
        <v>4.51</v>
      </c>
      <c r="K6" s="72" t="s">
        <v>487</v>
      </c>
    </row>
    <row r="7" spans="1:11" ht="27.6" customHeight="1" x14ac:dyDescent="0.3">
      <c r="A7" s="68">
        <v>3</v>
      </c>
      <c r="B7" s="69" t="s">
        <v>488</v>
      </c>
      <c r="C7" s="71">
        <f t="shared" ref="C7:J7" si="0">$C$18</f>
        <v>0</v>
      </c>
      <c r="D7" s="71">
        <f t="shared" si="0"/>
        <v>0</v>
      </c>
      <c r="E7" s="71">
        <f t="shared" si="0"/>
        <v>0</v>
      </c>
      <c r="F7" s="71">
        <f t="shared" si="0"/>
        <v>0</v>
      </c>
      <c r="G7" s="71">
        <f t="shared" si="0"/>
        <v>0</v>
      </c>
      <c r="H7" s="71">
        <f t="shared" si="0"/>
        <v>0</v>
      </c>
      <c r="I7" s="71">
        <f t="shared" si="0"/>
        <v>0</v>
      </c>
      <c r="J7" s="71">
        <f t="shared" si="0"/>
        <v>0</v>
      </c>
      <c r="K7" s="72" t="s">
        <v>489</v>
      </c>
    </row>
    <row r="8" spans="1:11" ht="27.6" customHeight="1" x14ac:dyDescent="0.3">
      <c r="A8" s="68">
        <v>4</v>
      </c>
      <c r="B8" s="69" t="s">
        <v>490</v>
      </c>
      <c r="C8" s="73">
        <f t="shared" ref="C8:J8" si="1">$C$34</f>
        <v>2340000</v>
      </c>
      <c r="D8" s="73">
        <f t="shared" si="1"/>
        <v>2340000</v>
      </c>
      <c r="E8" s="73">
        <f t="shared" si="1"/>
        <v>2340000</v>
      </c>
      <c r="F8" s="73">
        <f t="shared" si="1"/>
        <v>2340000</v>
      </c>
      <c r="G8" s="73">
        <f t="shared" si="1"/>
        <v>2340000</v>
      </c>
      <c r="H8" s="73">
        <f t="shared" si="1"/>
        <v>2340000</v>
      </c>
      <c r="I8" s="73">
        <f t="shared" si="1"/>
        <v>2340000</v>
      </c>
      <c r="J8" s="73">
        <f t="shared" si="1"/>
        <v>2340000</v>
      </c>
      <c r="K8" s="72" t="s">
        <v>491</v>
      </c>
    </row>
    <row r="9" spans="1:11" x14ac:dyDescent="0.3">
      <c r="A9" s="68">
        <v>5</v>
      </c>
      <c r="B9" s="69" t="s">
        <v>492</v>
      </c>
      <c r="C9" s="73">
        <f t="shared" ref="C9:J9" si="2">(C6+C7)*C8</f>
        <v>5475600</v>
      </c>
      <c r="D9" s="73">
        <f t="shared" si="2"/>
        <v>6201000</v>
      </c>
      <c r="E9" s="73">
        <f t="shared" si="2"/>
        <v>6926400</v>
      </c>
      <c r="F9" s="73">
        <f t="shared" si="2"/>
        <v>7651800</v>
      </c>
      <c r="G9" s="73">
        <f t="shared" si="2"/>
        <v>8377200</v>
      </c>
      <c r="H9" s="73">
        <f t="shared" si="2"/>
        <v>9102600</v>
      </c>
      <c r="I9" s="73">
        <f t="shared" si="2"/>
        <v>9828000</v>
      </c>
      <c r="J9" s="73">
        <f t="shared" si="2"/>
        <v>10553400</v>
      </c>
      <c r="K9" s="72"/>
    </row>
    <row r="10" spans="1:11" ht="27.6" customHeight="1" x14ac:dyDescent="0.3">
      <c r="A10" s="68">
        <v>6</v>
      </c>
      <c r="B10" s="69" t="s">
        <v>493</v>
      </c>
      <c r="C10" s="74">
        <v>0.9</v>
      </c>
      <c r="D10" s="74">
        <v>0.9</v>
      </c>
      <c r="E10" s="74">
        <v>0.9</v>
      </c>
      <c r="F10" s="74">
        <v>0.9</v>
      </c>
      <c r="G10" s="74">
        <v>0.9</v>
      </c>
      <c r="H10" s="74">
        <v>0.9</v>
      </c>
      <c r="I10" s="74">
        <v>0.9</v>
      </c>
      <c r="J10" s="74">
        <v>0.9</v>
      </c>
      <c r="K10" s="72" t="s">
        <v>487</v>
      </c>
    </row>
    <row r="11" spans="1:11" x14ac:dyDescent="0.3">
      <c r="A11" s="68">
        <v>7</v>
      </c>
      <c r="B11" s="69" t="s">
        <v>494</v>
      </c>
      <c r="C11" s="73">
        <f t="shared" ref="C11:J11" si="3">(C6+C7)*C8*(1+C10)</f>
        <v>10403640</v>
      </c>
      <c r="D11" s="73">
        <f t="shared" si="3"/>
        <v>11781900</v>
      </c>
      <c r="E11" s="73">
        <f t="shared" si="3"/>
        <v>13160160</v>
      </c>
      <c r="F11" s="73">
        <f t="shared" si="3"/>
        <v>14538420</v>
      </c>
      <c r="G11" s="73">
        <f t="shared" si="3"/>
        <v>15916680</v>
      </c>
      <c r="H11" s="73">
        <f t="shared" si="3"/>
        <v>17294940</v>
      </c>
      <c r="I11" s="73">
        <f t="shared" si="3"/>
        <v>18673200</v>
      </c>
      <c r="J11" s="73">
        <f t="shared" si="3"/>
        <v>20051460</v>
      </c>
      <c r="K11" s="69"/>
    </row>
    <row r="12" spans="1:11" x14ac:dyDescent="0.3">
      <c r="A12" s="68">
        <v>8</v>
      </c>
      <c r="B12" s="75" t="s">
        <v>495</v>
      </c>
      <c r="C12" s="73">
        <f t="shared" ref="C12:J12" si="4">IF($C$32&lt;C9,C9,($C$32))</f>
        <v>5475600</v>
      </c>
      <c r="D12" s="73">
        <f t="shared" si="4"/>
        <v>6201000</v>
      </c>
      <c r="E12" s="73">
        <f t="shared" si="4"/>
        <v>6926400</v>
      </c>
      <c r="F12" s="73">
        <f t="shared" si="4"/>
        <v>7651800</v>
      </c>
      <c r="G12" s="73">
        <f t="shared" si="4"/>
        <v>8377200</v>
      </c>
      <c r="H12" s="73">
        <f t="shared" si="4"/>
        <v>9102600</v>
      </c>
      <c r="I12" s="73">
        <f t="shared" si="4"/>
        <v>9828000</v>
      </c>
      <c r="J12" s="73">
        <f t="shared" si="4"/>
        <v>10553400</v>
      </c>
      <c r="K12" s="76"/>
    </row>
    <row r="13" spans="1:11" ht="27.6" customHeight="1" x14ac:dyDescent="0.3">
      <c r="A13" s="68">
        <v>9</v>
      </c>
      <c r="B13" s="69" t="s">
        <v>496</v>
      </c>
      <c r="C13" s="73">
        <f t="shared" ref="C13:J13" si="5">C12*SUM($C$23:$C$26)</f>
        <v>1286766</v>
      </c>
      <c r="D13" s="73">
        <f t="shared" si="5"/>
        <v>1457235</v>
      </c>
      <c r="E13" s="73">
        <f t="shared" si="5"/>
        <v>1627704</v>
      </c>
      <c r="F13" s="73">
        <f t="shared" si="5"/>
        <v>1798173</v>
      </c>
      <c r="G13" s="73">
        <f t="shared" si="5"/>
        <v>1968642</v>
      </c>
      <c r="H13" s="73">
        <f t="shared" si="5"/>
        <v>2139111</v>
      </c>
      <c r="I13" s="73">
        <f t="shared" si="5"/>
        <v>2309580</v>
      </c>
      <c r="J13" s="73">
        <f t="shared" si="5"/>
        <v>2480049</v>
      </c>
      <c r="K13" s="72"/>
    </row>
    <row r="14" spans="1:11" ht="27.6" customHeight="1" x14ac:dyDescent="0.3">
      <c r="A14" s="68">
        <v>10</v>
      </c>
      <c r="B14" s="69" t="s">
        <v>497</v>
      </c>
      <c r="C14" s="73">
        <f t="shared" ref="C14:J14" si="6">C11+C13</f>
        <v>11690406</v>
      </c>
      <c r="D14" s="73">
        <f t="shared" si="6"/>
        <v>13239135</v>
      </c>
      <c r="E14" s="73">
        <f t="shared" si="6"/>
        <v>14787864</v>
      </c>
      <c r="F14" s="73">
        <f t="shared" si="6"/>
        <v>16336593</v>
      </c>
      <c r="G14" s="73">
        <f t="shared" si="6"/>
        <v>17885322</v>
      </c>
      <c r="H14" s="73">
        <f t="shared" si="6"/>
        <v>19434051</v>
      </c>
      <c r="I14" s="73">
        <f t="shared" si="6"/>
        <v>20982780</v>
      </c>
      <c r="J14" s="73">
        <f t="shared" si="6"/>
        <v>22531509</v>
      </c>
      <c r="K14" s="69"/>
    </row>
    <row r="15" spans="1:11" ht="26.25" customHeight="1" x14ac:dyDescent="0.3">
      <c r="A15" s="68">
        <v>11</v>
      </c>
      <c r="B15" s="69" t="s">
        <v>498</v>
      </c>
      <c r="C15" s="73">
        <f t="shared" ref="C15:J15" si="7">C14/$C$28</f>
        <v>449631</v>
      </c>
      <c r="D15" s="73">
        <f t="shared" si="7"/>
        <v>509197.5</v>
      </c>
      <c r="E15" s="73">
        <f t="shared" si="7"/>
        <v>568764</v>
      </c>
      <c r="F15" s="73">
        <f t="shared" si="7"/>
        <v>628330.5</v>
      </c>
      <c r="G15" s="73">
        <f t="shared" si="7"/>
        <v>687897</v>
      </c>
      <c r="H15" s="73">
        <f t="shared" si="7"/>
        <v>747463.5</v>
      </c>
      <c r="I15" s="73">
        <f t="shared" si="7"/>
        <v>807030</v>
      </c>
      <c r="J15" s="73">
        <f t="shared" si="7"/>
        <v>866596.5</v>
      </c>
      <c r="K15" s="72" t="s">
        <v>499</v>
      </c>
    </row>
    <row r="16" spans="1:11" x14ac:dyDescent="0.3">
      <c r="A16" s="68">
        <v>12</v>
      </c>
      <c r="B16" s="69" t="s">
        <v>500</v>
      </c>
      <c r="C16" s="73">
        <f t="shared" ref="C16:J16" si="8">C15/$C$29</f>
        <v>56203.875</v>
      </c>
      <c r="D16" s="73">
        <f t="shared" si="8"/>
        <v>63649.6875</v>
      </c>
      <c r="E16" s="73">
        <f t="shared" si="8"/>
        <v>71095.5</v>
      </c>
      <c r="F16" s="73">
        <f t="shared" si="8"/>
        <v>78541.3125</v>
      </c>
      <c r="G16" s="73">
        <f t="shared" si="8"/>
        <v>85987.125</v>
      </c>
      <c r="H16" s="73">
        <f t="shared" si="8"/>
        <v>93432.9375</v>
      </c>
      <c r="I16" s="73">
        <f t="shared" si="8"/>
        <v>100878.75</v>
      </c>
      <c r="J16" s="73">
        <f t="shared" si="8"/>
        <v>108324.5625</v>
      </c>
      <c r="K16" s="72" t="s">
        <v>501</v>
      </c>
    </row>
    <row r="17" spans="1:11" x14ac:dyDescent="0.3">
      <c r="A17" s="77"/>
      <c r="B17" s="78"/>
      <c r="C17" s="79"/>
      <c r="D17" s="79"/>
      <c r="E17" s="79"/>
      <c r="F17" s="79"/>
      <c r="G17" s="79"/>
      <c r="H17" s="79"/>
      <c r="I17" s="79"/>
      <c r="J17" s="79"/>
      <c r="K17" s="80"/>
    </row>
    <row r="18" spans="1:11" x14ac:dyDescent="0.3">
      <c r="A18" s="81"/>
      <c r="B18" s="82" t="s">
        <v>488</v>
      </c>
      <c r="C18" s="71">
        <v>0</v>
      </c>
      <c r="D18" s="83"/>
      <c r="E18" s="83"/>
      <c r="F18" s="84"/>
      <c r="G18" s="84"/>
      <c r="H18" s="84"/>
      <c r="I18" s="84"/>
      <c r="J18" s="84"/>
      <c r="K18" s="83"/>
    </row>
    <row r="19" spans="1:11" x14ac:dyDescent="0.3">
      <c r="A19" s="81"/>
      <c r="B19" s="85"/>
      <c r="C19" s="83"/>
      <c r="D19" s="83"/>
      <c r="E19" s="83"/>
      <c r="F19" s="84"/>
      <c r="G19" s="84"/>
      <c r="H19" s="84"/>
      <c r="I19" s="84"/>
      <c r="J19" s="84"/>
      <c r="K19" s="83"/>
    </row>
    <row r="20" spans="1:11" x14ac:dyDescent="0.3">
      <c r="A20" s="81"/>
      <c r="B20" s="86" t="s">
        <v>502</v>
      </c>
      <c r="C20" s="87" t="s">
        <v>292</v>
      </c>
      <c r="D20" s="87" t="s">
        <v>311</v>
      </c>
      <c r="E20" s="87" t="s">
        <v>314</v>
      </c>
      <c r="F20" s="87" t="s">
        <v>317</v>
      </c>
      <c r="G20" s="84"/>
      <c r="H20" s="84"/>
      <c r="I20" s="84"/>
      <c r="J20" s="84"/>
      <c r="K20" s="83"/>
    </row>
    <row r="21" spans="1:11" x14ac:dyDescent="0.3">
      <c r="A21" s="81"/>
      <c r="B21" s="88" t="s">
        <v>503</v>
      </c>
      <c r="C21" s="89">
        <v>1.2</v>
      </c>
      <c r="D21" s="89">
        <v>0.9</v>
      </c>
      <c r="E21" s="89">
        <v>0.7</v>
      </c>
      <c r="F21" s="89">
        <v>0.5</v>
      </c>
      <c r="G21" s="84"/>
      <c r="H21" s="84"/>
      <c r="I21" s="84"/>
      <c r="J21" s="84"/>
      <c r="K21" s="83"/>
    </row>
    <row r="22" spans="1:11" x14ac:dyDescent="0.3">
      <c r="A22" s="65"/>
      <c r="B22" s="90"/>
      <c r="C22" s="65"/>
      <c r="D22" s="91"/>
      <c r="E22" s="65"/>
      <c r="F22" s="65"/>
      <c r="G22" s="65"/>
      <c r="H22" s="65"/>
      <c r="I22" s="65"/>
      <c r="J22" s="65"/>
      <c r="K22" s="65"/>
    </row>
    <row r="23" spans="1:11" x14ac:dyDescent="0.3">
      <c r="A23" s="65"/>
      <c r="B23" s="92" t="s">
        <v>504</v>
      </c>
      <c r="C23" s="93">
        <v>0.17499999999999999</v>
      </c>
      <c r="D23" s="65"/>
      <c r="E23" s="65"/>
      <c r="F23" s="65"/>
      <c r="G23" s="65"/>
      <c r="H23" s="65"/>
      <c r="I23" s="65"/>
      <c r="J23" s="65"/>
      <c r="K23" s="65"/>
    </row>
    <row r="24" spans="1:11" x14ac:dyDescent="0.3">
      <c r="A24" s="65"/>
      <c r="B24" s="92" t="s">
        <v>505</v>
      </c>
      <c r="C24" s="94">
        <v>0.03</v>
      </c>
      <c r="D24" s="91"/>
      <c r="E24" s="65"/>
      <c r="F24" s="65"/>
      <c r="G24" s="65"/>
      <c r="H24" s="65"/>
      <c r="I24" s="65"/>
      <c r="J24" s="65"/>
      <c r="K24" s="65"/>
    </row>
    <row r="25" spans="1:11" x14ac:dyDescent="0.3">
      <c r="A25" s="65"/>
      <c r="B25" s="92" t="s">
        <v>506</v>
      </c>
      <c r="C25" s="94">
        <v>0.01</v>
      </c>
      <c r="D25" s="65"/>
      <c r="E25" s="65"/>
      <c r="F25" s="65"/>
      <c r="G25" s="65"/>
      <c r="H25" s="65"/>
      <c r="I25" s="65"/>
      <c r="J25" s="65"/>
      <c r="K25" s="65"/>
    </row>
    <row r="26" spans="1:11" x14ac:dyDescent="0.3">
      <c r="A26" s="65"/>
      <c r="B26" s="92" t="s">
        <v>507</v>
      </c>
      <c r="C26" s="94">
        <v>0.02</v>
      </c>
      <c r="D26" s="70"/>
      <c r="E26" s="70"/>
      <c r="F26" s="70"/>
      <c r="G26" s="70"/>
      <c r="H26" s="70"/>
      <c r="I26" s="70"/>
      <c r="J26" s="70"/>
      <c r="K26" s="65"/>
    </row>
    <row r="27" spans="1:11" x14ac:dyDescent="0.3">
      <c r="A27" s="65"/>
      <c r="B27" s="95"/>
      <c r="C27" s="96"/>
      <c r="D27" s="96"/>
      <c r="E27" s="96"/>
      <c r="F27" s="96"/>
      <c r="G27" s="96"/>
      <c r="H27" s="96"/>
      <c r="I27" s="96"/>
      <c r="J27" s="96"/>
      <c r="K27" s="65"/>
    </row>
    <row r="28" spans="1:11" x14ac:dyDescent="0.3">
      <c r="A28" s="65"/>
      <c r="B28" s="97" t="s">
        <v>498</v>
      </c>
      <c r="C28" s="68">
        <v>26</v>
      </c>
      <c r="D28" s="65"/>
      <c r="E28" s="65"/>
      <c r="F28" s="65"/>
      <c r="G28" s="65"/>
      <c r="H28" s="65"/>
      <c r="I28" s="65"/>
      <c r="J28" s="65"/>
      <c r="K28" s="65"/>
    </row>
    <row r="29" spans="1:11" x14ac:dyDescent="0.3">
      <c r="A29" s="65"/>
      <c r="B29" s="97" t="s">
        <v>500</v>
      </c>
      <c r="C29" s="68">
        <v>8</v>
      </c>
      <c r="D29" s="70"/>
      <c r="E29" s="70"/>
      <c r="F29" s="70"/>
      <c r="G29" s="70"/>
      <c r="H29" s="70"/>
      <c r="I29" s="70"/>
      <c r="J29" s="65"/>
      <c r="K29" s="65"/>
    </row>
    <row r="30" spans="1:11" x14ac:dyDescent="0.3">
      <c r="A30" s="65"/>
      <c r="B30" s="65"/>
      <c r="C30" s="98"/>
      <c r="D30" s="98"/>
      <c r="E30" s="98"/>
      <c r="F30" s="98"/>
      <c r="G30" s="98"/>
      <c r="H30" s="98"/>
      <c r="I30" s="98"/>
      <c r="J30" s="65"/>
      <c r="K30" s="65"/>
    </row>
    <row r="31" spans="1:11" x14ac:dyDescent="0.3">
      <c r="A31" s="65"/>
      <c r="B31" s="99" t="s">
        <v>502</v>
      </c>
      <c r="C31" s="99" t="s">
        <v>292</v>
      </c>
      <c r="D31" s="99" t="s">
        <v>311</v>
      </c>
      <c r="E31" s="99" t="s">
        <v>314</v>
      </c>
      <c r="F31" s="99" t="s">
        <v>317</v>
      </c>
      <c r="G31" s="100"/>
      <c r="H31" s="100"/>
      <c r="I31" s="100"/>
      <c r="J31" s="65"/>
      <c r="K31" s="65"/>
    </row>
    <row r="32" spans="1:11" ht="41.4" customHeight="1" x14ac:dyDescent="0.3">
      <c r="A32" s="65"/>
      <c r="B32" s="101" t="s">
        <v>508</v>
      </c>
      <c r="C32" s="102">
        <v>4960000</v>
      </c>
      <c r="D32" s="102">
        <v>4410000</v>
      </c>
      <c r="E32" s="102">
        <v>3860000</v>
      </c>
      <c r="F32" s="102">
        <v>3450000</v>
      </c>
      <c r="G32" s="100"/>
      <c r="H32" s="100"/>
      <c r="I32" s="100"/>
      <c r="J32" s="65"/>
      <c r="K32" s="65"/>
    </row>
    <row r="33" spans="1:11" x14ac:dyDescent="0.3">
      <c r="A33" s="65"/>
      <c r="B33" s="100"/>
      <c r="C33" s="100"/>
      <c r="D33" s="100"/>
      <c r="E33" s="100"/>
      <c r="F33" s="100"/>
      <c r="G33" s="100"/>
      <c r="H33" s="100"/>
      <c r="I33" s="100"/>
      <c r="J33" s="65"/>
      <c r="K33" s="65"/>
    </row>
    <row r="34" spans="1:11" ht="27.6" customHeight="1" x14ac:dyDescent="0.3">
      <c r="A34" s="65"/>
      <c r="B34" s="101" t="s">
        <v>509</v>
      </c>
      <c r="C34" s="102">
        <v>2340000</v>
      </c>
      <c r="D34" s="100"/>
      <c r="E34" s="100"/>
      <c r="F34" s="100"/>
      <c r="G34" s="100"/>
      <c r="H34" s="100"/>
      <c r="I34" s="100"/>
      <c r="J34" s="65"/>
      <c r="K34" s="65"/>
    </row>
  </sheetData>
  <mergeCells count="2">
    <mergeCell ref="A2:K2"/>
    <mergeCell ref="C4:J4"/>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F0"/>
  </sheetPr>
  <dimension ref="A1:G14"/>
  <sheetViews>
    <sheetView workbookViewId="0">
      <selection activeCell="G23" sqref="G23"/>
    </sheetView>
  </sheetViews>
  <sheetFormatPr defaultRowHeight="14.4" x14ac:dyDescent="0.3"/>
  <cols>
    <col min="1" max="1" width="5.44140625" customWidth="1"/>
    <col min="2" max="2" width="35.6640625" customWidth="1"/>
    <col min="3" max="4" width="10.33203125" customWidth="1"/>
    <col min="5" max="5" width="10.109375" customWidth="1"/>
    <col min="6" max="6" width="14.44140625" customWidth="1"/>
    <col min="7" max="7" width="58" customWidth="1"/>
  </cols>
  <sheetData>
    <row r="1" spans="1:7" ht="16.8" customHeight="1" x14ac:dyDescent="0.3">
      <c r="A1" s="219" t="s">
        <v>510</v>
      </c>
      <c r="B1" s="194"/>
      <c r="C1" s="194"/>
      <c r="D1" s="194"/>
      <c r="E1" s="194"/>
      <c r="F1" s="194"/>
      <c r="G1" s="194"/>
    </row>
    <row r="2" spans="1:7" x14ac:dyDescent="0.3">
      <c r="A2" s="121"/>
      <c r="B2" s="121"/>
      <c r="C2" s="121"/>
      <c r="D2" s="121"/>
      <c r="E2" s="121"/>
      <c r="F2" s="121"/>
      <c r="G2" s="121"/>
    </row>
    <row r="3" spans="1:7" x14ac:dyDescent="0.3">
      <c r="A3" s="220" t="s">
        <v>2</v>
      </c>
      <c r="B3" s="221" t="s">
        <v>511</v>
      </c>
      <c r="C3" s="220" t="s">
        <v>290</v>
      </c>
      <c r="D3" s="220" t="s">
        <v>512</v>
      </c>
      <c r="E3" s="220" t="s">
        <v>513</v>
      </c>
      <c r="F3" s="220" t="s">
        <v>514</v>
      </c>
      <c r="G3" s="221" t="s">
        <v>8</v>
      </c>
    </row>
    <row r="4" spans="1:7" x14ac:dyDescent="0.3">
      <c r="A4" s="211"/>
      <c r="B4" s="211"/>
      <c r="C4" s="211"/>
      <c r="D4" s="211"/>
      <c r="E4" s="211"/>
      <c r="F4" s="211"/>
      <c r="G4" s="211"/>
    </row>
    <row r="5" spans="1:7" ht="78" customHeight="1" x14ac:dyDescent="0.3">
      <c r="A5" s="122" t="s">
        <v>292</v>
      </c>
      <c r="B5" s="123" t="s">
        <v>515</v>
      </c>
      <c r="C5" s="124"/>
      <c r="D5" s="124"/>
      <c r="E5" s="124"/>
      <c r="F5" s="124"/>
      <c r="G5" s="124" t="s">
        <v>516</v>
      </c>
    </row>
    <row r="6" spans="1:7" ht="15.6" customHeight="1" x14ac:dyDescent="0.3">
      <c r="A6" s="125">
        <v>1</v>
      </c>
      <c r="B6" s="126" t="s">
        <v>517</v>
      </c>
      <c r="C6" s="127"/>
      <c r="D6" s="127"/>
      <c r="E6" s="128"/>
      <c r="F6" s="129">
        <f>SUM(F7:F8)</f>
        <v>3500000</v>
      </c>
      <c r="G6" s="130"/>
    </row>
    <row r="7" spans="1:7" ht="31.2" customHeight="1" x14ac:dyDescent="0.3">
      <c r="A7" s="125"/>
      <c r="B7" s="131" t="s">
        <v>518</v>
      </c>
      <c r="C7" s="127" t="s">
        <v>519</v>
      </c>
      <c r="D7" s="127">
        <v>4</v>
      </c>
      <c r="E7" s="132">
        <v>800000</v>
      </c>
      <c r="F7" s="132">
        <f>D7*E7</f>
        <v>3200000</v>
      </c>
      <c r="G7" s="169" t="s">
        <v>520</v>
      </c>
    </row>
    <row r="8" spans="1:7" ht="31.2" customHeight="1" x14ac:dyDescent="0.3">
      <c r="A8" s="125"/>
      <c r="B8" s="131" t="s">
        <v>521</v>
      </c>
      <c r="C8" s="127" t="s">
        <v>522</v>
      </c>
      <c r="D8" s="127">
        <v>2</v>
      </c>
      <c r="E8" s="132">
        <v>150000</v>
      </c>
      <c r="F8" s="132">
        <f>D8*E8</f>
        <v>300000</v>
      </c>
      <c r="G8" s="130" t="s">
        <v>523</v>
      </c>
    </row>
    <row r="9" spans="1:7" ht="16.2" customHeight="1" x14ac:dyDescent="0.3">
      <c r="A9" s="125">
        <v>2</v>
      </c>
      <c r="B9" s="126" t="s">
        <v>524</v>
      </c>
      <c r="C9" s="133"/>
      <c r="D9" s="133"/>
      <c r="E9" s="128"/>
      <c r="F9" s="129">
        <f>SUM(F10:F11)</f>
        <v>3260000</v>
      </c>
      <c r="G9" s="130"/>
    </row>
    <row r="10" spans="1:7" ht="46.8" customHeight="1" x14ac:dyDescent="0.3">
      <c r="A10" s="134"/>
      <c r="B10" s="131" t="s">
        <v>525</v>
      </c>
      <c r="C10" s="127" t="s">
        <v>519</v>
      </c>
      <c r="D10" s="127">
        <v>84</v>
      </c>
      <c r="E10" s="132">
        <v>15000</v>
      </c>
      <c r="F10" s="132">
        <f>D10*E10</f>
        <v>1260000</v>
      </c>
      <c r="G10" s="130" t="s">
        <v>526</v>
      </c>
    </row>
    <row r="11" spans="1:7" ht="16.2" customHeight="1" x14ac:dyDescent="0.3">
      <c r="A11" s="134"/>
      <c r="B11" s="131" t="s">
        <v>527</v>
      </c>
      <c r="C11" s="127" t="s">
        <v>528</v>
      </c>
      <c r="D11" s="127">
        <v>40</v>
      </c>
      <c r="E11" s="132">
        <v>50000</v>
      </c>
      <c r="F11" s="132">
        <f>D11*E11</f>
        <v>2000000</v>
      </c>
      <c r="G11" s="130" t="s">
        <v>529</v>
      </c>
    </row>
    <row r="12" spans="1:7" ht="16.2" customHeight="1" x14ac:dyDescent="0.3">
      <c r="A12" s="125">
        <v>3</v>
      </c>
      <c r="B12" s="126" t="s">
        <v>530</v>
      </c>
      <c r="C12" s="133">
        <v>60</v>
      </c>
      <c r="D12" s="133"/>
      <c r="E12" s="135"/>
      <c r="F12" s="129">
        <f>F13</f>
        <v>2400000</v>
      </c>
      <c r="G12" s="130"/>
    </row>
    <row r="13" spans="1:7" ht="15.6" customHeight="1" x14ac:dyDescent="0.3">
      <c r="A13" s="136"/>
      <c r="B13" s="131" t="s">
        <v>531</v>
      </c>
      <c r="C13" s="127" t="s">
        <v>532</v>
      </c>
      <c r="D13" s="137">
        <v>40</v>
      </c>
      <c r="E13" s="132">
        <v>60000</v>
      </c>
      <c r="F13" s="132">
        <f>E13*D13</f>
        <v>2400000</v>
      </c>
      <c r="G13" s="130" t="s">
        <v>529</v>
      </c>
    </row>
    <row r="14" spans="1:7" ht="15.6" customHeight="1" x14ac:dyDescent="0.3">
      <c r="A14" s="138"/>
      <c r="B14" s="139" t="s">
        <v>533</v>
      </c>
      <c r="C14" s="140"/>
      <c r="D14" s="140"/>
      <c r="E14" s="140"/>
      <c r="F14" s="141">
        <f>SUM(F6,F9,F12)</f>
        <v>9160000</v>
      </c>
      <c r="G14" s="140"/>
    </row>
  </sheetData>
  <mergeCells count="8">
    <mergeCell ref="A1:G1"/>
    <mergeCell ref="C3:C4"/>
    <mergeCell ref="A3:A4"/>
    <mergeCell ref="G3:G4"/>
    <mergeCell ref="B3:B4"/>
    <mergeCell ref="E3:E4"/>
    <mergeCell ref="F3:F4"/>
    <mergeCell ref="D3:D4"/>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F0"/>
  </sheetPr>
  <dimension ref="A2:H15"/>
  <sheetViews>
    <sheetView topLeftCell="A7" workbookViewId="0">
      <selection activeCell="F7" sqref="F7"/>
    </sheetView>
  </sheetViews>
  <sheetFormatPr defaultRowHeight="14.4" x14ac:dyDescent="0.3"/>
  <cols>
    <col min="1" max="1" width="5.5546875" customWidth="1"/>
    <col min="2" max="2" width="32.44140625" customWidth="1"/>
    <col min="3" max="5" width="10.33203125" customWidth="1"/>
    <col min="6" max="6" width="15.109375" customWidth="1"/>
    <col min="7" max="7" width="14.44140625" customWidth="1"/>
    <col min="8" max="8" width="33.88671875" customWidth="1"/>
  </cols>
  <sheetData>
    <row r="2" spans="1:8" ht="16.8" customHeight="1" x14ac:dyDescent="0.3">
      <c r="A2" s="219" t="s">
        <v>534</v>
      </c>
      <c r="B2" s="194"/>
      <c r="C2" s="194"/>
      <c r="D2" s="194"/>
      <c r="E2" s="194"/>
      <c r="F2" s="194"/>
      <c r="G2" s="194"/>
      <c r="H2" s="194"/>
    </row>
    <row r="3" spans="1:8" x14ac:dyDescent="0.3">
      <c r="A3" s="121"/>
      <c r="B3" s="121"/>
      <c r="C3" s="121"/>
      <c r="D3" s="121"/>
      <c r="E3" s="121"/>
      <c r="F3" s="121"/>
      <c r="G3" s="121"/>
      <c r="H3" s="121"/>
    </row>
    <row r="4" spans="1:8" ht="15.6" customHeight="1" x14ac:dyDescent="0.3">
      <c r="A4" s="220" t="s">
        <v>2</v>
      </c>
      <c r="B4" s="221" t="s">
        <v>511</v>
      </c>
      <c r="C4" s="220" t="s">
        <v>290</v>
      </c>
      <c r="D4" s="220" t="s">
        <v>512</v>
      </c>
      <c r="E4" s="201"/>
      <c r="F4" s="220" t="s">
        <v>513</v>
      </c>
      <c r="G4" s="220" t="s">
        <v>514</v>
      </c>
      <c r="H4" s="221" t="s">
        <v>8</v>
      </c>
    </row>
    <row r="5" spans="1:8" ht="15.6" customHeight="1" x14ac:dyDescent="0.3">
      <c r="A5" s="211"/>
      <c r="B5" s="211"/>
      <c r="C5" s="211"/>
      <c r="D5" s="142" t="s">
        <v>535</v>
      </c>
      <c r="E5" s="142" t="s">
        <v>536</v>
      </c>
      <c r="F5" s="211"/>
      <c r="G5" s="211"/>
      <c r="H5" s="211"/>
    </row>
    <row r="6" spans="1:8" ht="15.6" customHeight="1" x14ac:dyDescent="0.3">
      <c r="A6" s="122" t="s">
        <v>292</v>
      </c>
      <c r="B6" s="222" t="s">
        <v>537</v>
      </c>
      <c r="C6" s="192"/>
      <c r="D6" s="192"/>
      <c r="E6" s="201"/>
      <c r="F6" s="223" t="s">
        <v>538</v>
      </c>
      <c r="G6" s="192"/>
      <c r="H6" s="201"/>
    </row>
    <row r="7" spans="1:8" ht="15.6" customHeight="1" x14ac:dyDescent="0.3">
      <c r="A7" s="125">
        <v>1</v>
      </c>
      <c r="B7" s="126" t="s">
        <v>517</v>
      </c>
      <c r="C7" s="136"/>
      <c r="D7" s="136"/>
      <c r="E7" s="136"/>
      <c r="F7" s="143"/>
      <c r="G7" s="144">
        <f>SUM(G8:G9)</f>
        <v>1750000</v>
      </c>
      <c r="H7" s="131"/>
    </row>
    <row r="8" spans="1:8" ht="31.2" customHeight="1" x14ac:dyDescent="0.3">
      <c r="A8" s="125"/>
      <c r="B8" s="131" t="s">
        <v>539</v>
      </c>
      <c r="C8" s="136" t="s">
        <v>519</v>
      </c>
      <c r="D8" s="136">
        <v>2</v>
      </c>
      <c r="E8" s="136">
        <v>1</v>
      </c>
      <c r="F8" s="145">
        <v>800000</v>
      </c>
      <c r="G8" s="145">
        <f>D8*E8*F8</f>
        <v>1600000</v>
      </c>
      <c r="H8" s="146" t="s">
        <v>520</v>
      </c>
    </row>
    <row r="9" spans="1:8" ht="31.2" customHeight="1" x14ac:dyDescent="0.3">
      <c r="A9" s="125"/>
      <c r="B9" s="131" t="s">
        <v>540</v>
      </c>
      <c r="C9" s="136" t="s">
        <v>522</v>
      </c>
      <c r="D9" s="136">
        <v>1</v>
      </c>
      <c r="E9" s="136">
        <v>1</v>
      </c>
      <c r="F9" s="145">
        <v>150000</v>
      </c>
      <c r="G9" s="145">
        <f>D9*E9*F9</f>
        <v>150000</v>
      </c>
      <c r="H9" s="131" t="s">
        <v>523</v>
      </c>
    </row>
    <row r="10" spans="1:8" ht="31.2" customHeight="1" x14ac:dyDescent="0.3">
      <c r="A10" s="125">
        <v>2</v>
      </c>
      <c r="B10" s="126" t="s">
        <v>524</v>
      </c>
      <c r="C10" s="134"/>
      <c r="D10" s="134"/>
      <c r="E10" s="134"/>
      <c r="F10" s="143"/>
      <c r="G10" s="144">
        <f>SUM(G11:G12)</f>
        <v>830000</v>
      </c>
      <c r="H10" s="131"/>
    </row>
    <row r="11" spans="1:8" ht="31.2" customHeight="1" x14ac:dyDescent="0.3">
      <c r="A11" s="134"/>
      <c r="B11" s="131" t="s">
        <v>541</v>
      </c>
      <c r="C11" s="136" t="s">
        <v>519</v>
      </c>
      <c r="D11" s="136">
        <v>2</v>
      </c>
      <c r="E11" s="147">
        <v>11</v>
      </c>
      <c r="F11" s="145">
        <v>15000</v>
      </c>
      <c r="G11" s="145">
        <f>D11*E11*F11</f>
        <v>330000</v>
      </c>
      <c r="H11" s="131" t="s">
        <v>526</v>
      </c>
    </row>
    <row r="12" spans="1:8" ht="16.2" customHeight="1" x14ac:dyDescent="0.3">
      <c r="A12" s="134"/>
      <c r="B12" s="131" t="s">
        <v>542</v>
      </c>
      <c r="C12" s="136" t="s">
        <v>543</v>
      </c>
      <c r="D12" s="136">
        <v>1</v>
      </c>
      <c r="E12" s="147">
        <v>10</v>
      </c>
      <c r="F12" s="145">
        <v>50000</v>
      </c>
      <c r="G12" s="145">
        <f>D12*E12*F12</f>
        <v>500000</v>
      </c>
      <c r="H12" s="131" t="s">
        <v>529</v>
      </c>
    </row>
    <row r="13" spans="1:8" ht="16.2" customHeight="1" x14ac:dyDescent="0.3">
      <c r="A13" s="125">
        <v>3</v>
      </c>
      <c r="B13" s="126" t="s">
        <v>530</v>
      </c>
      <c r="C13" s="134"/>
      <c r="D13" s="134"/>
      <c r="E13" s="134"/>
      <c r="F13" s="148"/>
      <c r="G13" s="144">
        <f>G14</f>
        <v>500000</v>
      </c>
      <c r="H13" s="131"/>
    </row>
    <row r="14" spans="1:8" ht="15.6" customHeight="1" x14ac:dyDescent="0.3">
      <c r="A14" s="136"/>
      <c r="B14" s="131" t="s">
        <v>531</v>
      </c>
      <c r="C14" s="136" t="s">
        <v>532</v>
      </c>
      <c r="D14" s="149">
        <v>10</v>
      </c>
      <c r="E14" s="136"/>
      <c r="F14" s="145">
        <v>50000</v>
      </c>
      <c r="G14" s="145">
        <f>F14*D14</f>
        <v>500000</v>
      </c>
      <c r="H14" s="131" t="s">
        <v>529</v>
      </c>
    </row>
    <row r="15" spans="1:8" ht="15.6" customHeight="1" x14ac:dyDescent="0.3">
      <c r="A15" s="138"/>
      <c r="B15" s="139" t="s">
        <v>533</v>
      </c>
      <c r="C15" s="138"/>
      <c r="D15" s="138"/>
      <c r="E15" s="138"/>
      <c r="F15" s="138"/>
      <c r="G15" s="150">
        <f>SUM(G7,,G10,G13)</f>
        <v>3080000</v>
      </c>
      <c r="H15" s="138"/>
    </row>
  </sheetData>
  <mergeCells count="10">
    <mergeCell ref="A2:H2"/>
    <mergeCell ref="B6:E6"/>
    <mergeCell ref="G4:G5"/>
    <mergeCell ref="H4:H5"/>
    <mergeCell ref="D4:E4"/>
    <mergeCell ref="F6:H6"/>
    <mergeCell ref="B4:B5"/>
    <mergeCell ref="C4:C5"/>
    <mergeCell ref="A4:A5"/>
    <mergeCell ref="F4: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Tổng hợp CP PM</vt:lpstr>
      <vt:lpstr>PLVIII.GTPM (G)</vt:lpstr>
      <vt:lpstr>PLI.Actors</vt:lpstr>
      <vt:lpstr>PLII.DS chức năng</vt:lpstr>
      <vt:lpstr>PLIII.Chuyển đổi UC</vt:lpstr>
      <vt:lpstr>PLIV.TAW</vt:lpstr>
      <vt:lpstr>PLV.TBF</vt:lpstr>
      <vt:lpstr>PLVI.TFW</vt:lpstr>
      <vt:lpstr>PLVII.EFW</vt:lpstr>
      <vt:lpstr>KN Thành Viên</vt:lpstr>
      <vt:lpstr>Lương-H</vt:lpstr>
      <vt:lpstr>bangluong</vt:lpstr>
      <vt:lpstr>2.1.Đào tạo HDSD</vt:lpstr>
      <vt:lpstr>2.2.Đào tạo QTHT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hòa hồ</dc:creator>
  <cp:lastModifiedBy>TAM NGUYEN THI THU</cp:lastModifiedBy>
  <dcterms:created xsi:type="dcterms:W3CDTF">2024-08-22T16:10:11Z</dcterms:created>
  <dcterms:modified xsi:type="dcterms:W3CDTF">2026-05-25T09:04:33Z</dcterms:modified>
</cp:coreProperties>
</file>
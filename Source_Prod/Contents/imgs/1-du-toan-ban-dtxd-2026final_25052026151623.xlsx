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Data_2025\Dự án\2026\Ban QLDA các dự án đầu tư\"/>
    </mc:Choice>
  </mc:AlternateContent>
  <xr:revisionPtr revIDLastSave="0" documentId="13_ncr:1_{2A5BF4A7-7420-4947-A099-277E2ECA59D8}" xr6:coauthVersionLast="47" xr6:coauthVersionMax="47" xr10:uidLastSave="{00000000-0000-0000-0000-000000000000}"/>
  <bookViews>
    <workbookView xWindow="14295" yWindow="0" windowWidth="14610" windowHeight="15585" activeTab="1" xr2:uid="{00000000-000D-0000-FFFF-FFFF00000000}"/>
  </bookViews>
  <sheets>
    <sheet name="Phân kỳ nguồn vốn" sheetId="16" r:id="rId1"/>
    <sheet name="Dự toán đầu tư chi tiết" sheetId="17" r:id="rId2"/>
    <sheet name="Chi phí phần mềm" sheetId="14" r:id="rId3"/>
    <sheet name="Chi phí số hóa" sheetId="12" r:id="rId4"/>
    <sheet name="Chi phí tạo lập dự liệu" sheetId="15" r:id="rId5"/>
    <sheet name="Biểu phí TĐG" sheetId="1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 i="16" l="1"/>
  <c r="F27" i="16"/>
  <c r="G6" i="16"/>
  <c r="G21" i="16"/>
  <c r="F21" i="16"/>
  <c r="G12" i="16"/>
  <c r="F12" i="16"/>
  <c r="G20" i="16"/>
  <c r="G10" i="16"/>
  <c r="E24" i="17"/>
  <c r="C15" i="18"/>
  <c r="C16" i="18" s="1"/>
  <c r="C18" i="18" s="1"/>
  <c r="D6" i="12" l="1"/>
  <c r="D7" i="12"/>
  <c r="G9" i="17"/>
  <c r="F9" i="17"/>
  <c r="K37" i="15"/>
  <c r="E9" i="17"/>
  <c r="E7" i="17"/>
  <c r="E16" i="17" l="1"/>
  <c r="G7" i="17"/>
  <c r="F24" i="17"/>
  <c r="G24" i="17" s="1"/>
  <c r="F16" i="17" l="1"/>
  <c r="G16" i="17" s="1"/>
  <c r="K38" i="15" l="1"/>
  <c r="K36" i="15"/>
  <c r="D5" i="12"/>
  <c r="F5" i="12" s="1"/>
  <c r="F7" i="12"/>
  <c r="F6" i="12"/>
  <c r="D8" i="14"/>
  <c r="F8" i="12" l="1"/>
  <c r="E8" i="17" s="1"/>
  <c r="F8" i="17" l="1"/>
  <c r="F6" i="17" s="1"/>
  <c r="F5" i="17" s="1"/>
  <c r="E6" i="17"/>
  <c r="G8" i="17"/>
  <c r="G6" i="17" s="1"/>
  <c r="E13" i="17" l="1"/>
  <c r="E5" i="17"/>
  <c r="E15" i="17"/>
  <c r="E11" i="17"/>
  <c r="E10" i="17" l="1"/>
  <c r="F11" i="17"/>
  <c r="F10" i="17" s="1"/>
  <c r="F13" i="17"/>
  <c r="E14" i="17"/>
  <c r="F15" i="17"/>
  <c r="G15" i="17" s="1"/>
  <c r="E20" i="17"/>
  <c r="F20" i="17" s="1"/>
  <c r="G20" i="17" s="1"/>
  <c r="E25" i="17"/>
  <c r="G25" i="17" s="1"/>
  <c r="G5" i="17"/>
  <c r="E19" i="17"/>
  <c r="F19" i="17" s="1"/>
  <c r="G19" i="17" s="1"/>
  <c r="E23" i="17"/>
  <c r="F23" i="17" s="1"/>
  <c r="G23" i="17" s="1"/>
  <c r="E18" i="17"/>
  <c r="E22" i="17"/>
  <c r="G13" i="17" l="1"/>
  <c r="F14" i="17"/>
  <c r="G14" i="17"/>
  <c r="G11" i="17"/>
  <c r="G10" i="17" s="1"/>
  <c r="F22" i="17"/>
  <c r="F21" i="17" s="1"/>
  <c r="E21" i="17"/>
  <c r="G22" i="17"/>
  <c r="F18" i="17"/>
  <c r="F17" i="17" s="1"/>
  <c r="E17" i="17"/>
  <c r="E12" i="17" s="1"/>
  <c r="G18" i="17"/>
  <c r="F12" i="17" l="1"/>
  <c r="F27" i="17" s="1"/>
  <c r="E27" i="17"/>
  <c r="G21" i="17"/>
  <c r="G17" i="17"/>
  <c r="G12" i="17" l="1"/>
  <c r="G27" i="17" s="1"/>
  <c r="F1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Kylh</author>
  </authors>
  <commentList>
    <comment ref="D5" authorId="0" shapeId="0" xr:uid="{2EBFA9D7-6B75-475F-BA1C-00E5A248511D}">
      <text>
        <r>
          <rPr>
            <b/>
            <sz val="9"/>
            <color indexed="81"/>
            <rFont val="Tahoma"/>
            <family val="2"/>
          </rPr>
          <t>Ước tính</t>
        </r>
      </text>
    </comment>
    <comment ref="D6" authorId="0" shapeId="0" xr:uid="{B876C580-3E67-4DCF-A981-65A433F4FB0C}">
      <text>
        <r>
          <rPr>
            <b/>
            <sz val="9"/>
            <color indexed="81"/>
            <rFont val="Tahoma"/>
            <family val="2"/>
          </rPr>
          <t>Ước tính</t>
        </r>
        <r>
          <rPr>
            <sz val="9"/>
            <color indexed="81"/>
            <rFont val="Tahoma"/>
            <family val="2"/>
          </rPr>
          <t xml:space="preserve">
</t>
        </r>
      </text>
    </comment>
    <comment ref="D7" authorId="0" shapeId="0" xr:uid="{DA91FC2A-D5F9-484E-83BD-19BC89B2F123}">
      <text>
        <r>
          <rPr>
            <b/>
            <sz val="9"/>
            <color indexed="81"/>
            <rFont val="Tahoma"/>
            <family val="2"/>
          </rPr>
          <t>Ước tính</t>
        </r>
      </text>
    </comment>
  </commentList>
</comments>
</file>

<file path=xl/sharedStrings.xml><?xml version="1.0" encoding="utf-8"?>
<sst xmlns="http://schemas.openxmlformats.org/spreadsheetml/2006/main" count="332" uniqueCount="231">
  <si>
    <t>STT</t>
  </si>
  <si>
    <t>Gpm</t>
  </si>
  <si>
    <t>Chi phí tạo lập CSDL</t>
  </si>
  <si>
    <t>Theo báo giá</t>
  </si>
  <si>
    <t>Chi phí thẩm tra dự toán</t>
  </si>
  <si>
    <t>Chi phí thẩm định hồ sơ mời thầu</t>
  </si>
  <si>
    <t>Chi phí thẩm định giá</t>
  </si>
  <si>
    <t>DỰ TOÁN CHI PHÍ PHẦN MỀM NỘI BỘ</t>
  </si>
  <si>
    <t>(Đơn vị tính: VNĐ)</t>
  </si>
  <si>
    <t>Khoản mục chi phí</t>
  </si>
  <si>
    <t>Cách tính</t>
  </si>
  <si>
    <t>Giá trị</t>
  </si>
  <si>
    <t>Ký hiệu</t>
  </si>
  <si>
    <t>Chi phí trực tiếp xây dựng, phát triển, nâng cấp, mở rộng phần mềm nội bộ</t>
  </si>
  <si>
    <t>1,4 x E x P x H</t>
  </si>
  <si>
    <t>G</t>
  </si>
  <si>
    <t>Chi phí chung</t>
  </si>
  <si>
    <t>G x 65%</t>
  </si>
  <si>
    <t>C</t>
  </si>
  <si>
    <t>Thu nhập chịu thuế tính trước</t>
  </si>
  <si>
    <t>(G+C) x 6%</t>
  </si>
  <si>
    <t>TL</t>
  </si>
  <si>
    <t>G + C + TL</t>
  </si>
  <si>
    <t>TỔNG CỘNG:</t>
  </si>
  <si>
    <t>DỰ TOÁN KINH PHÍ SỐ HOÁ TÀI LIỆU NĂM 2026</t>
  </si>
  <si>
    <t>(Kèm theo Quyết định số           /QĐ-UBND   ngày    /4/2026 của ...)</t>
  </si>
  <si>
    <t>TT</t>
  </si>
  <si>
    <t>Nội dung công việc</t>
  </si>
  <si>
    <t>Đơn vị tính</t>
  </si>
  <si>
    <t>Số lượng</t>
  </si>
  <si>
    <r>
      <rPr>
        <b/>
        <sz val="10"/>
        <color theme="1"/>
        <rFont val="Times New Roman"/>
        <family val="1"/>
      </rPr>
      <t xml:space="preserve">Đơn giá </t>
    </r>
    <r>
      <rPr>
        <sz val="10"/>
        <color indexed="8"/>
        <rFont val="Times New Roman"/>
        <family val="1"/>
      </rPr>
      <t>(VNĐ)</t>
    </r>
  </si>
  <si>
    <r>
      <rPr>
        <b/>
        <sz val="10"/>
        <color theme="1"/>
        <rFont val="Times New Roman"/>
        <family val="1"/>
      </rPr>
      <t xml:space="preserve">Thành tiền </t>
    </r>
    <r>
      <rPr>
        <sz val="10"/>
        <color indexed="8"/>
        <rFont val="Times New Roman"/>
        <family val="1"/>
      </rPr>
      <t>(VNĐ)</t>
    </r>
  </si>
  <si>
    <t>Ghi chú</t>
  </si>
  <si>
    <t>Số hoá tạo lập cơ sở dữ liệu tài liệu khổ A4</t>
  </si>
  <si>
    <t>Trang A4</t>
  </si>
  <si>
    <t>Căn cứ QĐ 1186 của UBND tỉnh Khánh Hoà</t>
  </si>
  <si>
    <t>Số hoá tạo lập cơ sở dữ liệu tài liệu khổ A3</t>
  </si>
  <si>
    <t>Trang A3</t>
  </si>
  <si>
    <t>Số hoá tạo lập cơ sở dữ liệu tài liệu khổ A0</t>
  </si>
  <si>
    <t>Trang A0</t>
  </si>
  <si>
    <t>BẢNG 3: CHI PHÍ TẠO LẬP CƠ SỞ DỮ LIỆU</t>
  </si>
  <si>
    <t>(Kèm theo Báo cáo số:         /BC-BQLDA ngày        tháng 5 năm 2026 của Ban QLDADTXD)</t>
  </si>
  <si>
    <t>Công việc thực hiện</t>
  </si>
  <si>
    <t>THÀNH PHẦN HAO PHÍ</t>
  </si>
  <si>
    <t>ĐƠN VỊ</t>
  </si>
  <si>
    <t>ĐỊNH MỨC</t>
  </si>
  <si>
    <t>Xác định</t>
  </si>
  <si>
    <t>Khối lượng</t>
  </si>
  <si>
    <t>Đơn giá</t>
  </si>
  <si>
    <t>Thành tiền</t>
  </si>
  <si>
    <t>Mức 1</t>
  </si>
  <si>
    <t>Mức 2</t>
  </si>
  <si>
    <t>Mức 3</t>
  </si>
  <si>
    <t>Định mức</t>
  </si>
  <si>
    <r>
      <t xml:space="preserve">NHẬP DỮ LIỆU CÓ CẤU TRÚC </t>
    </r>
    <r>
      <rPr>
        <sz val="11"/>
        <color theme="1"/>
        <rFont val="Times New Roman"/>
        <family val="1"/>
      </rPr>
      <t>(02.10.04.02.01)</t>
    </r>
  </si>
  <si>
    <t>Đơn vị tính: 01 trường</t>
  </si>
  <si>
    <t>81,187,873</t>
  </si>
  <si>
    <t>• Trường dữ liệu &lt; 15 ký tự áp dụng Mức 1;</t>
  </si>
  <si>
    <t>• Trường dữ liệu: từ 16 đến 50 ký tự áp dụng Mức 2;</t>
  </si>
  <si>
    <t>• Trường dữ liệu &gt; 50 ký tự áp dụng Mức 3.</t>
  </si>
  <si>
    <r>
      <t>Lao động</t>
    </r>
    <r>
      <rPr>
        <sz val="11"/>
        <color theme="1"/>
        <rFont val="Times New Roman"/>
        <family val="1"/>
      </rPr>
      <t>:</t>
    </r>
  </si>
  <si>
    <t>Nhóm công</t>
  </si>
  <si>
    <t>0.0024</t>
  </si>
  <si>
    <t>0.00307</t>
  </si>
  <si>
    <t>0.00384</t>
  </si>
  <si>
    <t>79,864,825</t>
  </si>
  <si>
    <t>Nhóm 01 KS1</t>
  </si>
  <si>
    <r>
      <t>Thiết bị</t>
    </r>
    <r>
      <rPr>
        <sz val="11"/>
        <color theme="1"/>
        <rFont val="Times New Roman"/>
        <family val="1"/>
      </rPr>
      <t>:</t>
    </r>
  </si>
  <si>
    <t>Ca</t>
  </si>
  <si>
    <t>0.00225</t>
  </si>
  <si>
    <t>0.003</t>
  </si>
  <si>
    <t>0.00348</t>
  </si>
  <si>
    <t>1,323,048</t>
  </si>
  <si>
    <t>Máy tính để bàn công suất 0,4kW/h</t>
  </si>
  <si>
    <t>CHUẨN HÓA DỮ LIỆU</t>
  </si>
  <si>
    <t>Đơn vị tính: 01 file tài liệu</t>
  </si>
  <si>
    <t>(02.10.05.02.01)</t>
  </si>
  <si>
    <t>Chuẩn hóa dữ liệu thu thập được (từ khóa, từ chuẩn, tên tệp, ...)</t>
  </si>
  <si>
    <t>0.04</t>
  </si>
  <si>
    <t>0.05</t>
  </si>
  <si>
    <t>0.058</t>
  </si>
  <si>
    <t>- Số bảng mô tả dữ liệu &gt;8: 40 điểm (17 bảng dữ liệu ứng với 17 file dữ liệu)</t>
  </si>
  <si>
    <t>- Độ chính xác của dữ liệu: Sai số theo quy định: 40 điểm</t>
  </si>
  <si>
    <r>
      <t xml:space="preserve">+ </t>
    </r>
    <r>
      <rPr>
        <sz val="11"/>
        <color theme="1"/>
        <rFont val="Times New Roman"/>
        <family val="1"/>
      </rPr>
      <t xml:space="preserve"> </t>
    </r>
    <r>
      <rPr>
        <sz val="11"/>
        <color theme="1"/>
        <rFont val="Times New Roman"/>
        <family val="1"/>
      </rPr>
      <t>Thành phần công việc</t>
    </r>
  </si>
  <si>
    <t>o Nghiên cứu tài liệu hướng dẫn chuẩn hóa và chuyển đổi dữ liệu.</t>
  </si>
  <si>
    <r>
      <t>Tổng điểm:</t>
    </r>
    <r>
      <rPr>
        <sz val="11"/>
        <color theme="1"/>
        <rFont val="Times New Roman"/>
        <family val="1"/>
      </rPr>
      <t>80 điểm</t>
    </r>
    <r>
      <rPr>
        <b/>
        <sz val="11"/>
        <color theme="1"/>
        <rFont val="Times New Roman"/>
        <family val="1"/>
      </rPr>
      <t xml:space="preserve"> </t>
    </r>
  </si>
  <si>
    <t>o Thực hiện chuẩn hóa từ ngữ, tên tệp, định dạng văn bản,... theo tài liệu hướng dẫn</t>
  </si>
  <si>
    <r>
      <t xml:space="preserve">Xác định mức độ phức tạp: </t>
    </r>
    <r>
      <rPr>
        <b/>
        <sz val="11"/>
        <color theme="1"/>
        <rFont val="Times New Roman"/>
        <family val="1"/>
      </rPr>
      <t>Mức 3</t>
    </r>
    <r>
      <rPr>
        <sz val="11"/>
        <color theme="1"/>
        <rFont val="Times New Roman"/>
        <family val="1"/>
      </rPr>
      <t xml:space="preserve"> </t>
    </r>
    <r>
      <rPr>
        <sz val="11"/>
        <color theme="1"/>
        <rFont val="Times New Roman"/>
        <family val="1"/>
      </rPr>
      <t>(&gt;= 80 điểm)</t>
    </r>
  </si>
  <si>
    <t>0.03</t>
  </si>
  <si>
    <t>0.0464</t>
  </si>
  <si>
    <r>
      <t xml:space="preserve">+ </t>
    </r>
    <r>
      <rPr>
        <sz val="11"/>
        <color theme="1"/>
        <rFont val="Times New Roman"/>
        <family val="1"/>
      </rPr>
      <t xml:space="preserve"> </t>
    </r>
    <r>
      <rPr>
        <sz val="11"/>
        <color theme="1"/>
        <rFont val="Times New Roman"/>
        <family val="1"/>
      </rPr>
      <t>Sản phẩm: Dữ liệu được chuẩn hóa.</t>
    </r>
  </si>
  <si>
    <t>Thiết bị khác:</t>
  </si>
  <si>
    <t>%</t>
  </si>
  <si>
    <t>CHUYỂN ĐỔI CẤU TRÚC DỮ LIỆU</t>
  </si>
  <si>
    <t>Đơn vị tính: 01 bảng mô tả dữ liệu</t>
  </si>
  <si>
    <t>197,098,223</t>
  </si>
  <si>
    <r>
      <t xml:space="preserve">(02.10.05.03.03) </t>
    </r>
    <r>
      <rPr>
        <b/>
        <i/>
        <sz val="11"/>
        <color theme="1"/>
        <rFont val="Times New Roman"/>
        <family val="1"/>
      </rPr>
      <t xml:space="preserve">  </t>
    </r>
  </si>
  <si>
    <t>Là chuyển đổi dữ liệu từ cấu trúc dữ liệu này sang cấu trúc dữ liệu khác (Chuyển đổi dữ liệu đã tồn tại từ mô hình dữ liệu này sang mô hình dữ liệu khác) theo những quy luật đảm bảo không làm mất thông tin dữ liệu</t>
  </si>
  <si>
    <t>18.75</t>
  </si>
  <si>
    <t>21.75</t>
  </si>
  <si>
    <t>190,949,250</t>
  </si>
  <si>
    <t>- Số lượng đối tượng phụ cần quản lý (được xác định bởi các khóa ngoại trong CSDL) có trong bảng mô tả dữ liệu từ 0 đến 2: 20 điểm</t>
  </si>
  <si>
    <t>Nhóm 02 KS2</t>
  </si>
  <si>
    <t>28.5</t>
  </si>
  <si>
    <t>44.08</t>
  </si>
  <si>
    <t>5,856,164</t>
  </si>
  <si>
    <r>
      <t>Tổng điểm:</t>
    </r>
    <r>
      <rPr>
        <sz val="11"/>
        <color theme="1"/>
        <rFont val="Times New Roman"/>
        <family val="1"/>
      </rPr>
      <t xml:space="preserve"> </t>
    </r>
    <r>
      <rPr>
        <sz val="11"/>
        <color theme="1"/>
        <rFont val="Times New Roman"/>
        <family val="1"/>
      </rPr>
      <t>60 điểm</t>
    </r>
  </si>
  <si>
    <r>
      <t xml:space="preserve">Xác định mức độ phức tạp: </t>
    </r>
    <r>
      <rPr>
        <b/>
        <sz val="11"/>
        <color theme="1"/>
        <rFont val="Times New Roman"/>
        <family val="1"/>
      </rPr>
      <t>Mức 1</t>
    </r>
    <r>
      <rPr>
        <sz val="11"/>
        <color theme="1"/>
        <rFont val="Times New Roman"/>
        <family val="1"/>
      </rPr>
      <t xml:space="preserve"> </t>
    </r>
    <r>
      <rPr>
        <sz val="11"/>
        <color theme="1"/>
        <rFont val="Times New Roman"/>
        <family val="1"/>
      </rPr>
      <t>(&lt;= 60 điểm)</t>
    </r>
  </si>
  <si>
    <t>KIỂM TRA DỮ LIỆU</t>
  </si>
  <si>
    <t>27,894,788</t>
  </si>
  <si>
    <t>- Số bảng mô tả dữ liệu &gt;8: 20 điểm</t>
  </si>
  <si>
    <t>- Độ chính xác của dữ liệu: Sai số theo quy định: 20 điểm</t>
  </si>
  <si>
    <t>ĐÃ TẠO LẬP</t>
  </si>
  <si>
    <t>- Ngôn ngữ khác (Tiếng Việt): 15 điểm</t>
  </si>
  <si>
    <r>
      <t>Tổng điểm:</t>
    </r>
    <r>
      <rPr>
        <sz val="11"/>
        <color theme="1"/>
        <rFont val="Times New Roman"/>
        <family val="1"/>
      </rPr>
      <t xml:space="preserve"> </t>
    </r>
    <r>
      <rPr>
        <sz val="11"/>
        <color theme="1"/>
        <rFont val="Times New Roman"/>
        <family val="1"/>
      </rPr>
      <t>55 điểm</t>
    </r>
  </si>
  <si>
    <t>Xác định mức độ phức tạp: Mức 2 ( từ 55 đến 85 điểm)</t>
  </si>
  <si>
    <t>Thành tiền trước thuế</t>
  </si>
  <si>
    <t>Tổng cộng</t>
  </si>
  <si>
    <t>Phân kỳ nguồn vốn</t>
  </si>
  <si>
    <t>Năm 2026</t>
  </si>
  <si>
    <t>Năm 2027</t>
  </si>
  <si>
    <t>BẢNG TỔNG HỢP DỰ TOÁN TỔNG MỨC ĐẦU TƯ
TRUYỀN THANH THÔNG MINH XÃ CÀ NÁ</t>
  </si>
  <si>
    <t>NỘI DUNG</t>
  </si>
  <si>
    <t>Ký
hiệu</t>
  </si>
  <si>
    <t>Giá trị trước thuế GTGT</t>
  </si>
  <si>
    <t>Thuế GTGT</t>
  </si>
  <si>
    <t>Giá trị sau
thuế GTGT</t>
  </si>
  <si>
    <t>I</t>
  </si>
  <si>
    <t>CHI PHÍ THIẾT BỊ</t>
  </si>
  <si>
    <r>
      <rPr>
        <b/>
        <sz val="11"/>
        <rFont val="Times New Roman"/>
        <family val="1"/>
      </rPr>
      <t>G</t>
    </r>
    <r>
      <rPr>
        <b/>
        <sz val="8"/>
        <rFont val="Times New Roman"/>
        <family val="1"/>
      </rPr>
      <t>TB</t>
    </r>
  </si>
  <si>
    <t>Bảng dự toán chi tiết</t>
  </si>
  <si>
    <t>II</t>
  </si>
  <si>
    <t>CHI PHÍ QUẢN LÝ DỰ ÁN</t>
  </si>
  <si>
    <r>
      <rPr>
        <b/>
        <sz val="11"/>
        <rFont val="Times New Roman"/>
        <family val="1"/>
      </rPr>
      <t>G</t>
    </r>
    <r>
      <rPr>
        <b/>
        <vertAlign val="subscript"/>
        <sz val="14"/>
        <rFont val="Times New Roman"/>
        <family val="1"/>
      </rPr>
      <t>QLDA</t>
    </r>
  </si>
  <si>
    <t>Chi phí quản lý hạng mục hạ tầng kỹ thuật</t>
  </si>
  <si>
    <t>Gthqlda</t>
  </si>
  <si>
    <t>2,644%*Ghtkt*0,84</t>
  </si>
  <si>
    <t xml:space="preserve">Bảng số 1 theo Quyết định số 1688/QĐ-BTTTT </t>
  </si>
  <si>
    <t>III</t>
  </si>
  <si>
    <t>CHI PHÍ TƯ VẤN</t>
  </si>
  <si>
    <r>
      <rPr>
        <b/>
        <sz val="11"/>
        <rFont val="Times New Roman"/>
        <family val="1"/>
      </rPr>
      <t>G</t>
    </r>
    <r>
      <rPr>
        <b/>
        <vertAlign val="subscript"/>
        <sz val="11"/>
        <rFont val="Times New Roman"/>
        <family val="1"/>
      </rPr>
      <t>TV</t>
    </r>
  </si>
  <si>
    <r>
      <rPr>
        <b/>
        <sz val="11"/>
        <rFont val="Times New Roman"/>
        <family val="1"/>
      </rPr>
      <t>G</t>
    </r>
    <r>
      <rPr>
        <b/>
        <vertAlign val="subscript"/>
        <sz val="11"/>
        <rFont val="Times New Roman"/>
        <family val="1"/>
      </rPr>
      <t>TV1+...</t>
    </r>
    <r>
      <rPr>
        <b/>
        <sz val="11"/>
        <rFont val="Times New Roman"/>
        <family val="1"/>
      </rPr>
      <t>+G</t>
    </r>
    <r>
      <rPr>
        <b/>
        <vertAlign val="subscript"/>
        <sz val="11"/>
        <rFont val="Times New Roman"/>
        <family val="1"/>
      </rPr>
      <t>TV4</t>
    </r>
  </si>
  <si>
    <t>Chi phí Khảo sát và lập báo cáo kinh tế kỹ thuật</t>
  </si>
  <si>
    <r>
      <rPr>
        <sz val="11"/>
        <rFont val="Times New Roman"/>
        <family val="1"/>
      </rPr>
      <t>G</t>
    </r>
    <r>
      <rPr>
        <vertAlign val="subscript"/>
        <sz val="11"/>
        <rFont val="Times New Roman"/>
        <family val="1"/>
      </rPr>
      <t>TV1</t>
    </r>
  </si>
  <si>
    <t xml:space="preserve">Ghtkt*0,992%*1,65 </t>
  </si>
  <si>
    <t xml:space="preserve"> Bảng số 2 - Quyết định số 1688/QĐ-BTTTT 
Tối thiểu không nhỏ hơn
10.000.000</t>
  </si>
  <si>
    <t>Chi phí lập HSMT, đánh giá hồ sơ dự thầu</t>
  </si>
  <si>
    <r>
      <rPr>
        <sz val="11"/>
        <rFont val="Times New Roman"/>
        <family val="1"/>
      </rPr>
      <t>G</t>
    </r>
    <r>
      <rPr>
        <vertAlign val="subscript"/>
        <sz val="11"/>
        <rFont val="Times New Roman"/>
        <family val="1"/>
      </rPr>
      <t>TV2</t>
    </r>
  </si>
  <si>
    <r>
      <t>G</t>
    </r>
    <r>
      <rPr>
        <b/>
        <vertAlign val="subscript"/>
        <sz val="11"/>
        <rFont val="Times New Roman"/>
        <family val="1"/>
      </rPr>
      <t xml:space="preserve">TV2.1 </t>
    </r>
    <r>
      <rPr>
        <b/>
        <sz val="11"/>
        <rFont val="Times New Roman"/>
        <family val="1"/>
      </rPr>
      <t>+ G</t>
    </r>
    <r>
      <rPr>
        <b/>
        <vertAlign val="subscript"/>
        <sz val="11"/>
        <rFont val="Times New Roman"/>
        <family val="1"/>
      </rPr>
      <t>TV2.2</t>
    </r>
  </si>
  <si>
    <t>Chi phí lập HSMT</t>
  </si>
  <si>
    <r>
      <t>G</t>
    </r>
    <r>
      <rPr>
        <vertAlign val="subscript"/>
        <sz val="11"/>
        <rFont val="Times New Roman"/>
        <family val="1"/>
      </rPr>
      <t>TV2.1</t>
    </r>
  </si>
  <si>
    <t>0,2%*Gtb</t>
  </si>
  <si>
    <t>Chi phí đánh giá HSMT</t>
  </si>
  <si>
    <r>
      <t>G</t>
    </r>
    <r>
      <rPr>
        <vertAlign val="subscript"/>
        <sz val="11"/>
        <rFont val="Times New Roman"/>
        <family val="1"/>
      </rPr>
      <t>TV2.2</t>
    </r>
  </si>
  <si>
    <t>Chi phí thẩm tra báo cáo kinh tế kỹ thuật</t>
  </si>
  <si>
    <r>
      <t>G</t>
    </r>
    <r>
      <rPr>
        <vertAlign val="subscript"/>
        <sz val="11"/>
        <rFont val="Times New Roman"/>
        <family val="1"/>
      </rPr>
      <t>TV3</t>
    </r>
  </si>
  <si>
    <r>
      <t>G</t>
    </r>
    <r>
      <rPr>
        <b/>
        <vertAlign val="subscript"/>
        <sz val="11"/>
        <rFont val="Times New Roman"/>
        <family val="1"/>
      </rPr>
      <t xml:space="preserve">TV3.1 </t>
    </r>
    <r>
      <rPr>
        <b/>
        <sz val="11"/>
        <rFont val="Times New Roman"/>
        <family val="1"/>
      </rPr>
      <t>+ G</t>
    </r>
    <r>
      <rPr>
        <b/>
        <vertAlign val="subscript"/>
        <sz val="11"/>
        <rFont val="Times New Roman"/>
        <family val="1"/>
      </rPr>
      <t>TV3.2</t>
    </r>
  </si>
  <si>
    <t>3.1</t>
  </si>
  <si>
    <t>Chi phí thẩm tra thiết kế chi tiết</t>
  </si>
  <si>
    <r>
      <t>G</t>
    </r>
    <r>
      <rPr>
        <vertAlign val="subscript"/>
        <sz val="11"/>
        <rFont val="Times New Roman"/>
        <family val="1"/>
      </rPr>
      <t>TV3.1</t>
    </r>
  </si>
  <si>
    <t>Gtb x 0,087% x 70%</t>
  </si>
  <si>
    <t xml:space="preserve">Quyết định số 1688/QĐ-BTTTT - Bảng số 4
Tối thiểu không nhỏ hơn 2.000.000 đồng </t>
  </si>
  <si>
    <t>3.2</t>
  </si>
  <si>
    <r>
      <t>G</t>
    </r>
    <r>
      <rPr>
        <vertAlign val="subscript"/>
        <sz val="11"/>
        <rFont val="Times New Roman"/>
        <family val="1"/>
      </rPr>
      <t>TV3.2</t>
    </r>
  </si>
  <si>
    <t>Gtb x 0,078% x 70%</t>
  </si>
  <si>
    <t xml:space="preserve">Quyết định số 1688/QĐ-BTTTT - Bảng số 5
Tối thiểu không nhỏ hơn 2.000.000 đồng </t>
  </si>
  <si>
    <t>Chi phí giám sát thi công</t>
  </si>
  <si>
    <r>
      <rPr>
        <sz val="11"/>
        <rFont val="Times New Roman"/>
        <family val="1"/>
      </rPr>
      <t>G</t>
    </r>
    <r>
      <rPr>
        <vertAlign val="subscript"/>
        <sz val="11"/>
        <rFont val="Times New Roman"/>
        <family val="1"/>
      </rPr>
      <t>TV4</t>
    </r>
  </si>
  <si>
    <r>
      <rPr>
        <sz val="12"/>
        <rFont val="Times New Roman"/>
        <family val="1"/>
      </rPr>
      <t>G</t>
    </r>
    <r>
      <rPr>
        <vertAlign val="subscript"/>
        <sz val="12"/>
        <rFont val="Times New Roman"/>
        <family val="1"/>
      </rPr>
      <t>TB</t>
    </r>
    <r>
      <rPr>
        <sz val="12"/>
        <rFont val="Times New Roman"/>
        <family val="1"/>
      </rPr>
      <t>*0,718%</t>
    </r>
  </si>
  <si>
    <t xml:space="preserve">Quyết định số 1688/QĐ-BTTTT - Bảng số 9 (tối thiểu không nhỏ hơn 10.000.000 đồng </t>
  </si>
  <si>
    <t>IV</t>
  </si>
  <si>
    <t>CHI PHÍ KHÁC</t>
  </si>
  <si>
    <r>
      <rPr>
        <b/>
        <sz val="11"/>
        <rFont val="Times New Roman"/>
        <family val="1"/>
      </rPr>
      <t>G</t>
    </r>
    <r>
      <rPr>
        <b/>
        <vertAlign val="subscript"/>
        <sz val="11"/>
        <rFont val="Times New Roman"/>
        <family val="1"/>
      </rPr>
      <t>K</t>
    </r>
  </si>
  <si>
    <r>
      <rPr>
        <b/>
        <sz val="11"/>
        <rFont val="Times New Roman"/>
        <family val="1"/>
      </rPr>
      <t>G</t>
    </r>
    <r>
      <rPr>
        <b/>
        <vertAlign val="subscript"/>
        <sz val="11"/>
        <rFont val="Times New Roman"/>
        <family val="1"/>
      </rPr>
      <t>K1</t>
    </r>
    <r>
      <rPr>
        <b/>
        <sz val="11"/>
        <rFont val="Times New Roman"/>
        <family val="1"/>
      </rPr>
      <t>+...+G</t>
    </r>
    <r>
      <rPr>
        <b/>
        <vertAlign val="subscript"/>
        <sz val="11"/>
        <rFont val="Times New Roman"/>
        <family val="1"/>
      </rPr>
      <t xml:space="preserve">K4 </t>
    </r>
  </si>
  <si>
    <t>Gk1</t>
  </si>
  <si>
    <t>0,1%*Gtb</t>
  </si>
  <si>
    <t>Chi phí thẩm định kết quả lựa chọn nhà thầu</t>
  </si>
  <si>
    <t>Gk2</t>
  </si>
  <si>
    <t>Gk3</t>
  </si>
  <si>
    <t xml:space="preserve">Theo biểu  giá Công ty TĐG </t>
  </si>
  <si>
    <t>Chi phí thẩm tra, phê duyệt quyết toán</t>
  </si>
  <si>
    <t>Gk4</t>
  </si>
  <si>
    <t xml:space="preserve">0,57% x TMĐT </t>
  </si>
  <si>
    <t>Theo Điều 46 Nghị định 254/2025/NĐ-CP</t>
  </si>
  <si>
    <t>V</t>
  </si>
  <si>
    <t>CHI PHÍ DỰ PHÒNG</t>
  </si>
  <si>
    <t>GDP</t>
  </si>
  <si>
    <t xml:space="preserve">TỔNG CỘNG </t>
  </si>
  <si>
    <t>TDT</t>
  </si>
  <si>
    <t>I+II+III+IV+V</t>
  </si>
  <si>
    <t>Chi phí  xây dựng phần mềm nội bộ</t>
  </si>
  <si>
    <t>Chi phí Số hoá</t>
  </si>
  <si>
    <r>
      <t>G</t>
    </r>
    <r>
      <rPr>
        <i/>
        <vertAlign val="subscript"/>
        <sz val="12"/>
        <rFont val="Times New Roman"/>
        <family val="1"/>
      </rPr>
      <t>SH</t>
    </r>
  </si>
  <si>
    <t>Tổng cộng (Chưa VAT)</t>
  </si>
  <si>
    <t>Thuế GTGT (8%)</t>
  </si>
  <si>
    <t>Xây dựng CSDL chuyên ngành Giao Thông và Nông Nghiệp</t>
  </si>
  <si>
    <r>
      <t>G</t>
    </r>
    <r>
      <rPr>
        <b/>
        <sz val="8"/>
        <rFont val="Times New Roman"/>
        <family val="1"/>
      </rPr>
      <t>CSDL</t>
    </r>
  </si>
  <si>
    <r>
      <t>G</t>
    </r>
    <r>
      <rPr>
        <i/>
        <vertAlign val="subscript"/>
        <sz val="12"/>
        <rFont val="Times New Roman"/>
        <family val="1"/>
      </rPr>
      <t>TL</t>
    </r>
  </si>
  <si>
    <t>QĐ 671/QĐ-BTTTT ngày 26/04/2024</t>
  </si>
  <si>
    <t>Ước tính</t>
  </si>
  <si>
    <t>Phần mềm không chịu thuế</t>
  </si>
  <si>
    <t>Tối đa 5% * TMĐT</t>
  </si>
  <si>
    <t>Giá trị tài sản thẩm định TỪ (triệu đồng)</t>
  </si>
  <si>
    <t>Giá trị tài sản thẩm định ĐẾN (triệu đồng)</t>
  </si>
  <si>
    <t>Mức phí thẩm định / Tỷ lệ thu phí</t>
  </si>
  <si>
    <t>Tỷ lệ chi phí thẩm định giá</t>
  </si>
  <si>
    <t>Hệ số số lượng tài sản</t>
  </si>
  <si>
    <t xml:space="preserve">Chi phí thẩm định </t>
  </si>
  <si>
    <t>Giá trị đầu tư (đã bao VAT)</t>
  </si>
  <si>
    <t>PHÂN KỲ NGUỒN VỐN TRIỂN KHAI DỰ ÁN CSDL CHUYÊN NGÀNH GIAO THÔNG VÀ NÔNG NGHIỆP</t>
  </si>
  <si>
    <t>GTB</t>
  </si>
  <si>
    <t>GCSDL</t>
  </si>
  <si>
    <r>
      <t>G</t>
    </r>
    <r>
      <rPr>
        <b/>
        <vertAlign val="subscript"/>
        <sz val="12"/>
        <rFont val="Times New Roman"/>
        <family val="1"/>
      </rPr>
      <t>QLDA</t>
    </r>
  </si>
  <si>
    <r>
      <t>G</t>
    </r>
    <r>
      <rPr>
        <b/>
        <vertAlign val="subscript"/>
        <sz val="12"/>
        <rFont val="Times New Roman"/>
        <family val="1"/>
      </rPr>
      <t>TV</t>
    </r>
  </si>
  <si>
    <r>
      <t>G</t>
    </r>
    <r>
      <rPr>
        <b/>
        <vertAlign val="subscript"/>
        <sz val="12"/>
        <rFont val="Times New Roman"/>
        <family val="1"/>
      </rPr>
      <t>TV1+...</t>
    </r>
    <r>
      <rPr>
        <b/>
        <sz val="12"/>
        <rFont val="Times New Roman"/>
        <family val="1"/>
      </rPr>
      <t>+G</t>
    </r>
    <r>
      <rPr>
        <b/>
        <vertAlign val="subscript"/>
        <sz val="12"/>
        <rFont val="Times New Roman"/>
        <family val="1"/>
      </rPr>
      <t>TV4</t>
    </r>
  </si>
  <si>
    <r>
      <t>G</t>
    </r>
    <r>
      <rPr>
        <vertAlign val="subscript"/>
        <sz val="12"/>
        <rFont val="Times New Roman"/>
        <family val="1"/>
      </rPr>
      <t>TV1</t>
    </r>
  </si>
  <si>
    <r>
      <t>G</t>
    </r>
    <r>
      <rPr>
        <vertAlign val="subscript"/>
        <sz val="12"/>
        <rFont val="Times New Roman"/>
        <family val="1"/>
      </rPr>
      <t>TV2</t>
    </r>
  </si>
  <si>
    <r>
      <t>G</t>
    </r>
    <r>
      <rPr>
        <b/>
        <vertAlign val="subscript"/>
        <sz val="12"/>
        <rFont val="Times New Roman"/>
        <family val="1"/>
      </rPr>
      <t xml:space="preserve">TV2.1 </t>
    </r>
    <r>
      <rPr>
        <b/>
        <sz val="12"/>
        <rFont val="Times New Roman"/>
        <family val="1"/>
      </rPr>
      <t>+ G</t>
    </r>
    <r>
      <rPr>
        <b/>
        <vertAlign val="subscript"/>
        <sz val="12"/>
        <rFont val="Times New Roman"/>
        <family val="1"/>
      </rPr>
      <t>TV2.2</t>
    </r>
  </si>
  <si>
    <r>
      <t>G</t>
    </r>
    <r>
      <rPr>
        <vertAlign val="subscript"/>
        <sz val="12"/>
        <rFont val="Times New Roman"/>
        <family val="1"/>
      </rPr>
      <t>TV2.1</t>
    </r>
  </si>
  <si>
    <r>
      <t>G</t>
    </r>
    <r>
      <rPr>
        <vertAlign val="subscript"/>
        <sz val="12"/>
        <rFont val="Times New Roman"/>
        <family val="1"/>
      </rPr>
      <t>TV2.2</t>
    </r>
  </si>
  <si>
    <r>
      <t>G</t>
    </r>
    <r>
      <rPr>
        <vertAlign val="subscript"/>
        <sz val="12"/>
        <rFont val="Times New Roman"/>
        <family val="1"/>
      </rPr>
      <t>TV3</t>
    </r>
  </si>
  <si>
    <r>
      <t>G</t>
    </r>
    <r>
      <rPr>
        <b/>
        <vertAlign val="subscript"/>
        <sz val="12"/>
        <rFont val="Times New Roman"/>
        <family val="1"/>
      </rPr>
      <t xml:space="preserve">TV3.1 </t>
    </r>
    <r>
      <rPr>
        <b/>
        <sz val="12"/>
        <rFont val="Times New Roman"/>
        <family val="1"/>
      </rPr>
      <t>+ G</t>
    </r>
    <r>
      <rPr>
        <b/>
        <vertAlign val="subscript"/>
        <sz val="12"/>
        <rFont val="Times New Roman"/>
        <family val="1"/>
      </rPr>
      <t>TV3.2</t>
    </r>
  </si>
  <si>
    <r>
      <t>G</t>
    </r>
    <r>
      <rPr>
        <vertAlign val="subscript"/>
        <sz val="12"/>
        <rFont val="Times New Roman"/>
        <family val="1"/>
      </rPr>
      <t>TV3.1</t>
    </r>
  </si>
  <si>
    <r>
      <t>G</t>
    </r>
    <r>
      <rPr>
        <vertAlign val="subscript"/>
        <sz val="12"/>
        <rFont val="Times New Roman"/>
        <family val="1"/>
      </rPr>
      <t>TV3.2</t>
    </r>
  </si>
  <si>
    <r>
      <t>G</t>
    </r>
    <r>
      <rPr>
        <vertAlign val="subscript"/>
        <sz val="12"/>
        <rFont val="Times New Roman"/>
        <family val="1"/>
      </rPr>
      <t>TV4</t>
    </r>
  </si>
  <si>
    <r>
      <t>G</t>
    </r>
    <r>
      <rPr>
        <vertAlign val="subscript"/>
        <sz val="12"/>
        <rFont val="Times New Roman"/>
        <family val="1"/>
      </rPr>
      <t>TB</t>
    </r>
    <r>
      <rPr>
        <sz val="12"/>
        <rFont val="Times New Roman"/>
        <family val="1"/>
      </rPr>
      <t>*0,718%</t>
    </r>
  </si>
  <si>
    <r>
      <t>G</t>
    </r>
    <r>
      <rPr>
        <b/>
        <vertAlign val="subscript"/>
        <sz val="12"/>
        <rFont val="Times New Roman"/>
        <family val="1"/>
      </rPr>
      <t>K</t>
    </r>
  </si>
  <si>
    <r>
      <t>G</t>
    </r>
    <r>
      <rPr>
        <b/>
        <vertAlign val="subscript"/>
        <sz val="12"/>
        <rFont val="Times New Roman"/>
        <family val="1"/>
      </rPr>
      <t>K1</t>
    </r>
    <r>
      <rPr>
        <b/>
        <sz val="12"/>
        <rFont val="Times New Roman"/>
        <family val="1"/>
      </rPr>
      <t>+...+G</t>
    </r>
    <r>
      <rPr>
        <b/>
        <vertAlign val="subscript"/>
        <sz val="12"/>
        <rFont val="Times New Roman"/>
        <family val="1"/>
      </rPr>
      <t xml:space="preserve">K4 </t>
    </r>
  </si>
  <si>
    <t xml:space="preserve"> Điều 14, NĐ 214/2025/NĐ-CP tối thiểu là 2,000,000 đồng</t>
  </si>
  <si>
    <t xml:space="preserve"> Điều 14, NĐ 214/2024/NĐ-CP tối thiểu là 3,000,000 đồng</t>
  </si>
  <si>
    <t xml:space="preserve">Theo Điều 12 NĐ 214/2025
Tối thiểu không nhỏ hơn 3.000.000 đồng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</si>
</sst>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3" formatCode="_(* #,##0.00_);_(* \(#,##0.00\);_(* &quot;-&quot;??_);_(@_)"/>
    <numFmt numFmtId="164" formatCode="_ * #,##0.00_ ;_ * \-#,##0.00_ ;_ * &quot;-&quot;??_ ;_ @_ "/>
    <numFmt numFmtId="165" formatCode="_ * #,##0_ ;_ * \-#,##0_ ;_ * &quot;-&quot;_ ;_ @_ "/>
    <numFmt numFmtId="166" formatCode="_-* #,##0.00_-;\-* #,##0.00_-;_-* &quot;-&quot;??_-;_-@_-"/>
    <numFmt numFmtId="169" formatCode="_(* #,##0_);_(* \(#,##0\);_(* &quot;-&quot;??_);_(@_)"/>
    <numFmt numFmtId="170" formatCode="_ * #,##0_ ;_ * \-#,##0_ ;_ * &quot;-&quot;??_ ;_ @_ "/>
    <numFmt numFmtId="176" formatCode="_-* #,##0_-;\-* #,##0_-;_-* &quot;-&quot;??_-;_-@_-"/>
  </numFmts>
  <fonts count="49">
    <font>
      <sz val="11"/>
      <color theme="1"/>
      <name val="Calibri"/>
      <charset val="134"/>
      <scheme val="minor"/>
    </font>
    <font>
      <sz val="11"/>
      <color theme="1"/>
      <name val="Calibri"/>
      <family val="2"/>
      <scheme val="minor"/>
    </font>
    <font>
      <b/>
      <sz val="11"/>
      <color theme="1"/>
      <name val="Times New Roman"/>
      <family val="1"/>
    </font>
    <font>
      <i/>
      <sz val="11"/>
      <color theme="1"/>
      <name val="Times New Roman"/>
      <family val="1"/>
    </font>
    <font>
      <b/>
      <i/>
      <sz val="11"/>
      <color theme="1"/>
      <name val="Times New Roman"/>
      <family val="1"/>
    </font>
    <font>
      <sz val="11"/>
      <color theme="1"/>
      <name val="Times New Roman"/>
      <family val="1"/>
    </font>
    <font>
      <i/>
      <u/>
      <sz val="11"/>
      <color theme="1"/>
      <name val="Times New Roman"/>
      <family val="1"/>
    </font>
    <font>
      <b/>
      <sz val="13"/>
      <color theme="1"/>
      <name val="Times New Roman"/>
      <family val="1"/>
    </font>
    <font>
      <i/>
      <sz val="12"/>
      <color theme="1"/>
      <name val="Times New Roman"/>
      <family val="1"/>
    </font>
    <font>
      <b/>
      <sz val="10"/>
      <color theme="1"/>
      <name val="Times New Roman"/>
      <family val="1"/>
    </font>
    <font>
      <sz val="12"/>
      <color theme="1"/>
      <name val="Times New Roman"/>
      <family val="1"/>
    </font>
    <font>
      <b/>
      <sz val="12"/>
      <color theme="1"/>
      <name val="Times New Roman"/>
      <family val="1"/>
    </font>
    <font>
      <b/>
      <i/>
      <sz val="12"/>
      <color theme="1"/>
      <name val="Times New Roman"/>
      <family val="1"/>
    </font>
    <font>
      <sz val="13"/>
      <color theme="1"/>
      <name val="Times New Roman"/>
      <family val="1"/>
    </font>
    <font>
      <i/>
      <sz val="13"/>
      <color theme="1"/>
      <name val="Times New Roman"/>
      <family val="1"/>
    </font>
    <font>
      <sz val="13"/>
      <color rgb="FFFF0000"/>
      <name val="Times New Roman"/>
      <family val="1"/>
    </font>
    <font>
      <b/>
      <sz val="12"/>
      <name val="Times New Roman"/>
      <family val="1"/>
    </font>
    <font>
      <sz val="12"/>
      <name val="Times New Roman"/>
      <family val="1"/>
    </font>
    <font>
      <b/>
      <sz val="14"/>
      <name val="Times New Roman"/>
      <family val="1"/>
    </font>
    <font>
      <i/>
      <sz val="12"/>
      <name val="Times New Roman"/>
      <family val="1"/>
    </font>
    <font>
      <sz val="11"/>
      <color indexed="8"/>
      <name val="Calibri"/>
      <family val="2"/>
    </font>
    <font>
      <sz val="14"/>
      <name val="Times New Roman"/>
      <family val="1"/>
    </font>
    <font>
      <sz val="12"/>
      <color indexed="8"/>
      <name val="Times New Roman"/>
      <family val="1"/>
    </font>
    <font>
      <sz val="10"/>
      <name val="Arial"/>
      <family val="2"/>
    </font>
    <font>
      <sz val="13"/>
      <name val=".VnTime"/>
      <family val="2"/>
    </font>
    <font>
      <sz val="10"/>
      <name val=".VnTime"/>
      <family val="2"/>
    </font>
    <font>
      <sz val="10"/>
      <color indexed="8"/>
      <name val="Times New Roman"/>
      <family val="1"/>
    </font>
    <font>
      <sz val="11"/>
      <color theme="1"/>
      <name val="Calibri"/>
      <family val="2"/>
      <scheme val="minor"/>
    </font>
    <font>
      <sz val="11"/>
      <color theme="1"/>
      <name val="Times New Roman"/>
      <family val="1"/>
    </font>
    <font>
      <sz val="11"/>
      <color rgb="FFFF0000"/>
      <name val="Calibri"/>
      <family val="2"/>
      <scheme val="minor"/>
    </font>
    <font>
      <sz val="12"/>
      <color rgb="FFFF0000"/>
      <name val="Times New Roman"/>
      <family val="1"/>
    </font>
    <font>
      <b/>
      <sz val="13"/>
      <color theme="1"/>
      <name val="Times New Roman"/>
      <family val="1"/>
    </font>
    <font>
      <sz val="13"/>
      <name val="Times New Roman"/>
      <family val="1"/>
    </font>
    <font>
      <b/>
      <sz val="11"/>
      <color rgb="FFFF0000"/>
      <name val="Times New Roman"/>
      <family val="1"/>
    </font>
    <font>
      <b/>
      <sz val="11"/>
      <name val="Times New Roman"/>
      <family val="1"/>
    </font>
    <font>
      <b/>
      <sz val="8"/>
      <name val="Times New Roman"/>
      <family val="1"/>
    </font>
    <font>
      <sz val="11"/>
      <name val="Times New Roman"/>
      <family val="1"/>
    </font>
    <font>
      <i/>
      <sz val="11"/>
      <name val="Times New Roman"/>
      <family val="1"/>
    </font>
    <font>
      <i/>
      <vertAlign val="subscript"/>
      <sz val="12"/>
      <name val="Times New Roman"/>
      <family val="1"/>
    </font>
    <font>
      <b/>
      <vertAlign val="subscript"/>
      <sz val="14"/>
      <name val="Times New Roman"/>
      <family val="1"/>
    </font>
    <font>
      <sz val="14"/>
      <name val="Calibri"/>
      <family val="2"/>
      <scheme val="minor"/>
    </font>
    <font>
      <sz val="12"/>
      <name val=".VnTime"/>
      <family val="2"/>
    </font>
    <font>
      <sz val="11"/>
      <name val="Calibri"/>
      <family val="2"/>
      <scheme val="minor"/>
    </font>
    <font>
      <b/>
      <vertAlign val="subscript"/>
      <sz val="11"/>
      <name val="Times New Roman"/>
      <family val="1"/>
    </font>
    <font>
      <vertAlign val="subscript"/>
      <sz val="11"/>
      <name val="Times New Roman"/>
      <family val="1"/>
    </font>
    <font>
      <vertAlign val="subscript"/>
      <sz val="12"/>
      <name val="Times New Roman"/>
      <family val="1"/>
    </font>
    <font>
      <sz val="9"/>
      <color indexed="81"/>
      <name val="Tahoma"/>
      <family val="2"/>
    </font>
    <font>
      <b/>
      <sz val="9"/>
      <color indexed="81"/>
      <name val="Tahoma"/>
      <family val="2"/>
    </font>
    <font>
      <b/>
      <vertAlign val="subscript"/>
      <sz val="12"/>
      <name val="Times New Roman"/>
      <family val="1"/>
    </font>
  </fonts>
  <fills count="5">
    <fill>
      <patternFill patternType="none"/>
    </fill>
    <fill>
      <patternFill patternType="gray125"/>
    </fill>
    <fill>
      <patternFill patternType="solid">
        <fgColor rgb="FFFFFFFF"/>
        <bgColor indexed="64"/>
      </patternFill>
    </fill>
    <fill>
      <patternFill patternType="solid">
        <fgColor theme="4" tint="0.79995117038483843"/>
        <bgColor indexed="64"/>
      </patternFill>
    </fill>
    <fill>
      <patternFill patternType="solid">
        <fgColor theme="0"/>
        <bgColor indexed="64"/>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top/>
      <bottom/>
      <diagonal/>
    </border>
  </borders>
  <cellStyleXfs count="21">
    <xf numFmtId="0" fontId="0" fillId="0" borderId="0">
      <alignment vertical="center"/>
    </xf>
    <xf numFmtId="164" fontId="27" fillId="0" borderId="0" applyFont="0" applyFill="0" applyBorder="0" applyAlignment="0" applyProtection="0">
      <alignment vertical="center"/>
    </xf>
    <xf numFmtId="165" fontId="27" fillId="0" borderId="0" applyFont="0" applyFill="0" applyBorder="0" applyAlignment="0" applyProtection="0">
      <alignment vertical="center"/>
    </xf>
    <xf numFmtId="43" fontId="20" fillId="0" borderId="0" applyFont="0" applyFill="0" applyBorder="0" applyAlignment="0" applyProtection="0"/>
    <xf numFmtId="166" fontId="27" fillId="0" borderId="0" applyFont="0" applyFill="0" applyBorder="0" applyAlignment="0" applyProtection="0"/>
    <xf numFmtId="0" fontId="27" fillId="0" borderId="0"/>
    <xf numFmtId="0" fontId="21" fillId="0" borderId="0"/>
    <xf numFmtId="0" fontId="22" fillId="0" borderId="0"/>
    <xf numFmtId="0" fontId="23" fillId="0" borderId="0"/>
    <xf numFmtId="0" fontId="20" fillId="0" borderId="0"/>
    <xf numFmtId="0" fontId="20" fillId="0" borderId="0"/>
    <xf numFmtId="0" fontId="24" fillId="0" borderId="0"/>
    <xf numFmtId="0" fontId="25" fillId="0" borderId="0"/>
    <xf numFmtId="9" fontId="27" fillId="0" borderId="0" applyFont="0" applyFill="0" applyBorder="0" applyAlignment="0" applyProtection="0"/>
    <xf numFmtId="43" fontId="13" fillId="0" borderId="0" applyFont="0" applyFill="0" applyBorder="0" applyAlignment="0" applyProtection="0"/>
    <xf numFmtId="0" fontId="23" fillId="0" borderId="0"/>
    <xf numFmtId="0" fontId="4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cellStyleXfs>
  <cellXfs count="167">
    <xf numFmtId="0" fontId="0" fillId="0" borderId="0" xfId="0">
      <alignment vertical="center"/>
    </xf>
    <xf numFmtId="0" fontId="2" fillId="0" borderId="1" xfId="0" applyFont="1"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xf>
    <xf numFmtId="0" fontId="5" fillId="0" borderId="1" xfId="0" applyFont="1" applyBorder="1">
      <alignment vertical="center"/>
    </xf>
    <xf numFmtId="0" fontId="3"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lignment vertical="center"/>
    </xf>
    <xf numFmtId="0" fontId="2" fillId="0" borderId="1" xfId="0" applyFont="1" applyBorder="1" applyAlignment="1">
      <alignment horizontal="justify" vertical="center" wrapText="1"/>
    </xf>
    <xf numFmtId="0" fontId="3" fillId="0" borderId="1" xfId="0" applyFont="1" applyBorder="1">
      <alignment vertical="center"/>
    </xf>
    <xf numFmtId="0" fontId="4" fillId="0" borderId="1" xfId="0" applyFont="1" applyBorder="1" applyAlignment="1">
      <alignment horizontal="justify" vertical="center" wrapText="1"/>
    </xf>
    <xf numFmtId="0" fontId="5" fillId="0" borderId="1" xfId="0" applyFont="1" applyBorder="1" applyAlignment="1">
      <alignment horizontal="center" vertical="center"/>
    </xf>
    <xf numFmtId="0" fontId="8" fillId="0" borderId="2" xfId="0" applyFont="1" applyBorder="1" applyAlignment="1">
      <alignment horizontal="center" vertical="center"/>
    </xf>
    <xf numFmtId="0" fontId="9" fillId="0" borderId="3" xfId="0" applyFont="1" applyBorder="1" applyAlignment="1">
      <alignment horizontal="center" vertical="center" wrapText="1"/>
    </xf>
    <xf numFmtId="3" fontId="9" fillId="0" borderId="3" xfId="0" applyNumberFormat="1"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justify" vertical="center" wrapText="1"/>
    </xf>
    <xf numFmtId="0" fontId="10" fillId="0" borderId="4" xfId="0" applyFont="1" applyBorder="1" applyAlignment="1">
      <alignment horizontal="center" vertical="center" wrapText="1"/>
    </xf>
    <xf numFmtId="41" fontId="10" fillId="0" borderId="1" xfId="2" applyNumberFormat="1" applyFont="1" applyBorder="1" applyAlignment="1">
      <alignment horizontal="right" vertical="center"/>
    </xf>
    <xf numFmtId="0" fontId="8" fillId="0" borderId="1" xfId="0" applyFont="1" applyBorder="1" applyAlignment="1">
      <alignment horizontal="center" vertical="center" wrapText="1"/>
    </xf>
    <xf numFmtId="0" fontId="11" fillId="0" borderId="5" xfId="0" applyFont="1" applyBorder="1" applyAlignment="1">
      <alignment horizontal="center" vertical="center"/>
    </xf>
    <xf numFmtId="41" fontId="11" fillId="0" borderId="1" xfId="2" applyNumberFormat="1" applyFont="1" applyBorder="1" applyAlignment="1">
      <alignment horizontal="right" vertical="center"/>
    </xf>
    <xf numFmtId="0" fontId="12" fillId="0" borderId="1" xfId="0" applyFont="1" applyBorder="1" applyAlignment="1">
      <alignment horizontal="center" vertical="center" wrapText="1"/>
    </xf>
    <xf numFmtId="0" fontId="0" fillId="0" borderId="0" xfId="0" applyAlignment="1"/>
    <xf numFmtId="0" fontId="13" fillId="0" borderId="0" xfId="0" applyFont="1" applyAlignment="1"/>
    <xf numFmtId="0" fontId="7" fillId="0" borderId="1" xfId="0" applyFont="1" applyBorder="1" applyAlignment="1">
      <alignment horizontal="center" vertical="center"/>
    </xf>
    <xf numFmtId="0" fontId="13" fillId="0" borderId="1" xfId="0" applyFont="1" applyBorder="1" applyAlignment="1">
      <alignment horizontal="center" vertical="center"/>
    </xf>
    <xf numFmtId="3" fontId="13" fillId="0" borderId="1" xfId="0" applyNumberFormat="1" applyFont="1" applyBorder="1">
      <alignment vertical="center"/>
    </xf>
    <xf numFmtId="0" fontId="13" fillId="0" borderId="1" xfId="0" applyFont="1" applyBorder="1">
      <alignment vertical="center"/>
    </xf>
    <xf numFmtId="0" fontId="7" fillId="0" borderId="1" xfId="0" applyFont="1" applyBorder="1">
      <alignment vertical="center"/>
    </xf>
    <xf numFmtId="3" fontId="7" fillId="0" borderId="1" xfId="0" applyNumberFormat="1" applyFont="1" applyBorder="1">
      <alignment vertical="center"/>
    </xf>
    <xf numFmtId="0" fontId="16"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7" fillId="0" borderId="1" xfId="0" applyFont="1" applyBorder="1" applyAlignment="1">
      <alignment horizontal="center" vertical="center" wrapText="1"/>
    </xf>
    <xf numFmtId="170" fontId="0" fillId="0" borderId="0" xfId="1" applyNumberFormat="1" applyFont="1">
      <alignment vertical="center"/>
    </xf>
    <xf numFmtId="0" fontId="28" fillId="0" borderId="1" xfId="0" applyFont="1" applyBorder="1" applyAlignment="1">
      <alignment vertical="center" wrapText="1"/>
    </xf>
    <xf numFmtId="0" fontId="31" fillId="0" borderId="1" xfId="0" applyFont="1" applyBorder="1" applyAlignment="1">
      <alignment horizontal="center" vertical="center"/>
    </xf>
    <xf numFmtId="0" fontId="32" fillId="0" borderId="0" xfId="0" applyFont="1" applyAlignment="1">
      <alignment wrapText="1"/>
    </xf>
    <xf numFmtId="3" fontId="2" fillId="0" borderId="1" xfId="0" applyNumberFormat="1" applyFont="1" applyBorder="1" applyAlignment="1">
      <alignment horizontal="center" vertical="center"/>
    </xf>
    <xf numFmtId="41" fontId="30" fillId="0" borderId="1" xfId="2" applyNumberFormat="1" applyFont="1" applyBorder="1" applyAlignment="1">
      <alignment horizontal="right" vertical="center"/>
    </xf>
    <xf numFmtId="0" fontId="29" fillId="0" borderId="0" xfId="0" applyFont="1" applyAlignment="1">
      <alignment horizontal="center" vertical="center"/>
    </xf>
    <xf numFmtId="0" fontId="7" fillId="0" borderId="0" xfId="0" applyFont="1" applyAlignment="1">
      <alignment horizontal="center" vertical="center"/>
    </xf>
    <xf numFmtId="0" fontId="14" fillId="0" borderId="2" xfId="0" applyFont="1" applyBorder="1" applyAlignment="1">
      <alignment horizontal="right"/>
    </xf>
    <xf numFmtId="0" fontId="2" fillId="0" borderId="0" xfId="0" applyFont="1" applyAlignment="1">
      <alignment horizontal="center" vertical="center" wrapText="1"/>
    </xf>
    <xf numFmtId="0" fontId="8" fillId="0" borderId="0" xfId="0" applyFont="1" applyAlignment="1">
      <alignment horizontal="center" vertical="center"/>
    </xf>
    <xf numFmtId="0" fontId="11" fillId="0" borderId="5" xfId="0" applyFont="1" applyBorder="1" applyAlignment="1">
      <alignment horizontal="center" vertical="center"/>
    </xf>
    <xf numFmtId="0" fontId="11" fillId="0" borderId="4" xfId="0"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wrapText="1"/>
    </xf>
    <xf numFmtId="0" fontId="0" fillId="0" borderId="1" xfId="0" applyBorder="1">
      <alignmen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2" fillId="0" borderId="1" xfId="0" applyFont="1" applyBorder="1" applyAlignment="1">
      <alignment horizontal="right" vertical="center"/>
    </xf>
    <xf numFmtId="0" fontId="2" fillId="0" borderId="1" xfId="0" applyFont="1" applyBorder="1" applyAlignment="1">
      <alignment horizontal="center" vertical="center"/>
    </xf>
    <xf numFmtId="0" fontId="4" fillId="0" borderId="1" xfId="0" applyFont="1" applyBorder="1">
      <alignment vertical="center"/>
    </xf>
    <xf numFmtId="0" fontId="5" fillId="0" borderId="1" xfId="0" applyFont="1" applyBorder="1" applyAlignment="1">
      <alignment horizontal="justify" vertical="center" wrapText="1"/>
    </xf>
    <xf numFmtId="0" fontId="4" fillId="0" borderId="1" xfId="0" applyFont="1" applyBorder="1" applyAlignment="1">
      <alignment horizontal="center" vertical="center"/>
    </xf>
    <xf numFmtId="0" fontId="33" fillId="0" borderId="1" xfId="0" applyFont="1" applyBorder="1" applyAlignment="1">
      <alignment horizontal="center" vertical="center" wrapText="1"/>
    </xf>
    <xf numFmtId="0" fontId="5" fillId="0" borderId="1" xfId="0" applyFont="1" applyBorder="1">
      <alignment vertical="center"/>
    </xf>
    <xf numFmtId="0" fontId="32" fillId="0" borderId="0" xfId="8" applyFont="1"/>
    <xf numFmtId="0" fontId="34" fillId="0" borderId="1" xfId="8" applyFont="1" applyBorder="1" applyAlignment="1">
      <alignment horizontal="center" vertical="center" wrapText="1"/>
    </xf>
    <xf numFmtId="0" fontId="34" fillId="0" borderId="1" xfId="8" applyFont="1" applyBorder="1" applyAlignment="1">
      <alignment horizontal="center" vertical="center"/>
    </xf>
    <xf numFmtId="0" fontId="34" fillId="0" borderId="1" xfId="8" applyFont="1" applyBorder="1" applyAlignment="1">
      <alignment horizontal="center" vertical="center" wrapText="1"/>
    </xf>
    <xf numFmtId="169" fontId="34" fillId="0" borderId="1" xfId="14" applyNumberFormat="1" applyFont="1" applyBorder="1" applyAlignment="1">
      <alignment horizontal="center" vertical="center" wrapText="1"/>
    </xf>
    <xf numFmtId="3" fontId="32" fillId="0" borderId="0" xfId="8" applyNumberFormat="1" applyFont="1"/>
    <xf numFmtId="0" fontId="34" fillId="0" borderId="1" xfId="8" applyFont="1" applyBorder="1" applyAlignment="1">
      <alignment vertical="center" wrapText="1"/>
    </xf>
    <xf numFmtId="0" fontId="36" fillId="0" borderId="1" xfId="8" applyFont="1" applyBorder="1" applyAlignment="1">
      <alignment horizontal="center" vertical="center" wrapText="1"/>
    </xf>
    <xf numFmtId="3" fontId="34" fillId="0" borderId="1" xfId="8" applyNumberFormat="1" applyFont="1" applyBorder="1" applyAlignment="1">
      <alignment horizontal="right" vertical="center" wrapText="1"/>
    </xf>
    <xf numFmtId="0" fontId="17" fillId="2" borderId="1" xfId="0" applyFont="1" applyFill="1" applyBorder="1" applyAlignment="1">
      <alignment vertical="center" wrapText="1"/>
    </xf>
    <xf numFmtId="169" fontId="36" fillId="0" borderId="1" xfId="14" applyNumberFormat="1" applyFont="1" applyBorder="1" applyAlignment="1">
      <alignment horizontal="center" vertical="center" wrapText="1"/>
    </xf>
    <xf numFmtId="3" fontId="36" fillId="0" borderId="1" xfId="8" applyNumberFormat="1" applyFont="1" applyBorder="1" applyAlignment="1">
      <alignment horizontal="center" vertical="center" wrapText="1"/>
    </xf>
    <xf numFmtId="0" fontId="19" fillId="2" borderId="1" xfId="0" applyFont="1" applyFill="1" applyBorder="1" applyAlignment="1">
      <alignment vertical="center" wrapText="1"/>
    </xf>
    <xf numFmtId="3" fontId="36" fillId="0" borderId="1" xfId="8" applyNumberFormat="1" applyFont="1" applyBorder="1" applyAlignment="1">
      <alignment horizontal="right" vertical="center" wrapText="1"/>
    </xf>
    <xf numFmtId="9" fontId="37" fillId="0" borderId="1" xfId="8" applyNumberFormat="1" applyFont="1" applyBorder="1" applyAlignment="1">
      <alignment horizontal="center" vertical="center" wrapText="1"/>
    </xf>
    <xf numFmtId="0" fontId="21" fillId="3" borderId="1" xfId="9" applyFont="1" applyFill="1" applyBorder="1" applyAlignment="1">
      <alignment horizontal="center" vertical="center" wrapText="1"/>
    </xf>
    <xf numFmtId="0" fontId="40" fillId="0" borderId="0" xfId="0" applyFont="1" applyAlignment="1">
      <alignment vertical="center" wrapText="1"/>
    </xf>
    <xf numFmtId="0" fontId="17" fillId="4" borderId="1" xfId="15" applyFont="1" applyFill="1" applyBorder="1" applyAlignment="1">
      <alignment horizontal="center" vertical="center"/>
    </xf>
    <xf numFmtId="0" fontId="17" fillId="0" borderId="1" xfId="9" applyFont="1" applyBorder="1" applyAlignment="1">
      <alignment vertical="center" wrapText="1"/>
    </xf>
    <xf numFmtId="0" fontId="36" fillId="0" borderId="1" xfId="16" applyFont="1" applyBorder="1" applyAlignment="1" applyProtection="1">
      <alignment horizontal="center" vertical="center" wrapText="1"/>
      <protection locked="0"/>
    </xf>
    <xf numFmtId="3" fontId="37" fillId="4" borderId="1" xfId="8" applyNumberFormat="1" applyFont="1" applyFill="1" applyBorder="1" applyAlignment="1">
      <alignment horizontal="center" vertical="center" wrapText="1"/>
    </xf>
    <xf numFmtId="0" fontId="42" fillId="0" borderId="0" xfId="17" applyFont="1"/>
    <xf numFmtId="43" fontId="32" fillId="0" borderId="0" xfId="18" applyFont="1"/>
    <xf numFmtId="9" fontId="34" fillId="4" borderId="1" xfId="8" applyNumberFormat="1" applyFont="1" applyFill="1" applyBorder="1" applyAlignment="1">
      <alignment horizontal="center" vertical="center" wrapText="1"/>
    </xf>
    <xf numFmtId="0" fontId="36" fillId="0" borderId="1" xfId="8" applyFont="1" applyBorder="1" applyAlignment="1">
      <alignment vertical="center" wrapText="1"/>
    </xf>
    <xf numFmtId="3" fontId="36" fillId="0" borderId="1" xfId="14" applyNumberFormat="1" applyFont="1" applyBorder="1" applyAlignment="1">
      <alignment horizontal="right" vertical="center" wrapText="1"/>
    </xf>
    <xf numFmtId="9" fontId="37" fillId="4" borderId="1" xfId="8" applyNumberFormat="1" applyFont="1" applyFill="1" applyBorder="1" applyAlignment="1">
      <alignment horizontal="center" vertical="center" wrapText="1"/>
    </xf>
    <xf numFmtId="9" fontId="36" fillId="4" borderId="1" xfId="8" applyNumberFormat="1" applyFont="1" applyFill="1" applyBorder="1" applyAlignment="1">
      <alignment horizontal="center" vertical="center" wrapText="1"/>
    </xf>
    <xf numFmtId="169" fontId="32" fillId="0" borderId="0" xfId="18" applyNumberFormat="1" applyFont="1"/>
    <xf numFmtId="0" fontId="37" fillId="0" borderId="1" xfId="8" applyFont="1" applyBorder="1" applyAlignment="1">
      <alignment horizontal="center" vertical="center" wrapText="1"/>
    </xf>
    <xf numFmtId="0" fontId="37" fillId="0" borderId="1" xfId="0" applyFont="1" applyBorder="1" applyAlignment="1">
      <alignment horizontal="justify" vertical="center" wrapText="1"/>
    </xf>
    <xf numFmtId="0" fontId="17" fillId="0" borderId="1" xfId="8" applyFont="1" applyBorder="1" applyAlignment="1">
      <alignment horizontal="center" vertical="center" wrapText="1"/>
    </xf>
    <xf numFmtId="3" fontId="37" fillId="0" borderId="1" xfId="14" applyNumberFormat="1" applyFont="1" applyBorder="1" applyAlignment="1">
      <alignment horizontal="right" vertical="center" wrapText="1"/>
    </xf>
    <xf numFmtId="49" fontId="37" fillId="4" borderId="1" xfId="15" quotePrefix="1" applyNumberFormat="1" applyFont="1" applyFill="1" applyBorder="1" applyAlignment="1">
      <alignment horizontal="center" vertical="center" wrapText="1"/>
    </xf>
    <xf numFmtId="0" fontId="37" fillId="4" borderId="1" xfId="0" applyFont="1" applyFill="1" applyBorder="1" applyAlignment="1">
      <alignment horizontal="center" vertical="center" wrapText="1"/>
    </xf>
    <xf numFmtId="49" fontId="32" fillId="0" borderId="0" xfId="8" applyNumberFormat="1" applyFont="1"/>
    <xf numFmtId="43" fontId="23" fillId="0" borderId="0" xfId="19" applyFont="1"/>
    <xf numFmtId="0" fontId="34" fillId="0" borderId="6" xfId="0" applyFont="1" applyBorder="1" applyAlignment="1">
      <alignment horizontal="center" vertical="center" wrapText="1"/>
    </xf>
    <xf numFmtId="0" fontId="34" fillId="4" borderId="1" xfId="8" applyFont="1" applyFill="1" applyBorder="1" applyAlignment="1">
      <alignment horizontal="center" vertical="center" wrapText="1"/>
    </xf>
    <xf numFmtId="0" fontId="36" fillId="0" borderId="1" xfId="15" applyFont="1" applyBorder="1" applyAlignment="1">
      <alignment horizontal="center" vertical="center"/>
    </xf>
    <xf numFmtId="49" fontId="36" fillId="0" borderId="1" xfId="15" applyNumberFormat="1" applyFont="1" applyBorder="1" applyAlignment="1">
      <alignment horizontal="justify" vertical="center" wrapText="1"/>
    </xf>
    <xf numFmtId="0" fontId="36" fillId="0" borderId="1" xfId="9" applyFont="1" applyBorder="1" applyAlignment="1">
      <alignment horizontal="center" vertical="center" wrapText="1"/>
    </xf>
    <xf numFmtId="49" fontId="36" fillId="0" borderId="1" xfId="15" applyNumberFormat="1" applyFont="1" applyBorder="1" applyAlignment="1">
      <alignment horizontal="center" vertical="center" wrapText="1"/>
    </xf>
    <xf numFmtId="49" fontId="37" fillId="4" borderId="1" xfId="15" applyNumberFormat="1" applyFont="1" applyFill="1" applyBorder="1" applyAlignment="1">
      <alignment horizontal="center" vertical="center" wrapText="1"/>
    </xf>
    <xf numFmtId="0" fontId="36" fillId="0" borderId="1" xfId="8" applyFont="1" applyBorder="1" applyAlignment="1">
      <alignment horizontal="justify" vertical="center" wrapText="1"/>
    </xf>
    <xf numFmtId="0" fontId="2" fillId="0" borderId="1" xfId="0" applyFont="1" applyBorder="1" applyAlignment="1">
      <alignment horizontal="center"/>
    </xf>
    <xf numFmtId="0" fontId="32" fillId="0" borderId="1" xfId="8" applyFont="1" applyBorder="1" applyAlignment="1">
      <alignment horizontal="right"/>
    </xf>
    <xf numFmtId="0" fontId="34" fillId="0" borderId="1" xfId="8" applyFont="1" applyBorder="1" applyAlignment="1">
      <alignment horizontal="right" vertical="center" wrapText="1"/>
    </xf>
    <xf numFmtId="169" fontId="32" fillId="0" borderId="0" xfId="8" applyNumberFormat="1" applyFont="1"/>
    <xf numFmtId="43" fontId="32" fillId="0" borderId="0" xfId="8" applyNumberFormat="1" applyFont="1"/>
    <xf numFmtId="0" fontId="32" fillId="0" borderId="0" xfId="8" applyFont="1" applyAlignment="1">
      <alignment horizontal="right"/>
    </xf>
    <xf numFmtId="170" fontId="32" fillId="0" borderId="0" xfId="1" applyNumberFormat="1" applyFont="1" applyAlignment="1"/>
    <xf numFmtId="0" fontId="15" fillId="0" borderId="0" xfId="0" applyFont="1" applyAlignment="1">
      <alignment vertical="center" wrapText="1"/>
    </xf>
    <xf numFmtId="0" fontId="10" fillId="0" borderId="1" xfId="20" applyFont="1" applyBorder="1" applyAlignment="1">
      <alignment horizontal="center" vertical="center" wrapText="1"/>
    </xf>
    <xf numFmtId="0" fontId="10" fillId="0" borderId="0" xfId="0" applyFont="1" applyAlignment="1"/>
    <xf numFmtId="0" fontId="10" fillId="0" borderId="1" xfId="20" applyFont="1" applyBorder="1"/>
    <xf numFmtId="176" fontId="10" fillId="0" borderId="1" xfId="19" applyNumberFormat="1" applyFont="1" applyBorder="1"/>
    <xf numFmtId="3" fontId="10" fillId="0" borderId="1" xfId="20" applyNumberFormat="1" applyFont="1" applyBorder="1"/>
    <xf numFmtId="10" fontId="10" fillId="0" borderId="1" xfId="20" applyNumberFormat="1" applyFont="1" applyBorder="1"/>
    <xf numFmtId="0" fontId="10" fillId="0" borderId="1" xfId="0" applyFont="1" applyBorder="1" applyAlignment="1">
      <alignment vertical="center" wrapText="1"/>
    </xf>
    <xf numFmtId="3" fontId="11" fillId="0" borderId="1" xfId="0" applyNumberFormat="1" applyFont="1" applyBorder="1" applyAlignment="1">
      <alignment horizontal="center" vertical="center"/>
    </xf>
    <xf numFmtId="3" fontId="10" fillId="0" borderId="0" xfId="0" applyNumberFormat="1" applyFont="1" applyAlignment="1"/>
    <xf numFmtId="0" fontId="10" fillId="0" borderId="1" xfId="0" applyFont="1" applyBorder="1" applyAlignment="1">
      <alignment horizontal="center"/>
    </xf>
    <xf numFmtId="0" fontId="11" fillId="0" borderId="1" xfId="0" applyFont="1" applyBorder="1">
      <alignment vertical="center"/>
    </xf>
    <xf numFmtId="0" fontId="10" fillId="0" borderId="0" xfId="0" applyFont="1" applyAlignment="1">
      <alignment wrapText="1"/>
    </xf>
    <xf numFmtId="0" fontId="17" fillId="0" borderId="1" xfId="17" applyFont="1" applyBorder="1"/>
    <xf numFmtId="3" fontId="17" fillId="0" borderId="1" xfId="8" applyNumberFormat="1" applyFont="1" applyBorder="1"/>
    <xf numFmtId="3" fontId="17" fillId="0" borderId="1" xfId="14" applyNumberFormat="1" applyFont="1" applyBorder="1" applyAlignment="1">
      <alignment horizontal="right" vertical="center" wrapText="1"/>
    </xf>
    <xf numFmtId="0" fontId="17" fillId="0" borderId="1" xfId="8" applyFont="1" applyBorder="1"/>
    <xf numFmtId="3" fontId="19" fillId="0" borderId="1" xfId="14" applyNumberFormat="1" applyFont="1" applyBorder="1" applyAlignment="1">
      <alignment horizontal="right" vertical="center" wrapText="1"/>
    </xf>
    <xf numFmtId="170" fontId="17" fillId="0" borderId="1" xfId="1" applyNumberFormat="1" applyFont="1" applyBorder="1" applyAlignment="1"/>
    <xf numFmtId="3" fontId="16" fillId="0" borderId="1" xfId="8" applyNumberFormat="1" applyFont="1" applyBorder="1"/>
    <xf numFmtId="170" fontId="16" fillId="0" borderId="1" xfId="1" applyNumberFormat="1" applyFont="1" applyBorder="1" applyAlignment="1"/>
    <xf numFmtId="170" fontId="16" fillId="0" borderId="1" xfId="8" applyNumberFormat="1" applyFont="1" applyBorder="1"/>
    <xf numFmtId="169" fontId="16" fillId="0" borderId="1" xfId="8" applyNumberFormat="1" applyFont="1" applyBorder="1"/>
    <xf numFmtId="169" fontId="16" fillId="0" borderId="1" xfId="0" applyNumberFormat="1" applyFont="1" applyBorder="1" applyAlignment="1">
      <alignment vertical="center" wrapText="1"/>
    </xf>
    <xf numFmtId="0" fontId="16" fillId="0" borderId="1" xfId="8" applyFont="1" applyBorder="1" applyAlignment="1">
      <alignment horizontal="center" vertical="center" wrapText="1"/>
    </xf>
    <xf numFmtId="0" fontId="16" fillId="0" borderId="1" xfId="8" applyFont="1" applyBorder="1" applyAlignment="1">
      <alignment horizontal="center" vertical="center"/>
    </xf>
    <xf numFmtId="0" fontId="16" fillId="0" borderId="1" xfId="8" applyFont="1" applyBorder="1" applyAlignment="1">
      <alignment horizontal="center" vertical="center" wrapText="1"/>
    </xf>
    <xf numFmtId="0" fontId="16" fillId="0" borderId="1" xfId="8" applyFont="1" applyBorder="1" applyAlignment="1">
      <alignment vertical="center" wrapText="1"/>
    </xf>
    <xf numFmtId="3" fontId="16" fillId="0" borderId="1" xfId="8" applyNumberFormat="1" applyFont="1" applyBorder="1" applyAlignment="1">
      <alignment horizontal="right" vertical="center" wrapText="1"/>
    </xf>
    <xf numFmtId="3" fontId="17" fillId="0" borderId="1" xfId="8" applyNumberFormat="1" applyFont="1" applyBorder="1" applyAlignment="1">
      <alignment horizontal="right" vertical="center" wrapText="1"/>
    </xf>
    <xf numFmtId="170" fontId="16" fillId="0" borderId="1" xfId="1" applyNumberFormat="1" applyFont="1" applyBorder="1" applyAlignment="1">
      <alignment horizontal="center" vertical="center"/>
    </xf>
    <xf numFmtId="170" fontId="16" fillId="0" borderId="1" xfId="8" applyNumberFormat="1" applyFont="1" applyBorder="1" applyAlignment="1">
      <alignment horizontal="center" vertical="center"/>
    </xf>
    <xf numFmtId="169" fontId="17" fillId="0" borderId="1" xfId="14" applyNumberFormat="1" applyFont="1" applyBorder="1" applyAlignment="1">
      <alignment horizontal="center" vertical="center" wrapText="1"/>
    </xf>
    <xf numFmtId="169" fontId="16" fillId="0" borderId="1" xfId="14" applyNumberFormat="1" applyFont="1" applyBorder="1" applyAlignment="1">
      <alignment horizontal="center" vertical="center" wrapText="1"/>
    </xf>
    <xf numFmtId="0" fontId="17" fillId="0" borderId="1" xfId="16" applyFont="1" applyBorder="1" applyAlignment="1" applyProtection="1">
      <alignment horizontal="center" vertical="center" wrapText="1"/>
      <protection locked="0"/>
    </xf>
    <xf numFmtId="0" fontId="17" fillId="0" borderId="1" xfId="8" applyFont="1" applyBorder="1" applyAlignment="1">
      <alignment vertical="center" wrapText="1"/>
    </xf>
    <xf numFmtId="0" fontId="19" fillId="0" borderId="1" xfId="8" applyFont="1" applyBorder="1" applyAlignment="1">
      <alignment horizontal="center" vertical="center" wrapText="1"/>
    </xf>
    <xf numFmtId="0" fontId="19" fillId="0" borderId="1" xfId="0" applyFont="1" applyBorder="1" applyAlignment="1">
      <alignment horizontal="justify" vertical="center" wrapText="1"/>
    </xf>
    <xf numFmtId="0" fontId="19" fillId="4" borderId="1" xfId="0" applyFont="1" applyFill="1" applyBorder="1" applyAlignment="1">
      <alignment horizontal="center" vertical="center" wrapText="1"/>
    </xf>
    <xf numFmtId="0" fontId="16" fillId="0" borderId="6" xfId="0" applyFont="1" applyBorder="1" applyAlignment="1">
      <alignment horizontal="center" vertical="center" wrapText="1"/>
    </xf>
    <xf numFmtId="0" fontId="17" fillId="0" borderId="1" xfId="15" applyFont="1" applyBorder="1" applyAlignment="1">
      <alignment horizontal="center" vertical="center"/>
    </xf>
    <xf numFmtId="49" fontId="17" fillId="0" borderId="1" xfId="15" applyNumberFormat="1" applyFont="1" applyBorder="1" applyAlignment="1">
      <alignment horizontal="justify" vertical="center" wrapText="1"/>
    </xf>
    <xf numFmtId="0" fontId="17" fillId="0" borderId="1" xfId="9" applyFont="1" applyBorder="1" applyAlignment="1">
      <alignment horizontal="center" vertical="center" wrapText="1"/>
    </xf>
    <xf numFmtId="49" fontId="17" fillId="0" borderId="1" xfId="15" applyNumberFormat="1" applyFont="1" applyBorder="1" applyAlignment="1">
      <alignment horizontal="center" vertical="center" wrapText="1"/>
    </xf>
    <xf numFmtId="0" fontId="17" fillId="0" borderId="1" xfId="8" applyFont="1" applyBorder="1" applyAlignment="1">
      <alignment horizontal="justify" vertical="center" wrapText="1"/>
    </xf>
    <xf numFmtId="0" fontId="11" fillId="0" borderId="1" xfId="0" applyFont="1" applyBorder="1" applyAlignment="1">
      <alignment horizontal="center"/>
    </xf>
    <xf numFmtId="0" fontId="16" fillId="0" borderId="1" xfId="8" applyFont="1" applyBorder="1" applyAlignment="1">
      <alignment horizontal="center" vertical="center"/>
    </xf>
    <xf numFmtId="0" fontId="16" fillId="0" borderId="7" xfId="8" applyFont="1" applyBorder="1" applyAlignment="1">
      <alignment horizontal="center" vertical="center" wrapText="1"/>
    </xf>
    <xf numFmtId="0" fontId="16" fillId="0" borderId="3" xfId="8" applyFont="1" applyBorder="1" applyAlignment="1">
      <alignment horizontal="center" vertical="center" wrapText="1"/>
    </xf>
    <xf numFmtId="0" fontId="18" fillId="0" borderId="8" xfId="8" applyFont="1" applyBorder="1" applyAlignment="1">
      <alignment horizontal="center" vertical="center" wrapText="1"/>
    </xf>
    <xf numFmtId="0" fontId="18" fillId="0" borderId="0" xfId="8" applyFont="1" applyBorder="1" applyAlignment="1">
      <alignment horizontal="center" vertical="center" wrapText="1"/>
    </xf>
    <xf numFmtId="0" fontId="18" fillId="0" borderId="1" xfId="8" applyFont="1" applyBorder="1" applyAlignment="1">
      <alignment horizontal="center" vertical="center" wrapText="1"/>
    </xf>
    <xf numFmtId="0" fontId="18" fillId="0" borderId="1" xfId="8" applyFont="1" applyBorder="1" applyAlignment="1">
      <alignment horizontal="center" vertical="center"/>
    </xf>
  </cellXfs>
  <cellStyles count="21">
    <cellStyle name="Comma" xfId="1" builtinId="3"/>
    <cellStyle name="Comma [0]" xfId="2" builtinId="6"/>
    <cellStyle name="Comma 13 2" xfId="3" xr:uid="{00000000-0005-0000-0000-000031000000}"/>
    <cellStyle name="Comma 2 2 8" xfId="19" xr:uid="{15920C2C-CC0F-4938-9580-0073ABACE10F}"/>
    <cellStyle name="Comma 2 3" xfId="4" xr:uid="{00000000-0005-0000-0000-000032000000}"/>
    <cellStyle name="Comma 3" xfId="14" xr:uid="{BF1FFC65-41DB-4090-A61D-B1109C2D2C4C}"/>
    <cellStyle name="Comma 5" xfId="18" xr:uid="{58A12605-E79C-4579-8FB2-B7950DBF8889}"/>
    <cellStyle name="Normal" xfId="0" builtinId="0"/>
    <cellStyle name="Normal 12" xfId="5" xr:uid="{00000000-0005-0000-0000-000033000000}"/>
    <cellStyle name="Normal 14" xfId="6" xr:uid="{00000000-0005-0000-0000-000034000000}"/>
    <cellStyle name="Normal 16 2 2 2" xfId="7" xr:uid="{00000000-0005-0000-0000-000035000000}"/>
    <cellStyle name="Normal 2" xfId="8" xr:uid="{00000000-0005-0000-0000-000036000000}"/>
    <cellStyle name="Normal 2 2" xfId="17" xr:uid="{2411957D-44B5-4B40-AF4F-CCF8C95ADDFF}"/>
    <cellStyle name="Normal 2 2 2" xfId="9" xr:uid="{00000000-0005-0000-0000-000037000000}"/>
    <cellStyle name="Normal 2_Phần mềm PACS" xfId="10" xr:uid="{00000000-0005-0000-0000-000038000000}"/>
    <cellStyle name="Normal 3" xfId="11" xr:uid="{00000000-0005-0000-0000-000039000000}"/>
    <cellStyle name="Normal 8" xfId="20" xr:uid="{AC77C021-C39E-4694-BD97-A906CFDD826C}"/>
    <cellStyle name="Normal 9" xfId="12" xr:uid="{00000000-0005-0000-0000-00003A000000}"/>
    <cellStyle name="Normal_091010_Du_toan_trien_khai_chuong_trinh_HT 2" xfId="15" xr:uid="{CDB49C97-B067-4C08-9E53-33607CD34590}"/>
    <cellStyle name="Normal_nha_kho" xfId="16" xr:uid="{8F1EE7D4-A6BD-4856-8D64-663883C0235F}"/>
    <cellStyle name="Percent 2" xfId="13" xr:uid="{00000000-0005-0000-0000-00003B000000}"/>
  </cellStyles>
  <dxfs count="0"/>
  <tableStyles count="0" defaultTableStyle="TableStyleMedium2" defaultPivotStyle="PivotStyleLight16"/>
  <colors>
    <mruColors>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1000125</xdr:colOff>
      <xdr:row>2</xdr:row>
      <xdr:rowOff>104775</xdr:rowOff>
    </xdr:from>
    <xdr:to>
      <xdr:col>4</xdr:col>
      <xdr:colOff>704850</xdr:colOff>
      <xdr:row>2</xdr:row>
      <xdr:rowOff>104775</xdr:rowOff>
    </xdr:to>
    <xdr:cxnSp macro="">
      <xdr:nvCxnSpPr>
        <xdr:cNvPr id="2" name="Straight Connector 1">
          <a:extLst>
            <a:ext uri="{FF2B5EF4-FFF2-40B4-BE49-F238E27FC236}">
              <a16:creationId xmlns:a16="http://schemas.microsoft.com/office/drawing/2014/main" id="{00000000-0008-0000-0200-000002000000}"/>
            </a:ext>
          </a:extLst>
        </xdr:cNvPr>
        <xdr:cNvCxnSpPr/>
      </xdr:nvCxnSpPr>
      <xdr:spPr>
        <a:xfrm>
          <a:off x="1609725" y="495300"/>
          <a:ext cx="377190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0C54A-3544-41DD-8CF8-58121BC6F0AD}">
  <dimension ref="A1:J34"/>
  <sheetViews>
    <sheetView topLeftCell="B1" workbookViewId="0">
      <selection activeCell="E6" sqref="E6"/>
    </sheetView>
  </sheetViews>
  <sheetFormatPr defaultColWidth="9.140625" defaultRowHeight="15"/>
  <cols>
    <col min="1" max="1" width="5" style="62" customWidth="1"/>
    <col min="2" max="2" width="39.42578125" style="62" customWidth="1"/>
    <col min="3" max="3" width="9.5703125" style="62" customWidth="1"/>
    <col min="4" max="4" width="26" style="62" customWidth="1"/>
    <col min="5" max="5" width="20.7109375" style="62" customWidth="1"/>
    <col min="6" max="6" width="18.28515625" style="62" customWidth="1"/>
    <col min="7" max="7" width="18.7109375" style="62" customWidth="1"/>
    <col min="8" max="8" width="19.28515625" style="62" customWidth="1"/>
    <col min="9" max="9" width="9.140625" style="62"/>
    <col min="10" max="10" width="16.42578125" style="62" customWidth="1"/>
    <col min="11" max="16384" width="9.140625" style="62"/>
  </cols>
  <sheetData>
    <row r="1" spans="1:10" ht="16.5" customHeight="1">
      <c r="A1" s="163" t="s">
        <v>209</v>
      </c>
      <c r="B1" s="164"/>
      <c r="C1" s="164"/>
      <c r="D1" s="164"/>
      <c r="E1" s="164"/>
      <c r="F1" s="164"/>
      <c r="G1" s="164"/>
    </row>
    <row r="2" spans="1:10" ht="16.5"/>
    <row r="3" spans="1:10" ht="16.5">
      <c r="A3" s="138" t="s">
        <v>26</v>
      </c>
      <c r="B3" s="138" t="s">
        <v>122</v>
      </c>
      <c r="C3" s="138" t="s">
        <v>123</v>
      </c>
      <c r="D3" s="138" t="s">
        <v>10</v>
      </c>
      <c r="E3" s="161" t="s">
        <v>126</v>
      </c>
      <c r="F3" s="160" t="s">
        <v>118</v>
      </c>
      <c r="G3" s="160"/>
    </row>
    <row r="4" spans="1:10" ht="16.5">
      <c r="A4" s="138"/>
      <c r="B4" s="138"/>
      <c r="C4" s="138"/>
      <c r="D4" s="138"/>
      <c r="E4" s="162"/>
      <c r="F4" s="139" t="s">
        <v>119</v>
      </c>
      <c r="G4" s="139" t="s">
        <v>120</v>
      </c>
      <c r="H4" s="67"/>
    </row>
    <row r="5" spans="1:10" ht="16.5">
      <c r="A5" s="140" t="s">
        <v>127</v>
      </c>
      <c r="B5" s="141" t="s">
        <v>128</v>
      </c>
      <c r="C5" s="140" t="s">
        <v>210</v>
      </c>
      <c r="D5" s="93"/>
      <c r="E5" s="142"/>
      <c r="F5" s="136"/>
      <c r="G5" s="135"/>
    </row>
    <row r="6" spans="1:10" ht="31.5">
      <c r="A6" s="35">
        <v>1</v>
      </c>
      <c r="B6" s="71" t="s">
        <v>195</v>
      </c>
      <c r="C6" s="33" t="s">
        <v>211</v>
      </c>
      <c r="D6" s="93" t="s">
        <v>3</v>
      </c>
      <c r="E6" s="142">
        <v>7753318388</v>
      </c>
      <c r="F6" s="144">
        <v>3500000000</v>
      </c>
      <c r="G6" s="145">
        <f>E6-F6</f>
        <v>4253318388</v>
      </c>
    </row>
    <row r="7" spans="1:10" ht="16.5">
      <c r="A7" s="34">
        <v>1.1000000000000001</v>
      </c>
      <c r="B7" s="74" t="s">
        <v>190</v>
      </c>
      <c r="C7" s="34" t="s">
        <v>1</v>
      </c>
      <c r="D7" s="93" t="s">
        <v>3</v>
      </c>
      <c r="E7" s="146">
        <v>2177266998</v>
      </c>
      <c r="F7" s="130"/>
      <c r="G7" s="130"/>
    </row>
    <row r="8" spans="1:10" ht="18.75">
      <c r="A8" s="34">
        <v>1.2</v>
      </c>
      <c r="B8" s="74" t="s">
        <v>191</v>
      </c>
      <c r="C8" s="34" t="s">
        <v>192</v>
      </c>
      <c r="D8" s="93" t="s">
        <v>3</v>
      </c>
      <c r="E8" s="146">
        <v>5245375320</v>
      </c>
      <c r="F8" s="130"/>
      <c r="G8" s="130"/>
    </row>
    <row r="9" spans="1:10" ht="18.75">
      <c r="A9" s="34">
        <v>1.3</v>
      </c>
      <c r="B9" s="74" t="s">
        <v>2</v>
      </c>
      <c r="C9" s="34" t="s">
        <v>197</v>
      </c>
      <c r="D9" s="93" t="s">
        <v>3</v>
      </c>
      <c r="E9" s="146">
        <v>330676069</v>
      </c>
      <c r="F9" s="130"/>
      <c r="G9" s="130"/>
    </row>
    <row r="10" spans="1:10" s="78" customFormat="1" ht="18.75">
      <c r="A10" s="140" t="s">
        <v>131</v>
      </c>
      <c r="B10" s="141" t="s">
        <v>132</v>
      </c>
      <c r="C10" s="141" t="s">
        <v>212</v>
      </c>
      <c r="D10" s="140"/>
      <c r="E10" s="147">
        <v>176066598</v>
      </c>
      <c r="F10" s="137">
        <v>88000000</v>
      </c>
      <c r="G10" s="137">
        <f>E10-F10</f>
        <v>88066598</v>
      </c>
    </row>
    <row r="11" spans="1:10" s="83" customFormat="1" ht="16.5">
      <c r="A11" s="79">
        <v>1</v>
      </c>
      <c r="B11" s="80" t="s">
        <v>134</v>
      </c>
      <c r="C11" s="143" t="s">
        <v>135</v>
      </c>
      <c r="D11" s="148" t="s">
        <v>136</v>
      </c>
      <c r="E11" s="143">
        <v>176066598</v>
      </c>
      <c r="F11" s="127"/>
      <c r="G11" s="127"/>
      <c r="J11" s="84"/>
    </row>
    <row r="12" spans="1:10" ht="17.25">
      <c r="A12" s="140" t="s">
        <v>138</v>
      </c>
      <c r="B12" s="141" t="s">
        <v>139</v>
      </c>
      <c r="C12" s="140" t="s">
        <v>213</v>
      </c>
      <c r="D12" s="140" t="s">
        <v>214</v>
      </c>
      <c r="E12" s="147">
        <v>218888084</v>
      </c>
      <c r="F12" s="133">
        <f>SUM(F13:F20)</f>
        <v>189968636.55022284</v>
      </c>
      <c r="G12" s="136">
        <f>G20</f>
        <v>28919447.764856011</v>
      </c>
    </row>
    <row r="13" spans="1:10" ht="31.5">
      <c r="A13" s="93">
        <v>1</v>
      </c>
      <c r="B13" s="149" t="s">
        <v>142</v>
      </c>
      <c r="C13" s="93" t="s">
        <v>215</v>
      </c>
      <c r="D13" s="93" t="s">
        <v>144</v>
      </c>
      <c r="E13" s="129">
        <v>129757315.83776647</v>
      </c>
      <c r="F13" s="129">
        <v>129757315.83776647</v>
      </c>
      <c r="G13" s="130"/>
      <c r="H13" s="84"/>
    </row>
    <row r="14" spans="1:10" ht="18.75">
      <c r="A14" s="93">
        <v>2</v>
      </c>
      <c r="B14" s="149" t="s">
        <v>146</v>
      </c>
      <c r="C14" s="93" t="s">
        <v>216</v>
      </c>
      <c r="D14" s="140" t="s">
        <v>217</v>
      </c>
      <c r="E14" s="129">
        <v>20557896.083837252</v>
      </c>
      <c r="F14" s="129">
        <v>20557896.083837252</v>
      </c>
      <c r="G14" s="130"/>
    </row>
    <row r="15" spans="1:10" ht="18.75">
      <c r="A15" s="150">
        <v>2.1</v>
      </c>
      <c r="B15" s="151" t="s">
        <v>149</v>
      </c>
      <c r="C15" s="93" t="s">
        <v>218</v>
      </c>
      <c r="D15" s="93" t="s">
        <v>151</v>
      </c>
      <c r="E15" s="131">
        <v>15854999.494719915</v>
      </c>
      <c r="F15" s="131"/>
      <c r="G15" s="130"/>
    </row>
    <row r="16" spans="1:10" ht="18.75">
      <c r="A16" s="150">
        <v>2.2000000000000002</v>
      </c>
      <c r="B16" s="151" t="s">
        <v>152</v>
      </c>
      <c r="C16" s="93" t="s">
        <v>219</v>
      </c>
      <c r="D16" s="93" t="s">
        <v>151</v>
      </c>
      <c r="E16" s="131">
        <v>4702896.7158243163</v>
      </c>
      <c r="F16" s="131"/>
      <c r="G16" s="130"/>
    </row>
    <row r="17" spans="1:8" ht="18.75">
      <c r="A17" s="93">
        <v>3</v>
      </c>
      <c r="B17" s="149" t="s">
        <v>154</v>
      </c>
      <c r="C17" s="93" t="s">
        <v>220</v>
      </c>
      <c r="D17" s="140" t="s">
        <v>221</v>
      </c>
      <c r="E17" s="129">
        <v>11653424.628619136</v>
      </c>
      <c r="F17" s="129">
        <v>11653424.628619136</v>
      </c>
      <c r="G17" s="130"/>
    </row>
    <row r="18" spans="1:8" ht="18.75">
      <c r="A18" s="150" t="s">
        <v>157</v>
      </c>
      <c r="B18" s="151" t="s">
        <v>158</v>
      </c>
      <c r="C18" s="93" t="s">
        <v>222</v>
      </c>
      <c r="D18" s="152" t="s">
        <v>160</v>
      </c>
      <c r="E18" s="131">
        <v>5826712.3143095681</v>
      </c>
      <c r="F18" s="131"/>
      <c r="G18" s="130"/>
    </row>
    <row r="19" spans="1:8" ht="18.75">
      <c r="A19" s="150" t="s">
        <v>162</v>
      </c>
      <c r="B19" s="151" t="s">
        <v>4</v>
      </c>
      <c r="C19" s="93" t="s">
        <v>223</v>
      </c>
      <c r="D19" s="152" t="s">
        <v>164</v>
      </c>
      <c r="E19" s="131">
        <v>5826712.3143095681</v>
      </c>
      <c r="F19" s="131"/>
      <c r="G19" s="130"/>
    </row>
    <row r="20" spans="1:8" ht="18.75">
      <c r="A20" s="93">
        <v>4</v>
      </c>
      <c r="B20" s="149" t="s">
        <v>166</v>
      </c>
      <c r="C20" s="93" t="s">
        <v>224</v>
      </c>
      <c r="D20" s="93" t="s">
        <v>225</v>
      </c>
      <c r="E20" s="129">
        <v>56919447.764856011</v>
      </c>
      <c r="F20" s="132">
        <v>28000000</v>
      </c>
      <c r="G20" s="128">
        <f>E20-F20</f>
        <v>28919447.764856011</v>
      </c>
      <c r="H20" s="98"/>
    </row>
    <row r="21" spans="1:8" ht="17.25">
      <c r="A21" s="140" t="s">
        <v>170</v>
      </c>
      <c r="B21" s="141" t="s">
        <v>171</v>
      </c>
      <c r="C21" s="140" t="s">
        <v>226</v>
      </c>
      <c r="D21" s="153" t="s">
        <v>227</v>
      </c>
      <c r="E21" s="147">
        <v>126692912.48884527</v>
      </c>
      <c r="F21" s="133">
        <f>SUM(F22:F24)</f>
        <v>84853330.488889962</v>
      </c>
      <c r="G21" s="135">
        <f>G25</f>
        <v>41839581.999955326</v>
      </c>
    </row>
    <row r="22" spans="1:8" ht="16.5">
      <c r="A22" s="154">
        <v>1</v>
      </c>
      <c r="B22" s="155" t="s">
        <v>5</v>
      </c>
      <c r="C22" s="156" t="s">
        <v>174</v>
      </c>
      <c r="D22" s="93" t="s">
        <v>175</v>
      </c>
      <c r="E22" s="129">
        <v>7927499.7473599575</v>
      </c>
      <c r="F22" s="129">
        <v>7927499.7473599575</v>
      </c>
      <c r="G22" s="130"/>
    </row>
    <row r="23" spans="1:8" ht="31.5">
      <c r="A23" s="154">
        <v>2</v>
      </c>
      <c r="B23" s="155" t="s">
        <v>176</v>
      </c>
      <c r="C23" s="156" t="s">
        <v>177</v>
      </c>
      <c r="D23" s="93" t="s">
        <v>175</v>
      </c>
      <c r="E23" s="129">
        <v>7927499.7473599575</v>
      </c>
      <c r="F23" s="129">
        <v>7927499.7473599575</v>
      </c>
      <c r="G23" s="130"/>
    </row>
    <row r="24" spans="1:8" ht="16.5">
      <c r="A24" s="154">
        <v>3</v>
      </c>
      <c r="B24" s="155" t="s">
        <v>6</v>
      </c>
      <c r="C24" s="156" t="s">
        <v>178</v>
      </c>
      <c r="D24" s="157" t="s">
        <v>3</v>
      </c>
      <c r="E24" s="129">
        <v>68998330.99417004</v>
      </c>
      <c r="F24" s="129">
        <v>68998330.99417004</v>
      </c>
      <c r="G24" s="130"/>
    </row>
    <row r="25" spans="1:8" ht="16.5">
      <c r="A25" s="154">
        <v>4</v>
      </c>
      <c r="B25" s="158" t="s">
        <v>180</v>
      </c>
      <c r="C25" s="154" t="s">
        <v>181</v>
      </c>
      <c r="D25" s="93" t="s">
        <v>182</v>
      </c>
      <c r="E25" s="129">
        <v>41839582</v>
      </c>
      <c r="F25" s="130"/>
      <c r="G25" s="132">
        <v>41839581.999955326</v>
      </c>
    </row>
    <row r="26" spans="1:8" ht="16.5">
      <c r="A26" s="159" t="s">
        <v>184</v>
      </c>
      <c r="B26" s="159" t="s">
        <v>185</v>
      </c>
      <c r="C26" s="159" t="s">
        <v>186</v>
      </c>
      <c r="D26" s="35" t="s">
        <v>201</v>
      </c>
      <c r="E26" s="142">
        <v>315377979</v>
      </c>
      <c r="F26" s="130"/>
      <c r="G26" s="134">
        <v>315377979</v>
      </c>
    </row>
    <row r="27" spans="1:8" ht="16.5">
      <c r="A27" s="140"/>
      <c r="B27" s="140" t="s">
        <v>187</v>
      </c>
      <c r="C27" s="140" t="s">
        <v>188</v>
      </c>
      <c r="D27" s="140" t="s">
        <v>189</v>
      </c>
      <c r="E27" s="142">
        <v>8590343962</v>
      </c>
      <c r="F27" s="136">
        <f>F21+F12+F10+F6</f>
        <v>3862821967.039113</v>
      </c>
      <c r="G27" s="135">
        <f>G26+G21+G12+G10+G6</f>
        <v>4727521994.7648115</v>
      </c>
    </row>
    <row r="28" spans="1:8" ht="16.5">
      <c r="E28" s="110"/>
    </row>
    <row r="29" spans="1:8" ht="16.5"/>
    <row r="30" spans="1:8" ht="16.5">
      <c r="E30" s="110"/>
    </row>
    <row r="32" spans="1:8" ht="16.5"/>
    <row r="33" ht="16.5"/>
    <row r="34" ht="16.5"/>
  </sheetData>
  <mergeCells count="7">
    <mergeCell ref="B3:B4"/>
    <mergeCell ref="C3:C4"/>
    <mergeCell ref="E3:E4"/>
    <mergeCell ref="A3:A4"/>
    <mergeCell ref="D3:D4"/>
    <mergeCell ref="F3:G3"/>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3453A-335A-474E-8312-553744841E16}">
  <dimension ref="A1:M34"/>
  <sheetViews>
    <sheetView tabSelected="1" zoomScale="85" zoomScaleNormal="85" workbookViewId="0">
      <selection activeCell="G26" sqref="G26"/>
    </sheetView>
  </sheetViews>
  <sheetFormatPr defaultColWidth="9.140625" defaultRowHeight="16.5"/>
  <cols>
    <col min="1" max="1" width="5" style="62" customWidth="1"/>
    <col min="2" max="2" width="39.42578125" style="62" customWidth="1"/>
    <col min="3" max="3" width="9.5703125" style="62" customWidth="1"/>
    <col min="4" max="4" width="26" style="62" customWidth="1"/>
    <col min="5" max="5" width="17.7109375" style="62" customWidth="1"/>
    <col min="6" max="6" width="16.42578125" style="62" customWidth="1"/>
    <col min="7" max="7" width="20.7109375" style="62" customWidth="1"/>
    <col min="8" max="8" width="43" style="62" customWidth="1"/>
    <col min="9" max="9" width="17.5703125" style="62" customWidth="1"/>
    <col min="10" max="10" width="9.140625" style="62"/>
    <col min="11" max="11" width="19.28515625" style="62" customWidth="1"/>
    <col min="12" max="12" width="9.140625" style="62"/>
    <col min="13" max="13" width="16.42578125" style="62" customWidth="1"/>
    <col min="14" max="16384" width="9.140625" style="62"/>
  </cols>
  <sheetData>
    <row r="1" spans="1:13" ht="18.75">
      <c r="A1" s="165" t="s">
        <v>121</v>
      </c>
      <c r="B1" s="166"/>
      <c r="C1" s="166"/>
      <c r="D1" s="166"/>
      <c r="E1" s="166"/>
      <c r="F1" s="166"/>
      <c r="G1" s="166"/>
      <c r="H1" s="166"/>
    </row>
    <row r="3" spans="1:13">
      <c r="A3" s="63" t="s">
        <v>26</v>
      </c>
      <c r="B3" s="63" t="s">
        <v>122</v>
      </c>
      <c r="C3" s="63" t="s">
        <v>123</v>
      </c>
      <c r="D3" s="63" t="s">
        <v>10</v>
      </c>
      <c r="E3" s="64" t="s">
        <v>49</v>
      </c>
      <c r="F3" s="64"/>
      <c r="G3" s="64"/>
      <c r="H3" s="63" t="s">
        <v>32</v>
      </c>
    </row>
    <row r="4" spans="1:13" ht="28.5">
      <c r="A4" s="63"/>
      <c r="B4" s="63"/>
      <c r="C4" s="63"/>
      <c r="D4" s="63"/>
      <c r="E4" s="65" t="s">
        <v>124</v>
      </c>
      <c r="F4" s="66" t="s">
        <v>125</v>
      </c>
      <c r="G4" s="65" t="s">
        <v>126</v>
      </c>
      <c r="H4" s="63"/>
      <c r="K4" s="67"/>
    </row>
    <row r="5" spans="1:13">
      <c r="A5" s="65" t="s">
        <v>127</v>
      </c>
      <c r="B5" s="68" t="s">
        <v>128</v>
      </c>
      <c r="C5" s="65" t="s">
        <v>129</v>
      </c>
      <c r="D5" s="69"/>
      <c r="E5" s="70">
        <f>E6</f>
        <v>7340277543.8518124</v>
      </c>
      <c r="F5" s="70">
        <f>F6</f>
        <v>413040843.66280001</v>
      </c>
      <c r="G5" s="70">
        <f t="shared" ref="G5:G25" si="0">E5+F5</f>
        <v>7753318387.5146122</v>
      </c>
      <c r="H5" s="69"/>
    </row>
    <row r="6" spans="1:13" ht="31.5">
      <c r="A6" s="35">
        <v>1</v>
      </c>
      <c r="B6" s="71" t="s">
        <v>195</v>
      </c>
      <c r="C6" s="33" t="s">
        <v>196</v>
      </c>
      <c r="D6" s="69" t="s">
        <v>3</v>
      </c>
      <c r="E6" s="75">
        <f>SUM(E7:E9)</f>
        <v>7340277543.8518124</v>
      </c>
      <c r="F6" s="75">
        <f t="shared" ref="F6:G6" si="1">SUM(F7:F9)</f>
        <v>413040843.66280001</v>
      </c>
      <c r="G6" s="75">
        <f t="shared" si="1"/>
        <v>7753318387.5146122</v>
      </c>
      <c r="H6" s="73"/>
    </row>
    <row r="7" spans="1:13">
      <c r="A7" s="34">
        <v>1.1000000000000001</v>
      </c>
      <c r="B7" s="74" t="s">
        <v>190</v>
      </c>
      <c r="C7" s="34" t="s">
        <v>1</v>
      </c>
      <c r="D7" s="69" t="s">
        <v>3</v>
      </c>
      <c r="E7" s="75">
        <f>'Chi phí phần mềm'!D8</f>
        <v>2177266998.066813</v>
      </c>
      <c r="F7" s="72"/>
      <c r="G7" s="72">
        <f t="shared" si="0"/>
        <v>2177266998.066813</v>
      </c>
      <c r="H7" s="76" t="s">
        <v>200</v>
      </c>
    </row>
    <row r="8" spans="1:13" ht="18.75">
      <c r="A8" s="34">
        <v>1.2</v>
      </c>
      <c r="B8" s="74" t="s">
        <v>191</v>
      </c>
      <c r="C8" s="34" t="s">
        <v>192</v>
      </c>
      <c r="D8" s="69" t="s">
        <v>3</v>
      </c>
      <c r="E8" s="75">
        <f>'Chi phí số hóa'!F8</f>
        <v>4856829000</v>
      </c>
      <c r="F8" s="72">
        <f>E8*8%</f>
        <v>388546320</v>
      </c>
      <c r="G8" s="72">
        <f t="shared" si="0"/>
        <v>5245375320</v>
      </c>
      <c r="H8" s="76" t="s">
        <v>130</v>
      </c>
    </row>
    <row r="9" spans="1:13" ht="18.75">
      <c r="A9" s="34">
        <v>1.3</v>
      </c>
      <c r="B9" s="74" t="s">
        <v>2</v>
      </c>
      <c r="C9" s="34" t="s">
        <v>197</v>
      </c>
      <c r="D9" s="69" t="s">
        <v>3</v>
      </c>
      <c r="E9" s="75">
        <f>'Chi phí tạo lập dự liệu'!K36</f>
        <v>306181545.78499997</v>
      </c>
      <c r="F9" s="72">
        <f>E9*8%</f>
        <v>24494523.662799999</v>
      </c>
      <c r="G9" s="72">
        <f t="shared" si="0"/>
        <v>330676069.44779998</v>
      </c>
      <c r="H9" s="76" t="s">
        <v>130</v>
      </c>
    </row>
    <row r="10" spans="1:13" s="78" customFormat="1" ht="20.25">
      <c r="A10" s="65" t="s">
        <v>131</v>
      </c>
      <c r="B10" s="68" t="s">
        <v>132</v>
      </c>
      <c r="C10" s="68" t="s">
        <v>133</v>
      </c>
      <c r="D10" s="65"/>
      <c r="E10" s="66">
        <f>SUM(E11:E11)</f>
        <v>163024628.13793123</v>
      </c>
      <c r="F10" s="66">
        <f>SUM(F11:F11)</f>
        <v>13041970.251034498</v>
      </c>
      <c r="G10" s="66">
        <f>SUM(G11:G11)</f>
        <v>176066598.38896573</v>
      </c>
      <c r="H10" s="77"/>
    </row>
    <row r="11" spans="1:13" s="83" customFormat="1" ht="30">
      <c r="A11" s="79">
        <v>1</v>
      </c>
      <c r="B11" s="80" t="s">
        <v>134</v>
      </c>
      <c r="C11" s="75" t="s">
        <v>135</v>
      </c>
      <c r="D11" s="81" t="s">
        <v>136</v>
      </c>
      <c r="E11" s="75">
        <f>(E6*2.644%)*0.84</f>
        <v>163024628.13793123</v>
      </c>
      <c r="F11" s="75">
        <f>E11*8%</f>
        <v>13041970.251034498</v>
      </c>
      <c r="G11" s="75">
        <f>E11+F11</f>
        <v>176066598.38896573</v>
      </c>
      <c r="H11" s="82" t="s">
        <v>137</v>
      </c>
      <c r="M11" s="84"/>
    </row>
    <row r="12" spans="1:13" ht="17.25">
      <c r="A12" s="65" t="s">
        <v>138</v>
      </c>
      <c r="B12" s="68" t="s">
        <v>139</v>
      </c>
      <c r="C12" s="65" t="s">
        <v>140</v>
      </c>
      <c r="D12" s="65" t="s">
        <v>141</v>
      </c>
      <c r="E12" s="70">
        <f>E13+E14+E17+E20</f>
        <v>202674152.67592189</v>
      </c>
      <c r="F12" s="70">
        <f>F13+F14+F17+F20</f>
        <v>16213931.639156973</v>
      </c>
      <c r="G12" s="66">
        <f>E12+F12</f>
        <v>218888084.31507885</v>
      </c>
      <c r="H12" s="85"/>
    </row>
    <row r="13" spans="1:13" ht="45">
      <c r="A13" s="69">
        <v>1</v>
      </c>
      <c r="B13" s="86" t="s">
        <v>142</v>
      </c>
      <c r="C13" s="69" t="s">
        <v>143</v>
      </c>
      <c r="D13" s="69" t="s">
        <v>144</v>
      </c>
      <c r="E13" s="87">
        <f>IF(E6*0.992%*1.65&gt;10000000,E6*0.992%*1.65,10000000)</f>
        <v>120145662.83776647</v>
      </c>
      <c r="F13" s="87">
        <f>ROUND(E13*8%,0)</f>
        <v>9611653</v>
      </c>
      <c r="G13" s="87">
        <f t="shared" si="0"/>
        <v>129757315.83776647</v>
      </c>
      <c r="H13" s="88" t="s">
        <v>145</v>
      </c>
      <c r="K13" s="84"/>
    </row>
    <row r="14" spans="1:13" ht="17.25">
      <c r="A14" s="69">
        <v>2</v>
      </c>
      <c r="B14" s="86" t="s">
        <v>146</v>
      </c>
      <c r="C14" s="69" t="s">
        <v>147</v>
      </c>
      <c r="D14" s="65" t="s">
        <v>148</v>
      </c>
      <c r="E14" s="87">
        <f>E15+E16</f>
        <v>19035089.083837252</v>
      </c>
      <c r="F14" s="87">
        <f t="shared" ref="F14:F20" si="2">ROUND(E14*8%,0)</f>
        <v>1522807</v>
      </c>
      <c r="G14" s="87">
        <f t="shared" si="0"/>
        <v>20557896.083837252</v>
      </c>
      <c r="H14" s="89"/>
      <c r="I14" s="90"/>
    </row>
    <row r="15" spans="1:13" ht="30">
      <c r="A15" s="91">
        <v>2.1</v>
      </c>
      <c r="B15" s="92" t="s">
        <v>149</v>
      </c>
      <c r="C15" s="69" t="s">
        <v>150</v>
      </c>
      <c r="D15" s="93" t="s">
        <v>151</v>
      </c>
      <c r="E15" s="94">
        <f>IF(E6*0.2%&gt;3000000,E6*0.2%,3000000)</f>
        <v>14680555.087703625</v>
      </c>
      <c r="F15" s="94">
        <f t="shared" ref="F15:F16" si="3">E15*8%</f>
        <v>1174444.4070162901</v>
      </c>
      <c r="G15" s="94">
        <f t="shared" si="0"/>
        <v>15854999.494719915</v>
      </c>
      <c r="H15" s="95" t="s">
        <v>230</v>
      </c>
      <c r="I15" s="90"/>
    </row>
    <row r="16" spans="1:13" ht="30">
      <c r="A16" s="91">
        <v>2.2000000000000002</v>
      </c>
      <c r="B16" s="92" t="s">
        <v>152</v>
      </c>
      <c r="C16" s="69" t="s">
        <v>153</v>
      </c>
      <c r="D16" s="93" t="s">
        <v>151</v>
      </c>
      <c r="E16" s="94">
        <f>IF(E7*0.2%&gt;3000000,E7*0.2%,3000000)</f>
        <v>4354533.9961336264</v>
      </c>
      <c r="F16" s="94">
        <f t="shared" si="3"/>
        <v>348362.71969069011</v>
      </c>
      <c r="G16" s="94">
        <f t="shared" si="0"/>
        <v>4702896.7158243163</v>
      </c>
      <c r="H16" s="95" t="s">
        <v>230</v>
      </c>
      <c r="I16" s="90"/>
    </row>
    <row r="17" spans="1:11" ht="17.25">
      <c r="A17" s="69">
        <v>3</v>
      </c>
      <c r="B17" s="86" t="s">
        <v>154</v>
      </c>
      <c r="C17" s="69" t="s">
        <v>155</v>
      </c>
      <c r="D17" s="65" t="s">
        <v>156</v>
      </c>
      <c r="E17" s="87">
        <f>SUM(E18:E19)</f>
        <v>10790207.989462163</v>
      </c>
      <c r="F17" s="87">
        <f>SUM(F18:F19)</f>
        <v>863216.63915697311</v>
      </c>
      <c r="G17" s="87">
        <f t="shared" si="0"/>
        <v>11653424.628619136</v>
      </c>
      <c r="H17" s="89"/>
    </row>
    <row r="18" spans="1:11" ht="30">
      <c r="A18" s="91" t="s">
        <v>157</v>
      </c>
      <c r="B18" s="92" t="s">
        <v>158</v>
      </c>
      <c r="C18" s="69" t="s">
        <v>159</v>
      </c>
      <c r="D18" s="96" t="s">
        <v>160</v>
      </c>
      <c r="E18" s="94">
        <f>IF(E5*0.087%*40%&gt;2000000,E5*0.105%*70%,2000000)</f>
        <v>5395103.9947310816</v>
      </c>
      <c r="F18" s="94">
        <f t="shared" ref="F18:F19" si="4">E18*8%</f>
        <v>431608.31957848655</v>
      </c>
      <c r="G18" s="94">
        <f t="shared" si="0"/>
        <v>5826712.3143095681</v>
      </c>
      <c r="H18" s="95" t="s">
        <v>161</v>
      </c>
    </row>
    <row r="19" spans="1:11" ht="30">
      <c r="A19" s="91" t="s">
        <v>162</v>
      </c>
      <c r="B19" s="92" t="s">
        <v>4</v>
      </c>
      <c r="C19" s="69" t="s">
        <v>163</v>
      </c>
      <c r="D19" s="96" t="s">
        <v>164</v>
      </c>
      <c r="E19" s="94">
        <f>IF(E5*0.078%*40%&gt;2000000,E5*0.105%*70%,2000000)</f>
        <v>5395103.9947310816</v>
      </c>
      <c r="F19" s="94">
        <f t="shared" si="4"/>
        <v>431608.31957848655</v>
      </c>
      <c r="G19" s="94">
        <f t="shared" si="0"/>
        <v>5826712.3143095681</v>
      </c>
      <c r="H19" s="95" t="s">
        <v>165</v>
      </c>
    </row>
    <row r="20" spans="1:11" ht="30">
      <c r="A20" s="69">
        <v>4</v>
      </c>
      <c r="B20" s="86" t="s">
        <v>166</v>
      </c>
      <c r="C20" s="69" t="s">
        <v>167</v>
      </c>
      <c r="D20" s="93" t="s">
        <v>168</v>
      </c>
      <c r="E20" s="75">
        <f>IF(E5*0.718%&gt;10000000,E5*0.718%,10000000)</f>
        <v>52703192.764856011</v>
      </c>
      <c r="F20" s="87">
        <f t="shared" si="2"/>
        <v>4216255</v>
      </c>
      <c r="G20" s="87">
        <f t="shared" si="0"/>
        <v>56919447.764856011</v>
      </c>
      <c r="H20" s="88" t="s">
        <v>169</v>
      </c>
      <c r="J20" s="97"/>
      <c r="K20" s="98"/>
    </row>
    <row r="21" spans="1:11" ht="17.25">
      <c r="A21" s="65" t="s">
        <v>170</v>
      </c>
      <c r="B21" s="68" t="s">
        <v>171</v>
      </c>
      <c r="C21" s="65" t="s">
        <v>172</v>
      </c>
      <c r="D21" s="99" t="s">
        <v>173</v>
      </c>
      <c r="E21" s="70">
        <f>SUM(E22:E25)</f>
        <v>120407480.60077935</v>
      </c>
      <c r="F21" s="70">
        <f>SUM(F22:F25)</f>
        <v>6285431.888065923</v>
      </c>
      <c r="G21" s="66">
        <f t="shared" si="0"/>
        <v>126692912.48884527</v>
      </c>
      <c r="H21" s="100"/>
    </row>
    <row r="22" spans="1:11" ht="30">
      <c r="A22" s="101">
        <v>1</v>
      </c>
      <c r="B22" s="102" t="s">
        <v>5</v>
      </c>
      <c r="C22" s="103" t="s">
        <v>174</v>
      </c>
      <c r="D22" s="93" t="s">
        <v>175</v>
      </c>
      <c r="E22" s="75">
        <f>IF((0.001*E5)&lt;2000000,2000000,0.001*E5)</f>
        <v>7340277.5438518124</v>
      </c>
      <c r="F22" s="87">
        <f>E22*8%</f>
        <v>587222.20350814506</v>
      </c>
      <c r="G22" s="87">
        <f t="shared" si="0"/>
        <v>7927499.7473599575</v>
      </c>
      <c r="H22" s="88" t="s">
        <v>228</v>
      </c>
    </row>
    <row r="23" spans="1:11" ht="30">
      <c r="A23" s="101">
        <v>2</v>
      </c>
      <c r="B23" s="102" t="s">
        <v>176</v>
      </c>
      <c r="C23" s="103" t="s">
        <v>177</v>
      </c>
      <c r="D23" s="93" t="s">
        <v>175</v>
      </c>
      <c r="E23" s="75">
        <f>IF((0.001*E5)&lt;3000000,3000000,0.001*E5)</f>
        <v>7340277.5438518124</v>
      </c>
      <c r="F23" s="87">
        <f>E23*8%</f>
        <v>587222.20350814506</v>
      </c>
      <c r="G23" s="87">
        <f t="shared" si="0"/>
        <v>7927499.7473599575</v>
      </c>
      <c r="H23" s="88" t="s">
        <v>229</v>
      </c>
    </row>
    <row r="24" spans="1:11">
      <c r="A24" s="101">
        <v>3</v>
      </c>
      <c r="B24" s="102" t="s">
        <v>6</v>
      </c>
      <c r="C24" s="103" t="s">
        <v>178</v>
      </c>
      <c r="D24" s="104" t="s">
        <v>3</v>
      </c>
      <c r="E24" s="75">
        <f>'Biểu phí TĐG'!C18</f>
        <v>63887343.513120405</v>
      </c>
      <c r="F24" s="87">
        <f>E24*8%</f>
        <v>5110987.4810496327</v>
      </c>
      <c r="G24" s="87">
        <f t="shared" si="0"/>
        <v>68998330.99417004</v>
      </c>
      <c r="H24" s="105" t="s">
        <v>179</v>
      </c>
    </row>
    <row r="25" spans="1:11">
      <c r="A25" s="101">
        <v>4</v>
      </c>
      <c r="B25" s="106" t="s">
        <v>180</v>
      </c>
      <c r="C25" s="101" t="s">
        <v>181</v>
      </c>
      <c r="D25" s="69" t="s">
        <v>182</v>
      </c>
      <c r="E25" s="75">
        <f>0.57%*$E$5</f>
        <v>41839581.999955326</v>
      </c>
      <c r="F25" s="75"/>
      <c r="G25" s="87">
        <f t="shared" si="0"/>
        <v>41839581.999955326</v>
      </c>
      <c r="H25" s="88" t="s">
        <v>183</v>
      </c>
    </row>
    <row r="26" spans="1:11">
      <c r="A26" s="107" t="s">
        <v>184</v>
      </c>
      <c r="B26" s="107" t="s">
        <v>185</v>
      </c>
      <c r="C26" s="107" t="s">
        <v>186</v>
      </c>
      <c r="D26" s="35" t="s">
        <v>201</v>
      </c>
      <c r="E26" s="70">
        <v>315377979.29249763</v>
      </c>
      <c r="F26" s="70"/>
      <c r="G26" s="70">
        <v>315377979.29249763</v>
      </c>
      <c r="H26" s="108"/>
    </row>
    <row r="27" spans="1:11">
      <c r="A27" s="65"/>
      <c r="B27" s="65" t="s">
        <v>187</v>
      </c>
      <c r="C27" s="65" t="s">
        <v>188</v>
      </c>
      <c r="D27" s="65" t="s">
        <v>189</v>
      </c>
      <c r="E27" s="70">
        <f>E21+E10+E12+E5+E26</f>
        <v>8141761784.5589428</v>
      </c>
      <c r="F27" s="70">
        <f>F21+F10+F12+F5+F26</f>
        <v>448582177.44105738</v>
      </c>
      <c r="G27" s="70">
        <f>G21+G10+G12+G5+G26</f>
        <v>8590343962</v>
      </c>
      <c r="H27" s="109"/>
      <c r="I27" s="113"/>
    </row>
    <row r="28" spans="1:11">
      <c r="E28" s="113"/>
      <c r="G28" s="110"/>
      <c r="H28" s="90"/>
    </row>
    <row r="29" spans="1:11">
      <c r="F29" s="110"/>
      <c r="H29" s="111"/>
    </row>
    <row r="30" spans="1:11">
      <c r="E30" s="112"/>
      <c r="G30" s="110"/>
    </row>
    <row r="34" spans="6:6">
      <c r="F34" s="110"/>
    </row>
  </sheetData>
  <mergeCells count="7">
    <mergeCell ref="A1:H1"/>
    <mergeCell ref="A3:A4"/>
    <mergeCell ref="B3:B4"/>
    <mergeCell ref="C3:C4"/>
    <mergeCell ref="D3:D4"/>
    <mergeCell ref="E3:G3"/>
    <mergeCell ref="H3:H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workbookViewId="0">
      <selection activeCell="F6" sqref="F6"/>
    </sheetView>
  </sheetViews>
  <sheetFormatPr defaultColWidth="9" defaultRowHeight="15"/>
  <cols>
    <col min="2" max="2" width="38.7109375" customWidth="1"/>
    <col min="3" max="3" width="23.140625" customWidth="1"/>
    <col min="4" max="4" width="16" customWidth="1"/>
    <col min="6" max="6" width="21.42578125" customWidth="1"/>
  </cols>
  <sheetData>
    <row r="1" spans="1:6">
      <c r="A1" s="25"/>
      <c r="B1" s="25"/>
      <c r="C1" s="25"/>
      <c r="D1" s="25"/>
      <c r="E1" s="25"/>
    </row>
    <row r="2" spans="1:6" ht="16.5">
      <c r="A2" s="43" t="s">
        <v>7</v>
      </c>
      <c r="B2" s="43"/>
      <c r="C2" s="43"/>
      <c r="D2" s="43"/>
      <c r="E2" s="43"/>
    </row>
    <row r="3" spans="1:6" ht="16.5">
      <c r="A3" s="26"/>
      <c r="B3" s="26"/>
      <c r="C3" s="26"/>
      <c r="D3" s="44" t="s">
        <v>8</v>
      </c>
      <c r="E3" s="44"/>
    </row>
    <row r="4" spans="1:6" ht="16.5">
      <c r="A4" s="27" t="s">
        <v>0</v>
      </c>
      <c r="B4" s="27" t="s">
        <v>9</v>
      </c>
      <c r="C4" s="27" t="s">
        <v>10</v>
      </c>
      <c r="D4" s="27" t="s">
        <v>11</v>
      </c>
      <c r="E4" s="27" t="s">
        <v>12</v>
      </c>
    </row>
    <row r="5" spans="1:6" ht="34.5" customHeight="1">
      <c r="A5" s="28">
        <v>1</v>
      </c>
      <c r="B5" s="39" t="s">
        <v>13</v>
      </c>
      <c r="C5" s="28" t="s">
        <v>14</v>
      </c>
      <c r="D5" s="29">
        <v>1244863921.1359701</v>
      </c>
      <c r="E5" s="28" t="s">
        <v>15</v>
      </c>
      <c r="F5" s="114" t="s">
        <v>198</v>
      </c>
    </row>
    <row r="6" spans="1:6" ht="16.5">
      <c r="A6" s="28">
        <v>2</v>
      </c>
      <c r="B6" s="30" t="s">
        <v>16</v>
      </c>
      <c r="C6" s="28" t="s">
        <v>17</v>
      </c>
      <c r="D6" s="29">
        <v>809161548.73838198</v>
      </c>
      <c r="E6" s="28" t="s">
        <v>18</v>
      </c>
    </row>
    <row r="7" spans="1:6" ht="16.5">
      <c r="A7" s="28">
        <v>3</v>
      </c>
      <c r="B7" s="30" t="s">
        <v>19</v>
      </c>
      <c r="C7" s="28" t="s">
        <v>20</v>
      </c>
      <c r="D7" s="29">
        <v>123241528.192461</v>
      </c>
      <c r="E7" s="28" t="s">
        <v>21</v>
      </c>
    </row>
    <row r="8" spans="1:6" ht="16.5">
      <c r="A8" s="31"/>
      <c r="B8" s="31" t="s">
        <v>23</v>
      </c>
      <c r="C8" s="38" t="s">
        <v>22</v>
      </c>
      <c r="D8" s="32">
        <f>SUM(D5:D7)</f>
        <v>2177266998.066813</v>
      </c>
      <c r="E8" s="31"/>
    </row>
  </sheetData>
  <mergeCells count="2">
    <mergeCell ref="A2:E2"/>
    <mergeCell ref="D3:E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zoomScale="85" zoomScaleNormal="85" workbookViewId="0">
      <selection activeCell="F14" sqref="F14"/>
    </sheetView>
  </sheetViews>
  <sheetFormatPr defaultColWidth="9.140625" defaultRowHeight="15"/>
  <cols>
    <col min="2" max="2" width="32.140625" customWidth="1"/>
    <col min="4" max="4" width="19.7109375" customWidth="1"/>
    <col min="5" max="5" width="17.42578125" customWidth="1"/>
    <col min="6" max="6" width="18.7109375" customWidth="1"/>
    <col min="7" max="7" width="51.85546875" customWidth="1"/>
    <col min="8" max="8" width="18.85546875" customWidth="1"/>
  </cols>
  <sheetData>
    <row r="1" spans="1:7" ht="16.5">
      <c r="A1" s="45" t="s">
        <v>24</v>
      </c>
      <c r="B1" s="43"/>
      <c r="C1" s="43"/>
      <c r="D1" s="43"/>
      <c r="E1" s="43"/>
      <c r="F1" s="43"/>
      <c r="G1" s="43"/>
    </row>
    <row r="2" spans="1:7" ht="15.75">
      <c r="A2" s="46" t="s">
        <v>25</v>
      </c>
      <c r="B2" s="46"/>
      <c r="C2" s="46"/>
      <c r="D2" s="46"/>
      <c r="E2" s="46"/>
      <c r="F2" s="46"/>
      <c r="G2" s="46"/>
    </row>
    <row r="3" spans="1:7" ht="15.75">
      <c r="A3" s="14"/>
      <c r="B3" s="14"/>
      <c r="C3" s="14"/>
      <c r="D3" s="14"/>
      <c r="E3" s="14"/>
      <c r="F3" s="14"/>
      <c r="G3" s="14"/>
    </row>
    <row r="4" spans="1:7" ht="25.5">
      <c r="A4" s="15" t="s">
        <v>26</v>
      </c>
      <c r="B4" s="15" t="s">
        <v>27</v>
      </c>
      <c r="C4" s="15" t="s">
        <v>28</v>
      </c>
      <c r="D4" s="15" t="s">
        <v>29</v>
      </c>
      <c r="E4" s="16" t="s">
        <v>30</v>
      </c>
      <c r="F4" s="16" t="s">
        <v>31</v>
      </c>
      <c r="G4" s="15" t="s">
        <v>32</v>
      </c>
    </row>
    <row r="5" spans="1:7" ht="31.5">
      <c r="A5" s="17">
        <v>1</v>
      </c>
      <c r="B5" s="18" t="s">
        <v>33</v>
      </c>
      <c r="C5" s="19" t="s">
        <v>34</v>
      </c>
      <c r="D5" s="41">
        <f>20000*30</f>
        <v>600000</v>
      </c>
      <c r="E5" s="20">
        <v>5076</v>
      </c>
      <c r="F5" s="20">
        <f>D5*E5</f>
        <v>3045600000</v>
      </c>
      <c r="G5" s="21" t="s">
        <v>35</v>
      </c>
    </row>
    <row r="6" spans="1:7" ht="31.5">
      <c r="A6" s="22">
        <v>2</v>
      </c>
      <c r="B6" s="18" t="s">
        <v>36</v>
      </c>
      <c r="C6" s="19" t="s">
        <v>37</v>
      </c>
      <c r="D6" s="41">
        <f>900*30</f>
        <v>27000</v>
      </c>
      <c r="E6" s="20">
        <v>9660</v>
      </c>
      <c r="F6" s="20">
        <f>D6*E6</f>
        <v>260820000</v>
      </c>
      <c r="G6" s="21" t="s">
        <v>35</v>
      </c>
    </row>
    <row r="7" spans="1:7" ht="31.5">
      <c r="A7" s="22">
        <v>3</v>
      </c>
      <c r="B7" s="18" t="s">
        <v>38</v>
      </c>
      <c r="C7" s="19" t="s">
        <v>39</v>
      </c>
      <c r="D7" s="41">
        <f>700*30</f>
        <v>21000</v>
      </c>
      <c r="E7" s="20">
        <v>73829</v>
      </c>
      <c r="F7" s="20">
        <f>D7*E7</f>
        <v>1550409000</v>
      </c>
      <c r="G7" s="21" t="s">
        <v>35</v>
      </c>
    </row>
    <row r="8" spans="1:7" ht="15.75">
      <c r="A8" s="22"/>
      <c r="B8" s="47" t="s">
        <v>193</v>
      </c>
      <c r="C8" s="48"/>
      <c r="D8" s="23"/>
      <c r="E8" s="20"/>
      <c r="F8" s="23">
        <f>SUM(F5:F7)</f>
        <v>4856829000</v>
      </c>
      <c r="G8" s="24"/>
    </row>
    <row r="9" spans="1:7">
      <c r="D9" s="42"/>
    </row>
    <row r="12" spans="1:7">
      <c r="F12" s="36">
        <f>'Dự toán đầu tư chi tiết'!G28</f>
        <v>0</v>
      </c>
    </row>
  </sheetData>
  <mergeCells count="3">
    <mergeCell ref="A1:G1"/>
    <mergeCell ref="A2:G2"/>
    <mergeCell ref="B8:C8"/>
  </mergeCells>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8"/>
  <sheetViews>
    <sheetView zoomScale="85" zoomScaleNormal="85" workbookViewId="0">
      <selection activeCell="L11" sqref="L11:L12"/>
    </sheetView>
  </sheetViews>
  <sheetFormatPr defaultColWidth="9.140625" defaultRowHeight="15"/>
  <cols>
    <col min="2" max="2" width="27.42578125" customWidth="1"/>
    <col min="3" max="3" width="24.140625" customWidth="1"/>
    <col min="4" max="4" width="17.7109375" customWidth="1"/>
    <col min="8" max="8" width="13" customWidth="1"/>
    <col min="9" max="9" width="15.140625" customWidth="1"/>
    <col min="10" max="10" width="14.42578125" customWidth="1"/>
    <col min="11" max="11" width="20.28515625" customWidth="1"/>
    <col min="12" max="12" width="116" customWidth="1"/>
  </cols>
  <sheetData>
    <row r="1" spans="1:12" ht="15" customHeight="1">
      <c r="A1" s="49" t="s">
        <v>40</v>
      </c>
      <c r="B1" s="49"/>
      <c r="C1" s="49"/>
      <c r="D1" s="49"/>
      <c r="E1" s="49"/>
      <c r="F1" s="49"/>
      <c r="G1" s="49"/>
      <c r="H1" s="49"/>
      <c r="I1" s="49"/>
      <c r="J1" s="49"/>
      <c r="K1" s="49"/>
      <c r="L1" s="49"/>
    </row>
    <row r="2" spans="1:12">
      <c r="A2" s="50" t="s">
        <v>41</v>
      </c>
      <c r="B2" s="50"/>
      <c r="C2" s="50"/>
      <c r="D2" s="50"/>
      <c r="E2" s="50"/>
      <c r="F2" s="50"/>
      <c r="G2" s="50"/>
      <c r="H2" s="50"/>
      <c r="I2" s="50"/>
      <c r="J2" s="50"/>
      <c r="K2" s="50"/>
      <c r="L2" s="50"/>
    </row>
    <row r="3" spans="1:12" ht="15" customHeight="1"/>
    <row r="4" spans="1:12" ht="15" customHeight="1">
      <c r="B4" s="51" t="s">
        <v>42</v>
      </c>
      <c r="C4" s="51" t="s">
        <v>43</v>
      </c>
      <c r="D4" s="51" t="s">
        <v>44</v>
      </c>
      <c r="E4" s="51" t="s">
        <v>45</v>
      </c>
      <c r="F4" s="51"/>
      <c r="G4" s="51"/>
      <c r="H4" s="1" t="s">
        <v>46</v>
      </c>
      <c r="I4" s="51" t="s">
        <v>47</v>
      </c>
      <c r="J4" s="51" t="s">
        <v>48</v>
      </c>
      <c r="K4" s="51" t="s">
        <v>49</v>
      </c>
      <c r="L4" s="51" t="s">
        <v>32</v>
      </c>
    </row>
    <row r="5" spans="1:12" ht="15" customHeight="1">
      <c r="B5" s="51"/>
      <c r="C5" s="51"/>
      <c r="D5" s="51"/>
      <c r="E5" s="1" t="s">
        <v>50</v>
      </c>
      <c r="F5" s="1" t="s">
        <v>51</v>
      </c>
      <c r="G5" s="1" t="s">
        <v>52</v>
      </c>
      <c r="H5" s="1" t="s">
        <v>53</v>
      </c>
      <c r="I5" s="51"/>
      <c r="J5" s="51"/>
      <c r="K5" s="51"/>
      <c r="L5" s="51"/>
    </row>
    <row r="6" spans="1:12" ht="15" customHeight="1">
      <c r="B6" s="51" t="s">
        <v>54</v>
      </c>
      <c r="C6" s="57" t="s">
        <v>55</v>
      </c>
      <c r="D6" s="57"/>
      <c r="E6" s="57"/>
      <c r="F6" s="57"/>
      <c r="G6" s="57"/>
      <c r="H6" s="59" t="s">
        <v>52</v>
      </c>
      <c r="I6" s="51">
        <v>46.256</v>
      </c>
      <c r="J6" s="51"/>
      <c r="K6" s="51" t="s">
        <v>56</v>
      </c>
      <c r="L6" s="2" t="s">
        <v>57</v>
      </c>
    </row>
    <row r="7" spans="1:12" ht="15" customHeight="1">
      <c r="B7" s="51"/>
      <c r="C7" s="57"/>
      <c r="D7" s="57"/>
      <c r="E7" s="57"/>
      <c r="F7" s="57"/>
      <c r="G7" s="57"/>
      <c r="H7" s="59"/>
      <c r="I7" s="51"/>
      <c r="J7" s="51"/>
      <c r="K7" s="51"/>
      <c r="L7" s="2" t="s">
        <v>58</v>
      </c>
    </row>
    <row r="8" spans="1:12" ht="15" customHeight="1">
      <c r="B8" s="51"/>
      <c r="C8" s="57"/>
      <c r="D8" s="57"/>
      <c r="E8" s="57"/>
      <c r="F8" s="57"/>
      <c r="G8" s="57"/>
      <c r="H8" s="59"/>
      <c r="I8" s="51"/>
      <c r="J8" s="51"/>
      <c r="K8" s="51"/>
      <c r="L8" s="2" t="s">
        <v>59</v>
      </c>
    </row>
    <row r="9" spans="1:12" ht="15" customHeight="1">
      <c r="B9" s="51"/>
      <c r="C9" s="3" t="s">
        <v>60</v>
      </c>
      <c r="D9" s="53" t="s">
        <v>61</v>
      </c>
      <c r="E9" s="53" t="s">
        <v>62</v>
      </c>
      <c r="F9" s="53" t="s">
        <v>63</v>
      </c>
      <c r="G9" s="53" t="s">
        <v>64</v>
      </c>
      <c r="H9" s="51" t="s">
        <v>64</v>
      </c>
      <c r="I9" s="53">
        <v>46.256</v>
      </c>
      <c r="J9" s="53">
        <v>449.63099999999997</v>
      </c>
      <c r="K9" s="53" t="s">
        <v>65</v>
      </c>
      <c r="L9" s="60" t="s">
        <v>199</v>
      </c>
    </row>
    <row r="10" spans="1:12" ht="15" customHeight="1">
      <c r="B10" s="51"/>
      <c r="C10" s="37" t="s">
        <v>66</v>
      </c>
      <c r="D10" s="53"/>
      <c r="E10" s="53"/>
      <c r="F10" s="53"/>
      <c r="G10" s="53"/>
      <c r="H10" s="51"/>
      <c r="I10" s="53"/>
      <c r="J10" s="53"/>
      <c r="K10" s="53"/>
      <c r="L10" s="60"/>
    </row>
    <row r="11" spans="1:12" ht="15" customHeight="1">
      <c r="B11" s="51"/>
      <c r="C11" s="3" t="s">
        <v>67</v>
      </c>
      <c r="D11" s="53" t="s">
        <v>68</v>
      </c>
      <c r="E11" s="53" t="s">
        <v>69</v>
      </c>
      <c r="F11" s="53" t="s">
        <v>70</v>
      </c>
      <c r="G11" s="53" t="s">
        <v>71</v>
      </c>
      <c r="H11" s="51" t="s">
        <v>71</v>
      </c>
      <c r="I11" s="53">
        <v>46.256</v>
      </c>
      <c r="J11" s="53">
        <v>8.2189999999999994</v>
      </c>
      <c r="K11" s="53" t="s">
        <v>72</v>
      </c>
      <c r="L11" s="51"/>
    </row>
    <row r="12" spans="1:12" ht="15" customHeight="1">
      <c r="B12" s="51"/>
      <c r="C12" s="2" t="s">
        <v>73</v>
      </c>
      <c r="D12" s="53"/>
      <c r="E12" s="53"/>
      <c r="F12" s="53"/>
      <c r="G12" s="53"/>
      <c r="H12" s="51"/>
      <c r="I12" s="53"/>
      <c r="J12" s="53"/>
      <c r="K12" s="53"/>
      <c r="L12" s="51"/>
    </row>
    <row r="13" spans="1:12" ht="15" customHeight="1">
      <c r="B13" s="1" t="s">
        <v>74</v>
      </c>
      <c r="C13" s="57" t="s">
        <v>75</v>
      </c>
      <c r="D13" s="57"/>
      <c r="E13" s="57"/>
      <c r="F13" s="57"/>
      <c r="G13" s="57"/>
      <c r="H13" s="59" t="s">
        <v>52</v>
      </c>
      <c r="I13" s="56">
        <v>25</v>
      </c>
      <c r="J13" s="56"/>
      <c r="K13" s="56">
        <v>661.78499999999997</v>
      </c>
      <c r="L13" s="61"/>
    </row>
    <row r="14" spans="1:12" ht="15" customHeight="1">
      <c r="B14" s="7" t="s">
        <v>76</v>
      </c>
      <c r="C14" s="57"/>
      <c r="D14" s="57"/>
      <c r="E14" s="57"/>
      <c r="F14" s="57"/>
      <c r="G14" s="57"/>
      <c r="H14" s="59"/>
      <c r="I14" s="56"/>
      <c r="J14" s="56"/>
      <c r="K14" s="56"/>
      <c r="L14" s="61"/>
    </row>
    <row r="15" spans="1:12" ht="15" customHeight="1">
      <c r="B15" s="8" t="s">
        <v>77</v>
      </c>
      <c r="C15" s="3" t="s">
        <v>60</v>
      </c>
      <c r="D15" s="53" t="s">
        <v>61</v>
      </c>
      <c r="E15" s="53" t="s">
        <v>78</v>
      </c>
      <c r="F15" s="53" t="s">
        <v>79</v>
      </c>
      <c r="G15" s="53" t="s">
        <v>80</v>
      </c>
      <c r="H15" s="51" t="s">
        <v>80</v>
      </c>
      <c r="I15" s="53">
        <v>25</v>
      </c>
      <c r="J15" s="53">
        <v>449.63099999999997</v>
      </c>
      <c r="K15" s="53">
        <v>651.96500000000003</v>
      </c>
      <c r="L15" s="8" t="s">
        <v>81</v>
      </c>
    </row>
    <row r="16" spans="1:12" ht="15" customHeight="1">
      <c r="B16" s="9"/>
      <c r="C16" s="2" t="s">
        <v>66</v>
      </c>
      <c r="D16" s="53"/>
      <c r="E16" s="53"/>
      <c r="F16" s="53"/>
      <c r="G16" s="53"/>
      <c r="H16" s="51"/>
      <c r="I16" s="53"/>
      <c r="J16" s="53"/>
      <c r="K16" s="53"/>
      <c r="L16" s="8" t="s">
        <v>82</v>
      </c>
    </row>
    <row r="17" spans="2:12" ht="15" customHeight="1">
      <c r="B17" s="8" t="s">
        <v>83</v>
      </c>
      <c r="C17" s="9"/>
      <c r="D17" s="53"/>
      <c r="E17" s="53"/>
      <c r="F17" s="53"/>
      <c r="G17" s="53"/>
      <c r="H17" s="51"/>
      <c r="I17" s="53"/>
      <c r="J17" s="53"/>
      <c r="K17" s="53"/>
      <c r="L17" s="9"/>
    </row>
    <row r="18" spans="2:12" ht="15" customHeight="1">
      <c r="B18" s="8" t="s">
        <v>84</v>
      </c>
      <c r="C18" s="9"/>
      <c r="D18" s="53"/>
      <c r="E18" s="53"/>
      <c r="F18" s="53"/>
      <c r="G18" s="53"/>
      <c r="H18" s="51"/>
      <c r="I18" s="53"/>
      <c r="J18" s="53"/>
      <c r="K18" s="53"/>
      <c r="L18" s="10" t="s">
        <v>85</v>
      </c>
    </row>
    <row r="19" spans="2:12" ht="15" customHeight="1">
      <c r="B19" s="9"/>
      <c r="C19" s="9"/>
      <c r="D19" s="53"/>
      <c r="E19" s="53"/>
      <c r="F19" s="53"/>
      <c r="G19" s="53"/>
      <c r="H19" s="51"/>
      <c r="I19" s="53"/>
      <c r="J19" s="53"/>
      <c r="K19" s="53"/>
      <c r="L19" s="9"/>
    </row>
    <row r="20" spans="2:12" ht="15" customHeight="1">
      <c r="B20" s="8" t="s">
        <v>86</v>
      </c>
      <c r="C20" s="9"/>
      <c r="D20" s="53"/>
      <c r="E20" s="53"/>
      <c r="F20" s="53"/>
      <c r="G20" s="53"/>
      <c r="H20" s="51"/>
      <c r="I20" s="53"/>
      <c r="J20" s="53"/>
      <c r="K20" s="53"/>
      <c r="L20" s="8" t="s">
        <v>87</v>
      </c>
    </row>
    <row r="21" spans="2:12" ht="15" customHeight="1">
      <c r="B21" s="9"/>
      <c r="C21" s="3" t="s">
        <v>67</v>
      </c>
      <c r="D21" s="53" t="s">
        <v>68</v>
      </c>
      <c r="E21" s="53" t="s">
        <v>88</v>
      </c>
      <c r="F21" s="53" t="s">
        <v>78</v>
      </c>
      <c r="G21" s="53" t="s">
        <v>89</v>
      </c>
      <c r="H21" s="51" t="s">
        <v>89</v>
      </c>
      <c r="I21" s="53">
        <v>25</v>
      </c>
      <c r="J21" s="53">
        <v>8.2189999999999994</v>
      </c>
      <c r="K21" s="53">
        <v>9.5340000000000007</v>
      </c>
      <c r="L21" s="9"/>
    </row>
    <row r="22" spans="2:12" ht="15" customHeight="1">
      <c r="B22" s="8" t="s">
        <v>90</v>
      </c>
      <c r="C22" s="2" t="s">
        <v>73</v>
      </c>
      <c r="D22" s="53"/>
      <c r="E22" s="53"/>
      <c r="F22" s="53"/>
      <c r="G22" s="53"/>
      <c r="H22" s="51"/>
      <c r="I22" s="53"/>
      <c r="J22" s="53"/>
      <c r="K22" s="53"/>
      <c r="L22" s="9"/>
    </row>
    <row r="23" spans="2:12" ht="15" customHeight="1">
      <c r="B23" s="9"/>
      <c r="C23" s="11" t="s">
        <v>91</v>
      </c>
      <c r="D23" s="4" t="s">
        <v>92</v>
      </c>
      <c r="E23" s="4">
        <v>3</v>
      </c>
      <c r="F23" s="4">
        <v>3</v>
      </c>
      <c r="G23" s="4">
        <v>3</v>
      </c>
      <c r="H23" s="1">
        <v>3</v>
      </c>
      <c r="I23" s="4"/>
      <c r="J23" s="4"/>
      <c r="K23" s="4">
        <v>286</v>
      </c>
      <c r="L23" s="9"/>
    </row>
    <row r="24" spans="2:12" ht="28.5">
      <c r="B24" s="10" t="s">
        <v>93</v>
      </c>
      <c r="C24" s="57" t="s">
        <v>94</v>
      </c>
      <c r="D24" s="57"/>
      <c r="E24" s="57"/>
      <c r="F24" s="57"/>
      <c r="G24" s="57"/>
      <c r="H24" s="59" t="s">
        <v>50</v>
      </c>
      <c r="I24" s="56">
        <v>25</v>
      </c>
      <c r="J24" s="56"/>
      <c r="K24" s="56" t="s">
        <v>95</v>
      </c>
      <c r="L24" s="61"/>
    </row>
    <row r="25" spans="2:12" ht="15" customHeight="1">
      <c r="B25" s="12" t="s">
        <v>96</v>
      </c>
      <c r="C25" s="57"/>
      <c r="D25" s="57"/>
      <c r="E25" s="57"/>
      <c r="F25" s="57"/>
      <c r="G25" s="57"/>
      <c r="H25" s="59"/>
      <c r="I25" s="56"/>
      <c r="J25" s="56"/>
      <c r="K25" s="56"/>
      <c r="L25" s="61"/>
    </row>
    <row r="26" spans="2:12" ht="15" customHeight="1">
      <c r="B26" s="58" t="s">
        <v>97</v>
      </c>
      <c r="C26" s="3" t="s">
        <v>60</v>
      </c>
      <c r="D26" s="53" t="s">
        <v>61</v>
      </c>
      <c r="E26" s="53">
        <v>15</v>
      </c>
      <c r="F26" s="53" t="s">
        <v>98</v>
      </c>
      <c r="G26" s="53" t="s">
        <v>99</v>
      </c>
      <c r="H26" s="56">
        <v>15</v>
      </c>
      <c r="I26" s="54">
        <v>25</v>
      </c>
      <c r="J26" s="54">
        <v>509.19799999999998</v>
      </c>
      <c r="K26" s="54" t="s">
        <v>100</v>
      </c>
      <c r="L26" s="8" t="s">
        <v>101</v>
      </c>
    </row>
    <row r="27" spans="2:12" ht="15" customHeight="1">
      <c r="B27" s="58"/>
      <c r="C27" s="2" t="s">
        <v>102</v>
      </c>
      <c r="D27" s="53"/>
      <c r="E27" s="53"/>
      <c r="F27" s="53"/>
      <c r="G27" s="53"/>
      <c r="H27" s="56"/>
      <c r="I27" s="54"/>
      <c r="J27" s="54"/>
      <c r="K27" s="54"/>
      <c r="L27" s="8" t="s">
        <v>82</v>
      </c>
    </row>
    <row r="28" spans="2:12" ht="15" customHeight="1">
      <c r="B28" s="58"/>
      <c r="C28" s="3" t="s">
        <v>67</v>
      </c>
      <c r="D28" s="53" t="s">
        <v>68</v>
      </c>
      <c r="E28" s="53" t="s">
        <v>103</v>
      </c>
      <c r="F28" s="53">
        <v>38</v>
      </c>
      <c r="G28" s="53" t="s">
        <v>104</v>
      </c>
      <c r="H28" s="56" t="s">
        <v>103</v>
      </c>
      <c r="I28" s="54">
        <v>25</v>
      </c>
      <c r="J28" s="54">
        <v>8.2189999999999994</v>
      </c>
      <c r="K28" s="54" t="s">
        <v>105</v>
      </c>
      <c r="L28" s="10" t="s">
        <v>106</v>
      </c>
    </row>
    <row r="29" spans="2:12" ht="15" customHeight="1">
      <c r="B29" s="58"/>
      <c r="C29" s="2" t="s">
        <v>73</v>
      </c>
      <c r="D29" s="53"/>
      <c r="E29" s="53"/>
      <c r="F29" s="53"/>
      <c r="G29" s="53"/>
      <c r="H29" s="56"/>
      <c r="I29" s="54"/>
      <c r="J29" s="54"/>
      <c r="K29" s="54"/>
      <c r="L29" s="8" t="s">
        <v>107</v>
      </c>
    </row>
    <row r="30" spans="2:12" ht="15" customHeight="1">
      <c r="B30" s="58"/>
      <c r="C30" s="11" t="s">
        <v>91</v>
      </c>
      <c r="D30" s="4" t="s">
        <v>92</v>
      </c>
      <c r="E30" s="4">
        <v>5</v>
      </c>
      <c r="F30" s="4">
        <v>5</v>
      </c>
      <c r="G30" s="4">
        <v>5</v>
      </c>
      <c r="H30" s="5">
        <v>5</v>
      </c>
      <c r="I30" s="13"/>
      <c r="J30" s="13"/>
      <c r="K30" s="13">
        <v>292.80799999999999</v>
      </c>
      <c r="L30" s="9"/>
    </row>
    <row r="31" spans="2:12" ht="15" customHeight="1">
      <c r="B31" s="51" t="s">
        <v>108</v>
      </c>
      <c r="C31" s="51"/>
      <c r="D31" s="54" t="s">
        <v>92</v>
      </c>
      <c r="E31" s="54">
        <v>5</v>
      </c>
      <c r="F31" s="54">
        <v>10</v>
      </c>
      <c r="G31" s="54">
        <v>15</v>
      </c>
      <c r="H31" s="56">
        <v>10</v>
      </c>
      <c r="I31" s="56"/>
      <c r="J31" s="54"/>
      <c r="K31" s="56" t="s">
        <v>109</v>
      </c>
      <c r="L31" s="8" t="s">
        <v>110</v>
      </c>
    </row>
    <row r="32" spans="2:12" ht="15" customHeight="1">
      <c r="B32" s="52"/>
      <c r="C32" s="52"/>
      <c r="D32" s="54"/>
      <c r="E32" s="54"/>
      <c r="F32" s="54"/>
      <c r="G32" s="54"/>
      <c r="H32" s="56"/>
      <c r="I32" s="56"/>
      <c r="J32" s="54"/>
      <c r="K32" s="56"/>
      <c r="L32" s="8" t="s">
        <v>111</v>
      </c>
    </row>
    <row r="33" spans="2:12" ht="15" customHeight="1">
      <c r="B33" s="51" t="s">
        <v>112</v>
      </c>
      <c r="C33" s="51"/>
      <c r="D33" s="54"/>
      <c r="E33" s="54"/>
      <c r="F33" s="54"/>
      <c r="G33" s="54"/>
      <c r="H33" s="56"/>
      <c r="I33" s="56"/>
      <c r="J33" s="54"/>
      <c r="K33" s="56"/>
      <c r="L33" s="8" t="s">
        <v>113</v>
      </c>
    </row>
    <row r="34" spans="2:12" ht="15" customHeight="1">
      <c r="B34" s="52"/>
      <c r="C34" s="52"/>
      <c r="D34" s="54"/>
      <c r="E34" s="54"/>
      <c r="F34" s="54"/>
      <c r="G34" s="54"/>
      <c r="H34" s="56"/>
      <c r="I34" s="56"/>
      <c r="J34" s="54"/>
      <c r="K34" s="56"/>
      <c r="L34" s="10" t="s">
        <v>114</v>
      </c>
    </row>
    <row r="35" spans="2:12" ht="15" customHeight="1">
      <c r="B35" s="52"/>
      <c r="C35" s="52"/>
      <c r="D35" s="54"/>
      <c r="E35" s="54"/>
      <c r="F35" s="54"/>
      <c r="G35" s="54"/>
      <c r="H35" s="56"/>
      <c r="I35" s="56"/>
      <c r="J35" s="54"/>
      <c r="K35" s="56"/>
      <c r="L35" s="8" t="s">
        <v>115</v>
      </c>
    </row>
    <row r="36" spans="2:12" ht="15" customHeight="1">
      <c r="B36" s="55" t="s">
        <v>116</v>
      </c>
      <c r="C36" s="55"/>
      <c r="D36" s="55"/>
      <c r="E36" s="55"/>
      <c r="F36" s="55"/>
      <c r="G36" s="55"/>
      <c r="H36" s="55"/>
      <c r="I36" s="55"/>
      <c r="J36" s="55"/>
      <c r="K36" s="40">
        <f>K31+K24+K13+K6</f>
        <v>306181545.78499997</v>
      </c>
      <c r="L36" s="6"/>
    </row>
    <row r="37" spans="2:12" ht="15" customHeight="1">
      <c r="B37" s="55" t="s">
        <v>194</v>
      </c>
      <c r="C37" s="55"/>
      <c r="D37" s="55"/>
      <c r="E37" s="55"/>
      <c r="F37" s="55"/>
      <c r="G37" s="55"/>
      <c r="H37" s="55"/>
      <c r="I37" s="55"/>
      <c r="J37" s="55"/>
      <c r="K37" s="40">
        <f>K36*8%</f>
        <v>24494523.662799999</v>
      </c>
      <c r="L37" s="6"/>
    </row>
    <row r="38" spans="2:12" ht="15" customHeight="1">
      <c r="B38" s="55" t="s">
        <v>117</v>
      </c>
      <c r="C38" s="55"/>
      <c r="D38" s="55"/>
      <c r="E38" s="55"/>
      <c r="F38" s="55"/>
      <c r="G38" s="55"/>
      <c r="H38" s="55"/>
      <c r="I38" s="55"/>
      <c r="J38" s="55"/>
      <c r="K38" s="40">
        <f>SUM(K36:K37)</f>
        <v>330676069.44779998</v>
      </c>
      <c r="L38" s="6"/>
    </row>
  </sheetData>
  <mergeCells count="97">
    <mergeCell ref="K31:K35"/>
    <mergeCell ref="L4:L5"/>
    <mergeCell ref="L9:L10"/>
    <mergeCell ref="L11:L12"/>
    <mergeCell ref="L13:L14"/>
    <mergeCell ref="L24:L25"/>
    <mergeCell ref="K15:K20"/>
    <mergeCell ref="K21:K22"/>
    <mergeCell ref="K24:K25"/>
    <mergeCell ref="K26:K27"/>
    <mergeCell ref="K28:K29"/>
    <mergeCell ref="K4:K5"/>
    <mergeCell ref="K6:K8"/>
    <mergeCell ref="K9:K10"/>
    <mergeCell ref="K11:K12"/>
    <mergeCell ref="K13:K14"/>
    <mergeCell ref="J15:J20"/>
    <mergeCell ref="J21:J22"/>
    <mergeCell ref="J24:J25"/>
    <mergeCell ref="J26:J27"/>
    <mergeCell ref="J28:J29"/>
    <mergeCell ref="J4:J5"/>
    <mergeCell ref="J6:J8"/>
    <mergeCell ref="J9:J10"/>
    <mergeCell ref="J11:J12"/>
    <mergeCell ref="J13:J14"/>
    <mergeCell ref="I4:I5"/>
    <mergeCell ref="I6:I8"/>
    <mergeCell ref="I9:I10"/>
    <mergeCell ref="I11:I12"/>
    <mergeCell ref="I13:I14"/>
    <mergeCell ref="H6:H8"/>
    <mergeCell ref="H9:H10"/>
    <mergeCell ref="H11:H12"/>
    <mergeCell ref="H13:H14"/>
    <mergeCell ref="H15:H20"/>
    <mergeCell ref="B38:J38"/>
    <mergeCell ref="D21:D22"/>
    <mergeCell ref="D26:D27"/>
    <mergeCell ref="D28:D29"/>
    <mergeCell ref="D31:D35"/>
    <mergeCell ref="B37:J37"/>
    <mergeCell ref="G28:G29"/>
    <mergeCell ref="G31:G35"/>
    <mergeCell ref="H21:H22"/>
    <mergeCell ref="H24:H25"/>
    <mergeCell ref="H26:H27"/>
    <mergeCell ref="H28:H29"/>
    <mergeCell ref="H31:H35"/>
    <mergeCell ref="C24:G25"/>
    <mergeCell ref="I21:I22"/>
    <mergeCell ref="I24:I25"/>
    <mergeCell ref="B4:B5"/>
    <mergeCell ref="B6:B8"/>
    <mergeCell ref="B9:B10"/>
    <mergeCell ref="B11:B12"/>
    <mergeCell ref="B26:B30"/>
    <mergeCell ref="C4:C5"/>
    <mergeCell ref="D4:D5"/>
    <mergeCell ref="D9:D10"/>
    <mergeCell ref="D11:D12"/>
    <mergeCell ref="D15:D20"/>
    <mergeCell ref="C6:G8"/>
    <mergeCell ref="C13:G14"/>
    <mergeCell ref="G9:G10"/>
    <mergeCell ref="E9:E10"/>
    <mergeCell ref="G11:G12"/>
    <mergeCell ref="G15:G20"/>
    <mergeCell ref="B33:C33"/>
    <mergeCell ref="B34:C34"/>
    <mergeCell ref="B35:C35"/>
    <mergeCell ref="B36:J36"/>
    <mergeCell ref="E31:E35"/>
    <mergeCell ref="F31:F35"/>
    <mergeCell ref="I31:I35"/>
    <mergeCell ref="J31:J35"/>
    <mergeCell ref="G21:G22"/>
    <mergeCell ref="G26:G27"/>
    <mergeCell ref="I15:I20"/>
    <mergeCell ref="I26:I27"/>
    <mergeCell ref="I28:I29"/>
    <mergeCell ref="A1:L1"/>
    <mergeCell ref="A2:L2"/>
    <mergeCell ref="E4:G4"/>
    <mergeCell ref="B31:C31"/>
    <mergeCell ref="B32:C32"/>
    <mergeCell ref="E11:E12"/>
    <mergeCell ref="E15:E20"/>
    <mergeCell ref="E21:E22"/>
    <mergeCell ref="E26:E27"/>
    <mergeCell ref="E28:E29"/>
    <mergeCell ref="F9:F10"/>
    <mergeCell ref="F11:F12"/>
    <mergeCell ref="F15:F20"/>
    <mergeCell ref="F21:F22"/>
    <mergeCell ref="F26:F27"/>
    <mergeCell ref="F28:F2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DCCA-6C0E-49FA-B1D2-38477134AA1A}">
  <dimension ref="A1:H21"/>
  <sheetViews>
    <sheetView workbookViewId="0">
      <selection activeCell="M20" sqref="M20"/>
    </sheetView>
  </sheetViews>
  <sheetFormatPr defaultColWidth="9" defaultRowHeight="15.75"/>
  <cols>
    <col min="1" max="1" width="4" style="116" customWidth="1"/>
    <col min="2" max="2" width="16.7109375" style="116" customWidth="1"/>
    <col min="3" max="3" width="33.85546875" style="116" customWidth="1"/>
    <col min="4" max="4" width="20.7109375" style="116" customWidth="1"/>
    <col min="5" max="5" width="13.28515625" style="116" customWidth="1"/>
    <col min="6" max="16384" width="9" style="116"/>
  </cols>
  <sheetData>
    <row r="1" spans="1:8" ht="47.25">
      <c r="A1" s="115" t="s">
        <v>0</v>
      </c>
      <c r="B1" s="115" t="s">
        <v>202</v>
      </c>
      <c r="C1" s="115" t="s">
        <v>203</v>
      </c>
      <c r="D1" s="115" t="s">
        <v>204</v>
      </c>
    </row>
    <row r="2" spans="1:8">
      <c r="A2" s="117">
        <v>1</v>
      </c>
      <c r="B2" s="118">
        <v>0</v>
      </c>
      <c r="C2" s="118">
        <v>50000000</v>
      </c>
      <c r="D2" s="119">
        <v>1500000</v>
      </c>
    </row>
    <row r="3" spans="1:8">
      <c r="A3" s="117">
        <v>2</v>
      </c>
      <c r="B3" s="118">
        <v>50000000</v>
      </c>
      <c r="C3" s="118">
        <v>150000000</v>
      </c>
      <c r="D3" s="119">
        <v>2000000</v>
      </c>
    </row>
    <row r="4" spans="1:8">
      <c r="A4" s="117">
        <v>3</v>
      </c>
      <c r="B4" s="118">
        <v>150000000</v>
      </c>
      <c r="C4" s="118">
        <v>500000000</v>
      </c>
      <c r="D4" s="120">
        <v>1.2E-2</v>
      </c>
    </row>
    <row r="5" spans="1:8">
      <c r="A5" s="117">
        <v>4</v>
      </c>
      <c r="B5" s="118">
        <v>500000000</v>
      </c>
      <c r="C5" s="118">
        <v>1000000000</v>
      </c>
      <c r="D5" s="120">
        <v>1.0999999999999999E-2</v>
      </c>
    </row>
    <row r="6" spans="1:8">
      <c r="A6" s="117">
        <v>5</v>
      </c>
      <c r="B6" s="118">
        <v>1000000000</v>
      </c>
      <c r="C6" s="118">
        <v>2000000000</v>
      </c>
      <c r="D6" s="120">
        <v>0.01</v>
      </c>
    </row>
    <row r="7" spans="1:8">
      <c r="A7" s="117">
        <v>6</v>
      </c>
      <c r="B7" s="118">
        <v>2000000000</v>
      </c>
      <c r="C7" s="118">
        <v>3000000000</v>
      </c>
      <c r="D7" s="120">
        <v>9.4999999999999998E-3</v>
      </c>
    </row>
    <row r="8" spans="1:8">
      <c r="A8" s="117">
        <v>7</v>
      </c>
      <c r="B8" s="118">
        <v>3000000000</v>
      </c>
      <c r="C8" s="118">
        <v>5000000000</v>
      </c>
      <c r="D8" s="120">
        <v>8.9999999999999993E-3</v>
      </c>
    </row>
    <row r="9" spans="1:8">
      <c r="A9" s="117">
        <v>8</v>
      </c>
      <c r="B9" s="118">
        <v>5000000000</v>
      </c>
      <c r="C9" s="118">
        <v>7000000000</v>
      </c>
      <c r="D9" s="120">
        <v>8.5000000000000006E-3</v>
      </c>
    </row>
    <row r="10" spans="1:8">
      <c r="A10" s="117">
        <v>9</v>
      </c>
      <c r="B10" s="118">
        <v>7000000000</v>
      </c>
      <c r="C10" s="118">
        <v>10000000000</v>
      </c>
      <c r="D10" s="120">
        <v>8.0000000000000002E-3</v>
      </c>
    </row>
    <row r="11" spans="1:8">
      <c r="A11" s="117">
        <v>10</v>
      </c>
      <c r="B11" s="118">
        <v>10000000000</v>
      </c>
      <c r="C11" s="118">
        <v>20000000000</v>
      </c>
      <c r="D11" s="120">
        <v>7.4999999999999997E-3</v>
      </c>
    </row>
    <row r="12" spans="1:8">
      <c r="A12" s="117">
        <v>11</v>
      </c>
      <c r="B12" s="118">
        <v>20000000000</v>
      </c>
      <c r="C12" s="117"/>
      <c r="D12" s="120">
        <v>7.0000000000000001E-3</v>
      </c>
    </row>
    <row r="15" spans="1:8" ht="31.5">
      <c r="B15" s="121" t="s">
        <v>208</v>
      </c>
      <c r="C15" s="122">
        <f>'Dự toán đầu tư chi tiết'!G5</f>
        <v>7753318387.5146122</v>
      </c>
      <c r="H15" s="123"/>
    </row>
    <row r="16" spans="1:8" ht="31.5">
      <c r="B16" s="121" t="s">
        <v>205</v>
      </c>
      <c r="C16" s="122">
        <f>IF(C15&lt;=150000000,VLOOKUP(C15,$B$2:$D$3,3,TRUE),VLOOKUP(C15,$B$4:$D$12,3,TRUE)*C15)</f>
        <v>62026547.100116901</v>
      </c>
    </row>
    <row r="17" spans="2:3" ht="31.5">
      <c r="B17" s="121" t="s">
        <v>206</v>
      </c>
      <c r="C17" s="124">
        <v>1</v>
      </c>
    </row>
    <row r="18" spans="2:3">
      <c r="B18" s="125" t="s">
        <v>207</v>
      </c>
      <c r="C18" s="122">
        <f>C16*C17+(C16*C17)*3%</f>
        <v>63887343.513120405</v>
      </c>
    </row>
    <row r="21" spans="2:3">
      <c r="C21" s="1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Phân kỳ nguồn vốn</vt:lpstr>
      <vt:lpstr>Dự toán đầu tư chi tiết</vt:lpstr>
      <vt:lpstr>Chi phí phần mềm</vt:lpstr>
      <vt:lpstr>Chi phí số hóa</vt:lpstr>
      <vt:lpstr>Chi phí tạo lập dự liệu</vt:lpstr>
      <vt:lpstr>Biểu phí TĐG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Lê Hồng Kỳ</cp:lastModifiedBy>
  <cp:lastPrinted>2026-05-22T08:31:15Z</cp:lastPrinted>
  <dcterms:created xsi:type="dcterms:W3CDTF">2021-08-31T01:49:00Z</dcterms:created>
  <dcterms:modified xsi:type="dcterms:W3CDTF">2026-05-22T10:39:52Z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96B03E441F4441CD8509BCB5F0FD2836_13</vt:lpwstr>
  </property>
  <property fmtid="{D5CDD505-2E9C-101B-9397-08002B2CF9AE}" pid="3" name="KSOProductBuildVer">
    <vt:lpwstr>1033-12.1.0.26372</vt:lpwstr>
  </property>
  <property fmtid="{D5CDD505-2E9C-101B-9397-08002B2CF9AE}" pid="4" name="CalculationRule">
    <vt:i4>0</vt:i4>
  </property>
</Properties>
</file>
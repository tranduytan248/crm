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57.37.109\d\SSD\KHA\PKD\KH\KVVN.Vạn Ninh\RIS_PACS\"/>
    </mc:Choice>
  </mc:AlternateContent>
  <xr:revisionPtr revIDLastSave="0" documentId="13_ncr:1_{70E9D9F2-B7AE-4F6E-B7E4-F9B72ACA1EBD}" xr6:coauthVersionLast="47" xr6:coauthVersionMax="47" xr10:uidLastSave="{00000000-0000-0000-0000-000000000000}"/>
  <bookViews>
    <workbookView xWindow="5325" yWindow="18780" windowWidth="21600" windowHeight="11295" firstSheet="1" activeTab="1" xr2:uid="{00000000-000D-0000-FFFF-FFFF00000000}"/>
  </bookViews>
  <sheets>
    <sheet name="RIS_PACS_EMR" sheetId="6" state="hidden" r:id="rId1"/>
    <sheet name="Dự toán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0" l="1"/>
  <c r="E8" i="10"/>
  <c r="F7" i="10"/>
  <c r="E7" i="10"/>
  <c r="E6" i="10"/>
  <c r="F6" i="10"/>
  <c r="F5" i="10"/>
  <c r="E5" i="10"/>
  <c r="F4" i="10"/>
  <c r="E4" i="10"/>
  <c r="L18" i="6"/>
  <c r="I17" i="6"/>
  <c r="J17" i="6" s="1"/>
  <c r="L17" i="6" s="1"/>
  <c r="I16" i="6"/>
  <c r="I15" i="6"/>
  <c r="J15" i="6" s="1"/>
  <c r="J18" i="6" l="1"/>
  <c r="L16" i="6"/>
</calcChain>
</file>

<file path=xl/sharedStrings.xml><?xml version="1.0" encoding="utf-8"?>
<sst xmlns="http://schemas.openxmlformats.org/spreadsheetml/2006/main" count="48" uniqueCount="41">
  <si>
    <t>Giá hàng tháng sau thuế</t>
  </si>
  <si>
    <t>Giá trị trước thuế</t>
  </si>
  <si>
    <t>Thuế 10%</t>
  </si>
  <si>
    <t>Tổng sau thuế</t>
  </si>
  <si>
    <t>Đơn giá</t>
  </si>
  <si>
    <t>Ghi chú</t>
  </si>
  <si>
    <t>1 tháng</t>
  </si>
  <si>
    <t>Số lượng</t>
  </si>
  <si>
    <t>Tổng cộng</t>
  </si>
  <si>
    <t>RIS_PACS</t>
  </si>
  <si>
    <t>VB số 660 Về việc ban hành giá cước Hệ thống thông tin chẩn đoán hình ảnh y khoa (VNPT-RIS/PACS) phiên băn 2.0.0</t>
  </si>
  <si>
    <t>&lt;= 150</t>
  </si>
  <si>
    <t>/thang</t>
  </si>
  <si>
    <t>Từ 151</t>
  </si>
  <si>
    <t>/1 ca chụp</t>
  </si>
  <si>
    <t>CLOUD PACS</t>
  </si>
  <si>
    <t>&lt;= 500</t>
  </si>
  <si>
    <t>Từ 501</t>
  </si>
  <si>
    <t>/ca chụp</t>
  </si>
  <si>
    <t>EMR</t>
  </si>
  <si>
    <t>/hsba</t>
  </si>
  <si>
    <t>1070 : Về việc ban hành Gia cước dịch vụ Bệnh án điện tử - VNPT EMR</t>
  </si>
  <si>
    <t>Hạng mục</t>
  </si>
  <si>
    <t>1 tháng (VAT)</t>
  </si>
  <si>
    <t>12 tháng (VAT)</t>
  </si>
  <si>
    <t>ca/thang</t>
  </si>
  <si>
    <t>hsba/thang</t>
  </si>
  <si>
    <t>Một trăm linh ba triệu tám trăm linh sáu nghìn bảy trăm bốn mươi bốn đồng chẵn</t>
  </si>
  <si>
    <t>Một trăm mười bốn triệu một trăm tám mươi bảy nghìn bốn trăm mười tám đồng chẵn</t>
  </si>
  <si>
    <t>Một tỷ hai trăm bốn mươi lăm triệu sáu trăm tám mươi nghìn chín trăm hai mươi bốn đồng chẵn</t>
  </si>
  <si>
    <t>Một trăm hai mươi bốn triệu năm trăm sáu mươi tám nghìn chín mươi hai đồng chẵn</t>
  </si>
  <si>
    <t>Một tỷ ba trăm bảy mươi triệu hai trăm bốn mươi chín nghìn mười sáu đồng chẵn</t>
  </si>
  <si>
    <t xml:space="preserve">DỰ TOÁN </t>
  </si>
  <si>
    <t>ĐVT</t>
  </si>
  <si>
    <t>Khoảng 550 lượt khám/ ngày</t>
  </si>
  <si>
    <t>X-quang: 1500 ca/ tháng
- 1 máy x-quang cơ sở 1
- 1 máy x-quang cơ sở 2
Siêu âm: 1500 ca/ tháng
- 3 máy siêu âm cơ sở 1</t>
  </si>
  <si>
    <t>12 tháng</t>
  </si>
  <si>
    <t>Tổng cộng (VAT)</t>
  </si>
  <si>
    <t>8% VAT</t>
  </si>
  <si>
    <t>Phần mềm quản lý chẩn đoán hình ảnh - RIS/PACS</t>
  </si>
  <si>
    <t>Phần mềm quản lý hồ sơ bệnh án điện tử - EMR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</si>
</sst>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#,##0[$ ₫]"/>
    <numFmt numFmtId="165" formatCode="#,##0.000[$ ₫]"/>
  </numFmts>
  <fonts count="1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2"/>
      <color rgb="FF000000"/>
      <name val="Inter"/>
    </font>
    <font>
      <sz val="12"/>
      <color theme="1"/>
      <name val="Inter"/>
    </font>
    <font>
      <i/>
      <sz val="12"/>
      <color rgb="FFB7B7B7"/>
      <name val="Inter"/>
    </font>
    <font>
      <sz val="12"/>
      <color rgb="FF666666"/>
      <name val="Inter"/>
    </font>
    <font>
      <sz val="12"/>
      <color rgb="FF434343"/>
      <name val="Inter"/>
    </font>
    <font>
      <b/>
      <sz val="12"/>
      <color rgb="FF434343"/>
      <name val="Inte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3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164" fontId="7" fillId="0" borderId="2" xfId="0" applyNumberFormat="1" applyFont="1" applyBorder="1"/>
    <xf numFmtId="3" fontId="4" fillId="0" borderId="0" xfId="0" applyNumberFormat="1" applyFont="1"/>
    <xf numFmtId="164" fontId="8" fillId="0" borderId="2" xfId="0" applyNumberFormat="1" applyFont="1" applyBorder="1"/>
    <xf numFmtId="165" fontId="4" fillId="0" borderId="0" xfId="0" applyNumberFormat="1" applyFont="1"/>
    <xf numFmtId="0" fontId="9" fillId="0" borderId="0" xfId="0" applyFont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41" fontId="9" fillId="0" borderId="5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41" fontId="9" fillId="0" borderId="0" xfId="0" applyNumberFormat="1" applyFont="1" applyAlignment="1">
      <alignment vertical="center"/>
    </xf>
    <xf numFmtId="0" fontId="10" fillId="0" borderId="5" xfId="0" applyFont="1" applyBorder="1" applyAlignment="1">
      <alignment horizontal="right"/>
    </xf>
    <xf numFmtId="0" fontId="10" fillId="0" borderId="5" xfId="0" applyFont="1" applyBorder="1" applyAlignment="1">
      <alignment horizontal="center"/>
    </xf>
    <xf numFmtId="41" fontId="10" fillId="0" borderId="5" xfId="1" applyFont="1" applyBorder="1" applyAlignment="1">
      <alignment horizontal="center"/>
    </xf>
    <xf numFmtId="0" fontId="10" fillId="0" borderId="5" xfId="0" applyFont="1" applyBorder="1"/>
    <xf numFmtId="41" fontId="10" fillId="0" borderId="5" xfId="0" applyNumberFormat="1" applyFont="1" applyBorder="1"/>
    <xf numFmtId="0" fontId="9" fillId="0" borderId="5" xfId="0" applyFont="1" applyBorder="1"/>
    <xf numFmtId="164" fontId="7" fillId="0" borderId="3" xfId="0" applyNumberFormat="1" applyFont="1" applyBorder="1" applyAlignment="1">
      <alignment horizontal="right"/>
    </xf>
    <xf numFmtId="0" fontId="2" fillId="0" borderId="4" xfId="0" applyFont="1" applyBorder="1"/>
    <xf numFmtId="0" fontId="10" fillId="3" borderId="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</cellXfs>
  <cellStyles count="2">
    <cellStyle name="Comma [0]" xfId="1" builtinId="6"/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3E3FD"/>
          <bgColor rgb="FFD3E3FD"/>
        </patternFill>
      </fill>
    </dxf>
  </dxfs>
  <tableStyles count="3">
    <tableStyle name="Iknow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loud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Cloud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showGridLines="0" workbookViewId="0">
      <selection activeCell="I17" sqref="I17"/>
    </sheetView>
  </sheetViews>
  <sheetFormatPr defaultColWidth="12.5703125" defaultRowHeight="15.75" customHeight="1"/>
  <cols>
    <col min="1" max="1" width="4.7109375" customWidth="1"/>
    <col min="2" max="2" width="13.7109375" customWidth="1"/>
    <col min="3" max="3" width="9" bestFit="1" customWidth="1"/>
    <col min="4" max="4" width="10.5703125" customWidth="1"/>
    <col min="5" max="5" width="2" customWidth="1"/>
    <col min="6" max="6" width="13.7109375" customWidth="1"/>
    <col min="7" max="7" width="10.42578125" customWidth="1"/>
    <col min="8" max="8" width="13.28515625" customWidth="1"/>
    <col min="9" max="9" width="17" customWidth="1"/>
    <col min="10" max="10" width="21.28515625" customWidth="1"/>
    <col min="11" max="11" width="2.42578125" customWidth="1"/>
    <col min="12" max="12" width="25.42578125" customWidth="1"/>
    <col min="13" max="13" width="17.85546875" bestFit="1" customWidth="1"/>
  </cols>
  <sheetData>
    <row r="1" spans="1:25" ht="15">
      <c r="A1" s="1"/>
      <c r="B1" s="1"/>
      <c r="C1" s="1"/>
      <c r="D1" s="1"/>
      <c r="E1" s="1"/>
      <c r="F1" s="2"/>
      <c r="G1" s="2"/>
      <c r="H1" s="2"/>
      <c r="I1" s="2"/>
      <c r="J1" s="2"/>
      <c r="K1" s="1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>
      <c r="A2" s="4"/>
      <c r="C2" s="1"/>
      <c r="D2" s="1"/>
      <c r="E2" s="1"/>
      <c r="F2" s="2"/>
      <c r="G2" s="2"/>
      <c r="H2" s="2"/>
      <c r="I2" s="2"/>
      <c r="J2" s="2"/>
      <c r="K2" s="1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">
      <c r="A3" s="1"/>
      <c r="B3" s="1"/>
      <c r="C3" s="1"/>
      <c r="D3" s="1"/>
      <c r="E3" s="1"/>
      <c r="F3" s="2"/>
      <c r="G3" s="2"/>
      <c r="H3" s="2"/>
      <c r="I3" s="2"/>
      <c r="J3" s="2"/>
      <c r="K3" s="1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">
      <c r="A4" s="5"/>
      <c r="B4" s="6" t="s">
        <v>9</v>
      </c>
      <c r="C4" s="6"/>
      <c r="D4" s="6"/>
      <c r="E4" s="5"/>
      <c r="F4" s="7" t="s">
        <v>10</v>
      </c>
      <c r="G4" s="8"/>
      <c r="H4" s="8"/>
      <c r="I4" s="8"/>
      <c r="J4" s="8"/>
      <c r="K4" s="5"/>
      <c r="L4" s="8"/>
      <c r="M4" s="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5">
      <c r="A5" s="1"/>
      <c r="B5" s="10" t="s">
        <v>11</v>
      </c>
      <c r="C5" s="11">
        <v>600000</v>
      </c>
      <c r="D5" s="10" t="s">
        <v>12</v>
      </c>
      <c r="E5" s="1"/>
      <c r="F5" s="2"/>
      <c r="G5" s="2"/>
      <c r="H5" s="2"/>
      <c r="I5" s="2"/>
      <c r="J5" s="2"/>
      <c r="K5" s="1"/>
      <c r="L5" s="2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>
      <c r="A6" s="1"/>
      <c r="B6" s="10" t="s">
        <v>13</v>
      </c>
      <c r="C6" s="11">
        <v>4000</v>
      </c>
      <c r="D6" s="10" t="s">
        <v>14</v>
      </c>
      <c r="E6" s="1"/>
      <c r="F6" s="1"/>
      <c r="G6" s="1"/>
      <c r="H6" s="1"/>
      <c r="I6" s="1"/>
      <c r="J6" s="1"/>
      <c r="K6" s="1"/>
      <c r="L6" s="2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>
      <c r="A7" s="1"/>
      <c r="B7" s="10"/>
      <c r="C7" s="10"/>
      <c r="D7" s="10"/>
      <c r="E7" s="1"/>
      <c r="F7" s="1"/>
      <c r="G7" s="1"/>
      <c r="H7" s="1"/>
      <c r="I7" s="1"/>
      <c r="J7" s="1"/>
      <c r="K7" s="1"/>
      <c r="L7" s="2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>
      <c r="A8" s="1"/>
      <c r="B8" s="10" t="s">
        <v>15</v>
      </c>
      <c r="C8" s="10"/>
      <c r="D8" s="10"/>
      <c r="E8" s="1"/>
      <c r="F8" s="1"/>
      <c r="G8" s="1"/>
      <c r="H8" s="1"/>
      <c r="I8" s="1"/>
      <c r="J8" s="1"/>
      <c r="K8" s="1"/>
      <c r="L8" s="2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>
      <c r="A9" s="1"/>
      <c r="B9" s="10" t="s">
        <v>16</v>
      </c>
      <c r="C9" s="11">
        <v>909091</v>
      </c>
      <c r="D9" s="10" t="s">
        <v>12</v>
      </c>
      <c r="E9" s="1"/>
      <c r="F9" s="1"/>
      <c r="G9" s="1"/>
      <c r="H9" s="1"/>
      <c r="I9" s="1"/>
      <c r="J9" s="1"/>
      <c r="K9" s="1"/>
      <c r="L9" s="2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">
      <c r="A10" s="1"/>
      <c r="B10" s="10" t="s">
        <v>17</v>
      </c>
      <c r="C10" s="11">
        <v>1818</v>
      </c>
      <c r="D10" s="10" t="s">
        <v>18</v>
      </c>
      <c r="E10" s="1"/>
      <c r="F10" s="1"/>
      <c r="G10" s="1"/>
      <c r="H10" s="1"/>
      <c r="I10" s="1"/>
      <c r="J10" s="1"/>
      <c r="K10" s="1"/>
      <c r="L10" s="2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>
      <c r="A11" s="1"/>
      <c r="B11" s="10"/>
      <c r="C11" s="10"/>
      <c r="D11" s="10"/>
      <c r="E11" s="1"/>
      <c r="F11" s="1"/>
      <c r="G11" s="1"/>
      <c r="H11" s="1"/>
      <c r="I11" s="1"/>
      <c r="J11" s="1"/>
      <c r="K11" s="1"/>
      <c r="L11" s="2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>
      <c r="A12" s="5"/>
      <c r="B12" s="6" t="s">
        <v>19</v>
      </c>
      <c r="C12" s="12">
        <v>5350</v>
      </c>
      <c r="D12" s="6" t="s">
        <v>20</v>
      </c>
      <c r="E12" s="5"/>
      <c r="F12" s="7" t="s">
        <v>21</v>
      </c>
      <c r="G12" s="5"/>
      <c r="H12" s="5"/>
      <c r="I12" s="5"/>
      <c r="J12" s="5"/>
      <c r="K12" s="5"/>
      <c r="L12" s="8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">
      <c r="A14" s="1"/>
      <c r="B14" s="1"/>
      <c r="C14" s="1"/>
      <c r="D14" s="1"/>
      <c r="E14" s="1"/>
      <c r="F14" s="13" t="s">
        <v>22</v>
      </c>
      <c r="G14" s="13"/>
      <c r="H14" s="13"/>
      <c r="I14" s="13" t="s">
        <v>23</v>
      </c>
      <c r="J14" s="13" t="s">
        <v>24</v>
      </c>
      <c r="K14" s="1"/>
      <c r="L14" s="2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">
      <c r="A15" s="1"/>
      <c r="B15" s="1"/>
      <c r="C15" s="1"/>
      <c r="D15" s="1"/>
      <c r="E15" s="1"/>
      <c r="F15" s="13" t="s">
        <v>9</v>
      </c>
      <c r="G15" s="14">
        <v>3000</v>
      </c>
      <c r="H15" s="14" t="s">
        <v>25</v>
      </c>
      <c r="I15" s="15">
        <f>ROUND(IF(G15&lt;=150,600000,(G15-150)*C6+600000)*1.08,0)</f>
        <v>12960000</v>
      </c>
      <c r="J15" s="32">
        <f>(I15+I16)*12</f>
        <v>226205016</v>
      </c>
      <c r="K15" s="1"/>
      <c r="L15" s="2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">
      <c r="A16" s="1"/>
      <c r="B16" s="1"/>
      <c r="C16" s="1"/>
      <c r="D16" s="1"/>
      <c r="E16" s="1"/>
      <c r="F16" s="13" t="s">
        <v>15</v>
      </c>
      <c r="G16" s="14">
        <v>3000</v>
      </c>
      <c r="H16" s="13"/>
      <c r="I16" s="15">
        <f>ROUND(IF(G16&lt;=500,C9,(G16-500)*C10+C9)*1.08,0)</f>
        <v>5890418</v>
      </c>
      <c r="J16" s="33"/>
      <c r="K16" s="1"/>
      <c r="L16" s="16">
        <f>J15/12</f>
        <v>18850418</v>
      </c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">
      <c r="A17" s="1"/>
      <c r="B17" s="1"/>
      <c r="C17" s="1"/>
      <c r="D17" s="1"/>
      <c r="E17" s="1"/>
      <c r="F17" s="13" t="s">
        <v>19</v>
      </c>
      <c r="G17" s="14">
        <v>16500</v>
      </c>
      <c r="H17" s="14" t="s">
        <v>26</v>
      </c>
      <c r="I17" s="15">
        <f>ROUND(G17*C12*1.08,0)</f>
        <v>95337000</v>
      </c>
      <c r="J17" s="15">
        <f>I17*12</f>
        <v>1144044000</v>
      </c>
      <c r="K17" s="1"/>
      <c r="L17" s="16">
        <f>J17/12</f>
        <v>95337000</v>
      </c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13"/>
      <c r="G18" s="13"/>
      <c r="H18" s="13"/>
      <c r="I18" s="15"/>
      <c r="J18" s="17">
        <f>SUM(J15:J17)</f>
        <v>1370249016</v>
      </c>
      <c r="K18" s="2"/>
      <c r="L18" s="2" t="e">
        <f ca="1">HopDong(J18,10,TRUE,12)</f>
        <v>#NAME?</v>
      </c>
      <c r="M18" s="3">
        <v>103806743.63636363</v>
      </c>
      <c r="N18" s="2" t="s">
        <v>27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0</v>
      </c>
      <c r="M19" s="3">
        <v>114187418</v>
      </c>
      <c r="N19" s="2" t="s">
        <v>28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">
      <c r="A20" s="2"/>
      <c r="B20" s="2"/>
      <c r="C20" s="2"/>
      <c r="D20" s="2"/>
      <c r="E20" s="2"/>
      <c r="F20" s="2"/>
      <c r="G20" s="2"/>
      <c r="H20" s="2"/>
      <c r="I20" s="2"/>
      <c r="K20" s="2"/>
      <c r="L20" s="2" t="s">
        <v>1</v>
      </c>
      <c r="M20" s="3">
        <v>1245680923.6363635</v>
      </c>
      <c r="N20" s="2" t="s">
        <v>29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2</v>
      </c>
      <c r="M21" s="3">
        <v>124568092.36363649</v>
      </c>
      <c r="N21" s="2" t="s">
        <v>30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3</v>
      </c>
      <c r="M22" s="3">
        <v>1370249016</v>
      </c>
      <c r="N22" s="2" t="s">
        <v>31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">
      <c r="A24" s="2"/>
      <c r="B24" s="2"/>
      <c r="C24" s="2"/>
      <c r="D24" s="2"/>
      <c r="E24" s="2"/>
      <c r="F24" s="2"/>
      <c r="G24" s="2"/>
      <c r="H24" s="2"/>
      <c r="I24" s="18"/>
      <c r="J24" s="2"/>
      <c r="K24" s="2"/>
      <c r="L24" s="2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">
      <c r="A25" s="2"/>
      <c r="B25" s="2"/>
      <c r="C25" s="2"/>
      <c r="D25" s="2"/>
      <c r="E25" s="2"/>
      <c r="F25" s="2"/>
      <c r="G25" s="2"/>
      <c r="H25" s="2"/>
      <c r="I25" s="18"/>
      <c r="J25" s="2"/>
      <c r="K25" s="2"/>
      <c r="L25" s="2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J15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D645-9B36-44E9-AC36-47A956178C16}">
  <dimension ref="A1:J8"/>
  <sheetViews>
    <sheetView tabSelected="1" workbookViewId="0">
      <selection activeCell="L4" sqref="L4"/>
    </sheetView>
  </sheetViews>
  <sheetFormatPr defaultRowHeight="14.25"/>
  <cols>
    <col min="1" max="1" width="20" style="19" bestFit="1" customWidth="1"/>
    <col min="2" max="2" width="10.7109375" style="19" bestFit="1" customWidth="1"/>
    <col min="3" max="3" width="10.7109375" style="19" customWidth="1"/>
    <col min="4" max="4" width="12.140625" style="19" bestFit="1" customWidth="1"/>
    <col min="5" max="5" width="15.5703125" style="19" bestFit="1" customWidth="1"/>
    <col min="6" max="6" width="17.85546875" style="19" bestFit="1" customWidth="1"/>
    <col min="7" max="7" width="30.7109375" style="19" bestFit="1" customWidth="1"/>
    <col min="8" max="8" width="9.140625" style="19"/>
    <col min="9" max="9" width="14.28515625" style="19" bestFit="1" customWidth="1"/>
    <col min="10" max="16384" width="9.140625" style="19"/>
  </cols>
  <sheetData>
    <row r="1" spans="1:10" ht="21" customHeight="1">
      <c r="A1" s="19" t="s">
        <v>32</v>
      </c>
    </row>
    <row r="3" spans="1:10" s="35" customFormat="1" ht="24" customHeight="1">
      <c r="A3" s="34" t="s">
        <v>22</v>
      </c>
      <c r="B3" s="34" t="s">
        <v>7</v>
      </c>
      <c r="C3" s="34" t="s">
        <v>4</v>
      </c>
      <c r="D3" s="34" t="s">
        <v>33</v>
      </c>
      <c r="E3" s="34" t="s">
        <v>6</v>
      </c>
      <c r="F3" s="34" t="s">
        <v>36</v>
      </c>
      <c r="G3" s="34" t="s">
        <v>5</v>
      </c>
    </row>
    <row r="4" spans="1:10" s="24" customFormat="1" ht="71.25">
      <c r="A4" s="23" t="s">
        <v>39</v>
      </c>
      <c r="B4" s="21">
        <v>3000</v>
      </c>
      <c r="C4" s="21">
        <v>5818</v>
      </c>
      <c r="D4" s="21" t="s">
        <v>25</v>
      </c>
      <c r="E4" s="22">
        <f>B4*C4</f>
        <v>17454000</v>
      </c>
      <c r="F4" s="22">
        <f>E4*12</f>
        <v>209448000</v>
      </c>
      <c r="G4" s="23" t="s">
        <v>35</v>
      </c>
      <c r="I4" s="25"/>
      <c r="J4" s="25"/>
    </row>
    <row r="5" spans="1:10" s="24" customFormat="1" ht="42.75">
      <c r="A5" s="23" t="s">
        <v>40</v>
      </c>
      <c r="B5" s="21">
        <v>16500</v>
      </c>
      <c r="C5" s="21">
        <v>5350</v>
      </c>
      <c r="D5" s="21" t="s">
        <v>26</v>
      </c>
      <c r="E5" s="22">
        <f>B5*C5</f>
        <v>88275000</v>
      </c>
      <c r="F5" s="22">
        <f>E5*12</f>
        <v>1059300000</v>
      </c>
      <c r="G5" s="21" t="s">
        <v>34</v>
      </c>
    </row>
    <row r="6" spans="1:10" ht="15">
      <c r="A6" s="26" t="s">
        <v>8</v>
      </c>
      <c r="B6" s="27"/>
      <c r="C6" s="27"/>
      <c r="D6" s="27"/>
      <c r="E6" s="28">
        <f>SUM(E4:E5)</f>
        <v>105729000</v>
      </c>
      <c r="F6" s="28">
        <f>SUM(F4:F5)</f>
        <v>1268748000</v>
      </c>
      <c r="G6" s="20"/>
    </row>
    <row r="7" spans="1:10" ht="15">
      <c r="A7" s="26" t="s">
        <v>38</v>
      </c>
      <c r="B7" s="29"/>
      <c r="C7" s="29"/>
      <c r="D7" s="29"/>
      <c r="E7" s="30">
        <f>E6*0.08</f>
        <v>8458320</v>
      </c>
      <c r="F7" s="30">
        <f>F6*0.08</f>
        <v>101499840</v>
      </c>
      <c r="G7" s="31"/>
    </row>
    <row r="8" spans="1:10" ht="15">
      <c r="A8" s="26" t="s">
        <v>37</v>
      </c>
      <c r="B8" s="29"/>
      <c r="C8" s="29"/>
      <c r="D8" s="29"/>
      <c r="E8" s="30">
        <f>E6+E7</f>
        <v>114187320</v>
      </c>
      <c r="F8" s="30">
        <f>F6+F7</f>
        <v>1370247840</v>
      </c>
      <c r="G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RIS_PACS_EMR</vt:lpstr>
      <vt:lpstr>Dự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Linh Nguyen</cp:lastModifiedBy>
  <dcterms:modified xsi:type="dcterms:W3CDTF">2026-05-06T02:37:28Z</dcterms:modified>
</cp:coreProperties>
</file>
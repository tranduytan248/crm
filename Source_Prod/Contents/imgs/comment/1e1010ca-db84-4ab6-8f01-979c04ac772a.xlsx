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NPT_Tài liệu\0.Truyền thanh thông minh\Đông Ninh Hòa\Nâng cấp cụm loa Đông Ninh Hòa 2026\"/>
    </mc:Choice>
  </mc:AlternateContent>
  <xr:revisionPtr revIDLastSave="0" documentId="13_ncr:1_{2CA23A0D-2781-42B3-BFDC-759F6BA9D297}" xr6:coauthVersionLast="47" xr6:coauthVersionMax="47" xr10:uidLastSave="{00000000-0000-0000-0000-000000000000}"/>
  <bookViews>
    <workbookView xWindow="-120" yWindow="-120" windowWidth="20730" windowHeight="11160" tabRatio="762" xr2:uid="{00000000-000D-0000-FFFF-FFFF00000000}"/>
  </bookViews>
  <sheets>
    <sheet name="Bảng giá" sheetId="2" r:id="rId1"/>
    <sheet name="3. CP vận hàng hàng năm" sheetId="5" r:id="rId2"/>
    <sheet name="4.LươngKS" sheetId="6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\0" localSheetId="0">'[1]PNT-QUOT-#3'!#REF!</definedName>
    <definedName name="\0">'[1]PNT-QUOT-#3'!#REF!</definedName>
    <definedName name="\z" localSheetId="0">'[1]COAT&amp;WRAP-QIOT-#3'!#REF!</definedName>
    <definedName name="\z">'[1]COAT&amp;WRAP-QIOT-#3'!#REF!</definedName>
    <definedName name="__a1" localSheetId="1" hidden="1">{"'Sheet1'!$L$16"}</definedName>
    <definedName name="__a1" localSheetId="2" hidden="1">{"'Sheet1'!$L$16"}</definedName>
    <definedName name="__a1" localSheetId="0" hidden="1">{"'Sheet1'!$L$16"}</definedName>
    <definedName name="__a1" hidden="1">{"'Sheet1'!$L$16"}</definedName>
    <definedName name="__BIA4" localSheetId="1" hidden="1">{"'Sheet1'!$L$16"}</definedName>
    <definedName name="__BIA4" localSheetId="2" hidden="1">{"'Sheet1'!$L$16"}</definedName>
    <definedName name="__BIA4" localSheetId="0" hidden="1">{"'Sheet1'!$L$16"}</definedName>
    <definedName name="__BIA4" hidden="1">{"'Sheet1'!$L$16"}</definedName>
    <definedName name="__PA3" localSheetId="1" hidden="1">{"'Sheet1'!$L$16"}</definedName>
    <definedName name="__PA3" localSheetId="2" hidden="1">{"'Sheet1'!$L$16"}</definedName>
    <definedName name="__PA3" localSheetId="0" hidden="1">{"'Sheet1'!$L$16"}</definedName>
    <definedName name="__PA3" hidden="1">{"'Sheet1'!$L$16"}</definedName>
    <definedName name="__xlcn.WorksheetConnection_App_totalC3J41" hidden="1">#REF!</definedName>
    <definedName name="_1">#N/A</definedName>
    <definedName name="_1000A01">#N/A</definedName>
    <definedName name="_2">#N/A</definedName>
    <definedName name="_40x4">5100</definedName>
    <definedName name="_a1" localSheetId="1" hidden="1">{"'Sheet1'!$L$16"}</definedName>
    <definedName name="_a1" localSheetId="2" hidden="1">{"'Sheet1'!$L$16"}</definedName>
    <definedName name="_a1" localSheetId="0" hidden="1">{"'Sheet1'!$L$16"}</definedName>
    <definedName name="_a1" hidden="1">{"'Sheet1'!$L$16"}</definedName>
    <definedName name="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tn1">#REF!</definedName>
    <definedName name="_atn10">#REF!</definedName>
    <definedName name="_atn2">#REF!</definedName>
    <definedName name="_atn3">#REF!</definedName>
    <definedName name="_atn4">#REF!</definedName>
    <definedName name="_atn5">#REF!</definedName>
    <definedName name="_atn6">#REF!</definedName>
    <definedName name="_atn7">#REF!</definedName>
    <definedName name="_atn8">#REF!</definedName>
    <definedName name="_atn9">#REF!</definedName>
    <definedName name="_BIA4" localSheetId="1" hidden="1">{"'Sheet1'!$L$16"}</definedName>
    <definedName name="_BIA4" localSheetId="2" hidden="1">{"'Sheet1'!$L$16"}</definedName>
    <definedName name="_BIA4" localSheetId="0" hidden="1">{"'Sheet1'!$L$16"}</definedName>
    <definedName name="_BIA4" hidden="1">{"'Sheet1'!$L$16"}</definedName>
    <definedName name="_bia5">#N/A</definedName>
    <definedName name="_bia6">#N/A</definedName>
    <definedName name="_boi1">#REF!</definedName>
    <definedName name="_boi2">#REF!</definedName>
    <definedName name="_BOT10">"Botón de opción 10"</definedName>
    <definedName name="_BOT9">"Botón de opción 9"</definedName>
    <definedName name="_btm10">#REF!</definedName>
    <definedName name="_btm100">#REF!</definedName>
    <definedName name="_BTM150">#REF!</definedName>
    <definedName name="_BTM200">#REF!</definedName>
    <definedName name="_BTM250">#REF!</definedName>
    <definedName name="_BTM300">#REF!</definedName>
    <definedName name="_BTM50">#REF!</definedName>
    <definedName name="_C_Lphi_4ab">#REF!</definedName>
    <definedName name="_cap1">#N/A</definedName>
    <definedName name="_CAU10">#REF!</definedName>
    <definedName name="_CAU22">#REF!</definedName>
    <definedName name="_CAU7">#REF!</definedName>
    <definedName name="_CAU8">#REF!</definedName>
    <definedName name="_CAU9">#REF!</definedName>
    <definedName name="_coc250">#REF!</definedName>
    <definedName name="_coc300">#REF!</definedName>
    <definedName name="_coc35">#REF!</definedName>
    <definedName name="_coc350">#REF!</definedName>
    <definedName name="_CON1">#REF!</definedName>
    <definedName name="_CON2">#REF!</definedName>
    <definedName name="_CPhi_Bhiem">#REF!</definedName>
    <definedName name="_CPhi_BQLDA">#REF!</definedName>
    <definedName name="_CPhi_DBaoGT">#REF!</definedName>
    <definedName name="_CPhi_Kdinh">#REF!</definedName>
    <definedName name="_CPhi_Nthu_KThanh">#REF!</definedName>
    <definedName name="_CPhi_QToan">#REF!</definedName>
    <definedName name="_CPhiTKe_13">#REF!</definedName>
    <definedName name="_chk1">#REF!</definedName>
    <definedName name="_chl3331">#REF!</definedName>
    <definedName name="_chl3334">#REF!</definedName>
    <definedName name="_d2">#REF!</definedName>
    <definedName name="_ddn400">#REF!</definedName>
    <definedName name="_ddn600">#REF!</definedName>
    <definedName name="_deo1">#REF!</definedName>
    <definedName name="_deo10">#REF!</definedName>
    <definedName name="_deo2">#REF!</definedName>
    <definedName name="_deo3">#REF!</definedName>
    <definedName name="_deo4">#REF!</definedName>
    <definedName name="_deo5">#REF!</definedName>
    <definedName name="_deo6">#REF!</definedName>
    <definedName name="_deo7">#REF!</definedName>
    <definedName name="_deo8">#REF!</definedName>
    <definedName name="_deo9">#REF!</definedName>
    <definedName name="_DGC10">#REF!</definedName>
    <definedName name="_DGC22">#REF!</definedName>
    <definedName name="_DGC7">#REF!</definedName>
    <definedName name="_DGC8">#REF!</definedName>
    <definedName name="_DGC9">#REF!</definedName>
    <definedName name="_dky3331">#REF!</definedName>
    <definedName name="_dky3334">#REF!</definedName>
    <definedName name="_F1" localSheetId="1" hidden="1">{"'Sheet1'!$L$16"}</definedName>
    <definedName name="_F1" localSheetId="2" hidden="1">{"'Sheet1'!$L$16"}</definedName>
    <definedName name="_F1" localSheetId="0" hidden="1">{"'Sheet1'!$L$16"}</definedName>
    <definedName name="_F1" hidden="1">{"'Sheet1'!$L$16"}</definedName>
    <definedName name="_Fill" hidden="1">#REF!</definedName>
    <definedName name="_fin2" localSheetId="2">#REF!</definedName>
    <definedName name="_fin2" localSheetId="0">#REF!</definedName>
    <definedName name="_fin2">#REF!</definedName>
    <definedName name="_fin3" localSheetId="2">#REF!</definedName>
    <definedName name="_fin3" localSheetId="0">#REF!</definedName>
    <definedName name="_fin3">#REF!</definedName>
    <definedName name="_g1">#REF!</definedName>
    <definedName name="_g2">#REF!</definedName>
    <definedName name="_gdcd" comment="Giao diện để thực hiện cài đặt phần mềm chuyển giao (đồ họa hay dòng lệnh).">[2]ChuyenGiao!$P$8</definedName>
    <definedName name="_Goi8" localSheetId="1" hidden="1">{"'Sheet1'!$L$16"}</definedName>
    <definedName name="_Goi8" localSheetId="2" hidden="1">{"'Sheet1'!$L$16"}</definedName>
    <definedName name="_Goi8" localSheetId="0" hidden="1">{"'Sheet1'!$L$16"}</definedName>
    <definedName name="_Goi8" hidden="1">{"'Sheet1'!$L$16"}</definedName>
    <definedName name="_GIA1" localSheetId="1">#REF!</definedName>
    <definedName name="_GIA1" localSheetId="2">#REF!</definedName>
    <definedName name="_GIA1" localSheetId="0">#REF!</definedName>
    <definedName name="_GIA1">#REF!</definedName>
    <definedName name="_h1" localSheetId="1" hidden="1">{"'Sheet1'!$L$16"}</definedName>
    <definedName name="_h1" localSheetId="2" hidden="1">{"'Sheet1'!$L$16"}</definedName>
    <definedName name="_h1" localSheetId="0" hidden="1">{"'Sheet1'!$L$16"}</definedName>
    <definedName name="_h1" hidden="1">{"'Sheet1'!$L$16"}</definedName>
    <definedName name="_H500866">#REF!</definedName>
    <definedName name="_Hlk213525272_1" localSheetId="1">#REF!</definedName>
    <definedName name="_Hlk213525272_1" localSheetId="2">#REF!</definedName>
    <definedName name="_Hlk213525272_1" localSheetId="0">#REF!</definedName>
    <definedName name="_Hlk213525272_1">#REF!</definedName>
    <definedName name="_hom2" localSheetId="1">#REF!</definedName>
    <definedName name="_hom2" localSheetId="2">#REF!</definedName>
    <definedName name="_hom2" localSheetId="0">#REF!</definedName>
    <definedName name="_hom2">#REF!</definedName>
    <definedName name="_hsm2">1.1289</definedName>
    <definedName name="_hu1" localSheetId="1" hidden="1">{"'Sheet1'!$L$16"}</definedName>
    <definedName name="_hu1" localSheetId="2" hidden="1">{"'Sheet1'!$L$16"}</definedName>
    <definedName name="_hu1" localSheetId="0" hidden="1">{"'Sheet1'!$L$16"}</definedName>
    <definedName name="_hu1" hidden="1">{"'Sheet1'!$L$16"}</definedName>
    <definedName name="_hu2" localSheetId="1" hidden="1">{"'Sheet1'!$L$16"}</definedName>
    <definedName name="_hu2" localSheetId="2" hidden="1">{"'Sheet1'!$L$16"}</definedName>
    <definedName name="_hu2" localSheetId="0" hidden="1">{"'Sheet1'!$L$16"}</definedName>
    <definedName name="_hu2" hidden="1">{"'Sheet1'!$L$16"}</definedName>
    <definedName name="_hu5" localSheetId="1" hidden="1">{"'Sheet1'!$L$16"}</definedName>
    <definedName name="_hu5" localSheetId="2" hidden="1">{"'Sheet1'!$L$16"}</definedName>
    <definedName name="_hu5" localSheetId="0" hidden="1">{"'Sheet1'!$L$16"}</definedName>
    <definedName name="_hu5" hidden="1">{"'Sheet1'!$L$16"}</definedName>
    <definedName name="_hu6" localSheetId="1" hidden="1">{"'Sheet1'!$L$16"}</definedName>
    <definedName name="_hu6" localSheetId="2" hidden="1">{"'Sheet1'!$L$16"}</definedName>
    <definedName name="_hu6" localSheetId="0" hidden="1">{"'Sheet1'!$L$16"}</definedName>
    <definedName name="_hu6" hidden="1">{"'Sheet1'!$L$16"}</definedName>
    <definedName name="_huy1" localSheetId="1" hidden="1">{"'Sheet1'!$L$16"}</definedName>
    <definedName name="_huy1" localSheetId="2" hidden="1">{"'Sheet1'!$L$16"}</definedName>
    <definedName name="_huy1" localSheetId="0" hidden="1">{"'Sheet1'!$L$16"}</definedName>
    <definedName name="_huy1" hidden="1">{"'Sheet1'!$L$16"}</definedName>
    <definedName name="_Key1" hidden="1">#REF!</definedName>
    <definedName name="_Key2" localSheetId="1" hidden="1">#REF!</definedName>
    <definedName name="_Key2" localSheetId="2" hidden="1">#REF!</definedName>
    <definedName name="_Key2" localSheetId="0" hidden="1">#REF!</definedName>
    <definedName name="_Key2" hidden="1">#REF!</definedName>
    <definedName name="_KL2" localSheetId="2">#REF!</definedName>
    <definedName name="_KL2" localSheetId="0">#REF!</definedName>
    <definedName name="_KL2">#REF!</definedName>
    <definedName name="_KL3">#REF!</definedName>
    <definedName name="_KL4">#REF!</definedName>
    <definedName name="_KL5">#REF!</definedName>
    <definedName name="_KL6">#REF!</definedName>
    <definedName name="_KL7">#REF!</definedName>
    <definedName name="_KM188">#REF!</definedName>
    <definedName name="_km189">#REF!</definedName>
    <definedName name="_km190">#REF!</definedName>
    <definedName name="_km191">#REF!</definedName>
    <definedName name="_km192">#REF!</definedName>
    <definedName name="_km193">#REF!</definedName>
    <definedName name="_km194">#REF!</definedName>
    <definedName name="_km195">#REF!</definedName>
    <definedName name="_km196">#REF!</definedName>
    <definedName name="_km197">#REF!</definedName>
    <definedName name="_km198">#REF!</definedName>
    <definedName name="_Lan1" localSheetId="1">{"Thuxm2.xls","Sheet1"}</definedName>
    <definedName name="_Lan1" localSheetId="2">{"Thuxm2.xls","Sheet1"}</definedName>
    <definedName name="_Lan1" localSheetId="0">{"Thuxm2.xls","Sheet1"}</definedName>
    <definedName name="_Lan1">{"Thuxm2.xls","Sheet1"}</definedName>
    <definedName name="_ld2" localSheetId="1" hidden="1">{"'Sheet1'!$L$16"}</definedName>
    <definedName name="_ld2" localSheetId="2" hidden="1">{"'Sheet1'!$L$16"}</definedName>
    <definedName name="_ld2" localSheetId="0" hidden="1">{"'Sheet1'!$L$16"}</definedName>
    <definedName name="_ld2" hidden="1">{"'Sheet1'!$L$16"}</definedName>
    <definedName name="_MAC12">#REF!</definedName>
    <definedName name="_MAC46">#REF!</definedName>
    <definedName name="_mnpm" comment="Môi trường thực hiện chuyển giao (nguồn đóng hay mở) mà phần mềm được chuyển giao trên đó.">[2]ChuyenGiao!$P$9</definedName>
    <definedName name="_nc27" localSheetId="1">#REF!</definedName>
    <definedName name="_nc27" localSheetId="2">#REF!</definedName>
    <definedName name="_nc27" localSheetId="0">#REF!</definedName>
    <definedName name="_nc27">#REF!</definedName>
    <definedName name="_nc30" localSheetId="1">#REF!</definedName>
    <definedName name="_nc30" localSheetId="2">#REF!</definedName>
    <definedName name="_nc30" localSheetId="0">#REF!</definedName>
    <definedName name="_nc30">#REF!</definedName>
    <definedName name="_nc32" localSheetId="1">#REF!</definedName>
    <definedName name="_nc32" localSheetId="2">#REF!</definedName>
    <definedName name="_nc32" localSheetId="0">#REF!</definedName>
    <definedName name="_nc32">#REF!</definedName>
    <definedName name="_nc45">#REF!</definedName>
    <definedName name="_ncb1">#N/A</definedName>
    <definedName name="_NCL100">#REF!</definedName>
    <definedName name="_NCL200">#REF!</definedName>
    <definedName name="_NCL250">#REF!</definedName>
    <definedName name="_ne2" localSheetId="1">{"ÿÿÿÿÿ","DT cau tam Ha trinh 7.xls","DT cau tam Ha trinh 3.xls"}</definedName>
    <definedName name="_ne2" localSheetId="2">{"ÿÿÿÿÿ","DT cau tam Ha trinh 7.xls","DT cau tam Ha trinh 3.xls"}</definedName>
    <definedName name="_ne2" localSheetId="0">{"ÿÿÿÿÿ","DT cau tam Ha trinh 7.xls","DT cau tam Ha trinh 3.xls"}</definedName>
    <definedName name="_ne2">{"ÿÿÿÿÿ","DT cau tam Ha trinh 7.xls","DT cau tam Ha trinh 3.xls"}</definedName>
    <definedName name="_NET2">#REF!</definedName>
    <definedName name="_nin190">#REF!</definedName>
    <definedName name="_nnpm" comment="Ngôn ngữ của phần mềm chuyển giao.">[2]ChuyenGiao!$P$10</definedName>
    <definedName name="_NSO2" localSheetId="1" hidden="1">{"'Sheet1'!$L$16"}</definedName>
    <definedName name="_NSO2" localSheetId="2" hidden="1">{"'Sheet1'!$L$16"}</definedName>
    <definedName name="_NSO2" localSheetId="0" hidden="1">{"'Sheet1'!$L$16"}</definedName>
    <definedName name="_NSO2" hidden="1">{"'Sheet1'!$L$16"}</definedName>
    <definedName name="_NSO3" localSheetId="1" hidden="1">{"'Sheet1'!$L$16"}</definedName>
    <definedName name="_NSO3" localSheetId="2" hidden="1">{"'Sheet1'!$L$16"}</definedName>
    <definedName name="_NSO3" localSheetId="0" hidden="1">{"'Sheet1'!$L$16"}</definedName>
    <definedName name="_NSO3" hidden="1">{"'Sheet1'!$L$16"}</definedName>
    <definedName name="_NYL19">#REF!</definedName>
    <definedName name="_Order1" hidden="1">255</definedName>
    <definedName name="_Order2" hidden="1">255</definedName>
    <definedName name="_PA3" localSheetId="1" hidden="1">{"'Sheet1'!$L$16"}</definedName>
    <definedName name="_PA3" localSheetId="2" hidden="1">{"'Sheet1'!$L$16"}</definedName>
    <definedName name="_PA3" localSheetId="0" hidden="1">{"'Sheet1'!$L$16"}</definedName>
    <definedName name="_PA3" hidden="1">{"'Sheet1'!$L$16"}</definedName>
    <definedName name="_pa4" localSheetId="1" hidden="1">{"'Sheet1'!$L$16"}</definedName>
    <definedName name="_pa4" localSheetId="2" hidden="1">{"'Sheet1'!$L$16"}</definedName>
    <definedName name="_pa4" localSheetId="0" hidden="1">{"'Sheet1'!$L$16"}</definedName>
    <definedName name="_pa4" hidden="1">{"'Sheet1'!$L$16"}</definedName>
    <definedName name="_Parse_Out" hidden="1">[3]Quantity!#REF!</definedName>
    <definedName name="_pc30" localSheetId="1">#REF!</definedName>
    <definedName name="_pc30" localSheetId="2">#REF!</definedName>
    <definedName name="_pc30" localSheetId="0">#REF!</definedName>
    <definedName name="_pc30">#REF!</definedName>
    <definedName name="_pc40" localSheetId="1">#REF!</definedName>
    <definedName name="_pc40" localSheetId="2">#REF!</definedName>
    <definedName name="_pc40" localSheetId="0">#REF!</definedName>
    <definedName name="_pc40">#REF!</definedName>
    <definedName name="_pd10" localSheetId="1" hidden="1">{"'Summary'!$A$1:$J$46"}</definedName>
    <definedName name="_pd10" localSheetId="2" hidden="1">{"'Summary'!$A$1:$J$46"}</definedName>
    <definedName name="_pd10" localSheetId="0" hidden="1">{"'Summary'!$A$1:$J$46"}</definedName>
    <definedName name="_pd10" hidden="1">{"'Summary'!$A$1:$J$46"}</definedName>
    <definedName name="_PD11" localSheetId="1" hidden="1">{"'Summary'!$A$1:$J$46"}</definedName>
    <definedName name="_PD11" localSheetId="2" hidden="1">{"'Summary'!$A$1:$J$46"}</definedName>
    <definedName name="_PD11" localSheetId="0" hidden="1">{"'Summary'!$A$1:$J$46"}</definedName>
    <definedName name="_PD11" hidden="1">{"'Summary'!$A$1:$J$46"}</definedName>
    <definedName name="_Px1">#REF!</definedName>
    <definedName name="_Px2">#REF!</definedName>
    <definedName name="_Px3">#REF!</definedName>
    <definedName name="_R">#REF!</definedName>
    <definedName name="_sat10">#REF!</definedName>
    <definedName name="_sat12">#REF!</definedName>
    <definedName name="_sat14">#REF!</definedName>
    <definedName name="_sat16">#REF!</definedName>
    <definedName name="_sat20">#REF!</definedName>
    <definedName name="_sat8">#REF!</definedName>
    <definedName name="_sc1">#REF!</definedName>
    <definedName name="_SC2">#REF!</definedName>
    <definedName name="_sc3">#REF!</definedName>
    <definedName name="_SD30" localSheetId="1" hidden="1">{"'Summary'!$A$1:$J$46"}</definedName>
    <definedName name="_SD30" localSheetId="2" hidden="1">{"'Summary'!$A$1:$J$46"}</definedName>
    <definedName name="_SD30" localSheetId="0" hidden="1">{"'Summary'!$A$1:$J$46"}</definedName>
    <definedName name="_SD30" hidden="1">{"'Summary'!$A$1:$J$46"}</definedName>
    <definedName name="_SN3">#REF!</definedName>
    <definedName name="_Sort" localSheetId="1" hidden="1">#REF!</definedName>
    <definedName name="_Sort" localSheetId="2" hidden="1">#REF!</definedName>
    <definedName name="_Sort" localSheetId="0" hidden="1">#REF!</definedName>
    <definedName name="_Sort" hidden="1">#REF!</definedName>
    <definedName name="_SQT10" localSheetId="2">#REF!</definedName>
    <definedName name="_SQT10" localSheetId="0">#REF!</definedName>
    <definedName name="_SQT10">#REF!</definedName>
    <definedName name="_SQT8">#REF!</definedName>
    <definedName name="_SQT9">#REF!</definedName>
    <definedName name="_sua20">#REF!</definedName>
    <definedName name="_sua30">#REF!</definedName>
    <definedName name="_T01" hidden="1">#REF!</definedName>
    <definedName name="_TB1">#REF!</definedName>
    <definedName name="_tbn3334">#REF!</definedName>
    <definedName name="_TK155">#REF!</definedName>
    <definedName name="_TK422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nh10">#REF!</definedName>
    <definedName name="_tt3" localSheetId="1" hidden="1">{"'Sheet1'!$L$16"}</definedName>
    <definedName name="_tt3" localSheetId="2" hidden="1">{"'Sheet1'!$L$16"}</definedName>
    <definedName name="_tt3" localSheetId="0" hidden="1">{"'Sheet1'!$L$16"}</definedName>
    <definedName name="_tt3" hidden="1">{"'Sheet1'!$L$16"}</definedName>
    <definedName name="_tz593">#REF!</definedName>
    <definedName name="_TH20">#REF!</definedName>
    <definedName name="_thu2" localSheetId="1">{"Thuxm2.xls","Sheet1"}</definedName>
    <definedName name="_thu2" localSheetId="2">{"Thuxm2.xls","Sheet1"}</definedName>
    <definedName name="_thu2" localSheetId="0">{"Thuxm2.xls","Sheet1"}</definedName>
    <definedName name="_thu2">{"Thuxm2.xls","Sheet1"}</definedName>
    <definedName name="_tra100">#REF!</definedName>
    <definedName name="_tra102">#REF!</definedName>
    <definedName name="_tra104">#REF!</definedName>
    <definedName name="_tra106">#REF!</definedName>
    <definedName name="_tra108">#REF!</definedName>
    <definedName name="_tra110">#REF!</definedName>
    <definedName name="_tra112">#REF!</definedName>
    <definedName name="_tra114">#REF!</definedName>
    <definedName name="_tra116">#REF!</definedName>
    <definedName name="_tra118">#REF!</definedName>
    <definedName name="_tra120">#REF!</definedName>
    <definedName name="_tra122">#REF!</definedName>
    <definedName name="_tra124">#REF!</definedName>
    <definedName name="_tra126">#REF!</definedName>
    <definedName name="_tra128">#REF!</definedName>
    <definedName name="_tra130">#REF!</definedName>
    <definedName name="_tra132">#REF!</definedName>
    <definedName name="_tra134">#REF!</definedName>
    <definedName name="_tra136">#REF!</definedName>
    <definedName name="_tra138">#REF!</definedName>
    <definedName name="_tra140">#REF!</definedName>
    <definedName name="_tra70">#REF!</definedName>
    <definedName name="_tra72">#REF!</definedName>
    <definedName name="_tra74">#REF!</definedName>
    <definedName name="_tra76">#REF!</definedName>
    <definedName name="_tra78">#REF!</definedName>
    <definedName name="_tra80">#REF!</definedName>
    <definedName name="_tra82">#REF!</definedName>
    <definedName name="_tra84">#REF!</definedName>
    <definedName name="_tra86">#REF!</definedName>
    <definedName name="_tra88">#REF!</definedName>
    <definedName name="_tra90">#REF!</definedName>
    <definedName name="_tra92">#REF!</definedName>
    <definedName name="_tra94">#REF!</definedName>
    <definedName name="_tra96">#REF!</definedName>
    <definedName name="_tra98">#REF!</definedName>
    <definedName name="_VAT1">#REF!</definedName>
    <definedName name="_VAT2">#REF!</definedName>
    <definedName name="_VL100">#REF!</definedName>
    <definedName name="_VL250">#REF!</definedName>
    <definedName name="_VT22">#REF!</definedName>
    <definedName name="_Vx1">#REF!</definedName>
    <definedName name="_Vx2">#REF!</definedName>
    <definedName name="_YL19">#REF!</definedName>
    <definedName name="A">'[1]PNT-QUOT-#3'!#REF!</definedName>
    <definedName name="A.">#REF!</definedName>
    <definedName name="a_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.1">#REF!</definedName>
    <definedName name="A120_">#REF!</definedName>
    <definedName name="a1B26">#REF!</definedName>
    <definedName name="a1B58">#REF!</definedName>
    <definedName name="a277Print_Titles">#REF!</definedName>
    <definedName name="A35_">#REF!</definedName>
    <definedName name="A50_">#REF!</definedName>
    <definedName name="A5530NADISCOUNT">#REF!</definedName>
    <definedName name="A70_">#REF!</definedName>
    <definedName name="A95_">#REF!</definedName>
    <definedName name="AA">#REF!</definedName>
    <definedName name="AAA">'[4]MTL$-INTER'!#REF!</definedName>
    <definedName name="AAAA" localSheetId="1" hidden="1">{#N/A,#N/A,FALSE,"Chi tiÆt"}</definedName>
    <definedName name="AAAA" localSheetId="2" hidden="1">{#N/A,#N/A,FALSE,"Chi tiÆt"}</definedName>
    <definedName name="AAAA" localSheetId="0" hidden="1">{#N/A,#N/A,FALSE,"Chi tiÆt"}</definedName>
    <definedName name="AAAA" hidden="1">{#N/A,#N/A,FALSE,"Chi tiÆt"}</definedName>
    <definedName name="aaaaaa" localSheetId="1" hidden="1">#REF!</definedName>
    <definedName name="aaaaaa" localSheetId="2" hidden="1">#REF!</definedName>
    <definedName name="aaaaaa" localSheetId="0" hidden="1">#REF!</definedName>
    <definedName name="aaaaaa" hidden="1">#REF!</definedName>
    <definedName name="aaaaaaaaa" localSheetId="1" hidden="1">#REF!</definedName>
    <definedName name="aaaaaaaaa" localSheetId="2" hidden="1">{"'Sheet1'!$L$16"}</definedName>
    <definedName name="aaaaaaaaa" localSheetId="0" hidden="1">#REF!</definedName>
    <definedName name="aaaaaaaaa" hidden="1">#REF!</definedName>
    <definedName name="AB" localSheetId="1">#REF!</definedName>
    <definedName name="AB" localSheetId="2">#REF!</definedName>
    <definedName name="AB" localSheetId="0">#REF!</definedName>
    <definedName name="AB">#REF!</definedName>
    <definedName name="abc" localSheetId="1" hidden="1">#REF!</definedName>
    <definedName name="abc" localSheetId="2" hidden="1">#REF!</definedName>
    <definedName name="abc" localSheetId="0" hidden="1">#REF!</definedName>
    <definedName name="abc" hidden="1">#REF!</definedName>
    <definedName name="abcbakca" localSheetId="1" hidden="1">{"'Sheet1'!$L$16"}</definedName>
    <definedName name="abcbakca" localSheetId="2" hidden="1">{"'Sheet1'!$L$16"}</definedName>
    <definedName name="abcbakca" localSheetId="0" hidden="1">{"'Sheet1'!$L$16"}</definedName>
    <definedName name="abcbakca" hidden="1">{"'Sheet1'!$L$16"}</definedName>
    <definedName name="abcc">#N/A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Database" hidden="1">"C:\My Documents\HAU\Danhsach\List Cpn.mdb"</definedName>
    <definedName name="ad">#N/A</definedName>
    <definedName name="adfdghfgjghkhjkjhljkl" localSheetId="1" hidden="1">{"'Sheet1'!$L$16"}</definedName>
    <definedName name="adfdghfgjghkhjkjhljkl" localSheetId="2" hidden="1">{"'Sheet1'!$L$16"}</definedName>
    <definedName name="adfdghfgjghkhjkjhljkl" localSheetId="0" hidden="1">{"'Sheet1'!$L$16"}</definedName>
    <definedName name="adfdghfgjghkhjkjhljkl" hidden="1">{"'Sheet1'!$L$16"}</definedName>
    <definedName name="ádhfjy" localSheetId="1" hidden="1">{"'Summary'!$A$1:$J$46"}</definedName>
    <definedName name="ádhfjy" localSheetId="2" hidden="1">{"'Summary'!$A$1:$J$46"}</definedName>
    <definedName name="ádhfjy" localSheetId="0" hidden="1">{"'Summary'!$A$1:$J$46"}</definedName>
    <definedName name="ádhfjy" hidden="1">{"'Summary'!$A$1:$J$46"}</definedName>
    <definedName name="Ag_">#REF!</definedName>
    <definedName name="ag15F80">#REF!</definedName>
    <definedName name="All_Item">#REF!</definedName>
    <definedName name="ALPIN">#N/A</definedName>
    <definedName name="ALPJYOU">#N/A</definedName>
    <definedName name="ALPTOI">#N/A</definedName>
    <definedName name="anfa">#REF!</definedName>
    <definedName name="anscount" hidden="1">2</definedName>
    <definedName name="Appendix_1">#REF!</definedName>
    <definedName name="Appendix_2">#REF!</definedName>
    <definedName name="Appendix_3">'[5]Appendix 3'!#REF!</definedName>
    <definedName name="Appendix_4">'[5]Appendix 4'!#REF!</definedName>
    <definedName name="Appendix_5" localSheetId="1">#REF!</definedName>
    <definedName name="Appendix_5" localSheetId="2">#REF!</definedName>
    <definedName name="Appendix_5" localSheetId="0">#REF!</definedName>
    <definedName name="Appendix_5">#REF!</definedName>
    <definedName name="Appendix_6" localSheetId="1">#REF!</definedName>
    <definedName name="Appendix_6" localSheetId="2">#REF!</definedName>
    <definedName name="Appendix_6" localSheetId="0">#REF!</definedName>
    <definedName name="Appendix_6">#REF!</definedName>
    <definedName name="Appendix_7" localSheetId="1">'[5]Du toan'!#REF!</definedName>
    <definedName name="Appendix_7" localSheetId="2">'[5]Du toan'!#REF!</definedName>
    <definedName name="Appendix_7" localSheetId="0">'[5]Du toan'!#REF!</definedName>
    <definedName name="Appendix_7">'[5]Du toan'!#REF!</definedName>
    <definedName name="Aq" localSheetId="1">#REF!</definedName>
    <definedName name="Aq" localSheetId="2">#REF!</definedName>
    <definedName name="Aq" localSheetId="0">#REF!</definedName>
    <definedName name="Aq">#REF!</definedName>
    <definedName name="As_" localSheetId="1">#REF!</definedName>
    <definedName name="As_" localSheetId="2">#REF!</definedName>
    <definedName name="As_" localSheetId="0">#REF!</definedName>
    <definedName name="As_">#REF!</definedName>
    <definedName name="AS2DocOpenMode" hidden="1">"AS2DocumentEdit"</definedName>
    <definedName name="asd" localSheetId="1" hidden="1">#REF!</definedName>
    <definedName name="asd" localSheetId="2">#REF!</definedName>
    <definedName name="asd" localSheetId="0" hidden="1">#REF!</definedName>
    <definedName name="asd" hidden="1">#REF!</definedName>
    <definedName name="asdffgggh" localSheetId="1" hidden="1">{"'Sheet1'!$L$16"}</definedName>
    <definedName name="asdffgggh" localSheetId="2" hidden="1">{"'Sheet1'!$L$16"}</definedName>
    <definedName name="asdffgggh" localSheetId="0" hidden="1">{"'Sheet1'!$L$16"}</definedName>
    <definedName name="asdffgggh" hidden="1">{"'Sheet1'!$L$16"}</definedName>
    <definedName name="AU" localSheetId="1" hidden="1">{"'Sheet1'!$L$16"}</definedName>
    <definedName name="AU" localSheetId="2" hidden="1">{"'Sheet1'!$L$16"}</definedName>
    <definedName name="AU" localSheetId="0" hidden="1">{"'Sheet1'!$L$16"}</definedName>
    <definedName name="AU" hidden="1">{"'Sheet1'!$L$16"}</definedName>
    <definedName name="AUCP">'[5]Du toan'!$D$11</definedName>
    <definedName name="avl" localSheetId="1">#REF!</definedName>
    <definedName name="avl" localSheetId="2">#REF!</definedName>
    <definedName name="avl" localSheetId="0">#REF!</definedName>
    <definedName name="avl">#REF!</definedName>
    <definedName name="B" localSheetId="1">'[1]PNT-QUOT-#3'!#REF!</definedName>
    <definedName name="B" localSheetId="2">'[1]PNT-QUOT-#3'!#REF!</definedName>
    <definedName name="B" localSheetId="0">'[1]PNT-QUOT-#3'!#REF!</definedName>
    <definedName name="B">'[1]PNT-QUOT-#3'!#REF!</definedName>
    <definedName name="b_dd1" localSheetId="1">#REF!</definedName>
    <definedName name="b_dd1" localSheetId="2">#REF!</definedName>
    <definedName name="b_dd1" localSheetId="0">#REF!</definedName>
    <definedName name="b_dd1">#REF!</definedName>
    <definedName name="b_DL" localSheetId="1">#REF!</definedName>
    <definedName name="b_DL" localSheetId="2">#REF!</definedName>
    <definedName name="b_DL" localSheetId="0">#REF!</definedName>
    <definedName name="b_DL">#REF!</definedName>
    <definedName name="b_eh" localSheetId="2">#REF!</definedName>
    <definedName name="b_eh">#REF!</definedName>
    <definedName name="b_eh1">#REF!</definedName>
    <definedName name="b_ev">#REF!</definedName>
    <definedName name="b_ev1">#REF!</definedName>
    <definedName name="b_FR">#REF!</definedName>
    <definedName name="b_fr1">#REF!</definedName>
    <definedName name="B_Isc">#REF!</definedName>
    <definedName name="b_LL">#REF!</definedName>
    <definedName name="b_ll1">#REF!</definedName>
    <definedName name="b_WL">#REF!</definedName>
    <definedName name="b_WL1">#REF!</definedName>
    <definedName name="b_WS">#REF!</definedName>
    <definedName name="b_ws1">#REF!</definedName>
    <definedName name="ban">#REF!</definedName>
    <definedName name="banQL" localSheetId="1" hidden="1">{"'Sheet1'!$L$16"}</definedName>
    <definedName name="banQL" localSheetId="2" hidden="1">{"'Sheet1'!$L$16"}</definedName>
    <definedName name="banQL" localSheetId="0" hidden="1">{"'Sheet1'!$L$16"}</definedName>
    <definedName name="banQL" hidden="1">{"'Sheet1'!$L$16"}</definedName>
    <definedName name="Bang_cly">#REF!</definedName>
    <definedName name="Bang_CVC">#REF!</definedName>
    <definedName name="BANG_CHI_TIET_THI_NGHIEM_CONG_TO">#REF!</definedName>
    <definedName name="BANG_CHI_TIET_THI_NGHIEM_DZ0.4KV">#REF!</definedName>
    <definedName name="bang_gia">#REF!</definedName>
    <definedName name="BANG_TONG_HOP_CONG_TO">#REF!</definedName>
    <definedName name="BANG_TONG_HOP_DZ0.4KV">#REF!</definedName>
    <definedName name="BANG_TONG_HOP_DZ22KV">#REF!</definedName>
    <definedName name="BANG_TONG_HOP_KHO_BAI">#REF!</definedName>
    <definedName name="BANG_TONG_HOP_TBA">#REF!</definedName>
    <definedName name="Bang_travl">#REF!</definedName>
    <definedName name="Bang7_THKL_HCM" localSheetId="1" hidden="1">{"'Sheet1'!$L$16"}</definedName>
    <definedName name="Bang7_THKL_HCM" localSheetId="2" hidden="1">{"'Sheet1'!$L$16"}</definedName>
    <definedName name="Bang7_THKL_HCM" localSheetId="0" hidden="1">{"'Sheet1'!$L$16"}</definedName>
    <definedName name="Bang7_THKL_HCM" hidden="1">{"'Sheet1'!$L$16"}</definedName>
    <definedName name="bangcdtk">#REF!</definedName>
    <definedName name="BangGiaVL_Q">#REF!</definedName>
    <definedName name="BangMa">#REF!</definedName>
    <definedName name="bangtinh">#REF!</definedName>
    <definedName name="bangtk">#REF!</definedName>
    <definedName name="Bao" localSheetId="1" hidden="1">{#N/A,#N/A,FALSE,"Chi tiÆt"}</definedName>
    <definedName name="Bao" localSheetId="2" hidden="1">{#N/A,#N/A,FALSE,"Chi tiÆt"}</definedName>
    <definedName name="Bao" localSheetId="0" hidden="1">{#N/A,#N/A,FALSE,"Chi tiÆt"}</definedName>
    <definedName name="Bao" hidden="1">{#N/A,#N/A,FALSE,"Chi tiÆt"}</definedName>
    <definedName name="BarData">#REF!</definedName>
    <definedName name="BB">#REF!</definedName>
    <definedName name="bbanqt">#REF!</definedName>
    <definedName name="bbb" localSheetId="1" hidden="1">{"'Sheet1'!$L$16"}</definedName>
    <definedName name="bbb" localSheetId="2" hidden="1">{"'Sheet1'!$L$16"}</definedName>
    <definedName name="bbb" localSheetId="0" hidden="1">{"'Sheet1'!$L$16"}</definedName>
    <definedName name="bbb" hidden="1">{"'Sheet1'!$L$16"}</definedName>
    <definedName name="BCD">#REF!</definedName>
    <definedName name="be_2T">#REF!</definedName>
    <definedName name="beta">20</definedName>
    <definedName name="bgincd">#REF!</definedName>
    <definedName name="bhkl" localSheetId="1" hidden="1">{"'Summary'!$A$1:$J$46"}</definedName>
    <definedName name="bhkl" localSheetId="2" hidden="1">{"'Summary'!$A$1:$J$46"}</definedName>
    <definedName name="bhkl" localSheetId="0" hidden="1">{"'Summary'!$A$1:$J$46"}</definedName>
    <definedName name="bhkl" hidden="1">{"'Summary'!$A$1:$J$46"}</definedName>
    <definedName name="BHXH" localSheetId="1" hidden="1">{"'Sheet1'!$L$16"}</definedName>
    <definedName name="BHXH" localSheetId="2" hidden="1">{"'Sheet1'!$L$16"}</definedName>
    <definedName name="BHXH" localSheetId="0" hidden="1">{"'Sheet1'!$L$16"}</definedName>
    <definedName name="BHXH" hidden="1">{"'Sheet1'!$L$16"}</definedName>
    <definedName name="bia">#N/A</definedName>
    <definedName name="blkh">#REF!</definedName>
    <definedName name="blkh1">#REF!</definedName>
    <definedName name="BMBL">#REF!</definedName>
    <definedName name="BMH">#REF!</definedName>
    <definedName name="BML">#REF!</definedName>
    <definedName name="BMS">#REF!</definedName>
    <definedName name="BN">#REF!</definedName>
    <definedName name="bnc">#REF!</definedName>
    <definedName name="BOM_ini">#REF!</definedName>
    <definedName name="Book2">#REF!</definedName>
    <definedName name="BOQ">#REF!</definedName>
    <definedName name="bosung" localSheetId="1" hidden="1">{"'Sheet1'!$L$16"}</definedName>
    <definedName name="bosung" localSheetId="2" hidden="1">{"'Sheet1'!$L$16"}</definedName>
    <definedName name="bosung" localSheetId="0" hidden="1">{"'Sheet1'!$L$16"}</definedName>
    <definedName name="bosung" hidden="1">{"'Sheet1'!$L$16"}</definedName>
    <definedName name="bt">#REF!</definedName>
    <definedName name="BT_125">#REF!</definedName>
    <definedName name="BT200_50">#REF!</definedName>
    <definedName name="btl" localSheetId="1" hidden="1">{"'Sheet1'!$L$16"}</definedName>
    <definedName name="btl" localSheetId="2" hidden="1">{"'Sheet1'!$L$16"}</definedName>
    <definedName name="btl" localSheetId="0" hidden="1">{"'Sheet1'!$L$16"}</definedName>
    <definedName name="btl" hidden="1">{"'Sheet1'!$L$16"}</definedName>
    <definedName name="BU_CHENH_LECH_DZ0.4KV">#REF!</definedName>
    <definedName name="BU_CHENH_LECH_DZ22KV">#REF!</definedName>
    <definedName name="BU_CHENH_LECH_TBA">#REF!</definedName>
    <definedName name="Bulongma">8700</definedName>
    <definedName name="BVCISUMMARY">#REF!</definedName>
    <definedName name="bw">#N/A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_">#REF!</definedName>
    <definedName name="ca.1111">#REF!</definedName>
    <definedName name="ca.1111.th">#REF!</definedName>
    <definedName name="CABLEDISCOUNT">#REF!</definedName>
    <definedName name="CACAU">298161</definedName>
    <definedName name="cao">#REF!</definedName>
    <definedName name="cap">#N/A</definedName>
    <definedName name="Cap_YS">#N/A</definedName>
    <definedName name="Case_Linkw_AT_211_Fdd">[6]DATA!#REF!</definedName>
    <definedName name="Case_Linkw_ATX">[6]DATA!#REF!</definedName>
    <definedName name="Case_Linkw_ATX_218_Fdd">[6]DATA!#REF!</definedName>
    <definedName name="catden" localSheetId="1">#REF!</definedName>
    <definedName name="catden" localSheetId="2">#REF!</definedName>
    <definedName name="catden" localSheetId="0">#REF!</definedName>
    <definedName name="catden">#REF!</definedName>
    <definedName name="Category_All" localSheetId="1">#REF!</definedName>
    <definedName name="Category_All" localSheetId="2">#REF!</definedName>
    <definedName name="Category_All" localSheetId="0">#REF!</definedName>
    <definedName name="Category_All">#REF!</definedName>
    <definedName name="CATIN">#N/A</definedName>
    <definedName name="CATJYOU">#N/A</definedName>
    <definedName name="catmin" localSheetId="1">#REF!</definedName>
    <definedName name="catmin" localSheetId="2">#REF!</definedName>
    <definedName name="catmin" localSheetId="0">#REF!</definedName>
    <definedName name="catmin">#REF!</definedName>
    <definedName name="CATSYU">#N/A</definedName>
    <definedName name="CATREC">#N/A</definedName>
    <definedName name="Cb" localSheetId="1">#REF!</definedName>
    <definedName name="Cb" localSheetId="2">#REF!</definedName>
    <definedName name="Cb" localSheetId="0">#REF!</definedName>
    <definedName name="Cb">#REF!</definedName>
    <definedName name="CC" localSheetId="1">#REF!</definedName>
    <definedName name="CC" localSheetId="2">#REF!</definedName>
    <definedName name="CC" localSheetId="0">#REF!</definedName>
    <definedName name="CC">#REF!</definedName>
    <definedName name="CCS">#REF!</definedName>
    <definedName name="cch" localSheetId="2">#REF!</definedName>
    <definedName name="cch">#REF!</definedName>
    <definedName name="CDD">#REF!</definedName>
    <definedName name="CDDD1PHA">#REF!</definedName>
    <definedName name="CDDD3PHA">#REF!</definedName>
    <definedName name="CDDR_Acer40X_IDE">[6]DATA!#REF!</definedName>
    <definedName name="CDDR_Acer48X_IDE">[6]DATA!#REF!</definedName>
    <definedName name="CDDR_Acer50X_IDE">[6]DATA!#REF!</definedName>
    <definedName name="Cdo_8bat" localSheetId="1">#REF!</definedName>
    <definedName name="Cdo_8bat" localSheetId="2">#REF!</definedName>
    <definedName name="Cdo_8bat" localSheetId="0">#REF!</definedName>
    <definedName name="Cdo_8bat">#REF!</definedName>
    <definedName name="Cdo_TK50" localSheetId="1">#REF!</definedName>
    <definedName name="Cdo_TK50" localSheetId="2">#REF!</definedName>
    <definedName name="Cdo_TK50" localSheetId="0">#REF!</definedName>
    <definedName name="Cdo_TK50">#REF!</definedName>
    <definedName name="cfk" localSheetId="1">#REF!</definedName>
    <definedName name="cfk" localSheetId="2">#REF!</definedName>
    <definedName name="cfk" localSheetId="0">#REF!</definedName>
    <definedName name="cfk">#REF!</definedName>
    <definedName name="ci" localSheetId="1" hidden="1">{"'Sheet1'!$L$16"}</definedName>
    <definedName name="ci" localSheetId="2" hidden="1">{"'Sheet1'!$L$16"}</definedName>
    <definedName name="ci" localSheetId="0" hidden="1">{"'Sheet1'!$L$16"}</definedName>
    <definedName name="ci" hidden="1">{"'Sheet1'!$L$16"}</definedName>
    <definedName name="CK">#REF!</definedName>
    <definedName name="clech">#REF!</definedName>
    <definedName name="CLECH_0.4">#REF!</definedName>
    <definedName name="CLVC3">0.1</definedName>
    <definedName name="CLVC35">#REF!</definedName>
    <definedName name="CLVCTB">#REF!</definedName>
    <definedName name="CLVL">#REF!</definedName>
    <definedName name="cm" localSheetId="1" hidden="1">{"'Sheet1'!$L$16"}</definedName>
    <definedName name="cm" localSheetId="2" hidden="1">{"'Sheet1'!$L$16"}</definedName>
    <definedName name="cm" localSheetId="0" hidden="1">{"'Sheet1'!$L$16"}</definedName>
    <definedName name="cm" hidden="1">{"'Sheet1'!$L$16"}</definedName>
    <definedName name="CN_RC1">#REF!</definedName>
    <definedName name="CN_RC2">#REF!</definedName>
    <definedName name="CN_Rnha">#REF!</definedName>
    <definedName name="CN_Rs">#REF!</definedName>
    <definedName name="Cneo_8bat">#REF!</definedName>
    <definedName name="Cneo_TK50">#REF!</definedName>
    <definedName name="Co">#REF!</definedName>
    <definedName name="COAT">'[1]PNT-QUOT-#3'!#REF!</definedName>
    <definedName name="Code" hidden="1">#REF!</definedName>
    <definedName name="Cöï_ly_vaän_chuyeãn">#REF!</definedName>
    <definedName name="CÖÏ_LY_VAÄN_CHUYEÅN">#REF!</definedName>
    <definedName name="COMMON">#REF!</definedName>
    <definedName name="CON_EQP_COS">#REF!</definedName>
    <definedName name="CON_EQP_COST">#REF!</definedName>
    <definedName name="cond_tarcb">#REF!</definedName>
    <definedName name="CONST_EQ">#REF!</definedName>
    <definedName name="Cong_HM_DTCT">#REF!</definedName>
    <definedName name="Cong_M_DTCT">#REF!</definedName>
    <definedName name="Cong_NC_DTCT">#REF!</definedName>
    <definedName name="Cong_VL_DTCT">#REF!</definedName>
    <definedName name="congGT" localSheetId="1" hidden="1">{"'Sheet1'!$L$16"}</definedName>
    <definedName name="congGT" localSheetId="2" hidden="1">{"'Sheet1'!$L$16"}</definedName>
    <definedName name="congGT" localSheetId="0" hidden="1">{"'Sheet1'!$L$16"}</definedName>
    <definedName name="congGT" hidden="1">{"'Sheet1'!$L$16"}</definedName>
    <definedName name="coso">#REF!</definedName>
    <definedName name="coso2">#REF!</definedName>
    <definedName name="coso3">#REF!</definedName>
    <definedName name="coso4">#REF!</definedName>
    <definedName name="coso5">#REF!</definedName>
    <definedName name="coso6">#REF!</definedName>
    <definedName name="coso7">#REF!</definedName>
    <definedName name="coso8">#REF!</definedName>
    <definedName name="coso9">#REF!</definedName>
    <definedName name="cot7.5">#REF!</definedName>
    <definedName name="cot8.5">#REF!</definedName>
    <definedName name="Cotsatma">9726</definedName>
    <definedName name="Cotthepma">9726</definedName>
    <definedName name="cotycap" localSheetId="1" hidden="1">{"'Sheet1'!$L$16"}</definedName>
    <definedName name="cotycap" localSheetId="2" hidden="1">{"'Sheet1'!$L$16"}</definedName>
    <definedName name="cotycap" localSheetId="0" hidden="1">{"'Sheet1'!$L$16"}</definedName>
    <definedName name="cotycap" hidden="1">{"'Sheet1'!$L$16"}</definedName>
    <definedName name="COVER">#REF!</definedName>
    <definedName name="CP" hidden="1">#REF!</definedName>
    <definedName name="cp0x4">#REF!</definedName>
    <definedName name="CPC">#REF!</definedName>
    <definedName name="CPCC">#REF!</definedName>
    <definedName name="CPCD">#REF!</definedName>
    <definedName name="CPK">#REF!</definedName>
    <definedName name="cpmtc">#REF!</definedName>
    <definedName name="cpnc">#REF!</definedName>
    <definedName name="cptt">#REF!</definedName>
    <definedName name="CPU_AMD_K6II_550">[6]DATA!#REF!</definedName>
    <definedName name="CPU_Intel_P4_1.7_256K_256RIMM">[6]DATA!#REF!</definedName>
    <definedName name="CPU_Intel_PIII500E_256Kdie_Copp">[6]DATA!#REF!</definedName>
    <definedName name="CPU_Intel_PIII550E_256Kdie_Copp">[6]DATA!#REF!</definedName>
    <definedName name="CPVC100" localSheetId="1">#REF!</definedName>
    <definedName name="CPVC100" localSheetId="2">#REF!</definedName>
    <definedName name="CPVC100" localSheetId="0">#REF!</definedName>
    <definedName name="CPVC100">#REF!</definedName>
    <definedName name="CPVC35" localSheetId="1">#REF!</definedName>
    <definedName name="CPVC35" localSheetId="2">#REF!</definedName>
    <definedName name="CPVC35" localSheetId="0">#REF!</definedName>
    <definedName name="CPVC35">#REF!</definedName>
    <definedName name="CPVCDN" localSheetId="1">#REF!</definedName>
    <definedName name="CPVCDN" localSheetId="2">#REF!</definedName>
    <definedName name="CPVCDN" localSheetId="0">#REF!</definedName>
    <definedName name="CPVCDN">#REF!</definedName>
    <definedName name="cpvl">#REF!</definedName>
    <definedName name="CQM">#REF!</definedName>
    <definedName name="CRD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SS">#REF!</definedName>
    <definedName name="CS_XXS">#REF!</definedName>
    <definedName name="csd3p">#REF!</definedName>
    <definedName name="csddg1p">#REF!</definedName>
    <definedName name="csddt1p">#REF!</definedName>
    <definedName name="csht3p">#REF!</definedName>
    <definedName name="CT">#REF!</definedName>
    <definedName name="CT_50">#REF!</definedName>
    <definedName name="CTB">#N/A</definedName>
    <definedName name="CTCT1" localSheetId="1" hidden="1">{"'Sheet1'!$L$16"}</definedName>
    <definedName name="CTCT1" localSheetId="2" hidden="1">{"'Sheet1'!$L$16"}</definedName>
    <definedName name="CTCT1" localSheetId="0" hidden="1">{"'Sheet1'!$L$16"}</definedName>
    <definedName name="CTCT1" hidden="1">{"'Sheet1'!$L$16"}</definedName>
    <definedName name="ctiep">#REF!</definedName>
    <definedName name="CTIET">#REF!</definedName>
    <definedName name="ctr">#REF!</definedName>
    <definedName name="cu">#REF!</definedName>
    <definedName name="cu_ly">#REF!</definedName>
    <definedName name="CU_LY_VAN_CHUYEN_GIA_QUYEN">#REF!</definedName>
    <definedName name="CU_LY_VAN_CHUYEN_THU_CONG">#REF!</definedName>
    <definedName name="cui">#REF!</definedName>
    <definedName name="CuLy">#REF!</definedName>
    <definedName name="CuLy_Q">#REF!</definedName>
    <definedName name="cuoc_vc">#REF!</definedName>
    <definedName name="CuocVC">#REF!</definedName>
    <definedName name="cuoinam">#REF!</definedName>
    <definedName name="CURRENCY">#REF!</definedName>
    <definedName name="Customer">#REF!</definedName>
    <definedName name="cutram">#REF!</definedName>
    <definedName name="cv">[7]gvl!$N$17</definedName>
    <definedName name="CVC" localSheetId="1">#REF!</definedName>
    <definedName name="CVC" localSheetId="0">#REF!</definedName>
    <definedName name="CVC">#REF!</definedName>
    <definedName name="CVC_Q" localSheetId="1">#REF!</definedName>
    <definedName name="CVC_Q" localSheetId="0">#REF!</definedName>
    <definedName name="CVC_Q">#REF!</definedName>
    <definedName name="CX" localSheetId="1">#REF!</definedName>
    <definedName name="CX" localSheetId="0">#REF!</definedName>
    <definedName name="CX">#REF!</definedName>
    <definedName name="cxm">#REF!</definedName>
    <definedName name="CH">#REF!</definedName>
    <definedName name="chay1">#REF!</definedName>
    <definedName name="chay10">#REF!</definedName>
    <definedName name="chay2">#REF!</definedName>
    <definedName name="chay3">#REF!</definedName>
    <definedName name="chay4">#REF!</definedName>
    <definedName name="chay5">#REF!</definedName>
    <definedName name="chay6">#REF!</definedName>
    <definedName name="chay7">#REF!</definedName>
    <definedName name="chay8">#REF!</definedName>
    <definedName name="chay9">#REF!</definedName>
    <definedName name="Chi_tieát_phi">#REF!</definedName>
    <definedName name="chietchai2" localSheetId="1" hidden="1">{"'Sheet1'!$L$16"}</definedName>
    <definedName name="chietchai2" localSheetId="2" hidden="1">{"'Sheet1'!$L$16"}</definedName>
    <definedName name="chietchai2" localSheetId="0" hidden="1">{"'Sheet1'!$L$16"}</definedName>
    <definedName name="chietchai2" hidden="1">{"'Sheet1'!$L$16"}</definedName>
    <definedName name="chitiet3" localSheetId="1" hidden="1">{"'Sheet1'!$L$16"}</definedName>
    <definedName name="chitiet3" localSheetId="2" hidden="1">{"'Sheet1'!$L$16"}</definedName>
    <definedName name="chitiet3" localSheetId="0" hidden="1">{"'Sheet1'!$L$16"}</definedName>
    <definedName name="chitiet3" hidden="1">{"'Sheet1'!$L$16"}</definedName>
    <definedName name="chitietdao">#REF!</definedName>
    <definedName name="chk">#REF!</definedName>
    <definedName name="chl" localSheetId="1" hidden="1">{"'Sheet1'!$L$16"}</definedName>
    <definedName name="chl" localSheetId="2" hidden="1">{"'Sheet1'!$L$16"}</definedName>
    <definedName name="chl" localSheetId="0" hidden="1">{"'Sheet1'!$L$16"}</definedName>
    <definedName name="chl" hidden="1">{"'Sheet1'!$L$16"}</definedName>
    <definedName name="chung">66</definedName>
    <definedName name="chuyen" localSheetId="1" hidden="1">{"'Sheet1'!$L$16"}</definedName>
    <definedName name="chuyen" localSheetId="2" hidden="1">{"'Sheet1'!$L$16"}</definedName>
    <definedName name="chuyen" localSheetId="0" hidden="1">{"'Sheet1'!$L$16"}</definedName>
    <definedName name="chuyen" hidden="1">{"'Sheet1'!$L$16"}</definedName>
    <definedName name="d_">#REF!</definedName>
    <definedName name="D_7101A_B">#REF!</definedName>
    <definedName name="d05x1">#REF!</definedName>
    <definedName name="d1_">#REF!</definedName>
    <definedName name="d2_">#REF!</definedName>
    <definedName name="d3_">#REF!</definedName>
    <definedName name="d4x6">#REF!</definedName>
    <definedName name="da5x7">#REF!</definedName>
    <definedName name="dam">78000</definedName>
    <definedName name="dam_24">#REF!</definedName>
    <definedName name="DamNgang">#REF!</definedName>
    <definedName name="danop">#REF!</definedName>
    <definedName name="dao" localSheetId="1" hidden="1">{"'Sheet1'!$L$16"}</definedName>
    <definedName name="dao" localSheetId="2" hidden="1">{"'Sheet1'!$L$16"}</definedName>
    <definedName name="dao" localSheetId="0" hidden="1">{"'Sheet1'!$L$16"}</definedName>
    <definedName name="dao" hidden="1">{"'Sheet1'!$L$16"}</definedName>
    <definedName name="daodapong" localSheetId="1" hidden="1">{"'Sheet1'!$L$16"}</definedName>
    <definedName name="daodapong" localSheetId="2" hidden="1">{"'Sheet1'!$L$16"}</definedName>
    <definedName name="daodapong" localSheetId="0" hidden="1">{"'Sheet1'!$L$16"}</definedName>
    <definedName name="daodapong" hidden="1">{"'Sheet1'!$L$16"}</definedName>
    <definedName name="dasdadasd">#N/A</definedName>
    <definedName name="DAT">#REF!</definedName>
    <definedName name="data">#REF!</definedName>
    <definedName name="DATA_DATA2_List">#REF!</definedName>
    <definedName name="data1" hidden="1">#REF!</definedName>
    <definedName name="Data11">#REF!</definedName>
    <definedName name="data2" hidden="1">#REF!</definedName>
    <definedName name="data3" hidden="1">#REF!</definedName>
    <definedName name="Data41">#REF!</definedName>
    <definedName name="_xlnm.Database">#REF!</definedName>
    <definedName name="dauma">#REF!</definedName>
    <definedName name="daymong">#REF!</definedName>
    <definedName name="DBGT">#REF!</definedName>
    <definedName name="dbt">#REF!</definedName>
    <definedName name="DCL_22">12117600</definedName>
    <definedName name="DCL_35">25490000</definedName>
    <definedName name="dch511a">#REF!</definedName>
    <definedName name="dch511b">#REF!</definedName>
    <definedName name="dch632a">#REF!</definedName>
    <definedName name="dch632b">#REF!</definedName>
    <definedName name="dchcn">#REF!</definedName>
    <definedName name="dchm">#REF!</definedName>
    <definedName name="DD">#REF!</definedName>
    <definedName name="dd1x2">[7]gvl!$N$9</definedName>
    <definedName name="DDAY" localSheetId="1">#REF!</definedName>
    <definedName name="DDAY" localSheetId="2">#REF!</definedName>
    <definedName name="DDAY" localSheetId="0">#REF!</definedName>
    <definedName name="DDAY">#REF!</definedName>
    <definedName name="ddd" localSheetId="1" hidden="1">{#N/A,#N/A,FALSE,"Chi tiÆt"}</definedName>
    <definedName name="ddd" localSheetId="2" hidden="1">{#N/A,#N/A,FALSE,"Chi tiÆt"}</definedName>
    <definedName name="ddd" localSheetId="0" hidden="1">{#N/A,#N/A,FALSE,"Chi tiÆt"}</definedName>
    <definedName name="ddd" hidden="1">{#N/A,#N/A,FALSE,"Chi tiÆt"}</definedName>
    <definedName name="de">#REF!</definedName>
    <definedName name="den_bu">#REF!</definedName>
    <definedName name="denbu">#REF!</definedName>
    <definedName name="DestActorRange">#REF!</definedName>
    <definedName name="Det32x3">#REF!</definedName>
    <definedName name="Det35x3">#REF!</definedName>
    <definedName name="Det40x4">#REF!</definedName>
    <definedName name="Det50x5">#REF!</definedName>
    <definedName name="Det63x6">#REF!</definedName>
    <definedName name="Det75x6">#REF!</definedName>
    <definedName name="df">#REF!</definedName>
    <definedName name="dfgfdh">#N/A</definedName>
    <definedName name="dfgh" localSheetId="1" hidden="1">{#N/A,#N/A,FALSE,"Chi tiÆt"}</definedName>
    <definedName name="dfgh" localSheetId="2" hidden="1">{#N/A,#N/A,FALSE,"Chi tiÆt"}</definedName>
    <definedName name="dfgh" localSheetId="0" hidden="1">{#N/A,#N/A,FALSE,"Chi tiÆt"}</definedName>
    <definedName name="dfgh" hidden="1">{#N/A,#N/A,FALSE,"Chi tiÆt"}</definedName>
    <definedName name="dfhfg">#N/A</definedName>
    <definedName name="dfsgfdshgffg" localSheetId="1" hidden="1">{"'Sheet1'!$L$16"}</definedName>
    <definedName name="dfsgfdshgffg" localSheetId="2" hidden="1">{"'Sheet1'!$L$16"}</definedName>
    <definedName name="dfsgfdshgffg" localSheetId="0" hidden="1">{"'Sheet1'!$L$16"}</definedName>
    <definedName name="dfsgfdshgffg" hidden="1">{"'Sheet1'!$L$16"}</definedName>
    <definedName name="dg">#REF!</definedName>
    <definedName name="dg_5cau">#REF!</definedName>
    <definedName name="dgbdII">#REF!</definedName>
    <definedName name="dgc">#REF!</definedName>
    <definedName name="dgct">#REF!</definedName>
    <definedName name="DGCT_T.Quy_P.Thuy_Q">#REF!</definedName>
    <definedName name="DGCT_TRAUQUYPHUTHUY_HN">#REF!</definedName>
    <definedName name="DGCTI592">#REF!</definedName>
    <definedName name="dgd">#REF!</definedName>
    <definedName name="dgnc">#REF!</definedName>
    <definedName name="dgqndn">#REF!</definedName>
    <definedName name="DGR">#REF!</definedName>
    <definedName name="DGTV">#REF!</definedName>
    <definedName name="dgthss3">#REF!</definedName>
    <definedName name="dgvl">#REF!</definedName>
    <definedName name="dh">#N/A</definedName>
    <definedName name="dhom">#REF!</definedName>
    <definedName name="dien" localSheetId="1" hidden="1">{"'Sheet1'!$L$16"}</definedName>
    <definedName name="dien" localSheetId="2" hidden="1">{"'Sheet1'!$L$16"}</definedName>
    <definedName name="dien" localSheetId="0" hidden="1">{"'Sheet1'!$L$16"}</definedName>
    <definedName name="dien" hidden="1">{"'Sheet1'!$L$16"}</definedName>
    <definedName name="diengiai">#REF!</definedName>
    <definedName name="dim">#REF!</definedName>
    <definedName name="DIMM_64MB_ECC_PC133">[6]DATA!#REF!</definedName>
    <definedName name="dinh2" localSheetId="1">#REF!</definedName>
    <definedName name="dinh2" localSheetId="2">#REF!</definedName>
    <definedName name="dinh2" localSheetId="0">#REF!</definedName>
    <definedName name="dinh2">#REF!</definedName>
    <definedName name="dinhmong" localSheetId="1">#REF!</definedName>
    <definedName name="dinhmong" localSheetId="2">#REF!</definedName>
    <definedName name="dinhmong" localSheetId="0">#REF!</definedName>
    <definedName name="dinhmong">#REF!</definedName>
    <definedName name="dinhmu" localSheetId="1">#REF!</definedName>
    <definedName name="dinhmu" localSheetId="2">#REF!</definedName>
    <definedName name="dinhmu" localSheetId="0">#REF!</definedName>
    <definedName name="dinhmu">#REF!</definedName>
    <definedName name="Discount" hidden="1">#REF!</definedName>
    <definedName name="display_area_2" hidden="1">#REF!</definedName>
    <definedName name="dj" localSheetId="1" hidden="1">{"'Sheet1'!$L$16"}</definedName>
    <definedName name="dj" localSheetId="2" hidden="1">{"'Sheet1'!$L$16"}</definedName>
    <definedName name="dj" localSheetId="0" hidden="1">{"'Sheet1'!$L$16"}</definedName>
    <definedName name="dj" hidden="1">{"'Sheet1'!$L$16"}</definedName>
    <definedName name="dk">#REF!</definedName>
    <definedName name="dkincd">#REF!</definedName>
    <definedName name="dkythue">#REF!</definedName>
    <definedName name="DLCC">#REF!</definedName>
    <definedName name="DM">#REF!</definedName>
    <definedName name="dm56bxd">#REF!</definedName>
    <definedName name="DÑt45x4">#REF!</definedName>
    <definedName name="Document_array" localSheetId="1">{"Book1"}</definedName>
    <definedName name="Document_array" localSheetId="2">{"Book1"}</definedName>
    <definedName name="Document_array" localSheetId="0">{"Book1"}</definedName>
    <definedName name="Document_array">{"Book1"}</definedName>
    <definedName name="Document_array_1" localSheetId="2">{"Book1"}</definedName>
    <definedName name="Document_array_1">{"Book1"}</definedName>
    <definedName name="Document_array_2" localSheetId="2">{"Book1"}</definedName>
    <definedName name="Document_array_2">{"Book1"}</definedName>
    <definedName name="Documents_array">#REF!</definedName>
    <definedName name="DÖÏ_THAÀU">#REF!</definedName>
    <definedName name="DON_GIA_3282">#REF!</definedName>
    <definedName name="DON_GIA_3283">#REF!</definedName>
    <definedName name="DON_GIA_3285">#REF!</definedName>
    <definedName name="DON_GIA_VAN_CHUYEN_36">#REF!</definedName>
    <definedName name="DONGIA2">#REF!</definedName>
    <definedName name="Ds">#REF!</definedName>
    <definedName name="DS1p1vc">#REF!</definedName>
    <definedName name="ds1pnc">#REF!</definedName>
    <definedName name="ds1pvl">#REF!</definedName>
    <definedName name="ds3pctnc">#REF!</definedName>
    <definedName name="ds3pctvc">#REF!</definedName>
    <definedName name="ds3pctvl">#REF!</definedName>
    <definedName name="ds3pnc">#REF!</definedName>
    <definedName name="ds3pvl">#REF!</definedName>
    <definedName name="dsct3pnc">#REF!</definedName>
    <definedName name="dsct3pvl">#REF!</definedName>
    <definedName name="DSPK1p1nc">#REF!</definedName>
    <definedName name="DSPK1p1vl">#REF!</definedName>
    <definedName name="DSPK1pnc">#REF!</definedName>
    <definedName name="DSPK1pvl">#REF!</definedName>
    <definedName name="DSUMDATA">#REF!</definedName>
    <definedName name="dt">#REF!</definedName>
    <definedName name="Dt_">#REF!</definedName>
    <definedName name="dtc">#REF!</definedName>
    <definedName name="DTG">#REF!</definedName>
    <definedName name="DTKT3" localSheetId="1" hidden="1">{"'Sheet1'!$L$16"}</definedName>
    <definedName name="DTKT3" localSheetId="2" hidden="1">{"'Sheet1'!$L$16"}</definedName>
    <definedName name="DTKT3" localSheetId="0" hidden="1">{"'Sheet1'!$L$16"}</definedName>
    <definedName name="DTKT3" hidden="1">{"'Sheet1'!$L$16"}</definedName>
    <definedName name="dtoan">#REF!</definedName>
    <definedName name="DU_TOAN_CHI_TIET_CONG_TO">#REF!</definedName>
    <definedName name="DU_TOAN_CHI_TIET_DZ22KV">#REF!</definedName>
    <definedName name="DU_TOAN_CHI_TIET_KHO_BAI">#REF!</definedName>
    <definedName name="DutoanDongmo">#REF!</definedName>
    <definedName name="DWPRICE" hidden="1">[8]Quantity!#REF!</definedName>
    <definedName name="đfdfd" hidden="1">#REF!</definedName>
    <definedName name="E">'[5]Du toan'!$D$13</definedName>
    <definedName name="EEPE" localSheetId="1" hidden="1">{"'Summary'!$A$1:$J$46"}</definedName>
    <definedName name="EEPE" localSheetId="2" hidden="1">{"'Summary'!$A$1:$J$46"}</definedName>
    <definedName name="EEPE" localSheetId="0" hidden="1">{"'Summary'!$A$1:$J$46"}</definedName>
    <definedName name="EEPE" hidden="1">{"'Summary'!$A$1:$J$46"}</definedName>
    <definedName name="EEQ" localSheetId="1" hidden="1">{"'Summary'!$A$1:$J$46"}</definedName>
    <definedName name="EEQ" localSheetId="2" hidden="1">{"'Summary'!$A$1:$J$46"}</definedName>
    <definedName name="EEQ" localSheetId="0" hidden="1">{"'Summary'!$A$1:$J$46"}</definedName>
    <definedName name="EEQ" hidden="1">{"'Summary'!$A$1:$J$46"}</definedName>
    <definedName name="EF">#REF!</definedName>
    <definedName name="EFW">#REF!</definedName>
    <definedName name="efyghioq">#N/A</definedName>
    <definedName name="ẻhrth">#N/A</definedName>
    <definedName name="eÎ">#REF!</definedName>
    <definedName name="emb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S">#REF!</definedName>
    <definedName name="EW" localSheetId="1" hidden="1">{"'Summary'!$A$1:$J$46"}</definedName>
    <definedName name="EW" localSheetId="2" hidden="1">{"'Summary'!$A$1:$J$46"}</definedName>
    <definedName name="EW" localSheetId="0" hidden="1">{"'Summary'!$A$1:$J$46"}</definedName>
    <definedName name="EW" hidden="1">{"'Summary'!$A$1:$J$46"}</definedName>
    <definedName name="ewf" hidden="1">#REF!</definedName>
    <definedName name="EX">#REF!</definedName>
    <definedName name="ExactAddinConnection" hidden="1">"003"</definedName>
    <definedName name="ExactAddinConnection.002" hidden="1">"CPNT01;003;mengtalekk;1"</definedName>
    <definedName name="ExactAddinConnection.003" hidden="1">"CPNT01;006;mengtalekk;1"</definedName>
    <definedName name="ExactAddinReports" hidden="1">2</definedName>
    <definedName name="EXC">#REF!</definedName>
    <definedName name="EXCH">#REF!</definedName>
    <definedName name="ey">#REF!</definedName>
    <definedName name="f" localSheetId="1" hidden="1">{"'Sheet1'!$L$16"}</definedName>
    <definedName name="f" localSheetId="2" hidden="1">{"'Sheet1'!$L$16"}</definedName>
    <definedName name="f" localSheetId="0" hidden="1">{"'Sheet1'!$L$16"}</definedName>
    <definedName name="f" hidden="1">{"'Sheet1'!$L$16"}</definedName>
    <definedName name="f82E46">#REF!</definedName>
    <definedName name="FACTOR">#REF!</definedName>
    <definedName name="Fax">#REF!</definedName>
    <definedName name="Fay">#REF!</definedName>
    <definedName name="fc">#REF!</definedName>
    <definedName name="fc_">#REF!</definedName>
    <definedName name="fcoc">#REF!</definedName>
    <definedName name="FCode" hidden="1">#REF!</definedName>
    <definedName name="fdg" localSheetId="1" hidden="1">{"'Sheet1'!$L$16"}</definedName>
    <definedName name="fdg" localSheetId="2" hidden="1">{"'Sheet1'!$L$16"}</definedName>
    <definedName name="fdg" localSheetId="0" hidden="1">{"'Sheet1'!$L$16"}</definedName>
    <definedName name="fdg" hidden="1">{"'Sheet1'!$L$16"}</definedName>
    <definedName name="fdgfg" localSheetId="1" hidden="1">{"'Sheet1'!$L$16"}</definedName>
    <definedName name="fdgfg" localSheetId="2" hidden="1">{"'Sheet1'!$L$16"}</definedName>
    <definedName name="fdgfg" localSheetId="0" hidden="1">{"'Sheet1'!$L$16"}</definedName>
    <definedName name="fdgfg" hidden="1">{"'Sheet1'!$L$16"}</definedName>
    <definedName name="ff" localSheetId="1">#REF!</definedName>
    <definedName name="ff" localSheetId="2">#REF!</definedName>
    <definedName name="ff" localSheetId="0">#REF!</definedName>
    <definedName name="ff">#REF!</definedName>
    <definedName name="ffas" localSheetId="1" hidden="1">{"'Sheet1'!$L$16"}</definedName>
    <definedName name="ffas" localSheetId="2" hidden="1">{"'Sheet1'!$L$16"}</definedName>
    <definedName name="ffas" localSheetId="0" hidden="1">{"'Sheet1'!$L$16"}</definedName>
    <definedName name="ffas" hidden="1">{"'Sheet1'!$L$16"}</definedName>
    <definedName name="fg" localSheetId="1" hidden="1">{"'Sheet1'!$L$16"}</definedName>
    <definedName name="fg" localSheetId="2" hidden="1">{"'Sheet1'!$L$16"}</definedName>
    <definedName name="fg" localSheetId="0" hidden="1">{"'Sheet1'!$L$16"}</definedName>
    <definedName name="fg" hidden="1">{"'Sheet1'!$L$16"}</definedName>
    <definedName name="fgds">#N/A</definedName>
    <definedName name="fgn" localSheetId="1" hidden="1">{"'Sheet1'!$L$16"}</definedName>
    <definedName name="fgn" localSheetId="2" hidden="1">{"'Sheet1'!$L$16"}</definedName>
    <definedName name="fgn" localSheetId="0" hidden="1">{"'Sheet1'!$L$16"}</definedName>
    <definedName name="fgn" hidden="1">{"'Sheet1'!$L$16"}</definedName>
    <definedName name="fh">#N/A</definedName>
    <definedName name="fhd">#N/A</definedName>
    <definedName name="Fi">#REF!</definedName>
    <definedName name="FI_12">4820</definedName>
    <definedName name="Fi_f">#REF!</definedName>
    <definedName name="fila_name">#REF!</definedName>
    <definedName name="fila_NM_RTU">#REF!</definedName>
    <definedName name="fin_BOM">#REF!</definedName>
    <definedName name="FirstPage">#REF!</definedName>
    <definedName name="fjh">#REF!</definedName>
    <definedName name="Fot">#REF!</definedName>
    <definedName name="FP">'[1]COAT&amp;WRAP-QIOT-#3'!#REF!</definedName>
    <definedName name="Fr">#REF!</definedName>
    <definedName name="FS">#REF!</definedName>
    <definedName name="fsdfdsf" localSheetId="1" hidden="1">{"'Sheet1'!$L$16"}</definedName>
    <definedName name="fsdfdsf" localSheetId="2" hidden="1">{"'Sheet1'!$L$16"}</definedName>
    <definedName name="fsdfdsf" localSheetId="0" hidden="1">{"'Sheet1'!$L$16"}</definedName>
    <definedName name="fsdfdsf" hidden="1">{"'Sheet1'!$L$16"}</definedName>
    <definedName name="Ft">#REF!</definedName>
    <definedName name="Ft_">#REF!</definedName>
    <definedName name="FtoM">#REF!</definedName>
    <definedName name="fwefsef" localSheetId="1" hidden="1">{"'Sheet1'!$L$16"}</definedName>
    <definedName name="fwefsef" localSheetId="2" hidden="1">{"'Sheet1'!$L$16"}</definedName>
    <definedName name="fwefsef" localSheetId="0" hidden="1">{"'Sheet1'!$L$16"}</definedName>
    <definedName name="fwefsef" hidden="1">{"'Sheet1'!$L$16"}</definedName>
    <definedName name="fy">#REF!</definedName>
    <definedName name="Fy_">#REF!</definedName>
    <definedName name="g_">#REF!</definedName>
    <definedName name="gachchongtron">#REF!</definedName>
    <definedName name="gachlanem">#REF!</definedName>
    <definedName name="GC_DN">#REF!</definedName>
    <definedName name="GC_HT">#REF!</definedName>
    <definedName name="GC_TD">#REF!</definedName>
    <definedName name="gd">#REF!</definedName>
    <definedName name="gdg" localSheetId="1" hidden="1">{"'Sheet1'!$L$16"}</definedName>
    <definedName name="gdg" localSheetId="2" hidden="1">{"'Sheet1'!$L$16"}</definedName>
    <definedName name="gdg" localSheetId="0" hidden="1">{"'Sheet1'!$L$16"}</definedName>
    <definedName name="gdg" hidden="1">{"'Sheet1'!$L$16"}</definedName>
    <definedName name="geff">#REF!</definedName>
    <definedName name="geo">#REF!</definedName>
    <definedName name="gfdghf" localSheetId="1" hidden="1">{"Offgrid",#N/A,FALSE,"OFFGRID";"Region",#N/A,FALSE,"REGION";"Offgrid -2",#N/A,FALSE,"OFFGRID";"WTP",#N/A,FALSE,"WTP";"WTP -2",#N/A,FALSE,"WTP";"Project",#N/A,FALSE,"PROJECT";"Summary -2",#N/A,FALSE,"SUMMARY"}</definedName>
    <definedName name="gfdghf" localSheetId="2" hidden="1">{"Offgrid",#N/A,FALSE,"OFFGRID";"Region",#N/A,FALSE,"REGION";"Offgrid -2",#N/A,FALSE,"OFFGRID";"WTP",#N/A,FALSE,"WTP";"WTP -2",#N/A,FALSE,"WTP";"Project",#N/A,FALSE,"PROJECT";"Summary -2",#N/A,FALSE,"SUMMARY"}</definedName>
    <definedName name="gfdghf" localSheetId="0" hidden="1">{"Offgrid",#N/A,FALSE,"OFFGRID";"Region",#N/A,FALSE,"REGION";"Offgrid -2",#N/A,FALSE,"OFFGRID";"WTP",#N/A,FALSE,"WTP";"WTP -2",#N/A,FALSE,"WTP";"Project",#N/A,FALSE,"PROJECT";"Summary -2",#N/A,FALSE,"SUMMARY"}</definedName>
    <definedName name="gfdghf" hidden="1">{"Offgrid",#N/A,FALSE,"OFFGRID";"Region",#N/A,FALSE,"REGION";"Offgrid -2",#N/A,FALSE,"OFFGRID";"WTP",#N/A,FALSE,"WTP";"WTP -2",#N/A,FALSE,"WTP";"Project",#N/A,FALSE,"PROJECT";"Summary -2",#N/A,FALSE,"SUMMARY"}</definedName>
    <definedName name="gg" hidden="1">#REF!</definedName>
    <definedName name="gggg" localSheetId="1" hidden="1">{"'Sheet1'!$L$16"}</definedName>
    <definedName name="gggg" localSheetId="2" hidden="1">{"'Sheet1'!$L$16"}</definedName>
    <definedName name="gggg" localSheetId="0" hidden="1">{"'Sheet1'!$L$16"}</definedName>
    <definedName name="gggg" hidden="1">{"'Sheet1'!$L$16"}</definedName>
    <definedName name="gghh" localSheetId="1" hidden="1">{"'Sheet1'!$L$16"}</definedName>
    <definedName name="gghh" localSheetId="2" hidden="1">{"'Sheet1'!$L$16"}</definedName>
    <definedName name="gghh" localSheetId="0" hidden="1">{"'Sheet1'!$L$16"}</definedName>
    <definedName name="gghh" hidden="1">{"'Sheet1'!$L$16"}</definedName>
    <definedName name="gh">#N/A</definedName>
    <definedName name="ghf">#N/A</definedName>
    <definedName name="ghip">#REF!</definedName>
    <definedName name="gl3p">#REF!</definedName>
    <definedName name="go">#REF!</definedName>
    <definedName name="Goc32x3">#REF!</definedName>
    <definedName name="Goc35x3">#REF!</definedName>
    <definedName name="Goc40x4">#REF!</definedName>
    <definedName name="Goc45x4">#REF!</definedName>
    <definedName name="Goc50x5">#REF!</definedName>
    <definedName name="Goc63x6">#REF!</definedName>
    <definedName name="Goc75x6">#REF!</definedName>
    <definedName name="goi">#REF!</definedName>
    <definedName name="gs">#REF!</definedName>
    <definedName name="GTB">#REF!</definedName>
    <definedName name="GTOTAL" localSheetId="1" hidden="1">{"'Sheet1'!$L$16"}</definedName>
    <definedName name="GTOTAL" localSheetId="2" hidden="1">{"'Sheet1'!$L$16"}</definedName>
    <definedName name="GTOTAL" localSheetId="0" hidden="1">{"'Sheet1'!$L$16"}</definedName>
    <definedName name="GTOTAL" hidden="1">{"'Sheet1'!$L$16"}</definedName>
    <definedName name="gtst">#REF!</definedName>
    <definedName name="gtujiyukoio" localSheetId="1" hidden="1">{"'Summary'!$A$1:$J$46"}</definedName>
    <definedName name="gtujiyukoio" localSheetId="2" hidden="1">{"'Summary'!$A$1:$J$46"}</definedName>
    <definedName name="gtujiyukoio" localSheetId="0" hidden="1">{"'Summary'!$A$1:$J$46"}</definedName>
    <definedName name="gtujiyukoio" hidden="1">{"'Summary'!$A$1:$J$46"}</definedName>
    <definedName name="GTXL">#REF!</definedName>
    <definedName name="GTRI">#REF!</definedName>
    <definedName name="gvk">#REF!</definedName>
    <definedName name="GVL_LDT">#REF!</definedName>
    <definedName name="GXD" localSheetId="1">#REF!</definedName>
    <definedName name="Gxd" localSheetId="2">'[9]TH Kinh phi'!$G$42</definedName>
    <definedName name="Gxd" localSheetId="0">'[9]TH Kinh phi'!$G$42</definedName>
    <definedName name="Gxd">'[9]TH Kinh phi'!$G$42</definedName>
    <definedName name="GIA" localSheetId="2">#REF!</definedName>
    <definedName name="GIA">#REF!</definedName>
    <definedName name="Gia_CT" localSheetId="2">#REF!</definedName>
    <definedName name="Gia_CT">#REF!</definedName>
    <definedName name="GIA_CU_LY_VAN_CHUYEN">#REF!</definedName>
    <definedName name="gia_tien">#REF!</definedName>
    <definedName name="gia_tien_BTN">#REF!</definedName>
    <definedName name="GIA_THANH_VAN_CHUYEN_1M3_BE_TONG">#REF!</definedName>
    <definedName name="Gia_VT">#REF!</definedName>
    <definedName name="GIAC">#REF!</definedName>
    <definedName name="giadc">#REF!</definedName>
    <definedName name="GIADCST">#REF!</definedName>
    <definedName name="giam3331">#REF!</definedName>
    <definedName name="GiaTDMOI">#N/A</definedName>
    <definedName name="GIAVL_TRALY">#REF!</definedName>
    <definedName name="GIAVLIEUTN">#REF!</definedName>
    <definedName name="giotuoi">#REF!</definedName>
    <definedName name="h" localSheetId="1" hidden="1">{"'Sheet1'!$L$16"}</definedName>
    <definedName name="H" localSheetId="2">'[5]Du toan'!$C$27</definedName>
    <definedName name="h" localSheetId="0" hidden="1">{"'Sheet1'!$L$16"}</definedName>
    <definedName name="h" hidden="1">{"'Sheet1'!$L$16"}</definedName>
    <definedName name="H_30" localSheetId="1">#REF!</definedName>
    <definedName name="H_30" localSheetId="2">#REF!</definedName>
    <definedName name="H_30" localSheetId="0">#REF!</definedName>
    <definedName name="H_30">#REF!</definedName>
    <definedName name="H_ng_mòc_cáng_trÖnh" localSheetId="1">#REF!</definedName>
    <definedName name="H_ng_mòc_cáng_trÖnh" localSheetId="2">#REF!</definedName>
    <definedName name="H_ng_mòc_cáng_trÖnh" localSheetId="0">#REF!</definedName>
    <definedName name="H_ng_mòc_cáng_trÖnh">#REF!</definedName>
    <definedName name="H_THUCTT">#REF!</definedName>
    <definedName name="H_THUCHTHH" localSheetId="1">#REF!</definedName>
    <definedName name="H_THUCHTHH" localSheetId="2">#REF!</definedName>
    <definedName name="H_THUCHTHH" localSheetId="0">#REF!</definedName>
    <definedName name="H_THUCHTHH">#REF!</definedName>
    <definedName name="h0">#REF!</definedName>
    <definedName name="Ha">#REF!</definedName>
    <definedName name="Hanoi">#REF!</definedName>
    <definedName name="hc">#REF!</definedName>
    <definedName name="HCM">#REF!</definedName>
    <definedName name="HCNA" localSheetId="1" hidden="1">{"'Sheet1'!$L$16"}</definedName>
    <definedName name="HCNA" localSheetId="2" hidden="1">{"'Sheet1'!$L$16"}</definedName>
    <definedName name="HCNA" localSheetId="0" hidden="1">{"'Sheet1'!$L$16"}</definedName>
    <definedName name="HCNA" hidden="1">{"'Sheet1'!$L$16"}</definedName>
    <definedName name="hd">#REF!</definedName>
    <definedName name="hdd">#REF!</definedName>
    <definedName name="hdn">#REF!</definedName>
    <definedName name="He_so">#REF!</definedName>
    <definedName name="HE_SO_KHO_KHAN_CANG_DAY">#REF!</definedName>
    <definedName name="Heä_soá_laép_xaø_H">1.7</definedName>
    <definedName name="heä_soá_sình_laày">#REF!</definedName>
    <definedName name="hethongthoatnuocngoainha" hidden="1">#REF!</definedName>
    <definedName name="HH">#REF!</definedName>
    <definedName name="HHcat">#REF!</definedName>
    <definedName name="HHda">#REF!</definedName>
    <definedName name="hhhh">#REF!</definedName>
    <definedName name="HHTT">#REF!</definedName>
    <definedName name="HHxm">#REF!</definedName>
    <definedName name="HiddenRows" hidden="1">#REF!</definedName>
    <definedName name="hien">#REF!</definedName>
    <definedName name="Hinh_thuc">#REF!</definedName>
    <definedName name="hj" localSheetId="1" hidden="1">{#N/A,#N/A,FALSE,"Chi tiÆt"}</definedName>
    <definedName name="hj" localSheetId="2" hidden="1">{#N/A,#N/A,FALSE,"Chi tiÆt"}</definedName>
    <definedName name="hj" localSheetId="0" hidden="1">{#N/A,#N/A,FALSE,"Chi tiÆt"}</definedName>
    <definedName name="hj" hidden="1">{#N/A,#N/A,FALSE,"Chi tiÆt"}</definedName>
    <definedName name="hjhj" localSheetId="1" hidden="1">{"'Sheet1'!$L$16"}</definedName>
    <definedName name="hjhj" localSheetId="2" hidden="1">{"'Sheet1'!$L$16"}</definedName>
    <definedName name="hjhj" localSheetId="0" hidden="1">{"'Sheet1'!$L$16"}</definedName>
    <definedName name="hjhj" hidden="1">{"'Sheet1'!$L$16"}</definedName>
    <definedName name="HM">#REF!</definedName>
    <definedName name="Hmong">#REF!</definedName>
    <definedName name="HMVLNCM">#REF!</definedName>
    <definedName name="ho">#REF!</definedName>
    <definedName name="hoa" localSheetId="1" hidden="1">{"'Sheet1'!$L$16"}</definedName>
    <definedName name="hoa" localSheetId="2" hidden="1">{"'Sheet1'!$L$16"}</definedName>
    <definedName name="hoa" localSheetId="0" hidden="1">{"'Sheet1'!$L$16"}</definedName>
    <definedName name="hoa" hidden="1">{"'Sheet1'!$L$16"}</definedName>
    <definedName name="hoc">55000</definedName>
    <definedName name="hoida">#REF!</definedName>
    <definedName name="hoigio">#REF!</definedName>
    <definedName name="HOME_MANP">#REF!</definedName>
    <definedName name="HOMEOFFICE_COST">#REF!</definedName>
    <definedName name="Hp">#REF!</definedName>
    <definedName name="HPCAU10">#REF!</definedName>
    <definedName name="HPCAU22">#REF!</definedName>
    <definedName name="HPCAU7">#REF!</definedName>
    <definedName name="HPCAU8">#REF!</definedName>
    <definedName name="HPCAU9">#REF!</definedName>
    <definedName name="HPKHAC">#REF!</definedName>
    <definedName name="HS">#REF!</definedName>
    <definedName name="HS_may">#REF!</definedName>
    <definedName name="Hsc">#REF!</definedName>
    <definedName name="hscpc">#REF!</definedName>
    <definedName name="HSCPCC">#REF!</definedName>
    <definedName name="hscpcd">#REF!</definedName>
    <definedName name="hscq">#REF!</definedName>
    <definedName name="HSCT3">0.1</definedName>
    <definedName name="HSDBGT">#REF!</definedName>
    <definedName name="hsdc1">#REF!</definedName>
    <definedName name="HSDN">2.5</definedName>
    <definedName name="HSHH">#REF!</definedName>
    <definedName name="HSHHUT">#REF!</definedName>
    <definedName name="hsk">#REF!</definedName>
    <definedName name="HSKK35">#REF!</definedName>
    <definedName name="HSKT">#REF!</definedName>
    <definedName name="hskt1">#REF!</definedName>
    <definedName name="hskt2">#REF!</definedName>
    <definedName name="HSKTST">#REF!</definedName>
    <definedName name="HSLT">#REF!</definedName>
    <definedName name="HSLX">#REF!</definedName>
    <definedName name="HSLXH">1.7</definedName>
    <definedName name="HSLXP">#REF!</definedName>
    <definedName name="hsn">#REF!</definedName>
    <definedName name="hsnc_cau">1.626</definedName>
    <definedName name="hsnc_cau2">1.626</definedName>
    <definedName name="hsnc_d">1.6356</definedName>
    <definedName name="hsnc_d2">1.6356</definedName>
    <definedName name="hsncd">#REF!</definedName>
    <definedName name="HSSL">#REF!</definedName>
    <definedName name="hßm4">#REF!</definedName>
    <definedName name="hstn">#REF!</definedName>
    <definedName name="HSTNDN">#REF!</definedName>
    <definedName name="HSVAT">#REF!</definedName>
    <definedName name="HSVC">#REF!</definedName>
    <definedName name="HSVC1">#REF!</definedName>
    <definedName name="HSVC2">#REF!</definedName>
    <definedName name="HSVC3">#REF!</definedName>
    <definedName name="hsvl">1</definedName>
    <definedName name="hsvl2">1</definedName>
    <definedName name="hsxm">#REF!</definedName>
    <definedName name="htlm" localSheetId="1" hidden="1">{"'Sheet1'!$L$16"}</definedName>
    <definedName name="htlm" localSheetId="2" hidden="1">{"'Sheet1'!$L$16"}</definedName>
    <definedName name="htlm" localSheetId="0" hidden="1">{"'Sheet1'!$L$16"}</definedName>
    <definedName name="htlm" hidden="1">{"'Sheet1'!$L$16"}</definedName>
    <definedName name="HTML_CodePage" hidden="1">950</definedName>
    <definedName name="HTML_Control" localSheetId="1" hidden="1">{"'Sheet1'!$L$16"}</definedName>
    <definedName name="HTML_Control" localSheetId="2" hidden="1">{"'Sheet1'!$L$16"}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NC">#REF!</definedName>
    <definedName name="HTNL" localSheetId="1" hidden="1">{"'Sheet1'!$L$16"}</definedName>
    <definedName name="HTNL" localSheetId="2" hidden="1">{"'Sheet1'!$L$16"}</definedName>
    <definedName name="HTNL" localSheetId="0" hidden="1">{"'Sheet1'!$L$16"}</definedName>
    <definedName name="HTNL" hidden="1">{"'Sheet1'!$L$16"}</definedName>
    <definedName name="HTVL">#REF!</definedName>
    <definedName name="HTHH">#REF!</definedName>
    <definedName name="hu" localSheetId="1" hidden="1">{"'Sheet1'!$L$16"}</definedName>
    <definedName name="hu" localSheetId="2" hidden="1">{"'Sheet1'!$L$16"}</definedName>
    <definedName name="hu" localSheetId="0" hidden="1">{"'Sheet1'!$L$16"}</definedName>
    <definedName name="hu" hidden="1">{"'Sheet1'!$L$16"}</definedName>
    <definedName name="hung">[6]DATA!#REF!</definedName>
    <definedName name="huy" localSheetId="1" hidden="1">{"'Sheet1'!$L$16"}</definedName>
    <definedName name="huy" localSheetId="2" hidden="1">{"'Sheet1'!$L$16"}</definedName>
    <definedName name="huy" localSheetId="0" hidden="1">{"'Sheet1'!$L$16"}</definedName>
    <definedName name="huy" hidden="1">{"'Sheet1'!$L$16"}</definedName>
    <definedName name="HWDISCOUNT">#REF!</definedName>
    <definedName name="I">#REF!</definedName>
    <definedName name="IDLAB_COST">#REF!</definedName>
    <definedName name="IND_LAB">#REF!</definedName>
    <definedName name="INDMANP">#REF!</definedName>
    <definedName name="ini_BOM">#REF!</definedName>
    <definedName name="injlp">#N/A</definedName>
    <definedName name="inst_ini">#REF!</definedName>
    <definedName name="IO">'[1]COAT&amp;WRAP-QIOT-#3'!#REF!</definedName>
    <definedName name="ioo">#REF!</definedName>
    <definedName name="Ip">#REF!</definedName>
    <definedName name="ixy">#REF!</definedName>
    <definedName name="j">#REF!</definedName>
    <definedName name="j356C8">#REF!</definedName>
    <definedName name="jgh">#N/A</definedName>
    <definedName name="jjjjj" localSheetId="1" hidden="1">{"'Sheet1'!$L$16"}</definedName>
    <definedName name="jjjjj" localSheetId="2" hidden="1">{"'Sheet1'!$L$16"}</definedName>
    <definedName name="jjjjj" localSheetId="0" hidden="1">{"'Sheet1'!$L$16"}</definedName>
    <definedName name="jjjjj" hidden="1">{"'Sheet1'!$L$16"}</definedName>
    <definedName name="jkh" localSheetId="1" hidden="1">{"'Sheet1'!$L$16"}</definedName>
    <definedName name="jkh" localSheetId="2" hidden="1">{"'Sheet1'!$L$16"}</definedName>
    <definedName name="jkh" localSheetId="0" hidden="1">{"'Sheet1'!$L$16"}</definedName>
    <definedName name="jkh" hidden="1">{"'Sheet1'!$L$16"}</definedName>
    <definedName name="ka">2</definedName>
    <definedName name="KAE">#REF!</definedName>
    <definedName name="KAS">#REF!</definedName>
    <definedName name="kb">#REF!</definedName>
    <definedName name="kcong">#REF!</definedName>
    <definedName name="KE_HOACH_VON_PHU_THU">#REF!</definedName>
    <definedName name="KeBve">#REF!</definedName>
    <definedName name="kem">#REF!</definedName>
    <definedName name="kiem">#REF!</definedName>
    <definedName name="Kiem_tra_trung_ten">#REF!</definedName>
    <definedName name="KINH_PHI_DEN_BU">#REF!</definedName>
    <definedName name="KINH_PHI_DZ0.4KV">#REF!</definedName>
    <definedName name="KINH_PHI_KHAO_SAT__LAP_BCNCKT__TKKTTC">#REF!</definedName>
    <definedName name="KINH_PHI_KHO_BAI">#REF!</definedName>
    <definedName name="KINH_PHI_TBA">#REF!</definedName>
    <definedName name="kkkk" localSheetId="1" hidden="1">{"'Sheet1'!$L$16"}</definedName>
    <definedName name="kkkk" localSheetId="2" hidden="1">{"'Sheet1'!$L$16"}</definedName>
    <definedName name="kkkk" localSheetId="0" hidden="1">{"'Sheet1'!$L$16"}</definedName>
    <definedName name="kkkk" hidden="1">{"'Sheet1'!$L$16"}</definedName>
    <definedName name="KLC">#REF!</definedName>
    <definedName name="KLD">#REF!</definedName>
    <definedName name="kldd1p">#REF!</definedName>
    <definedName name="KLTHDN">#REF!</definedName>
    <definedName name="KLTHNH" localSheetId="1">{"ÿÿÿÿÿ","DT cau tam Ha trinh 7.xls","DT cau tam Ha trinh 3.xls"}</definedName>
    <definedName name="KLTHNH" localSheetId="2">{"ÿÿÿÿÿ","DT cau tam Ha trinh 7.xls","DT cau tam Ha trinh 3.xls"}</definedName>
    <definedName name="KLTHNH" localSheetId="0">{"ÿÿÿÿÿ","DT cau tam Ha trinh 7.xls","DT cau tam Ha trinh 3.xls"}</definedName>
    <definedName name="KLTHNH">{"ÿÿÿÿÿ","DT cau tam Ha trinh 7.xls","DT cau tam Ha trinh 3.xls"}</definedName>
    <definedName name="KLVANKHUON">#REF!</definedName>
    <definedName name="KP">#REF!</definedName>
    <definedName name="kp1ph">#REF!</definedName>
    <definedName name="Ks">#REF!</definedName>
    <definedName name="KSTK">#REF!</definedName>
    <definedName name="kt" localSheetId="1" hidden="1">{"'Sheet1'!$L$16"}</definedName>
    <definedName name="kt" localSheetId="2" hidden="1">{"'Sheet1'!$L$16"}</definedName>
    <definedName name="kt" localSheetId="0" hidden="1">{"'Sheet1'!$L$16"}</definedName>
    <definedName name="kt" hidden="1">{"'Sheet1'!$L$16"}</definedName>
    <definedName name="kyhieu">#REF!</definedName>
    <definedName name="kh">#REF!</definedName>
    <definedName name="KH_Chang">#REF!</definedName>
    <definedName name="khac">2</definedName>
    <definedName name="Khâi">#REF!</definedName>
    <definedName name="khecodan">#REF!</definedName>
    <definedName name="KHOI_LUONG_DAT_DAO_DAP">#REF!</definedName>
    <definedName name="KHSX" localSheetId="1" hidden="1">{"'Sheet1'!$L$16"}</definedName>
    <definedName name="KHSX" localSheetId="2" hidden="1">{"'Sheet1'!$L$16"}</definedName>
    <definedName name="KHSX" localSheetId="0" hidden="1">{"'Sheet1'!$L$16"}</definedName>
    <definedName name="KHSX" hidden="1">{"'Sheet1'!$L$16"}</definedName>
    <definedName name="KhuyenmaiUPS">"AutoShape 264"</definedName>
    <definedName name="l">#REF!</definedName>
    <definedName name="l_1">#REF!</definedName>
    <definedName name="L_mong">#REF!</definedName>
    <definedName name="L63x6">5800</definedName>
    <definedName name="Label_UP">#REF!</definedName>
    <definedName name="Label_UP2">#REF!</definedName>
    <definedName name="lan" localSheetId="1" hidden="1">{#N/A,#N/A,TRUE,"BT M200 da 10x20"}</definedName>
    <definedName name="lan" localSheetId="2" hidden="1">{#N/A,#N/A,TRUE,"BT M200 da 10x20"}</definedName>
    <definedName name="lan" localSheetId="0" hidden="1">{#N/A,#N/A,TRUE,"BT M200 da 10x20"}</definedName>
    <definedName name="lan" hidden="1">{#N/A,#N/A,TRUE,"BT M200 da 10x20"}</definedName>
    <definedName name="lane">#REF!</definedName>
    <definedName name="LAP_DAT_TBA">#REF!</definedName>
    <definedName name="LBS_22">107800000</definedName>
    <definedName name="Lc">#REF!</definedName>
    <definedName name="lcoc">#REF!</definedName>
    <definedName name="lh">#REF!</definedName>
    <definedName name="LIET_KE_VI_TRI_DZ0.4KV">#REF!</definedName>
    <definedName name="LIET_KE_VI_TRI_DZ22KV">#REF!</definedName>
    <definedName name="limcount" hidden="1">2</definedName>
    <definedName name="line15">#REF!</definedName>
    <definedName name="List_of_Material">#REF!</definedName>
    <definedName name="LK_hathe">#REF!</definedName>
    <definedName name="Lmk">#REF!</definedName>
    <definedName name="LN">#REF!</definedName>
    <definedName name="Lnsc">#REF!</definedName>
    <definedName name="lntt">#REF!</definedName>
    <definedName name="Lo">#REF!</definedName>
    <definedName name="Loai">[10]Cate!$A$6:$A$8</definedName>
    <definedName name="LOAI_DUONG">#REF!</definedName>
    <definedName name="Loai_TD">#REF!</definedName>
    <definedName name="LoaiCT">#REF!</definedName>
    <definedName name="long">#REF!</definedName>
    <definedName name="Lst">#REF!</definedName>
    <definedName name="LT">#REF!</definedName>
    <definedName name="ltdbgt">#REF!</definedName>
    <definedName name="LTGTQM">#REF!</definedName>
    <definedName name="m">#N/A</definedName>
    <definedName name="M10aavc">#REF!</definedName>
    <definedName name="M12ba3p">#REF!</definedName>
    <definedName name="M12bb1p">#REF!</definedName>
    <definedName name="M12bnnc">#REF!</definedName>
    <definedName name="M12bnvl">#REF!</definedName>
    <definedName name="M12cbnc">#REF!</definedName>
    <definedName name="M12cbvl">#REF!</definedName>
    <definedName name="M14bb1p">#REF!</definedName>
    <definedName name="m8aanc">#REF!</definedName>
    <definedName name="m8aavl">#REF!</definedName>
    <definedName name="Ma3pnc">#REF!</definedName>
    <definedName name="Ma3pvl">#REF!</definedName>
    <definedName name="Maa3pnc">#REF!</definedName>
    <definedName name="Maa3pvl">#REF!</definedName>
    <definedName name="MAJ_CON_EQP">#REF!</definedName>
    <definedName name="MaMay_Q">#REF!</definedName>
    <definedName name="MAT">'[1]COAT&amp;WRAP-QIOT-#3'!#REF!</definedName>
    <definedName name="MAVANKHUON">#REF!</definedName>
    <definedName name="MAVLTHDN">#REF!</definedName>
    <definedName name="MB_Intel_Server_C440GX_Dual_Sl2_ATX">[6]DATA!#REF!</definedName>
    <definedName name="MB_Tomato_810B_Twin">[6]DATA!#REF!</definedName>
    <definedName name="Mba1p" localSheetId="1">#REF!</definedName>
    <definedName name="Mba1p" localSheetId="2">#REF!</definedName>
    <definedName name="Mba1p" localSheetId="0">#REF!</definedName>
    <definedName name="Mba1p">#REF!</definedName>
    <definedName name="Mba3p" localSheetId="1">#REF!</definedName>
    <definedName name="Mba3p" localSheetId="2">#REF!</definedName>
    <definedName name="Mba3p" localSheetId="0">#REF!</definedName>
    <definedName name="Mba3p">#REF!</definedName>
    <definedName name="Mbb3p" localSheetId="1">#REF!</definedName>
    <definedName name="Mbb3p" localSheetId="2">#REF!</definedName>
    <definedName name="Mbb3p" localSheetId="0">#REF!</definedName>
    <definedName name="Mbb3p">#REF!</definedName>
    <definedName name="Mbn1p">#REF!</definedName>
    <definedName name="mc">#REF!</definedName>
    <definedName name="me">#REF!</definedName>
    <definedName name="MF">'[1]COAT&amp;WRAP-QIOT-#3'!#REF!</definedName>
    <definedName name="MG_A">#REF!</definedName>
    <definedName name="mgiam">#REF!</definedName>
    <definedName name="MHDG">#REF!</definedName>
    <definedName name="mhf">#N/A</definedName>
    <definedName name="minh1">#REF!</definedName>
    <definedName name="mk">#REF!</definedName>
    <definedName name="mo" localSheetId="1" hidden="1">{"'Sheet1'!$L$16"}</definedName>
    <definedName name="mo" localSheetId="2" hidden="1">{"'Sheet1'!$L$16"}</definedName>
    <definedName name="mo" localSheetId="0" hidden="1">{"'Sheet1'!$L$16"}</definedName>
    <definedName name="mo" hidden="1">{"'Sheet1'!$L$16"}</definedName>
    <definedName name="moi" localSheetId="1" hidden="1">{"'Sheet1'!$L$16"}</definedName>
    <definedName name="moi" localSheetId="2" hidden="1">{"'Sheet1'!$L$16"}</definedName>
    <definedName name="moi" localSheetId="0" hidden="1">{"'Sheet1'!$L$16"}</definedName>
    <definedName name="moi" hidden="1">{"'Sheet1'!$L$16"}</definedName>
    <definedName name="Morong">#REF!</definedName>
    <definedName name="Morong4054_85">#REF!</definedName>
    <definedName name="morong4054_98">#REF!</definedName>
    <definedName name="Moùng">#REF!</definedName>
    <definedName name="mrn.inv._.budget" localSheetId="1" hidden="1">{"invbud-1",#N/A,FALSE,"A";"invbud-1CW",#N/A,FALSE,"A";"Desinvesteringen",#N/A,FALSE,"C"}</definedName>
    <definedName name="mrn.inv._.budget" localSheetId="2" hidden="1">{"invbud-1",#N/A,FALSE,"A";"invbud-1CW",#N/A,FALSE,"A";"Desinvesteringen",#N/A,FALSE,"C"}</definedName>
    <definedName name="mrn.inv._.budget" localSheetId="0" hidden="1">{"invbud-1",#N/A,FALSE,"A";"invbud-1CW",#N/A,FALSE,"A";"Desinvesteringen",#N/A,FALSE,"C"}</definedName>
    <definedName name="mrn.inv._.budget" hidden="1">{"invbud-1",#N/A,FALSE,"A";"invbud-1CW",#N/A,FALSE,"A";"Desinvesteringen",#N/A,FALSE,"C"}</definedName>
    <definedName name="MSCT">#REF!</definedName>
    <definedName name="mtc">#REF!</definedName>
    <definedName name="mtcdg">#REF!</definedName>
    <definedName name="MTCMB">#REF!</definedName>
    <definedName name="MTMAC12">#REF!</definedName>
    <definedName name="mtram">#REF!</definedName>
    <definedName name="Mu">#REF!</definedName>
    <definedName name="Mu_">#REF!</definedName>
    <definedName name="mucdo">[10]Cate!$A$27:$A$29</definedName>
    <definedName name="myle">#REF!</definedName>
    <definedName name="n1pig">#REF!</definedName>
    <definedName name="N1pIGvc">#REF!</definedName>
    <definedName name="n1pind">#REF!</definedName>
    <definedName name="N1pINDvc">#REF!</definedName>
    <definedName name="n1pint">#REF!</definedName>
    <definedName name="n1ping">#REF!</definedName>
    <definedName name="N1pINGvc">#REF!</definedName>
    <definedName name="nam" localSheetId="1" hidden="1">{"'Sheet1'!$L$16"}</definedName>
    <definedName name="nam" localSheetId="2" hidden="1">{"'Sheet1'!$L$16"}</definedName>
    <definedName name="nam" localSheetId="0" hidden="1">{"'Sheet1'!$L$16"}</definedName>
    <definedName name="nam" hidden="1">{"'Sheet1'!$L$16"}</definedName>
    <definedName name="name2">#N/A</definedName>
    <definedName name="nc">#REF!</definedName>
    <definedName name="nc_btm10">#REF!</definedName>
    <definedName name="nc_btm100">#REF!</definedName>
    <definedName name="nc1p">#REF!</definedName>
    <definedName name="nc3p">#REF!</definedName>
    <definedName name="ncb">#N/A</definedName>
    <definedName name="NCBD100">#REF!</definedName>
    <definedName name="NCBD200">#REF!</definedName>
    <definedName name="NCBD250">#REF!</definedName>
    <definedName name="NCC">#REF!</definedName>
    <definedName name="NCCT3p">#REF!</definedName>
    <definedName name="ncdg">#REF!</definedName>
    <definedName name="nctram">#REF!</definedName>
    <definedName name="NCVC100">#REF!</definedName>
    <definedName name="NCVC200">#REF!</definedName>
    <definedName name="NCVC250">#REF!</definedName>
    <definedName name="NCVC3P">#REF!</definedName>
    <definedName name="Ne" localSheetId="1" hidden="1">{"'Sheet1'!$L$16"}</definedName>
    <definedName name="Ne" localSheetId="2" hidden="1">{"'Sheet1'!$L$16"}</definedName>
    <definedName name="Ne" localSheetId="0" hidden="1">{"'Sheet1'!$L$16"}</definedName>
    <definedName name="Ne" hidden="1">{"'Sheet1'!$L$16"}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ig">#REF!</definedName>
    <definedName name="nig1p">#REF!</definedName>
    <definedName name="nig3p">#REF!</definedName>
    <definedName name="NIGnc">#REF!</definedName>
    <definedName name="nignc1p">#REF!</definedName>
    <definedName name="NIGvc">#REF!</definedName>
    <definedName name="NIGvl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1p">#REF!</definedName>
    <definedName name="nindnc3p">#REF!</definedName>
    <definedName name="NINDvc">#REF!</definedName>
    <definedName name="nindvl1p">#REF!</definedName>
    <definedName name="nindvl3p">#REF!</definedName>
    <definedName name="ninnc3p">#REF!</definedName>
    <definedName name="nint1p">#REF!</definedName>
    <definedName name="nintnc1p">#REF!</definedName>
    <definedName name="nintvl1p">#REF!</definedName>
    <definedName name="NINvc">#REF!</definedName>
    <definedName name="ninvl3p">#REF!</definedName>
    <definedName name="ning1p">#REF!</definedName>
    <definedName name="ningnc1p">#REF!</definedName>
    <definedName name="ningvl1p">#REF!</definedName>
    <definedName name="nl">#REF!</definedName>
    <definedName name="NL12nc">#REF!</definedName>
    <definedName name="NL12vl">#REF!</definedName>
    <definedName name="nl1p">#REF!</definedName>
    <definedName name="nl3p">#REF!</definedName>
    <definedName name="nlnc3p">#REF!</definedName>
    <definedName name="nlnc3pha">#REF!</definedName>
    <definedName name="NLTK1p">#REF!</definedName>
    <definedName name="nlvl3p">#REF!</definedName>
    <definedName name="Nms">#REF!</definedName>
    <definedName name="nn">#REF!</definedName>
    <definedName name="nn1p">#REF!</definedName>
    <definedName name="nn3p">#REF!</definedName>
    <definedName name="nnn" localSheetId="1" hidden="1">{"'Sheet1'!$L$16"}</definedName>
    <definedName name="nnn" localSheetId="2" hidden="1">{"'Sheet1'!$L$16"}</definedName>
    <definedName name="nnn" localSheetId="0" hidden="1">{"'Sheet1'!$L$16"}</definedName>
    <definedName name="nnn" hidden="1">{"'Sheet1'!$L$16"}</definedName>
    <definedName name="nnnc3p">#REF!</definedName>
    <definedName name="nnvl3p">#REF!</definedName>
    <definedName name="No">#REF!</definedName>
    <definedName name="Np">#REF!</definedName>
    <definedName name="Nq">#REF!</definedName>
    <definedName name="ns">#REF!</definedName>
    <definedName name="nt">#REF!</definedName>
    <definedName name="nuoc">[7]gvl!$N$38</definedName>
    <definedName name="nuy" localSheetId="1">#REF!</definedName>
    <definedName name="nuy" localSheetId="0">#REF!</definedName>
    <definedName name="nuy">#REF!</definedName>
    <definedName name="nv" localSheetId="1">#REF!</definedName>
    <definedName name="nv" localSheetId="0">#REF!</definedName>
    <definedName name="nv">#REF!</definedName>
    <definedName name="Ngay">#REF!</definedName>
    <definedName name="ngay23" localSheetId="1" hidden="1">{"'Sheet1'!$L$16"}</definedName>
    <definedName name="ngay23" localSheetId="2" hidden="1">{"'Sheet1'!$L$16"}</definedName>
    <definedName name="ngay23" localSheetId="0" hidden="1">{"'Sheet1'!$L$16"}</definedName>
    <definedName name="ngay23" hidden="1">{"'Sheet1'!$L$16"}</definedName>
    <definedName name="ngu" localSheetId="1" hidden="1">{"'Sheet1'!$L$16"}</definedName>
    <definedName name="ngu" localSheetId="2" hidden="1">{"'Sheet1'!$L$16"}</definedName>
    <definedName name="ngu" localSheetId="0" hidden="1">{"'Sheet1'!$L$16"}</definedName>
    <definedName name="ngu" hidden="1">{"'Sheet1'!$L$16"}</definedName>
    <definedName name="ngy">#REF!</definedName>
    <definedName name="NH">#REF!</definedName>
    <definedName name="Nh_n_cáng">#REF!</definedName>
    <definedName name="Nhap">#N/A</definedName>
    <definedName name="nhap2">#N/A</definedName>
    <definedName name="nhapcap">#N/A</definedName>
    <definedName name="nhapcb">#N/A</definedName>
    <definedName name="nhd">#REF!</definedName>
    <definedName name="nhn">#REF!</definedName>
    <definedName name="NhNgam">#REF!</definedName>
    <definedName name="NHot">#REF!</definedName>
    <definedName name="NhTreo">#REF!</definedName>
    <definedName name="nhua">#REF!</definedName>
    <definedName name="o" localSheetId="1" hidden="1">{"'Sheet1'!$L$16"}</definedName>
    <definedName name="o" localSheetId="2" hidden="1">{"'Sheet1'!$L$16"}</definedName>
    <definedName name="o" localSheetId="0" hidden="1">{"'Sheet1'!$L$16"}</definedName>
    <definedName name="o" hidden="1">{"'Sheet1'!$L$16"}</definedName>
    <definedName name="oi">#REF!</definedName>
    <definedName name="ophom">#REF!</definedName>
    <definedName name="OrderTable" hidden="1">#REF!</definedName>
    <definedName name="Out">#REF!</definedName>
    <definedName name="oxi">#REF!</definedName>
    <definedName name="P">'[1]PNT-QUOT-#3'!#REF!</definedName>
    <definedName name="PA">#REF!</definedName>
    <definedName name="PChe">#REF!</definedName>
    <definedName name="Pd">#REF!</definedName>
    <definedName name="PDO" localSheetId="1" hidden="1">{"'Summary'!$A$1:$J$46"}</definedName>
    <definedName name="PDO" localSheetId="2" hidden="1">{"'Summary'!$A$1:$J$46"}</definedName>
    <definedName name="PDO" localSheetId="0" hidden="1">{"'Summary'!$A$1:$J$46"}</definedName>
    <definedName name="PDO" hidden="1">{"'Summary'!$A$1:$J$46"}</definedName>
    <definedName name="PEJM">'[1]COAT&amp;WRAP-QIOT-#3'!#REF!</definedName>
    <definedName name="PF">'[1]PNT-QUOT-#3'!#REF!</definedName>
    <definedName name="PileSize">#REF!</definedName>
    <definedName name="PileType">#REF!</definedName>
    <definedName name="PK">#REF!</definedName>
    <definedName name="PL" localSheetId="1" hidden="1">{"'Sheet1'!$L$16"}</definedName>
    <definedName name="PL" localSheetId="2" hidden="1">{"'Sheet1'!$L$16"}</definedName>
    <definedName name="PL" localSheetId="0" hidden="1">{"'Sheet1'!$L$16"}</definedName>
    <definedName name="PL" hidden="1">{"'Sheet1'!$L$16"}</definedName>
    <definedName name="PL04TSQD" localSheetId="1" hidden="1">{"'Sheet1'!$L$16"}</definedName>
    <definedName name="PL04TSQD" localSheetId="2" hidden="1">{"'Sheet1'!$L$16"}</definedName>
    <definedName name="PL04TSQD" localSheetId="0" hidden="1">{"'Sheet1'!$L$16"}</definedName>
    <definedName name="PL04TSQD" hidden="1">{"'Sheet1'!$L$16"}</definedName>
    <definedName name="PLm">#REF!</definedName>
    <definedName name="PLs">#REF!</definedName>
    <definedName name="PM">[11]IBASE!$AH$16:$AV$110</definedName>
    <definedName name="power_ini">#REF!</definedName>
    <definedName name="PowerCord">[6]DATA!#REF!</definedName>
    <definedName name="pr" localSheetId="1">#REF!</definedName>
    <definedName name="pr" localSheetId="2">#REF!</definedName>
    <definedName name="pr" localSheetId="0">#REF!</definedName>
    <definedName name="pr">#REF!</definedName>
    <definedName name="PRICE" localSheetId="1">#REF!</definedName>
    <definedName name="PRICE" localSheetId="2">#REF!</definedName>
    <definedName name="PRICE" localSheetId="0">#REF!</definedName>
    <definedName name="PRICE">#REF!</definedName>
    <definedName name="PRICE1" localSheetId="1">#REF!</definedName>
    <definedName name="PRICE1" localSheetId="2">#REF!</definedName>
    <definedName name="PRICE1" localSheetId="0">#REF!</definedName>
    <definedName name="PRICE1">#REF!</definedName>
    <definedName name="prin_area">#REF!</definedName>
    <definedName name="_xlnm.Print_Area" localSheetId="2">'4.LươngKS'!$A$1:$H$19</definedName>
    <definedName name="Print_Area_MI">[12]ESTI.!$A$1:$U$52</definedName>
    <definedName name="Print_Titles_MI" localSheetId="1">#REF!</definedName>
    <definedName name="Print_Titles_MI" localSheetId="2">#REF!</definedName>
    <definedName name="Print_Titles_MI" localSheetId="0">#REF!</definedName>
    <definedName name="Print_Titles_MI">#REF!</definedName>
    <definedName name="PRINTA" localSheetId="1">#REF!</definedName>
    <definedName name="PRINTA" localSheetId="2">#REF!</definedName>
    <definedName name="PRINTA" localSheetId="0">#REF!</definedName>
    <definedName name="PRINTA">#REF!</definedName>
    <definedName name="PRINTB">#REF!</definedName>
    <definedName name="PRINTC">#REF!</definedName>
    <definedName name="ProdForm" hidden="1">#REF!</definedName>
    <definedName name="Product" hidden="1">#REF!</definedName>
    <definedName name="PROPOSAL">#REF!</definedName>
    <definedName name="PT_Duong">#REF!</definedName>
    <definedName name="PTC">#REF!</definedName>
    <definedName name="PTD">#REF!</definedName>
    <definedName name="ptdg">#REF!</definedName>
    <definedName name="PTDG_cau">#REF!</definedName>
    <definedName name="ptdg_cong">#REF!</definedName>
    <definedName name="PTDG_DCV">#REF!</definedName>
    <definedName name="ptdg_duong">#REF!</definedName>
    <definedName name="PTDGBPTC">#REF!</definedName>
    <definedName name="ptdgc">#REF!</definedName>
    <definedName name="ptdgcd">#REF!</definedName>
    <definedName name="ptdgcdt">#REF!</definedName>
    <definedName name="ptdgd">#REF!</definedName>
    <definedName name="ptdggc">#REF!</definedName>
    <definedName name="ptdghg">#REF!</definedName>
    <definedName name="ptdgnv">#REF!</definedName>
    <definedName name="PtokN">#REF!</definedName>
    <definedName name="Pu">#REF!</definedName>
    <definedName name="pvd">#REF!</definedName>
    <definedName name="pw">#REF!</definedName>
    <definedName name="phai" localSheetId="1" hidden="1">{"'Sheet1'!$L$16"}</definedName>
    <definedName name="phai" localSheetId="2" hidden="1">{"'Sheet1'!$L$16"}</definedName>
    <definedName name="phai" localSheetId="0" hidden="1">{"'Sheet1'!$L$16"}</definedName>
    <definedName name="phai" hidden="1">{"'Sheet1'!$L$16"}</definedName>
    <definedName name="phainop">#REF!</definedName>
    <definedName name="PHAN_DIEN_DZ0.4KV">#REF!</definedName>
    <definedName name="PHAN_DIEN_TBA">#REF!</definedName>
    <definedName name="PHAN_MUA_SAM_DZ0.4KV">#REF!</definedName>
    <definedName name="phanloaiYC">[10]Cate!$B$33:$B$37</definedName>
    <definedName name="phu_luc_vua">#REF!</definedName>
    <definedName name="phugia">#REF!</definedName>
    <definedName name="qc">#REF!</definedName>
    <definedName name="qew5r4et" localSheetId="1" hidden="1">{"'Sheet1'!$L$16"}</definedName>
    <definedName name="qew5r4et" localSheetId="2" hidden="1">{"'Sheet1'!$L$16"}</definedName>
    <definedName name="qew5r4et" localSheetId="0" hidden="1">{"'Sheet1'!$L$16"}</definedName>
    <definedName name="qew5r4et" hidden="1">{"'Sheet1'!$L$16"}</definedName>
    <definedName name="qh">#REF!</definedName>
    <definedName name="ql">#REF!</definedName>
    <definedName name="qp">#REF!</definedName>
    <definedName name="qtdm">#REF!</definedName>
    <definedName name="QtuÊn">#N/A</definedName>
    <definedName name="qx">#REF!</definedName>
    <definedName name="qy">#REF!</definedName>
    <definedName name="qu">#REF!</definedName>
    <definedName name="quy" localSheetId="1" hidden="1">{"'Sheet1'!$L$16"}</definedName>
    <definedName name="quy" localSheetId="2" hidden="1">{"'Sheet1'!$L$16"}</definedName>
    <definedName name="quy" localSheetId="0" hidden="1">{"'Sheet1'!$L$16"}</definedName>
    <definedName name="quy" hidden="1">{"'Sheet1'!$L$16"}</definedName>
    <definedName name="r_">#REF!</definedName>
    <definedName name="ra11p">#REF!</definedName>
    <definedName name="ra13p">#REF!</definedName>
    <definedName name="rate">14000</definedName>
    <definedName name="RCArea" hidden="1">#REF!</definedName>
    <definedName name="rche">#REF!</definedName>
    <definedName name="_xlnm.Recorder">#REF!</definedName>
    <definedName name="RECOUT">#N/A</definedName>
    <definedName name="rfhfgjfgjgfjfjfh" localSheetId="1" hidden="1">{"'Sheet1'!$L$16"}</definedName>
    <definedName name="rfhfgjfgjgfjfjfh" localSheetId="2" hidden="1">{"'Sheet1'!$L$16"}</definedName>
    <definedName name="rfhfgjfgjgfjfjfh" localSheetId="0" hidden="1">{"'Sheet1'!$L$16"}</definedName>
    <definedName name="rfhfgjfgjgfjfjfh" hidden="1">{"'Sheet1'!$L$16"}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gdf" localSheetId="1" hidden="1">{"'Sheet1'!$L$16"}</definedName>
    <definedName name="rgdf" localSheetId="2" hidden="1">{"'Sheet1'!$L$16"}</definedName>
    <definedName name="rgdf" localSheetId="0" hidden="1">{"'Sheet1'!$L$16"}</definedName>
    <definedName name="rgdf" hidden="1">{"'Sheet1'!$L$16"}</definedName>
    <definedName name="Rnp">#REF!</definedName>
    <definedName name="RPLA" localSheetId="1" hidden="1">{"'Sheet1'!$L$16"}</definedName>
    <definedName name="RPLA" localSheetId="2" hidden="1">{"'Sheet1'!$L$16"}</definedName>
    <definedName name="RPLA" localSheetId="0" hidden="1">{"'Sheet1'!$L$16"}</definedName>
    <definedName name="RPLA" hidden="1">{"'Sheet1'!$L$16"}</definedName>
    <definedName name="RT">'[1]COAT&amp;WRAP-QIOT-#3'!#REF!</definedName>
    <definedName name="rthan">#REF!</definedName>
    <definedName name="Ru">#REF!</definedName>
    <definedName name="s" localSheetId="1" hidden="1">{"'Sheet1'!$L$16"}</definedName>
    <definedName name="s" localSheetId="2" hidden="1">{"'Sheet1'!$L$16"}</definedName>
    <definedName name="s" localSheetId="0" hidden="1">{"'Sheet1'!$L$16"}</definedName>
    <definedName name="s" hidden="1">{"'Sheet1'!$L$16"}</definedName>
    <definedName name="s.">#REF!</definedName>
    <definedName name="sadf">#N/A</definedName>
    <definedName name="sand">#REF!</definedName>
    <definedName name="SAPBEXrevision" hidden="1">7</definedName>
    <definedName name="SAPBEXsysID" hidden="1">"P57"</definedName>
    <definedName name="SAPBEXwbID" hidden="1">"3JX5BV41R2KVEX9FV6LB6ZNYC"</definedName>
    <definedName name="satu">#REF!</definedName>
    <definedName name="SB">[11]IBASE!$AH$7:$AL$14</definedName>
    <definedName name="scao98">#REF!</definedName>
    <definedName name="SCT">#REF!</definedName>
    <definedName name="SCH">#REF!</definedName>
    <definedName name="sd">[6]DATA!#REF!</definedName>
    <definedName name="sd1p" localSheetId="1">#REF!</definedName>
    <definedName name="sd1p" localSheetId="2">#REF!</definedName>
    <definedName name="sd1p" localSheetId="0">#REF!</definedName>
    <definedName name="sd1p">#REF!</definedName>
    <definedName name="sdaf">#N/A</definedName>
    <definedName name="sdas">#N/A</definedName>
    <definedName name="sdcsd" localSheetId="1" hidden="1">{"'Sheet1'!$L$16"}</definedName>
    <definedName name="sdcsd" localSheetId="2" hidden="1">{"'Sheet1'!$L$16"}</definedName>
    <definedName name="sdcsd" localSheetId="0" hidden="1">{"'Sheet1'!$L$16"}</definedName>
    <definedName name="sdcsd" hidden="1">{"'Sheet1'!$L$16"}</definedName>
    <definedName name="sdf" localSheetId="1" hidden="1">{"'Sheet1'!$L$16"}</definedName>
    <definedName name="sdf" localSheetId="2" hidden="1">{"'Sheet1'!$L$16"}</definedName>
    <definedName name="sdf" localSheetId="0" hidden="1">{"'Sheet1'!$L$16"}</definedName>
    <definedName name="sdf" hidden="1">{"'Sheet1'!$L$16"}</definedName>
    <definedName name="sdfsd">'[1]PNT-QUOT-#3'!#REF!</definedName>
    <definedName name="SDMONG">#REF!</definedName>
    <definedName name="sencount" hidden="1">2</definedName>
    <definedName name="sfds">#N/A</definedName>
    <definedName name="sh">#REF!</definedName>
    <definedName name="SHDGC">#REF!</definedName>
    <definedName name="SHDGD">#REF!</definedName>
    <definedName name="Sheet1">#REF!</definedName>
    <definedName name="sheet2" localSheetId="1" hidden="1">{"'Sheet1'!$L$16"}</definedName>
    <definedName name="sheet2" localSheetId="2" hidden="1">{"'Sheet1'!$L$16"}</definedName>
    <definedName name="sheet2" localSheetId="0" hidden="1">{"'Sheet1'!$L$16"}</definedName>
    <definedName name="sheet2" hidden="1">{"'Sheet1'!$L$16"}</definedName>
    <definedName name="sho">#REF!</definedName>
    <definedName name="SHPC">#REF!</definedName>
    <definedName name="SHPD">#REF!</definedName>
    <definedName name="sht1p">#REF!</definedName>
    <definedName name="sieucao">#REF!</definedName>
    <definedName name="sika">#REF!</definedName>
    <definedName name="sin">#REF!</definedName>
    <definedName name="SIZE">#REF!</definedName>
    <definedName name="skadjf">#N/A</definedName>
    <definedName name="SL">#REF!</definedName>
    <definedName name="SL_CRD">#REF!</definedName>
    <definedName name="SL_CRS">#REF!</definedName>
    <definedName name="SL_CS">#REF!</definedName>
    <definedName name="SL_DD">#REF!</definedName>
    <definedName name="sn">#REF!</definedName>
    <definedName name="So_Xau">#N/A</definedName>
    <definedName name="soc3p">#REF!</definedName>
    <definedName name="SoHT">1</definedName>
    <definedName name="Soi">#REF!</definedName>
    <definedName name="Soichon">#REF!</definedName>
    <definedName name="soichon12">#REF!</definedName>
    <definedName name="soichon24">#REF!</definedName>
    <definedName name="Soichon2x4">#REF!</definedName>
    <definedName name="soichon46">#REF!</definedName>
    <definedName name="SoilType">#REF!</definedName>
    <definedName name="SoilType_">#REF!</definedName>
    <definedName name="solieu">#REF!</definedName>
    <definedName name="son">#REF!</definedName>
    <definedName name="SORT">#REF!</definedName>
    <definedName name="SORT_AREA">'[12]DI-ESTI'!$A$8:$R$489</definedName>
    <definedName name="SourceActorRange" localSheetId="1">#REF!</definedName>
    <definedName name="SourceActorRange" localSheetId="2">#REF!</definedName>
    <definedName name="SourceActorRange" localSheetId="0">#REF!</definedName>
    <definedName name="SourceActorRange">#REF!</definedName>
    <definedName name="SourceUseCaseRange" localSheetId="1">#REF!</definedName>
    <definedName name="SourceUseCaseRange" localSheetId="2">#REF!</definedName>
    <definedName name="SourceUseCaseRange" localSheetId="0">#REF!</definedName>
    <definedName name="SourceUseCaseRange">#REF!</definedName>
    <definedName name="SoXau">#N/A</definedName>
    <definedName name="SP" localSheetId="1">'[1]PNT-QUOT-#3'!#REF!</definedName>
    <definedName name="SP" localSheetId="2">'[1]PNT-QUOT-#3'!#REF!</definedName>
    <definedName name="SP" localSheetId="0">'[1]PNT-QUOT-#3'!#REF!</definedName>
    <definedName name="SP">'[1]PNT-QUOT-#3'!#REF!</definedName>
    <definedName name="sp_uprice" localSheetId="1">#REF!</definedName>
    <definedName name="sp_uprice" localSheetId="2">#REF!</definedName>
    <definedName name="sp_uprice" localSheetId="0">#REF!</definedName>
    <definedName name="sp_uprice">#REF!</definedName>
    <definedName name="Spanner_Auto_File">"C:\My Documents\tinh cdo.x2a"</definedName>
    <definedName name="SPEC">#REF!</definedName>
    <definedName name="SpecialPrice" hidden="1">#REF!</definedName>
    <definedName name="SPECSUMMARY">#REF!</definedName>
    <definedName name="spk1p">#REF!</definedName>
    <definedName name="SQDKT10">#REF!</definedName>
    <definedName name="SQDKT11">#REF!</definedName>
    <definedName name="SQDKT9">#REF!</definedName>
    <definedName name="srbn" localSheetId="1">{"Thuxm2.xls","Sheet1"}</definedName>
    <definedName name="srbn" localSheetId="2">{"Thuxm2.xls","Sheet1"}</definedName>
    <definedName name="srbn" localSheetId="0">{"Thuxm2.xls","Sheet1"}</definedName>
    <definedName name="srbn">{"Thuxm2.xls","Sheet1"}</definedName>
    <definedName name="SRSQI">#REF!</definedName>
    <definedName name="srtg">#REF!</definedName>
    <definedName name="ss">#N/A</definedName>
    <definedName name="ssd" localSheetId="1" hidden="1">{"Offgrid",#N/A,FALSE,"OFFGRID";"Region",#N/A,FALSE,"REGION";"Offgrid -2",#N/A,FALSE,"OFFGRID";"WTP",#N/A,FALSE,"WTP";"WTP -2",#N/A,FALSE,"WTP";"Project",#N/A,FALSE,"PROJECT";"Summary -2",#N/A,FALSE,"SUMMARY"}</definedName>
    <definedName name="ssd" localSheetId="2" hidden="1">{"Offgrid",#N/A,FALSE,"OFFGRID";"Region",#N/A,FALSE,"REGION";"Offgrid -2",#N/A,FALSE,"OFFGRID";"WTP",#N/A,FALSE,"WTP";"WTP -2",#N/A,FALSE,"WTP";"Project",#N/A,FALSE,"PROJECT";"Summary -2",#N/A,FALSE,"SUMMARY"}</definedName>
    <definedName name="ssd" localSheetId="0" hidden="1">{"Offgrid",#N/A,FALSE,"OFFGRID";"Region",#N/A,FALSE,"REGION";"Offgrid -2",#N/A,FALSE,"OFFGRID";"WTP",#N/A,FALSE,"WTP";"WTP -2",#N/A,FALSE,"WTP";"Project",#N/A,FALSE,"PROJECT";"Summary -2",#N/A,FALSE,"SUMMARY"}</definedName>
    <definedName name="ssd" hidden="1">{"Offgrid",#N/A,FALSE,"OFFGRID";"Region",#N/A,FALSE,"REGION";"Offgrid -2",#N/A,FALSE,"OFFGRID";"WTP",#N/A,FALSE,"WTP";"WTP -2",#N/A,FALSE,"WTP";"Project",#N/A,FALSE,"PROJECT";"Summary -2",#N/A,FALSE,"SUMMARY"}</definedName>
    <definedName name="sss" localSheetId="1" hidden="1">{"'Sheet1'!$L$16"}</definedName>
    <definedName name="sss" localSheetId="2" hidden="1">{"'Sheet1'!$L$16"}</definedName>
    <definedName name="sss" localSheetId="0" hidden="1">{"'Sheet1'!$L$16"}</definedName>
    <definedName name="sss" hidden="1">{"'Sheet1'!$L$16"}</definedName>
    <definedName name="sssd" localSheetId="1" hidden="1">{#N/A,#N/A,FALSE,"Chi tiÆt"}</definedName>
    <definedName name="sssd" localSheetId="2" hidden="1">{#N/A,#N/A,FALSE,"Chi tiÆt"}</definedName>
    <definedName name="sssd" localSheetId="0" hidden="1">{#N/A,#N/A,FALSE,"Chi tiÆt"}</definedName>
    <definedName name="sssd" hidden="1">{#N/A,#N/A,FALSE,"Chi tiÆt"}</definedName>
    <definedName name="ST">#REF!</definedName>
    <definedName name="st1p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tus">#REF!</definedName>
    <definedName name="Stt">#REF!</definedName>
    <definedName name="su">#REF!</definedName>
    <definedName name="sub">#REF!</definedName>
    <definedName name="Subbase" localSheetId="1" hidden="1">{"'Sheet1'!$L$16"}</definedName>
    <definedName name="Subbase" localSheetId="2" hidden="1">{"'Sheet1'!$L$16"}</definedName>
    <definedName name="Subbase" localSheetId="0" hidden="1">{"'Sheet1'!$L$16"}</definedName>
    <definedName name="Subbase" hidden="1">{"'Sheet1'!$L$16"}</definedName>
    <definedName name="SUM" localSheetId="1">#REF!,#REF!</definedName>
    <definedName name="SUM" localSheetId="2">#REF!,#REF!</definedName>
    <definedName name="SUM" localSheetId="0">#REF!,#REF!</definedName>
    <definedName name="SUM">#REF!,#REF!</definedName>
    <definedName name="SUMMARY" localSheetId="1">#REF!</definedName>
    <definedName name="SUMMARY" localSheetId="2">#REF!</definedName>
    <definedName name="SUMMARY" localSheetId="0">#REF!</definedName>
    <definedName name="SUMMARY">#REF!</definedName>
    <definedName name="sumTB" localSheetId="2">#REF!</definedName>
    <definedName name="sumTB">#REF!</definedName>
    <definedName name="sumXL" localSheetId="2">#REF!</definedName>
    <definedName name="sumXL">#REF!</definedName>
    <definedName name="sur">#REF!</definedName>
    <definedName name="svfdfh" localSheetId="1" hidden="1">{"'Summary'!$A$1:$J$46"}</definedName>
    <definedName name="svfdfh" localSheetId="2" hidden="1">{"'Summary'!$A$1:$J$46"}</definedName>
    <definedName name="svfdfh" localSheetId="0" hidden="1">{"'Summary'!$A$1:$J$46"}</definedName>
    <definedName name="svfdfh" hidden="1">{"'Summary'!$A$1:$J$46"}</definedName>
    <definedName name="sx">#N/A</definedName>
    <definedName name="t101p">#REF!</definedName>
    <definedName name="t103p">#REF!</definedName>
    <definedName name="t10nc1p">#REF!</definedName>
    <definedName name="T10vc">#REF!</definedName>
    <definedName name="t10vl1p">#REF!</definedName>
    <definedName name="t121p">#REF!</definedName>
    <definedName name="t123p">#REF!</definedName>
    <definedName name="T12vc">#REF!</definedName>
    <definedName name="t141p">#REF!</definedName>
    <definedName name="t143p">#REF!</definedName>
    <definedName name="t14nc3p">#REF!</definedName>
    <definedName name="t14vl3p">#REF!</definedName>
    <definedName name="TAMTINH">#REF!</definedName>
    <definedName name="tarcb_total">#REF!</definedName>
    <definedName name="tarcb_total2">#REF!</definedName>
    <definedName name="taup_total">#REF!</definedName>
    <definedName name="tavet">#REF!</definedName>
    <definedName name="TAW">'[5]Appendix 3'!$F$8</definedName>
    <definedName name="Tax" localSheetId="1">#REF!</definedName>
    <definedName name="Tax" localSheetId="2">#REF!</definedName>
    <definedName name="Tax" localSheetId="0">#REF!</definedName>
    <definedName name="Tax">#REF!</definedName>
    <definedName name="TaxTV">10%</definedName>
    <definedName name="TaxXL">5%</definedName>
    <definedName name="TB">[13]ThietBi!$J$26</definedName>
    <definedName name="TBA" localSheetId="1">#REF!</definedName>
    <definedName name="TBA" localSheetId="2">#REF!</definedName>
    <definedName name="TBA" localSheetId="0">#REF!</definedName>
    <definedName name="TBA">#REF!</definedName>
    <definedName name="TBCLS">#N/A</definedName>
    <definedName name="TBF">'[5]Appendix 4'!$E$18</definedName>
    <definedName name="tbimoi" localSheetId="1" hidden="1">{"Offgrid",#N/A,FALSE,"OFFGRID";"Region",#N/A,FALSE,"REGION";"Offgrid -2",#N/A,FALSE,"OFFGRID";"WTP",#N/A,FALSE,"WTP";"WTP -2",#N/A,FALSE,"WTP";"Project",#N/A,FALSE,"PROJECT";"Summary -2",#N/A,FALSE,"SUMMARY"}</definedName>
    <definedName name="tbimoi" localSheetId="2" hidden="1">{"Offgrid",#N/A,FALSE,"OFFGRID";"Region",#N/A,FALSE,"REGION";"Offgrid -2",#N/A,FALSE,"OFFGRID";"WTP",#N/A,FALSE,"WTP";"WTP -2",#N/A,FALSE,"WTP";"Project",#N/A,FALSE,"PROJECT";"Summary -2",#N/A,FALSE,"SUMMARY"}</definedName>
    <definedName name="tbimoi" localSheetId="0" hidden="1">{"Offgrid",#N/A,FALSE,"OFFGRID";"Region",#N/A,FALSE,"REGION";"Offgrid -2",#N/A,FALSE,"OFFGRID";"WTP",#N/A,FALSE,"WTP";"WTP -2",#N/A,FALSE,"WTP";"Project",#N/A,FALSE,"PROJECT";"Summary -2",#N/A,FALSE,"SUMMARY"}</definedName>
    <definedName name="tbimoi" hidden="1">{"Offgrid",#N/A,FALSE,"OFFGRID";"Region",#N/A,FALSE,"REGION";"Offgrid -2",#N/A,FALSE,"OFFGRID";"WTP",#N/A,FALSE,"WTP";"WTP -2",#N/A,FALSE,"WTP";"Project",#N/A,FALSE,"PROJECT";"Summary -2",#N/A,FALSE,"SUMMARY"}</definedName>
    <definedName name="tbl_ProdInfo" hidden="1">#REF!</definedName>
    <definedName name="tbtram">#REF!</definedName>
    <definedName name="TBXD">#REF!</definedName>
    <definedName name="TC_NHANH1">#REF!</definedName>
    <definedName name="TCF">#REF!</definedName>
    <definedName name="Tchuan">#REF!</definedName>
    <definedName name="td10vl">#REF!</definedName>
    <definedName name="td12nc">#REF!</definedName>
    <definedName name="TD12vl">#REF!</definedName>
    <definedName name="td1p">#REF!</definedName>
    <definedName name="TD1p1nc">#REF!</definedName>
    <definedName name="td1p1vc">#REF!</definedName>
    <definedName name="TD1p1vl">#REF!</definedName>
    <definedName name="td3p">#REF!</definedName>
    <definedName name="TDctnc">#REF!</definedName>
    <definedName name="TDctvc">#REF!</definedName>
    <definedName name="TDctvl">#REF!</definedName>
    <definedName name="tdia">#REF!</definedName>
    <definedName name="tdnc1p">#REF!</definedName>
    <definedName name="tdt">#REF!</definedName>
    <definedName name="tdtr2cnc">#REF!</definedName>
    <definedName name="tdtr2cvl">#REF!</definedName>
    <definedName name="tdvl1p">#REF!</definedName>
    <definedName name="tem" localSheetId="1" hidden="1">{"'Sheet1'!$L$16"}</definedName>
    <definedName name="tem" localSheetId="2" hidden="1">{"'Sheet1'!$L$16"}</definedName>
    <definedName name="tem" localSheetId="0" hidden="1">{"'Sheet1'!$L$16"}</definedName>
    <definedName name="tem" hidden="1">{"'Sheet1'!$L$16"}</definedName>
    <definedName name="tencs">#REF!</definedName>
    <definedName name="TenNgam">#REF!</definedName>
    <definedName name="TenTreo">#REF!</definedName>
    <definedName name="test1">#REF!</definedName>
    <definedName name="TFW">#REF!</definedName>
    <definedName name="tg">#N/A</definedName>
    <definedName name="Tien">#REF!</definedName>
    <definedName name="TIENLUONG">#REF!</definedName>
    <definedName name="Tiepdiama">9500</definedName>
    <definedName name="TIEU_HAO_VAT_TU_DZ0.4KV">#REF!</definedName>
    <definedName name="TIEU_HAO_VAT_TU_DZ22KV">#REF!</definedName>
    <definedName name="TIEU_HAO_VAT_TU_TBA">#REF!</definedName>
    <definedName name="tigia">[14]Sheet1!$J$2</definedName>
    <definedName name="Tim_cong" localSheetId="1">#REF!</definedName>
    <definedName name="Tim_cong" localSheetId="2">#REF!</definedName>
    <definedName name="Tim_cong" localSheetId="0">#REF!</definedName>
    <definedName name="Tim_cong">#REF!</definedName>
    <definedName name="tim_lan_xuat_hien" localSheetId="1">#REF!</definedName>
    <definedName name="tim_lan_xuat_hien" localSheetId="2">#REF!</definedName>
    <definedName name="tim_lan_xuat_hien" localSheetId="0">#REF!</definedName>
    <definedName name="tim_lan_xuat_hien">#REF!</definedName>
    <definedName name="tim_xuat_hien" localSheetId="1">#REF!</definedName>
    <definedName name="tim_xuat_hien" localSheetId="2">#REF!</definedName>
    <definedName name="tim_xuat_hien" localSheetId="0">#REF!</definedName>
    <definedName name="tim_xuat_hien">#REF!</definedName>
    <definedName name="TITAN">#REF!</definedName>
    <definedName name="tk">#N/A</definedName>
    <definedName name="tke">#N/A</definedName>
    <definedName name="TKP">#REF!</definedName>
    <definedName name="TKT">#REF!</definedName>
    <definedName name="TL">#REF!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e">#REF!</definedName>
    <definedName name="tlntt">#REF!</definedName>
    <definedName name="TLTT_KHO1">#REF!</definedName>
    <definedName name="TLTT_UOT1">#REF!</definedName>
    <definedName name="TLTT_UOT2">#REF!</definedName>
    <definedName name="TLTT_UOT3">#REF!</definedName>
    <definedName name="TLTT_UOT4">#REF!</definedName>
    <definedName name="TLTT_UOT5">#REF!</definedName>
    <definedName name="TLTT_UOT6">#REF!</definedName>
    <definedName name="TLTT_UOT7">#REF!</definedName>
    <definedName name="TM">#N/A</definedName>
    <definedName name="TMM">#N/A</definedName>
    <definedName name="TNDN">#REF!</definedName>
    <definedName name="Toanbo">#REF!</definedName>
    <definedName name="Tong_co">#REF!</definedName>
    <definedName name="TONG_GIA_TRI_CONG_TRINH">#REF!</definedName>
    <definedName name="TONG_HOP_THI_NGHIEM_DZ0.4KV">#REF!</definedName>
    <definedName name="TONG_HOP_THI_NGHIEM_DZ22KV">#REF!</definedName>
    <definedName name="TONG_KE_TBA">#REF!</definedName>
    <definedName name="Tong_no">#REF!</definedName>
    <definedName name="TONGDUTOAN">#REF!</definedName>
    <definedName name="TOYOTA">#REF!</definedName>
    <definedName name="TPLRP">#REF!</definedName>
    <definedName name="ts">#REF!</definedName>
    <definedName name="tsI">#REF!</definedName>
    <definedName name="tstndn">#REF!</definedName>
    <definedName name="tt">#REF!</definedName>
    <definedName name="TT_1P">#REF!</definedName>
    <definedName name="TT_3p">#REF!</definedName>
    <definedName name="TTDD1P">#REF!</definedName>
    <definedName name="TTDKKH">#REF!</definedName>
    <definedName name="TTN">#REF!</definedName>
    <definedName name="TTHBCMTDKQII">#REF!</definedName>
    <definedName name="TTHBCMTDKT5">#REF!</definedName>
    <definedName name="TTHBCMTQI">#REF!</definedName>
    <definedName name="TTHBCMTT4">#REF!</definedName>
    <definedName name="tthi">#REF!</definedName>
    <definedName name="ttronmk">#REF!</definedName>
    <definedName name="tudc">#REF!</definedName>
    <definedName name="tuyennhanh" localSheetId="1" hidden="1">{"'Sheet1'!$L$16"}</definedName>
    <definedName name="tuyennhanh" localSheetId="2" hidden="1">{"'Sheet1'!$L$16"}</definedName>
    <definedName name="tuyennhanh" localSheetId="0" hidden="1">{"'Sheet1'!$L$16"}</definedName>
    <definedName name="tuyennhanh" hidden="1">{"'Sheet1'!$L$16"}</definedName>
    <definedName name="Tuyenquang">#REF!</definedName>
    <definedName name="tuyequang">#REF!</definedName>
    <definedName name="tuynen" localSheetId="1" hidden="1">{"'Sheet1'!$L$16"}</definedName>
    <definedName name="tuynen" localSheetId="2" hidden="1">{"'Sheet1'!$L$16"}</definedName>
    <definedName name="tuynen" localSheetId="0" hidden="1">{"'Sheet1'!$L$16"}</definedName>
    <definedName name="tuynen" hidden="1">{"'Sheet1'!$L$16"}</definedName>
    <definedName name="tv75nc">#REF!</definedName>
    <definedName name="tv75vl">#REF!</definedName>
    <definedName name="tvl">#REF!</definedName>
    <definedName name="Ty_gia">#REF!</definedName>
    <definedName name="Ty_gia_yen">#REF!</definedName>
    <definedName name="ty_le">#REF!</definedName>
    <definedName name="Ty_Le_1">#REF!</definedName>
    <definedName name="ty_le_BTN">#REF!</definedName>
    <definedName name="Ty_le1">#REF!</definedName>
    <definedName name="TYERT" localSheetId="1" hidden="1">{#N/A,#N/A,FALSE,"Chi tiÆt"}</definedName>
    <definedName name="TYERT" localSheetId="2" hidden="1">{#N/A,#N/A,FALSE,"Chi tiÆt"}</definedName>
    <definedName name="TYERT" localSheetId="0" hidden="1">{#N/A,#N/A,FALSE,"Chi tiÆt"}</definedName>
    <definedName name="TYERT" hidden="1">{#N/A,#N/A,FALSE,"Chi tiÆt"}</definedName>
    <definedName name="tha" localSheetId="1" hidden="1">{"'Sheet1'!$L$16"}</definedName>
    <definedName name="tha" localSheetId="2" hidden="1">{"'Sheet1'!$L$16"}</definedName>
    <definedName name="tha" localSheetId="0" hidden="1">{"'Sheet1'!$L$16"}</definedName>
    <definedName name="tha" hidden="1">{"'Sheet1'!$L$16"}</definedName>
    <definedName name="THAN" localSheetId="1" hidden="1">{"'Sheet1'!$L$16"}</definedName>
    <definedName name="THAN" localSheetId="2" hidden="1">{"'Sheet1'!$L$16"}</definedName>
    <definedName name="THAN" localSheetId="0" hidden="1">{"'Sheet1'!$L$16"}</definedName>
    <definedName name="THAN" hidden="1">{"'Sheet1'!$L$16"}</definedName>
    <definedName name="THANH" localSheetId="1" hidden="1">{"'Sheet1'!$L$16"}</definedName>
    <definedName name="THANH" localSheetId="2" hidden="1">{"'Sheet1'!$L$16"}</definedName>
    <definedName name="THANH" localSheetId="0" hidden="1">{"'Sheet1'!$L$16"}</definedName>
    <definedName name="THANH" hidden="1">{"'Sheet1'!$L$16"}</definedName>
    <definedName name="thanhchong">#REF!</definedName>
    <definedName name="thdt">#REF!</definedName>
    <definedName name="THDT_CT_XOM_NOI">#REF!</definedName>
    <definedName name="THDT_HT_DAO_THUONG">#REF!</definedName>
    <definedName name="THDT_HT_XOM_NOI">#REF!</definedName>
    <definedName name="THDT_NPP_XOM_NOI">#REF!</definedName>
    <definedName name="THDT_TBA_XOM_NOI">#REF!</definedName>
    <definedName name="the">#N/A</definedName>
    <definedName name="thep10">#REF!</definedName>
    <definedName name="thep18">#REF!</definedName>
    <definedName name="thep20">#REF!</definedName>
    <definedName name="thepban">#REF!</definedName>
    <definedName name="thepci">#REF!</definedName>
    <definedName name="thepci8">#REF!</definedName>
    <definedName name="thepcii">#REF!</definedName>
    <definedName name="thepgoc25_60">#REF!</definedName>
    <definedName name="thepgoc63_75">#REF!</definedName>
    <definedName name="thepgoc80_100">#REF!</definedName>
    <definedName name="thepma">10500</definedName>
    <definedName name="thept">#REF!</definedName>
    <definedName name="thepto">#REF!</definedName>
    <definedName name="theptron12">#REF!</definedName>
    <definedName name="theptron14_22">#REF!</definedName>
    <definedName name="theptron6_8">#REF!</definedName>
    <definedName name="thg">#REF!</definedName>
    <definedName name="THGO1pnc">#REF!</definedName>
    <definedName name="thh">#REF!</definedName>
    <definedName name="thht">#REF!</definedName>
    <definedName name="THI">#REF!</definedName>
    <definedName name="THK">'[1]COAT&amp;WRAP-QIOT-#3'!#REF!</definedName>
    <definedName name="thkp3">#REF!</definedName>
    <definedName name="thng" localSheetId="1" hidden="1">{#N/A,#N/A,FALSE,"Chi tiÆt"}</definedName>
    <definedName name="thng" localSheetId="2" hidden="1">{#N/A,#N/A,FALSE,"Chi tiÆt"}</definedName>
    <definedName name="thng" localSheetId="0" hidden="1">{#N/A,#N/A,FALSE,"Chi tiÆt"}</definedName>
    <definedName name="thng" hidden="1">{#N/A,#N/A,FALSE,"Chi tiÆt"}</definedName>
    <definedName name="THT">#REF!</definedName>
    <definedName name="thtt">#REF!</definedName>
    <definedName name="thu" localSheetId="1" hidden="1">{"'Sheet1'!$L$16"}</definedName>
    <definedName name="thu" localSheetId="2" hidden="1">{"'Sheet1'!$L$16"}</definedName>
    <definedName name="thu" localSheetId="0" hidden="1">{"'Sheet1'!$L$16"}</definedName>
    <definedName name="thu" hidden="1">{"'Sheet1'!$L$16"}</definedName>
    <definedName name="thue">#REF!</definedName>
    <definedName name="thuy" localSheetId="1" hidden="1">{"'Sheet1'!$L$16"}</definedName>
    <definedName name="thuy" localSheetId="2" hidden="1">{"'Sheet1'!$L$16"}</definedName>
    <definedName name="thuy" localSheetId="0" hidden="1">{"'Sheet1'!$L$16"}</definedName>
    <definedName name="thuy" hidden="1">{"'Sheet1'!$L$16"}</definedName>
    <definedName name="Tra_Cot">#REF!</definedName>
    <definedName name="Tra_DM_su_dung">#REF!</definedName>
    <definedName name="Tra_don_gia_KS">#REF!</definedName>
    <definedName name="Tra_DTCT">#REF!</definedName>
    <definedName name="Tra_gtxl_cong">#REF!</definedName>
    <definedName name="Tra_ten_cong">#REF!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_VAT_LIEU">#REF!</definedName>
    <definedName name="TRA_VL">#REF!</definedName>
    <definedName name="traA103">#REF!</definedName>
    <definedName name="TRADE2">#REF!</definedName>
    <definedName name="tramatcong1">#REF!</definedName>
    <definedName name="tramatcong2">#REF!</definedName>
    <definedName name="tranhietdo">#REF!</definedName>
    <definedName name="TRAvH">#REF!</definedName>
    <definedName name="TRAVL">#REF!</definedName>
    <definedName name="TRISO">#REF!</definedName>
    <definedName name="trt">#REF!</definedName>
    <definedName name="truc" localSheetId="1" hidden="1">{"'Sheet1'!$L$16"}</definedName>
    <definedName name="truc" localSheetId="2" hidden="1">{"'Sheet1'!$L$16"}</definedName>
    <definedName name="truc" localSheetId="0" hidden="1">{"'Sheet1'!$L$16"}</definedName>
    <definedName name="truc" hidden="1">{"'Sheet1'!$L$16"}</definedName>
    <definedName name="truck">#REF!</definedName>
    <definedName name="u">#REF!</definedName>
    <definedName name="u_level_price">#REF!</definedName>
    <definedName name="UD_ini">#REF!</definedName>
    <definedName name="ugh">#REF!</definedName>
    <definedName name="UniqueActor">#REF!</definedName>
    <definedName name="UP" localSheetId="1">#REF!,#REF!,#REF!,#REF!,#REF!,#REF!,#REF!,#REF!,#REF!,#REF!,#REF!</definedName>
    <definedName name="UP" localSheetId="2">#REF!,#REF!,#REF!,#REF!,#REF!,#REF!,#REF!,#REF!,#REF!,#REF!,#REF!</definedName>
    <definedName name="UP" localSheetId="0">#REF!,#REF!,#REF!,#REF!,#REF!,#REF!,#REF!,#REF!,#REF!,#REF!,#REF!</definedName>
    <definedName name="UP">#REF!,#REF!,#REF!,#REF!,#REF!,#REF!,#REF!,#REF!,#REF!,#REF!,#REF!</definedName>
    <definedName name="USD" localSheetId="1">#REF!</definedName>
    <definedName name="USD" localSheetId="2">#REF!</definedName>
    <definedName name="USD" localSheetId="0">#REF!</definedName>
    <definedName name="USD">#REF!</definedName>
    <definedName name="USDrate" localSheetId="2">#REF!</definedName>
    <definedName name="USDrate">#REF!</definedName>
    <definedName name="ủtfxurxti" localSheetId="1" hidden="1">{"'Summary'!$A$1:$J$46"}</definedName>
    <definedName name="ủtfxurxti" localSheetId="2" hidden="1">{"'Summary'!$A$1:$J$46"}</definedName>
    <definedName name="ủtfxurxti" localSheetId="0" hidden="1">{"'Summary'!$A$1:$J$46"}</definedName>
    <definedName name="ủtfxurxti" hidden="1">{"'Summary'!$A$1:$J$46"}</definedName>
    <definedName name="UUCP">'[5]Du toan'!$D$8</definedName>
    <definedName name="uyen" localSheetId="1" hidden="1">{#N/A,#N/A,TRUE,"BT M200 da 10x20"}</definedName>
    <definedName name="uyen" localSheetId="2" hidden="1">{#N/A,#N/A,TRUE,"BT M200 da 10x20"}</definedName>
    <definedName name="uyen" localSheetId="0" hidden="1">{#N/A,#N/A,TRUE,"BT M200 da 10x20"}</definedName>
    <definedName name="uyen" hidden="1">{#N/A,#N/A,TRUE,"BT M200 da 10x20"}</definedName>
    <definedName name="ưer">#N/A</definedName>
    <definedName name="V.1">#REF!</definedName>
    <definedName name="V.10">#REF!</definedName>
    <definedName name="V.11">#REF!</definedName>
    <definedName name="V.12">#REF!</definedName>
    <definedName name="V.13">#REF!</definedName>
    <definedName name="V.14">#REF!</definedName>
    <definedName name="V.15">#REF!</definedName>
    <definedName name="V.16">#REF!</definedName>
    <definedName name="V.17">#REF!</definedName>
    <definedName name="V.18">#REF!</definedName>
    <definedName name="V.2">#REF!</definedName>
    <definedName name="V.3">#REF!</definedName>
    <definedName name="V.4">#REF!</definedName>
    <definedName name="V.5">#REF!</definedName>
    <definedName name="V.6">#REF!</definedName>
    <definedName name="V.7">#REF!</definedName>
    <definedName name="V.8">#REF!</definedName>
    <definedName name="V.9">#REF!</definedName>
    <definedName name="V_t_tõ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_CHUYEN_DUONG_DAI_DZ0.4KV">#REF!</definedName>
    <definedName name="VAN_CHUYEN_DUONG_DAI_DZ22KV">#REF!</definedName>
    <definedName name="VAN_CHUYEN_VAT_TU_CHUNG">#REF!</definedName>
    <definedName name="VAN_TRUNG_CHUYEN_VAT_TU_CHUNG">#REF!</definedName>
    <definedName name="VARIINST">#REF!</definedName>
    <definedName name="VARIPURC">#REF!</definedName>
    <definedName name="vat">#REF!</definedName>
    <definedName name="VAT_LIEU_DEN_CHAN_CONG_TRINH">#REF!</definedName>
    <definedName name="vbtchongnuocm300">#REF!</definedName>
    <definedName name="vbtm150">#REF!</definedName>
    <definedName name="vbtm300">#REF!</definedName>
    <definedName name="vbtm400">#REF!</definedName>
    <definedName name="vcbo1" localSheetId="1" hidden="1">{"'Sheet1'!$L$16"}</definedName>
    <definedName name="vcbo1" localSheetId="2" hidden="1">{"'Sheet1'!$L$16"}</definedName>
    <definedName name="vcbo1" localSheetId="0" hidden="1">{"'Sheet1'!$L$16"}</definedName>
    <definedName name="vcbo1" hidden="1">{"'Sheet1'!$L$16"}</definedName>
    <definedName name="VCTT">#REF!</definedName>
    <definedName name="VCHT">#REF!</definedName>
    <definedName name="vd">#REF!</definedName>
    <definedName name="vd3p">#REF!</definedName>
    <definedName name="vk">#REF!</definedName>
    <definedName name="vkcauthang">#REF!</definedName>
    <definedName name="vksan">#REF!</definedName>
    <definedName name="vl">#REF!</definedName>
    <definedName name="VL_RC1">#REF!</definedName>
    <definedName name="VL_RC2">#REF!</definedName>
    <definedName name="VL_Rnha">#REF!</definedName>
    <definedName name="VL_RS">#REF!</definedName>
    <definedName name="vl1p">#REF!</definedName>
    <definedName name="vl3p">#REF!</definedName>
    <definedName name="VLCT3p">#REF!</definedName>
    <definedName name="vldg">#REF!</definedName>
    <definedName name="vldn400">#REF!</definedName>
    <definedName name="vldn600">#REF!</definedName>
    <definedName name="VLIEU">#REF!</definedName>
    <definedName name="VLM">#REF!</definedName>
    <definedName name="vltram">#REF!</definedName>
    <definedName name="vr3p">#REF!</definedName>
    <definedName name="vt">#REF!</definedName>
    <definedName name="Vu">#REF!</definedName>
    <definedName name="VÙ">#REF!</definedName>
    <definedName name="Vu_">#REF!</definedName>
    <definedName name="VVVVVV" localSheetId="1" hidden="1">{"'Sheet1'!$L$16"}</definedName>
    <definedName name="VVVVVV" localSheetId="2" hidden="1">{"'Sheet1'!$L$16"}</definedName>
    <definedName name="VVVVVV" localSheetId="0" hidden="1">{"'Sheet1'!$L$16"}</definedName>
    <definedName name="VVVVVV" hidden="1">{"'Sheet1'!$L$16"}</definedName>
    <definedName name="W">#REF!</definedName>
    <definedName name="wb">#REF!</definedName>
    <definedName name="wct">#REF!</definedName>
    <definedName name="Wd">#REF!</definedName>
    <definedName name="wl">#REF!</definedName>
    <definedName name="wrn.aaa." localSheetId="1" hidden="1">{#N/A,#N/A,FALSE,"Sheet1";#N/A,#N/A,FALSE,"Sheet1";#N/A,#N/A,FALSE,"Sheet1"}</definedName>
    <definedName name="wrn.aaa." localSheetId="2" hidden="1">{#N/A,#N/A,FALSE,"Sheet1";#N/A,#N/A,FALSE,"Sheet1";#N/A,#N/A,FALSE,"Sheet1"}</definedName>
    <definedName name="wrn.aaa." localSheetId="0" hidden="1">{#N/A,#N/A,FALSE,"Sheet1";#N/A,#N/A,FALSE,"Sheet1";#N/A,#N/A,FALSE,"Sheet1"}</definedName>
    <definedName name="wrn.aaa." hidden="1">{#N/A,#N/A,FALSE,"Sheet1";#N/A,#N/A,FALSE,"Sheet1";#N/A,#N/A,FALSE,"Sheet1"}</definedName>
    <definedName name="wrn.Bang._.ke._.nhan._.hang." localSheetId="1" hidden="1">{#N/A,#N/A,FALSE,"Ke khai NH"}</definedName>
    <definedName name="wrn.Bang._.ke._.nhan._.hang." localSheetId="2" hidden="1">{#N/A,#N/A,FALSE,"Ke khai NH"}</definedName>
    <definedName name="wrn.Bang._.ke._.nhan._.hang." localSheetId="0" hidden="1">{#N/A,#N/A,FALSE,"Ke khai NH"}</definedName>
    <definedName name="wrn.Bang._.ke._.nhan._.hang." hidden="1">{#N/A,#N/A,FALSE,"Ke khai NH"}</definedName>
    <definedName name="wrn.BAOCAO." localSheetId="1" hidden="1">{#N/A,#N/A,FALSE,"sum";#N/A,#N/A,FALSE,"MARTV";#N/A,#N/A,FALSE,"APRTV"}</definedName>
    <definedName name="wrn.BAOCAO." localSheetId="2" hidden="1">{#N/A,#N/A,FALSE,"sum";#N/A,#N/A,FALSE,"MARTV";#N/A,#N/A,FALSE,"APRTV"}</definedName>
    <definedName name="wrn.BAOCAO." localSheetId="0" hidden="1">{#N/A,#N/A,FALSE,"sum";#N/A,#N/A,FALSE,"MARTV";#N/A,#N/A,FALSE,"APRTV"}</definedName>
    <definedName name="wrn.BAOCAO." hidden="1">{#N/A,#N/A,FALSE,"sum";#N/A,#N/A,FALSE,"MARTV";#N/A,#N/A,FALSE,"APRTV"}</definedName>
    <definedName name="wrn.cong." localSheetId="1" hidden="1">{#N/A,#N/A,FALSE,"Sheet1"}</definedName>
    <definedName name="wrn.cong." localSheetId="2" hidden="1">{#N/A,#N/A,FALSE,"Sheet1"}</definedName>
    <definedName name="wrn.cong." localSheetId="0" hidden="1">{#N/A,#N/A,FALSE,"Sheet1"}</definedName>
    <definedName name="wrn.cong." hidden="1">{#N/A,#N/A,FALSE,"Sheet1"}</definedName>
    <definedName name="wrn.Che._.do._.duoc._.huong." localSheetId="1" hidden="1">{#N/A,#N/A,FALSE,"BN (2)"}</definedName>
    <definedName name="wrn.Che._.do._.duoc._.huong." localSheetId="2" hidden="1">{#N/A,#N/A,FALSE,"BN (2)"}</definedName>
    <definedName name="wrn.Che._.do._.duoc._.huong." localSheetId="0" hidden="1">{#N/A,#N/A,FALSE,"BN (2)"}</definedName>
    <definedName name="wrn.Che._.do._.duoc._.huong." hidden="1">{#N/A,#N/A,FALSE,"BN (2)"}</definedName>
    <definedName name="wrn.chi._.tiÆt." localSheetId="1" hidden="1">{#N/A,#N/A,FALSE,"Chi tiÆt"}</definedName>
    <definedName name="wrn.chi._.tiÆt." localSheetId="2" hidden="1">{#N/A,#N/A,FALSE,"Chi tiÆt"}</definedName>
    <definedName name="wrn.chi._.tiÆt." localSheetId="0" hidden="1">{#N/A,#N/A,FALSE,"Chi tiÆt"}</definedName>
    <definedName name="wrn.chi._.tiÆt." hidden="1">{#N/A,#N/A,FALSE,"Chi tiÆt"}</definedName>
    <definedName name="wrn.Giáy._.bao._.no." localSheetId="1" hidden="1">{#N/A,#N/A,FALSE,"BN"}</definedName>
    <definedName name="wrn.Giáy._.bao._.no." localSheetId="2" hidden="1">{#N/A,#N/A,FALSE,"BN"}</definedName>
    <definedName name="wrn.Giáy._.bao._.no." localSheetId="0" hidden="1">{#N/A,#N/A,FALSE,"BN"}</definedName>
    <definedName name="wrn.Giáy._.bao._.no." hidden="1">{#N/A,#N/A,FALSE,"BN"}</definedName>
    <definedName name="wrn.inv._.budget." localSheetId="1" hidden="1">{"invbud-1",#N/A,FALSE,"A";"invbud-1CW",#N/A,FALSE,"A";"Desinvesteringen",#N/A,FALSE,"C"}</definedName>
    <definedName name="wrn.inv._.budget." localSheetId="2" hidden="1">{"invbud-1",#N/A,FALSE,"A";"invbud-1CW",#N/A,FALSE,"A";"Desinvesteringen",#N/A,FALSE,"C"}</definedName>
    <definedName name="wrn.inv._.budget." localSheetId="0" hidden="1">{"invbud-1",#N/A,FALSE,"A";"invbud-1CW",#N/A,FALSE,"A";"Desinvesteringen",#N/A,FALSE,"C"}</definedName>
    <definedName name="wrn.inv._.budget." hidden="1">{"invbud-1",#N/A,FALSE,"A";"invbud-1CW",#N/A,FALSE,"A";"Desinvesteringen",#N/A,FALSE,"C"}</definedName>
    <definedName name="wrn.Monthly._.Statement." localSheetId="1" hidden="1">{#N/A,#N/A,FALSE,"Tabelle2";#N/A,#N/A,FALSE,"Tabelle1"}</definedName>
    <definedName name="wrn.Monthly._.Statement." localSheetId="2" hidden="1">{#N/A,#N/A,FALSE,"Tabelle2";#N/A,#N/A,FALSE,"Tabelle1"}</definedName>
    <definedName name="wrn.Monthly._.Statement." localSheetId="0" hidden="1">{#N/A,#N/A,FALSE,"Tabelle2";#N/A,#N/A,FALSE,"Tabelle1"}</definedName>
    <definedName name="wrn.Monthly._.Statement." hidden="1">{#N/A,#N/A,FALSE,"Tabelle2";#N/A,#N/A,FALSE,"Tabelle1"}</definedName>
    <definedName name="wrn.Report." localSheetId="1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2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0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vd." localSheetId="1" hidden="1">{#N/A,#N/A,TRUE,"BT M200 da 10x20"}</definedName>
    <definedName name="wrn.vd." localSheetId="2" hidden="1">{#N/A,#N/A,TRUE,"BT M200 da 10x20"}</definedName>
    <definedName name="wrn.vd." localSheetId="0" hidden="1">{#N/A,#N/A,TRUE,"BT M200 da 10x20"}</definedName>
    <definedName name="wrn.vd." hidden="1">{#N/A,#N/A,TRUE,"BT M200 da 10x20"}</definedName>
    <definedName name="wrnf.report" localSheetId="1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2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0" hidden="1">{"Offgrid",#N/A,FALSE,"OFFGRID";"Region",#N/A,FALSE,"REGION";"Offgrid -2",#N/A,FALSE,"OFFGRID";"WTP",#N/A,FALSE,"WTP";"WTP -2",#N/A,FALSE,"WTP";"Project",#N/A,FALSE,"PROJECT";"Summary -2",#N/A,FALSE,"SUMMARY"}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s">#REF!</definedName>
    <definedName name="Wss">#REF!</definedName>
    <definedName name="Wst">#REF!</definedName>
    <definedName name="wt">#REF!</definedName>
    <definedName name="wtn">#REF!</definedName>
    <definedName name="wtru">#REF!</definedName>
    <definedName name="wup">#REF!</definedName>
    <definedName name="ww" localSheetId="1">{"Thuxm2.xls","Sheet1"}</definedName>
    <definedName name="ww" localSheetId="2">{"Thuxm2.xls","Sheet1"}</definedName>
    <definedName name="ww" localSheetId="0">{"Thuxm2.xls","Sheet1"}</definedName>
    <definedName name="ww">{"Thuxm2.xls","Sheet1"}</definedName>
    <definedName name="x">#N/A</definedName>
    <definedName name="x_list">#REF!</definedName>
    <definedName name="x1_">#REF!</definedName>
    <definedName name="x1pind">#REF!</definedName>
    <definedName name="X1pINDvc">#REF!</definedName>
    <definedName name="x1pint">#REF!</definedName>
    <definedName name="x1ping">#REF!</definedName>
    <definedName name="X1pINGvc">#REF!</definedName>
    <definedName name="x2_">#REF!</definedName>
    <definedName name="xa_son">#REF!</definedName>
    <definedName name="xason">#REF!</definedName>
    <definedName name="XB_80">#REF!</definedName>
    <definedName name="XCCT">0.5</definedName>
    <definedName name="xcp">#REF!</definedName>
    <definedName name="xd0.6">#REF!</definedName>
    <definedName name="xd1.3">#REF!</definedName>
    <definedName name="xd1.5">#REF!</definedName>
    <definedName name="xfco">#REF!</definedName>
    <definedName name="xfco3p">#REF!</definedName>
    <definedName name="xfcotnc">#REF!</definedName>
    <definedName name="xfcotvl">#REF!</definedName>
    <definedName name="XFCOvc">#REF!</definedName>
    <definedName name="xh">#REF!</definedName>
    <definedName name="xhn">#REF!</definedName>
    <definedName name="xig">#REF!</definedName>
    <definedName name="xig1">#REF!</definedName>
    <definedName name="xig1p">#REF!</definedName>
    <definedName name="xig3p">#REF!</definedName>
    <definedName name="xignc3p">#REF!</definedName>
    <definedName name="XIGvc">#REF!</definedName>
    <definedName name="xigvl3p">#REF!</definedName>
    <definedName name="xin">#REF!</definedName>
    <definedName name="xin190">#REF!</definedName>
    <definedName name="xin1903p">#REF!</definedName>
    <definedName name="XIN190vc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c">#REF!</definedName>
    <definedName name="xindvl1p">#REF!</definedName>
    <definedName name="xinnc3p">#REF!</definedName>
    <definedName name="xint1p">#REF!</definedName>
    <definedName name="XINvc">#REF!</definedName>
    <definedName name="xinvl3p">#REF!</definedName>
    <definedName name="xing1p">#REF!</definedName>
    <definedName name="xingnc1p">#REF!</definedName>
    <definedName name="xingvl1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3p">#REF!</definedName>
    <definedName name="XITvc">#REF!</definedName>
    <definedName name="xitvl3p">#REF!</definedName>
    <definedName name="xk0.6">#REF!</definedName>
    <definedName name="xk1.3">#REF!</definedName>
    <definedName name="xk1.5">#REF!</definedName>
    <definedName name="xl">#REF!</definedName>
    <definedName name="xlc">#REF!</definedName>
    <definedName name="xld1.4">#REF!</definedName>
    <definedName name="xlk">#REF!</definedName>
    <definedName name="xlk1.4">#REF!</definedName>
    <definedName name="xm">[7]gvl!$N$16</definedName>
    <definedName name="xmcax" localSheetId="1">#REF!</definedName>
    <definedName name="xmcax" localSheetId="0">#REF!</definedName>
    <definedName name="xmcax">#REF!</definedName>
    <definedName name="xn" localSheetId="1">#REF!</definedName>
    <definedName name="xn" localSheetId="0">#REF!</definedName>
    <definedName name="xn">#REF!</definedName>
    <definedName name="y" localSheetId="1">#REF!</definedName>
    <definedName name="y" localSheetId="0">#REF!</definedName>
    <definedName name="y">#REF!</definedName>
    <definedName name="y_list">#REF!</definedName>
    <definedName name="ycp">#REF!</definedName>
    <definedName name="YvNgam">#REF!</definedName>
    <definedName name="YvTreo">#REF!</definedName>
    <definedName name="z">#REF!</definedName>
    <definedName name="zl">#REF!</definedName>
    <definedName name="Zw">#REF!</definedName>
    <definedName name="ZXD">#REF!</definedName>
    <definedName name="ZYX">#REF!</definedName>
    <definedName name="ZZZ">#REF!</definedName>
  </definedNames>
  <calcPr calcId="191029"/>
</workbook>
</file>

<file path=xl/calcChain.xml><?xml version="1.0" encoding="utf-8"?>
<calcChain xmlns="http://schemas.openxmlformats.org/spreadsheetml/2006/main">
  <c r="E6" i="2" l="1"/>
  <c r="G13" i="2"/>
  <c r="F6" i="2"/>
  <c r="F5" i="2"/>
  <c r="G5" i="2" s="1"/>
  <c r="D11" i="6" l="1"/>
  <c r="D12" i="6" s="1"/>
  <c r="G9" i="6"/>
  <c r="F9" i="6"/>
  <c r="E9" i="6"/>
  <c r="H8" i="6"/>
  <c r="G8" i="6"/>
  <c r="G11" i="6" s="1"/>
  <c r="G12" i="6" s="1"/>
  <c r="F8" i="6"/>
  <c r="F11" i="6" s="1"/>
  <c r="F12" i="6" s="1"/>
  <c r="E8" i="6"/>
  <c r="E11" i="6" s="1"/>
  <c r="E12" i="6" s="1"/>
  <c r="D3" i="5"/>
  <c r="C4" i="5" s="1"/>
  <c r="G12" i="2"/>
  <c r="F13" i="2"/>
  <c r="F12" i="2" s="1"/>
  <c r="D9" i="2"/>
  <c r="D11" i="2" s="1"/>
  <c r="F11" i="2" s="1"/>
  <c r="G11" i="2" s="1"/>
  <c r="D7" i="2"/>
  <c r="F7" i="2" s="1"/>
  <c r="G7" i="2" s="1"/>
  <c r="G4" i="2"/>
  <c r="E4" i="5" l="1"/>
  <c r="F4" i="5" s="1"/>
  <c r="G4" i="5" s="1"/>
  <c r="H5" i="2"/>
  <c r="D10" i="2"/>
  <c r="F10" i="2" s="1"/>
  <c r="F3" i="2"/>
  <c r="H6" i="2"/>
  <c r="F4" i="2"/>
  <c r="H11" i="2"/>
  <c r="F9" i="2"/>
  <c r="E3" i="5"/>
  <c r="H13" i="2"/>
  <c r="H12" i="2" s="1"/>
  <c r="D5" i="5"/>
  <c r="E5" i="5" s="1"/>
  <c r="G10" i="2" l="1"/>
  <c r="H10" i="2" s="1"/>
  <c r="G3" i="2"/>
  <c r="H4" i="2"/>
  <c r="F5" i="5"/>
  <c r="G5" i="5" s="1"/>
  <c r="H7" i="2"/>
  <c r="H3" i="2" s="1"/>
  <c r="F3" i="5"/>
  <c r="E6" i="5"/>
  <c r="F8" i="2"/>
  <c r="G9" i="2"/>
  <c r="G8" i="2" s="1"/>
  <c r="G14" i="2" l="1"/>
  <c r="H9" i="2"/>
  <c r="G3" i="5"/>
  <c r="G6" i="5" s="1"/>
  <c r="F6" i="5"/>
  <c r="H8" i="2"/>
  <c r="F14" i="2"/>
  <c r="H14" i="2" l="1"/>
</calcChain>
</file>

<file path=xl/sharedStrings.xml><?xml version="1.0" encoding="utf-8"?>
<sst xmlns="http://schemas.openxmlformats.org/spreadsheetml/2006/main" count="85" uniqueCount="75">
  <si>
    <t>Thành tiền</t>
  </si>
  <si>
    <t>Thuế GTGT</t>
  </si>
  <si>
    <t>I</t>
  </si>
  <si>
    <t>II</t>
  </si>
  <si>
    <t>III</t>
  </si>
  <si>
    <t>BẢNG GIÁ THIẾT BỊ DỰ ÁN</t>
  </si>
  <si>
    <t>Stt</t>
  </si>
  <si>
    <t>Hạng mục đầu tư</t>
  </si>
  <si>
    <t>Đơn vị tính</t>
  </si>
  <si>
    <t>Số lượng</t>
  </si>
  <si>
    <t>Đơn giá</t>
  </si>
  <si>
    <t>Tổng cộng</t>
  </si>
  <si>
    <t>Ghi chú</t>
  </si>
  <si>
    <t>Hệ thống Đài truyền thanh xã/phường</t>
  </si>
  <si>
    <t>Cụm thu phát thanh ứng dụng công nghệ thông tin – viễn thông</t>
  </si>
  <si>
    <t>1.1</t>
  </si>
  <si>
    <t xml:space="preserve">    Cụm thu phát thanh ứng dụng công nghệ thông tin – viễn thông</t>
  </si>
  <si>
    <t>Bộ</t>
  </si>
  <si>
    <t>Báo giá thiết bị (Giá thiết bị đã bao gồm chi phí cài đặt, lắp đặt thiết bị)</t>
  </si>
  <si>
    <t>1.2</t>
  </si>
  <si>
    <t>PM</t>
  </si>
  <si>
    <t>- Bao gồm dịch vụ vận hành, dịch vụ cloud để vận hành hệ thống phầm mềm trong năm đầu tiên
- Phần mềm thương mại được công bố tại: 
https://vnpt.com.vn/doanh-nghiep/san-pham-dich-vu/he-thong-truyen-thong-thong-minh-vnpt-ics/</t>
  </si>
  <si>
    <t>Loa phát thanh 30W (2 loa/cụm)</t>
  </si>
  <si>
    <t>Cái</t>
  </si>
  <si>
    <t>Thiết bị vật tư khác</t>
  </si>
  <si>
    <t>Sim 3G /4G / 1 năm</t>
  </si>
  <si>
    <t>Sim</t>
  </si>
  <si>
    <t>Đã bao gồm chi phí hòa mạng, phôi sim</t>
  </si>
  <si>
    <t>Gông đai, gá/Cụm</t>
  </si>
  <si>
    <t>Các thiết bị phụ trợ như dây điện, dây tín hiệu loa, lắp đặt trọn gói, chi phí khác/Cụm</t>
  </si>
  <si>
    <t>Chi phí khác</t>
  </si>
  <si>
    <t>Chi phí vận chuyển</t>
  </si>
  <si>
    <t>Gói</t>
  </si>
  <si>
    <t>TỔNG CỘNG</t>
  </si>
  <si>
    <t>STT</t>
  </si>
  <si>
    <t>Hạng mục</t>
  </si>
  <si>
    <t>Đơn giá/Năm</t>
  </si>
  <si>
    <t>BẢNG TÍNH CHI PHÍ LƯƠNG KỸ SƯ</t>
  </si>
  <si>
    <t>Số
TT</t>
  </si>
  <si>
    <t>Tiêu chí xác định</t>
  </si>
  <si>
    <t>Tỷ lệ/ hệ số xác định</t>
  </si>
  <si>
    <t xml:space="preserve"> Cấp bậc, hệ số, mức lương </t>
  </si>
  <si>
    <t>KS1</t>
  </si>
  <si>
    <t>KS2</t>
  </si>
  <si>
    <t>KS3</t>
  </si>
  <si>
    <t>KS4</t>
  </si>
  <si>
    <t>Hệ số lương theo cấp bậc</t>
  </si>
  <si>
    <t>HCB</t>
  </si>
  <si>
    <t>Quyết định số 129/QĐ-BTTTT</t>
  </si>
  <si>
    <t>Hệ số phụ cấp lương</t>
  </si>
  <si>
    <t>HPC</t>
  </si>
  <si>
    <t>Lương cơ sở</t>
  </si>
  <si>
    <t>MLCS</t>
  </si>
  <si>
    <t>Nghị định số 73/2024/NĐ-CP</t>
  </si>
  <si>
    <t>Hệ số điều chỉnh</t>
  </si>
  <si>
    <t>HĐC</t>
  </si>
  <si>
    <t>Các chi phí BHXH, BHTN, KPCĐ thuộc trách nhiệm đóng của người sử dụng lao động</t>
  </si>
  <si>
    <t>BHLĐ</t>
  </si>
  <si>
    <t>Nghị định 58/2020/NĐ-CP: Các chi phí bảo hiểm do doanh
nghiệp đóng</t>
  </si>
  <si>
    <t>Số ngày làm việc trong tháng</t>
  </si>
  <si>
    <t>t</t>
  </si>
  <si>
    <t>Giá ngày công của nhân công trực tiếp</t>
  </si>
  <si>
    <t>gnc</t>
  </si>
  <si>
    <t>Đơn giá giờ công</t>
  </si>
  <si>
    <t>H</t>
  </si>
  <si>
    <t>Lương ngày/8 giờ</t>
  </si>
  <si>
    <t>Hệ số điều chỉnh tăng thêm tiền lương bằng 1,2 đối với địa bàn thuộc vùng I (Hà Nội)</t>
  </si>
  <si>
    <t>Hệ số điều chỉnh tăng thêm tiền lương bằng 0,9 đối với địa bàn thuộc vùng II</t>
  </si>
  <si>
    <t>Hệ số điều chỉnh tăng thêm tiền lương bằng 0,7 đối với địa bàn thuộc vùng III</t>
  </si>
  <si>
    <t>Hệ số điều chỉnh tăng thêm tiền lương bằng 0,5 đối với địa bàn thuộc vùng IV</t>
  </si>
  <si>
    <t>Chi phí sim 3G/4G hàng năm</t>
  </si>
  <si>
    <t>Chi phí thuê hạ tầng vận hành hàng năm</t>
  </si>
  <si>
    <t xml:space="preserve">Chi phí bảo dưỡng cụm loa (kiểm tra điện, ốc vít, điều chỉnh hướng loa, thay thế một số phụ kiện hư hỏng,... nhằm đảm bảo cụm loa hoạt động) </t>
  </si>
  <si>
    <t>CHI PHÍ VẬN HÀNH HÀNG NĂM (TOÀN BỘ SỐ CỤM LOA CỦA XÃ)</t>
  </si>
  <si>
    <t xml:space="preserve">  Phần mềm tích hợp cho 16 cụm thu phát thanh ứng dụng công nghệ thông tin - viễn thông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</si>
</sst>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* #,##0_-;\-* #,##0_-;_-* &quot;-&quot;??_-;_-@_-"/>
    <numFmt numFmtId="167" formatCode="0.0%"/>
    <numFmt numFmtId="168" formatCode="#,##0.0"/>
  </numFmts>
  <fonts count="27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u/>
      <sz val="10"/>
      <color indexed="12"/>
      <name val="Arial"/>
      <family val="2"/>
    </font>
    <font>
      <sz val="10"/>
      <name val="Arial"/>
      <family val="2"/>
      <charset val="163"/>
    </font>
    <font>
      <b/>
      <sz val="13"/>
      <color theme="1"/>
      <name val="Times New Roman"/>
      <family val="1"/>
    </font>
    <font>
      <sz val="13"/>
      <color theme="1"/>
      <name val="Calibri"/>
      <family val="2"/>
      <charset val="163"/>
      <scheme val="minor"/>
    </font>
    <font>
      <sz val="13"/>
      <color theme="1"/>
      <name val="Times New Roman"/>
      <family val="1"/>
    </font>
    <font>
      <sz val="13"/>
      <color theme="1"/>
      <name val="Times New Roman"/>
      <family val="2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i/>
      <sz val="14"/>
      <color theme="1"/>
      <name val="Times New Roman"/>
      <family val="1"/>
    </font>
    <font>
      <sz val="12"/>
      <color rgb="FF000000"/>
      <name val="Times New Roman"/>
      <family val="1"/>
    </font>
    <font>
      <sz val="11"/>
      <color rgb="FF000000"/>
      <name val="Calibri"/>
      <family val="2"/>
    </font>
    <font>
      <sz val="11"/>
      <color indexed="8"/>
      <name val="Calibri"/>
      <family val="2"/>
    </font>
    <font>
      <sz val="8.25"/>
      <name val="Microsoft Sans Serif"/>
      <family val="2"/>
    </font>
    <font>
      <b/>
      <sz val="24"/>
      <color theme="1"/>
      <name val="Times New Roman"/>
      <family val="1"/>
    </font>
    <font>
      <b/>
      <sz val="18"/>
      <color theme="1"/>
      <name val="Times New Roman"/>
      <family val="1"/>
    </font>
    <font>
      <i/>
      <sz val="13"/>
      <name val="Times New Roman"/>
      <family val="1"/>
    </font>
    <font>
      <sz val="13"/>
      <color indexed="8"/>
      <name val="Times New Roman"/>
      <family val="1"/>
    </font>
    <font>
      <sz val="13"/>
      <color rgb="FFFF0000"/>
      <name val="Times New Roman"/>
      <family val="1"/>
    </font>
    <font>
      <sz val="13"/>
      <name val="Times New Roman"/>
      <family val="1"/>
    </font>
    <font>
      <b/>
      <sz val="13"/>
      <color indexed="8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9">
    <xf numFmtId="0" fontId="0" fillId="0" borderId="0"/>
    <xf numFmtId="43" fontId="2" fillId="0" borderId="0"/>
    <xf numFmtId="0" fontId="3" fillId="0" borderId="0"/>
    <xf numFmtId="0" fontId="2" fillId="0" borderId="0"/>
    <xf numFmtId="43" fontId="4" fillId="0" borderId="0"/>
    <xf numFmtId="43" fontId="3" fillId="0" borderId="0"/>
    <xf numFmtId="0" fontId="5" fillId="0" borderId="0">
      <alignment vertical="top"/>
      <protection locked="0"/>
    </xf>
    <xf numFmtId="164" fontId="2" fillId="0" borderId="0"/>
    <xf numFmtId="0" fontId="6" fillId="0" borderId="0"/>
    <xf numFmtId="0" fontId="2" fillId="0" borderId="0"/>
    <xf numFmtId="9" fontId="3" fillId="0" borderId="0"/>
    <xf numFmtId="0" fontId="10" fillId="0" borderId="0"/>
    <xf numFmtId="43" fontId="10" fillId="0" borderId="0"/>
    <xf numFmtId="0" fontId="3" fillId="0" borderId="0"/>
    <xf numFmtId="0" fontId="4" fillId="0" borderId="0"/>
    <xf numFmtId="43" fontId="4" fillId="0" borderId="0"/>
    <xf numFmtId="0" fontId="16" fillId="0" borderId="0"/>
    <xf numFmtId="43" fontId="16" fillId="0" borderId="0"/>
    <xf numFmtId="0" fontId="3" fillId="0" borderId="0"/>
    <xf numFmtId="0" fontId="17" fillId="0" borderId="0"/>
    <xf numFmtId="43" fontId="3" fillId="0" borderId="0"/>
    <xf numFmtId="0" fontId="2" fillId="0" borderId="0"/>
    <xf numFmtId="43" fontId="18" fillId="0" borderId="0"/>
    <xf numFmtId="0" fontId="3" fillId="0" borderId="0"/>
    <xf numFmtId="43" fontId="3" fillId="0" borderId="0"/>
    <xf numFmtId="0" fontId="3" fillId="0" borderId="0"/>
    <xf numFmtId="43" fontId="3" fillId="0" borderId="0"/>
    <xf numFmtId="0" fontId="3" fillId="0" borderId="0"/>
    <xf numFmtId="0" fontId="19" fillId="0" borderId="0">
      <protection locked="0"/>
    </xf>
    <xf numFmtId="9" fontId="4" fillId="0" borderId="0"/>
    <xf numFmtId="0" fontId="3" fillId="0" borderId="0"/>
    <xf numFmtId="0" fontId="18" fillId="0" borderId="0"/>
    <xf numFmtId="43" fontId="3" fillId="0" borderId="0"/>
    <xf numFmtId="0" fontId="3" fillId="0" borderId="0"/>
    <xf numFmtId="43" fontId="3" fillId="0" borderId="0"/>
    <xf numFmtId="165" fontId="2" fillId="0" borderId="0" applyFont="0" applyFill="0" applyBorder="0" applyAlignment="0" applyProtection="0"/>
    <xf numFmtId="0" fontId="1" fillId="0" borderId="0"/>
    <xf numFmtId="165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164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" fillId="0" borderId="0"/>
    <xf numFmtId="165" fontId="4" fillId="0" borderId="0" applyFont="0" applyFill="0" applyBorder="0" applyAlignment="0" applyProtection="0"/>
    <xf numFmtId="165" fontId="16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4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6">
    <xf numFmtId="0" fontId="0" fillId="0" borderId="0" xfId="0"/>
    <xf numFmtId="0" fontId="8" fillId="0" borderId="0" xfId="14" applyFont="1"/>
    <xf numFmtId="3" fontId="8" fillId="0" borderId="0" xfId="14" applyNumberFormat="1" applyFont="1"/>
    <xf numFmtId="0" fontId="8" fillId="0" borderId="1" xfId="14" applyFont="1" applyBorder="1"/>
    <xf numFmtId="3" fontId="14" fillId="0" borderId="1" xfId="14" applyNumberFormat="1" applyFont="1" applyBorder="1" applyAlignment="1">
      <alignment horizontal="right" vertical="center" wrapText="1"/>
    </xf>
    <xf numFmtId="0" fontId="13" fillId="0" borderId="1" xfId="14" applyFont="1" applyBorder="1" applyAlignment="1">
      <alignment horizontal="center" vertical="center" wrapText="1"/>
    </xf>
    <xf numFmtId="3" fontId="13" fillId="0" borderId="1" xfId="14" applyNumberFormat="1" applyFont="1" applyBorder="1" applyAlignment="1">
      <alignment horizontal="right" vertical="center" wrapText="1"/>
    </xf>
    <xf numFmtId="3" fontId="9" fillId="0" borderId="1" xfId="14" applyNumberFormat="1" applyFont="1" applyBorder="1" applyAlignment="1">
      <alignment horizontal="right" vertical="center" wrapText="1"/>
    </xf>
    <xf numFmtId="0" fontId="13" fillId="0" borderId="1" xfId="14" applyFont="1" applyBorder="1" applyAlignment="1">
      <alignment horizontal="justify" vertical="center" wrapText="1"/>
    </xf>
    <xf numFmtId="0" fontId="8" fillId="2" borderId="1" xfId="14" applyFont="1" applyFill="1" applyBorder="1"/>
    <xf numFmtId="3" fontId="14" fillId="2" borderId="1" xfId="14" applyNumberFormat="1" applyFont="1" applyFill="1" applyBorder="1" applyAlignment="1">
      <alignment vertical="center" wrapText="1"/>
    </xf>
    <xf numFmtId="0" fontId="14" fillId="2" borderId="3" xfId="14" applyFont="1" applyFill="1" applyBorder="1" applyAlignment="1">
      <alignment vertical="center" wrapText="1"/>
    </xf>
    <xf numFmtId="0" fontId="14" fillId="2" borderId="2" xfId="14" applyFont="1" applyFill="1" applyBorder="1" applyAlignment="1">
      <alignment vertical="center" wrapText="1"/>
    </xf>
    <xf numFmtId="0" fontId="14" fillId="2" borderId="1" xfId="14" applyFont="1" applyFill="1" applyBorder="1" applyAlignment="1">
      <alignment horizontal="center" vertical="center" wrapText="1"/>
    </xf>
    <xf numFmtId="0" fontId="13" fillId="0" borderId="1" xfId="14" applyFont="1" applyBorder="1" applyAlignment="1">
      <alignment vertical="center" wrapText="1"/>
    </xf>
    <xf numFmtId="3" fontId="13" fillId="0" borderId="6" xfId="14" applyNumberFormat="1" applyFont="1" applyBorder="1" applyAlignment="1">
      <alignment horizontal="center" vertical="center" wrapText="1"/>
    </xf>
    <xf numFmtId="0" fontId="15" fillId="0" borderId="6" xfId="14" applyFont="1" applyBorder="1" applyAlignment="1">
      <alignment horizontal="center" vertical="center" wrapText="1"/>
    </xf>
    <xf numFmtId="0" fontId="12" fillId="0" borderId="1" xfId="14" applyFont="1" applyBorder="1" applyAlignment="1">
      <alignment horizontal="center" vertical="center" wrapText="1"/>
    </xf>
    <xf numFmtId="3" fontId="13" fillId="0" borderId="5" xfId="14" applyNumberFormat="1" applyFont="1" applyBorder="1" applyAlignment="1">
      <alignment horizontal="right" vertical="center" wrapText="1"/>
    </xf>
    <xf numFmtId="3" fontId="13" fillId="0" borderId="7" xfId="14" applyNumberFormat="1" applyFont="1" applyBorder="1" applyAlignment="1">
      <alignment horizontal="center" vertical="center" wrapText="1"/>
    </xf>
    <xf numFmtId="0" fontId="13" fillId="0" borderId="5" xfId="14" applyFont="1" applyBorder="1" applyAlignment="1">
      <alignment horizontal="center" vertical="center" wrapText="1"/>
    </xf>
    <xf numFmtId="0" fontId="15" fillId="0" borderId="7" xfId="14" applyFont="1" applyBorder="1" applyAlignment="1">
      <alignment horizontal="center" vertical="center" wrapText="1"/>
    </xf>
    <xf numFmtId="3" fontId="14" fillId="2" borderId="6" xfId="14" applyNumberFormat="1" applyFont="1" applyFill="1" applyBorder="1" applyAlignment="1">
      <alignment vertical="center" wrapText="1"/>
    </xf>
    <xf numFmtId="0" fontId="14" fillId="0" borderId="1" xfId="14" applyFont="1" applyBorder="1" applyAlignment="1">
      <alignment horizontal="center" vertical="center" wrapText="1"/>
    </xf>
    <xf numFmtId="0" fontId="4" fillId="0" borderId="0" xfId="14"/>
    <xf numFmtId="166" fontId="7" fillId="0" borderId="1" xfId="15" applyNumberFormat="1" applyFont="1" applyBorder="1" applyAlignment="1">
      <alignment horizontal="center" vertical="center" wrapText="1"/>
    </xf>
    <xf numFmtId="166" fontId="9" fillId="0" borderId="1" xfId="15" applyNumberFormat="1" applyFont="1" applyBorder="1" applyAlignment="1">
      <alignment horizontal="center" vertical="center" wrapText="1"/>
    </xf>
    <xf numFmtId="0" fontId="9" fillId="0" borderId="1" xfId="14" applyFont="1" applyBorder="1" applyAlignment="1">
      <alignment horizontal="center" vertical="center" wrapText="1"/>
    </xf>
    <xf numFmtId="0" fontId="7" fillId="0" borderId="1" xfId="14" applyFont="1" applyBorder="1" applyAlignment="1">
      <alignment horizontal="center" vertical="center" wrapText="1"/>
    </xf>
    <xf numFmtId="0" fontId="12" fillId="0" borderId="8" xfId="14" applyFont="1" applyBorder="1" applyAlignment="1">
      <alignment vertical="center" wrapText="1"/>
    </xf>
    <xf numFmtId="0" fontId="12" fillId="0" borderId="1" xfId="14" quotePrefix="1" applyFont="1" applyBorder="1" applyAlignment="1">
      <alignment vertical="center" wrapText="1"/>
    </xf>
    <xf numFmtId="0" fontId="11" fillId="0" borderId="1" xfId="14" applyFont="1" applyBorder="1" applyAlignment="1">
      <alignment vertical="center" wrapText="1"/>
    </xf>
    <xf numFmtId="9" fontId="8" fillId="0" borderId="0" xfId="29" applyFont="1"/>
    <xf numFmtId="0" fontId="11" fillId="3" borderId="1" xfId="14" quotePrefix="1" applyFont="1" applyFill="1" applyBorder="1" applyAlignment="1">
      <alignment vertical="center" wrapText="1"/>
    </xf>
    <xf numFmtId="0" fontId="22" fillId="0" borderId="1" xfId="31" applyFont="1" applyBorder="1" applyAlignment="1">
      <alignment horizontal="center" vertical="center" wrapText="1"/>
    </xf>
    <xf numFmtId="0" fontId="22" fillId="0" borderId="1" xfId="31" applyFont="1" applyBorder="1" applyAlignment="1">
      <alignment horizontal="left" vertical="center"/>
    </xf>
    <xf numFmtId="3" fontId="23" fillId="0" borderId="1" xfId="31" applyNumberFormat="1" applyFont="1" applyBorder="1" applyAlignment="1">
      <alignment horizontal="right" vertical="center" wrapText="1"/>
    </xf>
    <xf numFmtId="0" fontId="23" fillId="0" borderId="1" xfId="31" applyFont="1" applyBorder="1" applyAlignment="1">
      <alignment horizontal="center" vertical="center" wrapText="1"/>
    </xf>
    <xf numFmtId="0" fontId="23" fillId="0" borderId="1" xfId="31" applyFont="1" applyBorder="1" applyAlignment="1">
      <alignment horizontal="left" vertical="center" wrapText="1"/>
    </xf>
    <xf numFmtId="0" fontId="22" fillId="0" borderId="1" xfId="31" applyFont="1" applyBorder="1" applyAlignment="1">
      <alignment horizontal="left" vertical="center" wrapText="1"/>
    </xf>
    <xf numFmtId="3" fontId="25" fillId="0" borderId="1" xfId="31" applyNumberFormat="1" applyFont="1" applyBorder="1" applyAlignment="1">
      <alignment horizontal="right" vertical="center" wrapText="1"/>
    </xf>
    <xf numFmtId="167" fontId="23" fillId="0" borderId="1" xfId="31" applyNumberFormat="1" applyFont="1" applyBorder="1" applyAlignment="1">
      <alignment horizontal="center" vertical="center" wrapText="1"/>
    </xf>
    <xf numFmtId="0" fontId="23" fillId="0" borderId="1" xfId="31" applyFont="1" applyBorder="1" applyAlignment="1">
      <alignment horizontal="justify" vertical="center" wrapText="1"/>
    </xf>
    <xf numFmtId="167" fontId="23" fillId="4" borderId="1" xfId="31" applyNumberFormat="1" applyFont="1" applyFill="1" applyBorder="1" applyAlignment="1">
      <alignment horizontal="right" vertical="center" wrapText="1"/>
    </xf>
    <xf numFmtId="168" fontId="25" fillId="0" borderId="1" xfId="31" applyNumberFormat="1" applyFont="1" applyBorder="1" applyAlignment="1">
      <alignment horizontal="right" vertical="center" wrapText="1"/>
    </xf>
    <xf numFmtId="2" fontId="25" fillId="0" borderId="1" xfId="31" applyNumberFormat="1" applyFont="1" applyBorder="1" applyAlignment="1">
      <alignment horizontal="center" vertical="center" wrapText="1"/>
    </xf>
    <xf numFmtId="0" fontId="25" fillId="0" borderId="1" xfId="31" applyFont="1" applyBorder="1" applyAlignment="1">
      <alignment horizontal="center" vertical="center" wrapText="1"/>
    </xf>
    <xf numFmtId="0" fontId="26" fillId="0" borderId="1" xfId="31" applyFont="1" applyBorder="1" applyAlignment="1">
      <alignment horizontal="center" vertical="center" wrapText="1"/>
    </xf>
    <xf numFmtId="0" fontId="9" fillId="0" borderId="0" xfId="33" applyFont="1"/>
    <xf numFmtId="0" fontId="9" fillId="0" borderId="0" xfId="33" applyFont="1" applyAlignment="1">
      <alignment wrapText="1"/>
    </xf>
    <xf numFmtId="0" fontId="9" fillId="0" borderId="0" xfId="33" applyFont="1" applyAlignment="1">
      <alignment horizontal="center" wrapText="1"/>
    </xf>
    <xf numFmtId="0" fontId="24" fillId="0" borderId="0" xfId="33" applyFont="1"/>
    <xf numFmtId="43" fontId="9" fillId="0" borderId="0" xfId="33" applyNumberFormat="1" applyFont="1"/>
    <xf numFmtId="43" fontId="9" fillId="0" borderId="0" xfId="34" applyFont="1"/>
    <xf numFmtId="166" fontId="8" fillId="0" borderId="0" xfId="4" applyNumberFormat="1" applyFont="1"/>
    <xf numFmtId="0" fontId="14" fillId="0" borderId="1" xfId="14" applyFont="1" applyBorder="1" applyAlignment="1">
      <alignment vertical="center" wrapText="1"/>
    </xf>
    <xf numFmtId="0" fontId="15" fillId="0" borderId="1" xfId="14" applyFont="1" applyBorder="1" applyAlignment="1">
      <alignment horizontal="center" vertical="center" wrapText="1"/>
    </xf>
    <xf numFmtId="3" fontId="15" fillId="0" borderId="1" xfId="14" applyNumberFormat="1" applyFont="1" applyBorder="1" applyAlignment="1">
      <alignment horizontal="center" vertical="center" wrapText="1"/>
    </xf>
    <xf numFmtId="0" fontId="9" fillId="0" borderId="1" xfId="14" applyFont="1" applyBorder="1" applyAlignment="1">
      <alignment horizontal="justify" vertical="center" wrapText="1"/>
    </xf>
    <xf numFmtId="0" fontId="14" fillId="0" borderId="1" xfId="14" applyFont="1" applyBorder="1" applyAlignment="1">
      <alignment horizontal="right" vertical="center" wrapText="1"/>
    </xf>
    <xf numFmtId="0" fontId="0" fillId="0" borderId="3" xfId="0" applyBorder="1"/>
    <xf numFmtId="0" fontId="0" fillId="0" borderId="4" xfId="0" applyBorder="1"/>
    <xf numFmtId="0" fontId="14" fillId="2" borderId="12" xfId="14" applyFont="1" applyFill="1" applyBorder="1" applyAlignment="1">
      <alignment horizontal="left" vertical="center" wrapText="1"/>
    </xf>
    <xf numFmtId="0" fontId="0" fillId="0" borderId="10" xfId="0" applyBorder="1"/>
    <xf numFmtId="0" fontId="0" fillId="0" borderId="9" xfId="0" applyBorder="1"/>
    <xf numFmtId="0" fontId="20" fillId="0" borderId="11" xfId="14" applyFont="1" applyBorder="1" applyAlignment="1">
      <alignment horizontal="center" vertical="center"/>
    </xf>
    <xf numFmtId="0" fontId="0" fillId="0" borderId="11" xfId="0" applyBorder="1"/>
    <xf numFmtId="0" fontId="7" fillId="0" borderId="1" xfId="14" applyFont="1" applyBorder="1" applyAlignment="1">
      <alignment horizontal="right" vertical="center" wrapText="1"/>
    </xf>
    <xf numFmtId="0" fontId="21" fillId="0" borderId="11" xfId="14" applyFont="1" applyBorder="1" applyAlignment="1">
      <alignment horizontal="center"/>
    </xf>
    <xf numFmtId="0" fontId="7" fillId="3" borderId="0" xfId="33" applyFont="1" applyFill="1" applyAlignment="1">
      <alignment horizontal="center" vertical="center"/>
    </xf>
    <xf numFmtId="0" fontId="9" fillId="0" borderId="0" xfId="33" applyFont="1" applyAlignment="1">
      <alignment wrapText="1"/>
    </xf>
    <xf numFmtId="0" fontId="9" fillId="0" borderId="0" xfId="33" applyFont="1" applyAlignment="1">
      <alignment horizontal="center" wrapText="1"/>
    </xf>
    <xf numFmtId="0" fontId="9" fillId="0" borderId="0" xfId="33" applyFont="1"/>
    <xf numFmtId="0" fontId="26" fillId="0" borderId="1" xfId="31" applyFont="1" applyBorder="1" applyAlignment="1">
      <alignment horizontal="center" vertical="center" wrapText="1"/>
    </xf>
    <xf numFmtId="0" fontId="0" fillId="0" borderId="5" xfId="0" applyBorder="1"/>
    <xf numFmtId="0" fontId="26" fillId="0" borderId="2" xfId="31" applyFont="1" applyBorder="1" applyAlignment="1">
      <alignment horizontal="center" vertical="center" wrapText="1"/>
    </xf>
  </cellXfs>
  <cellStyles count="79">
    <cellStyle name="Comma" xfId="4" builtinId="3"/>
    <cellStyle name="Comma 2" xfId="1" xr:uid="{00000000-0005-0000-0000-000001000000}"/>
    <cellStyle name="Comma 2 2" xfId="20" xr:uid="{00000000-0005-0000-0000-000015000000}"/>
    <cellStyle name="Comma 2 2 2" xfId="70" xr:uid="{494A8D38-45C8-43F0-9BB9-263A05C779CC}"/>
    <cellStyle name="Comma 2 2 3" xfId="47" xr:uid="{C3915F47-8F7A-4FBA-9D11-61179FAA6811}"/>
    <cellStyle name="Comma 2 2 8" xfId="5" xr:uid="{00000000-0005-0000-0000-000005000000}"/>
    <cellStyle name="Comma 2 2 8 2" xfId="62" xr:uid="{F22A108E-F527-4C4C-A861-54AC8107DB4D}"/>
    <cellStyle name="Comma 2 2 8 3" xfId="38" xr:uid="{507811AD-5C72-4B91-AC1A-E20196476234}"/>
    <cellStyle name="Comma 2 3" xfId="59" xr:uid="{FD56EFEC-B7A3-4013-9FE0-2D120345F6EC}"/>
    <cellStyle name="Comma 2 4" xfId="35" xr:uid="{FF8FC636-392F-42F2-B882-2646D1D96A6C}"/>
    <cellStyle name="Comma 3" xfId="12" xr:uid="{00000000-0005-0000-0000-00000D000000}"/>
    <cellStyle name="Comma 3 2" xfId="22" xr:uid="{00000000-0005-0000-0000-000017000000}"/>
    <cellStyle name="Comma 3 2 2" xfId="71" xr:uid="{C9955648-F713-4B91-B7C4-83689EA79A0F}"/>
    <cellStyle name="Comma 3 2 3" xfId="48" xr:uid="{56EB6508-056B-4994-B72D-0A95BF6EDAB9}"/>
    <cellStyle name="Comma 3 3" xfId="24" xr:uid="{00000000-0005-0000-0000-000019000000}"/>
    <cellStyle name="Comma 3 3 2" xfId="73" xr:uid="{38C7AE31-2570-4A12-9F06-B24EE747DFFA}"/>
    <cellStyle name="Comma 3 3 3" xfId="50" xr:uid="{09A7CEE0-3917-4B97-B33C-31F86466F5BB}"/>
    <cellStyle name="Comma 3 4" xfId="64" xr:uid="{795251CB-AC6A-4BDE-B6A4-C9D0D62D73AB}"/>
    <cellStyle name="Comma 3 5" xfId="42" xr:uid="{D9C7BE21-33BF-45AB-93FA-C781EEA12D9F}"/>
    <cellStyle name="Comma 4" xfId="26" xr:uid="{00000000-0005-0000-0000-00001B000000}"/>
    <cellStyle name="Comma 4 2" xfId="75" xr:uid="{683DFF2C-C849-4443-BF63-5A11B9ADA9F1}"/>
    <cellStyle name="Comma 4 3" xfId="52" xr:uid="{C2BEE273-289C-4CAD-A494-4F404BDCE9D3}"/>
    <cellStyle name="Comma 5" xfId="15" xr:uid="{00000000-0005-0000-0000-000010000000}"/>
    <cellStyle name="Comma 5 2" xfId="66" xr:uid="{1439F0BB-AA51-4294-9695-9BFC3D4DBBA0}"/>
    <cellStyle name="Comma 5 3" xfId="44" xr:uid="{18EA567B-E684-4DB0-99A0-CB14C6F7AEA4}"/>
    <cellStyle name="Comma 6" xfId="17" xr:uid="{00000000-0005-0000-0000-000012000000}"/>
    <cellStyle name="Comma 6 2" xfId="32" xr:uid="{00000000-0005-0000-0000-000021000000}"/>
    <cellStyle name="Comma 6 2 2" xfId="34" xr:uid="{00000000-0005-0000-0000-000023000000}"/>
    <cellStyle name="Comma 6 2 2 2" xfId="78" xr:uid="{173EC4DA-36F3-4754-9FF5-7B0995BA0734}"/>
    <cellStyle name="Comma 6 2 2 3" xfId="58" xr:uid="{D5F4D389-76CF-4D1E-A5A3-57CB69077C44}"/>
    <cellStyle name="Comma 6 2 3" xfId="77" xr:uid="{18AC0F04-7E42-4611-A452-7FFE0B6F0945}"/>
    <cellStyle name="Comma 6 2 4" xfId="56" xr:uid="{EE15C0D6-D916-4657-A4B2-8EC8A95539D2}"/>
    <cellStyle name="Comma 6 3" xfId="68" xr:uid="{009EC85C-1A36-4043-ABE1-2C6093D70B2D}"/>
    <cellStyle name="Comma 6 4" xfId="45" xr:uid="{F7C3BB8A-7FE4-4593-9A44-9DF41EDD657B}"/>
    <cellStyle name="Comma 7" xfId="61" xr:uid="{5E9FE6C8-5714-44FA-A234-CB9F00F988CA}"/>
    <cellStyle name="Comma 8" xfId="37" xr:uid="{A474777B-1CFF-46A5-B122-D78867DCF40D}"/>
    <cellStyle name="Currency 5 2" xfId="7" xr:uid="{00000000-0005-0000-0000-000007000000}"/>
    <cellStyle name="Currency 5 2 2" xfId="40" xr:uid="{52596958-B604-4BA3-B685-0D8976657BCC}"/>
    <cellStyle name="Hyperlink 3 2" xfId="6" xr:uid="{00000000-0005-0000-0000-000006000000}"/>
    <cellStyle name="Hyperlink 3 2 2" xfId="39" xr:uid="{883BE171-7626-461F-9ED3-A03A21E57D51}"/>
    <cellStyle name="Ledger 17 x 11 in 2" xfId="21" xr:uid="{00000000-0005-0000-0000-000016000000}"/>
    <cellStyle name="Normal" xfId="0" builtinId="0"/>
    <cellStyle name="Normal 10" xfId="3" xr:uid="{00000000-0005-0000-0000-000003000000}"/>
    <cellStyle name="Normal 12" xfId="30" xr:uid="{00000000-0005-0000-0000-00001F000000}"/>
    <cellStyle name="Normal 12 2" xfId="55" xr:uid="{2A3FAE71-A6B1-4CC4-8328-EAA96814B67A}"/>
    <cellStyle name="Normal 12 3" xfId="33" xr:uid="{00000000-0005-0000-0000-000022000000}"/>
    <cellStyle name="Normal 12 3 2" xfId="57" xr:uid="{ED46ACEA-B87D-4CE6-9292-441856EBACBB}"/>
    <cellStyle name="Normal 2" xfId="11" xr:uid="{00000000-0005-0000-0000-00000C000000}"/>
    <cellStyle name="Normal 2 2" xfId="18" xr:uid="{00000000-0005-0000-0000-000013000000}"/>
    <cellStyle name="Normal 2 2 2" xfId="9" xr:uid="{00000000-0005-0000-0000-00000A000000}"/>
    <cellStyle name="Normal 2 2 2 2" xfId="31" xr:uid="{00000000-0005-0000-0000-000020000000}"/>
    <cellStyle name="Normal 2 2 3" xfId="69" xr:uid="{084668F7-538B-4193-AF1E-A4FDD26474B8}"/>
    <cellStyle name="Normal 2 2 4" xfId="46" xr:uid="{9F4BE75D-771F-4758-B61F-ED983DF3151F}"/>
    <cellStyle name="Normal 3" xfId="13" xr:uid="{00000000-0005-0000-0000-00000E000000}"/>
    <cellStyle name="Normal 3 2" xfId="27" xr:uid="{00000000-0005-0000-0000-00001C000000}"/>
    <cellStyle name="Normal 3 2 2" xfId="76" xr:uid="{37D1B921-D72F-488B-805E-951677EF25BD}"/>
    <cellStyle name="Normal 3 2 3" xfId="53" xr:uid="{996DF8D0-5A55-472B-BD8A-230EFA90395E}"/>
    <cellStyle name="Normal 3 3" xfId="2" xr:uid="{00000000-0005-0000-0000-000002000000}"/>
    <cellStyle name="Normal 3 3 2" xfId="28" xr:uid="{00000000-0005-0000-0000-00001D000000}"/>
    <cellStyle name="Normal 3 3 3" xfId="60" xr:uid="{BDB3ECA1-7831-4183-87D6-39974421CF33}"/>
    <cellStyle name="Normal 3 3 4" xfId="36" xr:uid="{3B50148B-F6D6-443B-9564-698FAD0D4152}"/>
    <cellStyle name="Normal 3 4" xfId="23" xr:uid="{00000000-0005-0000-0000-000018000000}"/>
    <cellStyle name="Normal 3 4 2" xfId="72" xr:uid="{017C4CA7-A4F7-47A6-8135-0A2CAC5C1E06}"/>
    <cellStyle name="Normal 3 4 3" xfId="49" xr:uid="{E61260AC-DA11-404A-98EF-62B553849A15}"/>
    <cellStyle name="Normal 3 5" xfId="65" xr:uid="{A1155952-91F6-4BEF-8B05-8363003EDC4B}"/>
    <cellStyle name="Normal 3 6" xfId="43" xr:uid="{D2507796-FE27-48C4-84DA-E494CDF61B24}"/>
    <cellStyle name="Normal 4" xfId="25" xr:uid="{00000000-0005-0000-0000-00001A000000}"/>
    <cellStyle name="Normal 4 2" xfId="74" xr:uid="{5A911FC9-52CF-446B-812C-91D81BA54AAF}"/>
    <cellStyle name="Normal 4 3" xfId="51" xr:uid="{25456D8E-1941-43B9-8E8E-0DAC404002B8}"/>
    <cellStyle name="Normal 5" xfId="19" xr:uid="{00000000-0005-0000-0000-000014000000}"/>
    <cellStyle name="Normal 5 2" xfId="8" xr:uid="{00000000-0005-0000-0000-000009000000}"/>
    <cellStyle name="Normal 6" xfId="14" xr:uid="{00000000-0005-0000-0000-00000F000000}"/>
    <cellStyle name="Normal 7" xfId="16" xr:uid="{00000000-0005-0000-0000-000011000000}"/>
    <cellStyle name="Normal 7 2" xfId="67" xr:uid="{307E89EC-E103-4D57-92A5-DE74E34F48CF}"/>
    <cellStyle name="Percent" xfId="29" builtinId="5"/>
    <cellStyle name="Percent 2" xfId="10" xr:uid="{00000000-0005-0000-0000-00000B000000}"/>
    <cellStyle name="Percent 2 2" xfId="63" xr:uid="{2B163490-AD6B-4676-A309-59F1AA9D893F}"/>
    <cellStyle name="Percent 2 3" xfId="41" xr:uid="{B4BDFA6D-C466-4D94-97D9-F9C31BC918AF}"/>
    <cellStyle name="Percent 3" xfId="54" xr:uid="{E36047B6-27D0-4ABC-AB02-AF9194F032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10" Type="http://schemas.openxmlformats.org/officeDocument/2006/relationships/externalLink" Target="externalLinks/externalLink7.xml"/><Relationship Id="rId19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9.11\isacom\Hung\BAOHANH\Dung%20Quat\Goi3\PNT-P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y%20Phone\Template\L&#432;&#417;ng%20(129)%20(final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ATA/01.%20Cong%20ty/05.%20Cong%20trinh/01.%20Thiet%20ke/2016/DC-MIC/Trien%20khai%20DD/C:/T.phu/c/@K-Phu/BAOGIA/Mien_Nam/2002/Utilized_Camau/CIVIL%20BOQs/6823%20PS%2017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huong1\DOCUMENT\DAUTHAU\Dungquat\GOI3\DUNGQUAT-6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A.NgheAn\6_6_11\6_6_11\NA_8.8\Viet%20Anh\2011\Ha%20Noi\Ban%20QLXD%20cong%20TTDT-BCT\Project\Documents\Tai%20lieu%20Website\MOIT.GOV.VN\De%20an%20MOIT\BC%20TKKT%20TDT%20Portal\Du%20toan%20TKTCTDT%20P-MOIT%20draft%2013-4-201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ch\bao%20gia\Nam%202002\Bao%20gia\Bao%20gia\BAOGIA\Kd_Bgc\10-2K1_bgc_ndducV1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DT-THL7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ATA/01.%20Cong%20ty/05.%20Cong%20trinh/01.%20Thiet%20ke/2016/DC-MIC/Trien%20khai%20DD/C:/STA022-N2/Construction/WORKS/6787/civil/final/option/6787CWFASE2CASE2_00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pdc\vss\Documents\Van%20ban%20phap%20quy\Mau%20du%20toan%20xay%20dun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rive\Nam%202021\Lang%20Son\S&#7903;%20GD&amp;&#272;T\BCNCKT\D&#7921;%20to&#225;n\1.1%20D&#7921;%20to&#225;n%20PM%20SGDLS%20(2589)%20v0.2.6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9.11\isacom\Hung\BAOHANH\WINDOWS\TEMP\IBASE2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huong1\CS3408\Standard\RPT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pdc\VSS\temp\Du%20Toan%20Kinh%20Phi%20tp%20Vinh%20gui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~1\ngzupt\LOCALS~1\Temp\unicod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NT-QUOT-#3"/>
      <sheetName val="COAT&amp;WRAP-QIOT-#3"/>
      <sheetName val="XL4Poppy"/>
      <sheetName val="So Do"/>
      <sheetName val="KTTSCD - DLNA"/>
      <sheetName val="Sheet1"/>
      <sheetName val="quÝ1"/>
      <sheetName val="00000000"/>
      <sheetName val="10000000"/>
      <sheetName val="20000000"/>
      <sheetName val="30000000"/>
      <sheetName val="40000000"/>
      <sheetName val="50000000"/>
      <sheetName val="60000000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T4"/>
      <sheetName val="T5"/>
      <sheetName val="T6"/>
      <sheetName val="T.7"/>
      <sheetName val="T.8"/>
      <sheetName val="T8 (2)"/>
      <sheetName val="T.9"/>
      <sheetName val="T.10"/>
      <sheetName val="T.11"/>
      <sheetName val="T.12"/>
      <sheetName val="T10"/>
      <sheetName val="T11 "/>
      <sheetName val="Sheet2"/>
      <sheetName val="Sheet3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1"/>
      <sheetName val="t2"/>
      <sheetName val="t3"/>
      <sheetName val="t06"/>
      <sheetName val="t07"/>
      <sheetName val="t08"/>
      <sheetName val="t09"/>
      <sheetName val="t11"/>
      <sheetName val="t12"/>
      <sheetName val="0103"/>
      <sheetName val="0203"/>
      <sheetName val="th-nop"/>
      <sheetName val="th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CV den trong tong"/>
      <sheetName val="5 nam (tach)"/>
      <sheetName val="5 nam (tach) (2)"/>
      <sheetName val="KH 2003"/>
      <sheetName val="Tuongchan"/>
      <sheetName val="Matduong"/>
      <sheetName val="Km274"/>
      <sheetName val="Km275"/>
      <sheetName val="Km276"/>
      <sheetName val="Km277 "/>
      <sheetName val="Km278"/>
      <sheetName val="Km279"/>
      <sheetName val="Km280"/>
      <sheetName val="Km281"/>
      <sheetName val="Km282"/>
      <sheetName val="Km283"/>
      <sheetName val="Km284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Op mai 284"/>
      <sheetName val="Op mai"/>
      <sheetName val="XXXXXXXX"/>
      <sheetName val="fOOD"/>
      <sheetName val="FORM hc"/>
      <sheetName val="FORM pc"/>
      <sheetName val="Bia"/>
      <sheetName val="Tm"/>
      <sheetName val="THKP"/>
      <sheetName val="DGi"/>
      <sheetName val="LuongT1"/>
      <sheetName val="LuongT2"/>
      <sheetName val="luongthang12"/>
      <sheetName val="LuongT11"/>
      <sheetName val="thang5"/>
      <sheetName val="T7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QKD"/>
      <sheetName val="KHTSCD1"/>
      <sheetName val="KHTSCD2"/>
      <sheetName val="SoCaiTM"/>
      <sheetName val="NK"/>
      <sheetName val="TK 154"/>
      <sheetName val="TK 632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tæng hîp"/>
      <sheetName val="GS01-chi TM"/>
      <sheetName val="GS02-thu TM"/>
      <sheetName val="GS03-thu TGNH"/>
      <sheetName val="GS04-chi TGNH"/>
      <sheetName val="GS05-l­¬ng"/>
      <sheetName val="GS06-X.kho"/>
      <sheetName val="06"/>
      <sheetName val="GS08-B.hµng"/>
      <sheetName val="GS09-k.c VAT DV"/>
      <sheetName val="GS10-lai tien vay"/>
      <sheetName val="GS11- tÝnh KHTSC§"/>
      <sheetName val="Sheet16"/>
      <sheetName val="PTH"/>
      <sheetName val="tong hop"/>
      <sheetName val="phan tich DG"/>
      <sheetName val="gia vat lieu"/>
      <sheetName val="gia xe may"/>
      <sheetName val="gia nhan cong"/>
      <sheetName val="XL4Test5"/>
      <sheetName val="CamPha"/>
      <sheetName val="MongCai"/>
      <sheetName val="70000000"/>
      <sheetName val="PNT_QUOT__3"/>
      <sheetName val="COAT_WRAP_QIOT__3"/>
      <sheetName val="TH  goi 4-x"/>
      <sheetName val="Cong"/>
      <sheetName val="Cong cu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Dinhhinh"/>
      <sheetName val="Cot thep"/>
      <sheetName val="Tong hop (2)"/>
      <sheetName val="Km274 - Km275"/>
      <sheetName val="Km275 - Km276"/>
      <sheetName val="Km276 - Km277"/>
      <sheetName val="Km277 - Km278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Op mai"/>
      <sheetName val="Km277 - Km278 "/>
      <sheetName val="Tong hop Matduong"/>
      <sheetName val="Kluong phu"/>
      <sheetName val="Lan can"/>
      <sheetName val="Ho lan"/>
      <sheetName val="Coc tieu"/>
      <sheetName val="Bien bao"/>
      <sheetName val="Ranh"/>
      <sheetName val="T_x000b_331"/>
      <sheetName val="TH Ky Anh"/>
      <sheetName val="Sheet2 (2)"/>
      <sheetName val="Shedt1"/>
      <sheetName val="_x0012_0000000"/>
      <sheetName val="XLÇ_x0015_oppy"/>
      <sheetName val="ȴ0000000"/>
      <sheetName val="PNT-QUOT-D150#3"/>
      <sheetName val="PNT-QUOT-H153#3"/>
      <sheetName val="PNT-QUOT-K152#3"/>
      <sheetName val="PNT-QUOT-H146#3"/>
      <sheetName val="p0000000"/>
      <sheetName val="mau kiem ke"/>
      <sheetName val="quyet toan HD 2000"/>
      <sheetName val="quyet toan hoa don 2001"/>
      <sheetName val="kiem ke hoa don 2001"/>
      <sheetName val="QUY III 02"/>
      <sheetName val="QUY IV 02"/>
      <sheetName val="QUYET TOAN 02"/>
      <sheetName val="Sheet15"/>
      <sheetName val="XNT1MC"/>
      <sheetName val="XNT2MC"/>
      <sheetName val="XNT3MC"/>
      <sheetName val="XNT4MC"/>
      <sheetName val="xnt 1 CP"/>
      <sheetName val="xnt 2 cp"/>
      <sheetName val="xnt 3 CP"/>
      <sheetName val="xnt 4 CP"/>
      <sheetName val="BC tuan1"/>
      <sheetName val="BC tuan2"/>
      <sheetName val="BC tuan3"/>
      <sheetName val="BC tuan4"/>
      <sheetName val="DSo NVBH"/>
      <sheetName val=""/>
      <sheetName val="CV den trong to聮g"/>
      <sheetName val="SOLIEU"/>
      <sheetName val="TINHTOAN"/>
      <sheetName val="kl m m d"/>
      <sheetName val="kl vt tho"/>
      <sheetName val="kl dat"/>
      <sheetName val="Sheet4"/>
      <sheetName val="xin kinh phi"/>
      <sheetName val="lan trai"/>
      <sheetName val="thuoc no"/>
      <sheetName val="so thuc pham"/>
      <sheetName val="Tong hopQ48-1"/>
      <sheetName val="Tong hop QL48 - 2"/>
      <sheetName val="Tong hop QL47"/>
      <sheetName val="Tong hop QL48 - 3"/>
      <sheetName val="Chi tiet don gia khoi phuc"/>
      <sheetName val="Du toan chi tiet coc nuoc"/>
      <sheetName val="Du toan chi tiet coc"/>
      <sheetName val="Phan tich don gia chi tiet"/>
      <sheetName val="Nhap don gia VL dia phuong"/>
      <sheetName val="Luong mot ngay cong xay lap"/>
      <sheetName val="Luong mot ngay cong khao sat"/>
      <sheetName val="Km27' - Km278"/>
      <sheetName val="BangTH"/>
      <sheetName val="Xaylap "/>
      <sheetName val="Nhan cong"/>
      <sheetName val="Thietbi"/>
      <sheetName val="Diengiai"/>
      <sheetName val="Vanchuyen"/>
      <sheetName val="Coc 6"/>
      <sheetName val="Deo nai"/>
      <sheetName val="CKD than"/>
      <sheetName val="CTT Thong nhat"/>
      <sheetName val="CTT Nui beo"/>
      <sheetName val="CTT cao son"/>
      <sheetName val="CTT Khe cham"/>
      <sheetName val="XNxlva sxthanKCII"/>
      <sheetName val="Cam Y ut KC"/>
      <sheetName val="CTxay lap mo CP"/>
      <sheetName val="CTdo luong GDSP"/>
      <sheetName val="Dong bac"/>
      <sheetName val="Cac cang UT mua than Dong bac"/>
      <sheetName val="cua hang vtu"/>
      <sheetName val="Khach hang le "/>
      <sheetName val="nhat ky 5"/>
      <sheetName val="cac cong ty van tai"/>
      <sheetName val="Thang06-2002"/>
      <sheetName val="Thang07-2002"/>
      <sheetName val="Thang08-2002"/>
      <sheetName val="Thang09-2002"/>
      <sheetName val="Thang10-2002 "/>
      <sheetName val="Thang11-2002"/>
      <sheetName val="Thang12-2002"/>
      <sheetName val="Sheet1 (3)"/>
      <sheetName val="Bao cao KQTH quy hoach 135"/>
      <sheetName val="Sheet5"/>
      <sheetName val="Sheet6"/>
      <sheetName val="Sheet7"/>
      <sheetName val="Sheet8"/>
      <sheetName val="Sheet9"/>
      <sheetName val="Sheet10"/>
      <sheetName val="DGTL"/>
      <sheetName val="XN 1"/>
      <sheetName val="CT.XN1"/>
      <sheetName val="XCK"/>
      <sheetName val="CT.XNCK"/>
      <sheetName val="Hoasen"/>
      <sheetName val="S.hai"/>
      <sheetName val="HPC1"/>
      <sheetName val="No2"/>
      <sheetName val="CT N02"/>
      <sheetName val="C.Sap CT3"/>
      <sheetName val="CT.Csap.CT3"/>
      <sheetName val="CTVPCP"/>
      <sheetName val="Quan trac"/>
      <sheetName val="CS LB"/>
      <sheetName val="88 HBT"/>
      <sheetName val="69II"/>
      <sheetName val="CT 69II"/>
      <sheetName val="37 HV"/>
      <sheetName val="VPCP"/>
      <sheetName val="CT VPCP 6tang"/>
      <sheetName val="Son nha kinh VPCP"/>
      <sheetName val="CT VPCP son"/>
      <sheetName val="HMVPCP"/>
      <sheetName val="CT.HMVPCP"/>
      <sheetName val="XNxlva sxthanKCIÉ"/>
      <sheetName val="Oð mai 279"/>
      <sheetName val="[PNT-P3.xls][PNT-P3.xls][PNT-P3"/>
      <sheetName val="30100000"/>
      <sheetName val="ADKT"/>
      <sheetName val="cocB40 5B"/>
      <sheetName val="cocD50 9A"/>
      <sheetName val="cocD75 16"/>
      <sheetName val="coc B80 TD25"/>
      <sheetName val="P27 B80"/>
      <sheetName val="Coc23 B80"/>
      <sheetName val="cong B80 C4"/>
      <sheetName val="TDT-TBࡁ"/>
      <sheetName val="Op mai 2_x000c__x0000_"/>
      <sheetName val="_x0000_bÑi_x0003__x0000__x0000__x0000__x0000_²r_x0013__x0000_"/>
      <sheetName val="Km_x0012_77 "/>
      <sheetName val="Cong ban 1,5_x0013__x0000_"/>
      <sheetName val="k, vt tho"/>
      <sheetName val="xdcb 01-2003"/>
      <sheetName val="Km280 ࠭ Km281"/>
      <sheetName val="_x0000__x000d__x0000__x0000__x0000_âO"/>
      <sheetName val="BKLBD"/>
      <sheetName val="PTDG"/>
      <sheetName val="DTCT"/>
      <sheetName val="vlct"/>
      <sheetName val="Sheet11"/>
      <sheetName val="Sheet12"/>
      <sheetName val="Sheet13"/>
      <sheetName val="Sheet14"/>
      <sheetName val="_x0000__x000f__x0000__x0000__x0000_½"/>
      <sheetName val="_x0000__x0000_²r"/>
      <sheetName val="_x0000__x0000__x0000__x0000__x0000_M pc_x0006__x0000__x0000_CamPh_x0000__x0000_"/>
      <sheetName val="Cong ban 1,5„—_x0013__x0000_"/>
      <sheetName val="K-280 - Km281"/>
      <sheetName val="Xa9lap "/>
      <sheetName val="Kѭ284"/>
      <sheetName val="chieudayvo"/>
      <sheetName val="So lieu"/>
      <sheetName val="Input"/>
      <sheetName val="tt chu dong"/>
      <sheetName val="Tinh j+cvi"/>
      <sheetName val="Tinh MoP"/>
      <sheetName val="giaihe1"/>
      <sheetName val="Mp,Np"/>
      <sheetName val="khangluc"/>
      <sheetName val="Ms,Ns"/>
      <sheetName val="MoS"/>
      <sheetName val="giai he 2"/>
      <sheetName val="OK"/>
      <sheetName val="Dhp+dhs"/>
      <sheetName val="ktra"/>
      <sheetName val="TNghiªm T_x0002_ "/>
      <sheetName val="tt-_x0014_BA"/>
      <sheetName val="TD_x0014_"/>
      <sheetName val="_x0014_.12"/>
      <sheetName val="QD c5a HDQT (2)"/>
      <sheetName val="_x0003_hart1"/>
      <sheetName val="0304"/>
      <sheetName val="0904"/>
      <sheetName val="1204"/>
      <sheetName val="80000000"/>
      <sheetName val="90000000"/>
      <sheetName val="a0000000"/>
      <sheetName val="b0000000"/>
      <sheetName val="c0000000"/>
      <sheetName val="TAU"/>
      <sheetName val="KHACH"/>
      <sheetName val="BC1"/>
      <sheetName val="BC2"/>
      <sheetName val="BAO CAO AN"/>
      <sheetName val="BANGKEKHACH"/>
      <sheetName val="Thang8-02"/>
      <sheetName val="Thang9-02"/>
      <sheetName val="Thang10-02"/>
      <sheetName val="Thang11-02"/>
      <sheetName val="Thang12-02"/>
      <sheetName val="Thang01-03"/>
      <sheetName val="Thang02-03"/>
      <sheetName val="_x000c__x0000__x0000__x0000__x0000__x0000__x0000__x0000__x000d__x0000__x0000__x0000_"/>
      <sheetName val="ADKTKT02"/>
      <sheetName val="Km283 - Jm284"/>
      <sheetName val="[PNT-P3.xlsUTong hop (2)"/>
      <sheetName val="Km276 - Ke277"/>
      <sheetName val="[PNT-P3.xlsUKm279 - Km280"/>
      <sheetName val="Khac DP"/>
      <sheetName val="Khoi than "/>
      <sheetName val="B3_208_than"/>
      <sheetName val="B3_208_TU"/>
      <sheetName val="B3_208_TW"/>
      <sheetName val="B3_208_DP"/>
      <sheetName val="B3_208_khac"/>
      <sheetName val="Macro1"/>
      <sheetName val="Macro2"/>
      <sheetName val="Macro3"/>
      <sheetName val="Song ban 0,7x0,7"/>
      <sheetName val="Cong ban 0,8x ,8"/>
      <sheetName val="ct luong "/>
      <sheetName val="Nhap 6T"/>
      <sheetName val="baocaochinh(qui1.05) (DC)"/>
      <sheetName val="Ctuluongq.1.05"/>
      <sheetName val="BANG PHAN BO qui1.05(DC)"/>
      <sheetName val="BANG PHAN BO quiII.05"/>
      <sheetName val="bao cac cinh Qui II-2005"/>
      <sheetName val="Áo"/>
      <sheetName val="Km&quot;80"/>
      <sheetName val="Lap ®at ®hÖn"/>
      <sheetName val="Ton 31.1"/>
      <sheetName val="NhapT.2"/>
      <sheetName val="Xuat T.2"/>
      <sheetName val="Ton 28.2"/>
      <sheetName val="H.Tra"/>
      <sheetName val="Hang CTY TRA LAI"/>
      <sheetName val="Hang NV Tra Lai"/>
      <sheetName val="_x0000__x000f__x0000__x0000__x0000_‚ž½"/>
      <sheetName val="_x0000__x000d__x0000__x0000__x0000_âOŽ"/>
      <sheetName val="QD cua HDQ²_x0000__x0000_)"/>
      <sheetName val="P210-TP20"/>
      <sheetName val="CB32"/>
      <sheetName val="CTT NuiC_x000f_eo"/>
      <sheetName val="?0000000"/>
      <sheetName val="CV den trong to?g"/>
      <sheetName val="TDT-TB?"/>
      <sheetName val="Km280 ? Km281"/>
      <sheetName val="K?284"/>
      <sheetName val="Kluo-_x0008_ phu"/>
      <sheetName val="QD cua HDQ²_x0000__x0000_€)"/>
      <sheetName val="So TSCD"/>
      <sheetName val="Bang phan bo KH TSCD"/>
      <sheetName val="The TSCD"/>
      <sheetName val="BTH- P.Chi "/>
      <sheetName val="BTH NVL"/>
      <sheetName val="NK-SC"/>
      <sheetName val="NK SO CAI"/>
      <sheetName val="The tinh Z"/>
      <sheetName val="So CFSXKD"/>
      <sheetName val="So TGNH 2002"/>
      <sheetName val="So quy TM 2002"/>
      <sheetName val="SCT NVL"/>
      <sheetName val="SCT TK 131"/>
      <sheetName val="So theo doi thue GTGT 2002"/>
      <sheetName val="BTH- P.Thu"/>
      <sheetName val="120"/>
      <sheetName val="IFAD"/>
      <sheetName val="CVHN"/>
      <sheetName val="TCVM"/>
      <sheetName val="RIDP"/>
      <sheetName val="LDNN"/>
      <sheetName val="VÃt liÖu"/>
      <sheetName val="Dong$bac"/>
      <sheetName val="Mix-Tarpaulin"/>
      <sheetName val="Tarpaulin"/>
      <sheetName val="Price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Monthly"/>
      <sheetName val="For Summary"/>
      <sheetName val="For Summary(KG)"/>
      <sheetName val="PP Cloth"/>
      <sheetName val="Mix-PP Cloth"/>
      <sheetName val="Material Price-PP"/>
      <sheetName val="Baocao"/>
      <sheetName val="UT"/>
      <sheetName val="TongHopHD"/>
      <sheetName val="7000 000"/>
      <sheetName val="_x000b_luong phu"/>
      <sheetName val="K43"/>
      <sheetName val="THKL"/>
      <sheetName val="PL43"/>
      <sheetName val="K43+0.00 - 338 Trai"/>
      <sheetName val="Du tnan chi tiet coc nuoc"/>
      <sheetName val="gìIÏÝ_x001c_Ã_x0008_ç¾{è"/>
      <sheetName val="TL33-13.14"/>
      <sheetName val="tlđm190337,8"/>
      <sheetName val="GC190337,8"/>
      <sheetName val="033,7,8"/>
      <sheetName val="TL033 ,2,4"/>
      <sheetName val="TL 0331,2"/>
      <sheetName val="033-1,4"/>
      <sheetName val="TL033,19,5"/>
      <sheetName val="Tong (op"/>
      <sheetName val="Coc 4ieu"/>
      <sheetName val="Package1"/>
      <sheetName val="ESTI."/>
      <sheetName val="DI-ESTI"/>
      <sheetName val="_x0003_har"/>
      <sheetName val="Don gia"/>
      <sheetName val="Nhap du lieu"/>
      <sheetName val="BCDSPS"/>
      <sheetName val="BCDKT"/>
      <sheetName val="GS02-thu0TM"/>
      <sheetName val="32"/>
      <sheetName val="33"/>
      <sheetName val="34"/>
      <sheetName val="35"/>
      <sheetName val="36"/>
      <sheetName val="37"/>
      <sheetName val="38"/>
      <sheetName val="PN1"/>
      <sheetName val="PN2"/>
      <sheetName val="PG1"/>
      <sheetName val="PG2"/>
      <sheetName val="TT"/>
      <sheetName val="HFO"/>
      <sheetName val="HFA"/>
      <sheetName val="FA2"/>
      <sheetName val="T_pn1"/>
      <sheetName val="T_pn2"/>
      <sheetName val="T_pg1"/>
      <sheetName val="T_pg2"/>
      <sheetName val="T_tt"/>
      <sheetName val="T_hfo"/>
      <sheetName val="T_p2"/>
      <sheetName val="T_hfa"/>
      <sheetName val="tong"/>
      <sheetName val="dt1,2,10"/>
      <sheetName val="13b"/>
      <sheetName val="pn1_TT"/>
      <sheetName val="pn2_TT"/>
      <sheetName val="PG1_TT"/>
      <sheetName val="PG2_TT"/>
      <sheetName val="tuathang"/>
      <sheetName val="hpho_TT"/>
      <sheetName val="Ban pha 2"/>
      <sheetName val="Huoipha"/>
      <sheetName val="gVL"/>
      <sheetName val="mua vao"/>
      <sheetName val="chi phi "/>
      <sheetName val="ban ra 10%"/>
      <sheetName val="??-BLDG"/>
      <sheetName val="thaß26"/>
      <sheetName val="_x0000__x000a__x0000__x0000__x0000_âO"/>
      <sheetName val="_x000c__x0000__x0000__x0000__x0000__x0000__x0000__x0000__x000a__x0000__x0000__x0000_"/>
      <sheetName val="_x0000__x000a__x0000__x0000__x0000_âOŽ"/>
      <sheetName val="HNI"/>
      <sheetName val="bÑi_x0003_"/>
      <sheetName val="DC2@ï4"/>
      <sheetName val="QD cua "/>
      <sheetName val="Tong hop$Op mai"/>
      <sheetName val="t01.06"/>
      <sheetName val="Sÿÿÿÿ"/>
      <sheetName val="quÿÿ"/>
      <sheetName val="ၔong hop QL48 - 2"/>
      <sheetName val="Shaet13"/>
      <sheetName val="Km266"/>
      <sheetName val="Mp mai 275"/>
      <sheetName val="PNT-P3"/>
      <sheetName val="bc"/>
      <sheetName val="K.O"/>
      <sheetName val="xang _clc"/>
      <sheetName val="X¡NG_td"/>
      <sheetName val="MaZUT"/>
      <sheetName val="DIESEL"/>
      <sheetName val="Km27%"/>
      <sheetName val="O0 mai 279"/>
      <sheetName val="Op_x0000_mai 280"/>
      <sheetName val="Op mai 28_x0011_"/>
      <sheetName val="5 nam (tac`) (2)"/>
      <sheetName val="D%o nai"/>
      <sheetName val="CTT cao so."/>
      <sheetName val="XNxlva sxdhanKCII"/>
      <sheetName val="CTxay lap mo C_x0010_"/>
      <sheetName val="Giao nhÿÿÿÿvu"/>
      <sheetName val="⁋㌱Ա_x0000_䭔㌱س_x0000_䭔ㄠㄴ_x0006_牴湯⁧琠湯౧_x0000_杮楨搠湩⵨偃_x0006_匀敨瑥"/>
      <sheetName val="Diem mon hoc"/>
      <sheetName val="Tong hop diem"/>
      <sheetName val="HoTen-khong duoc xoa"/>
      <sheetName val="MTL$-INTER"/>
      <sheetName val="Khach iang le "/>
      <sheetName val="[PNT-P3.xlsѝKQKDKT'04-1"/>
      <sheetName val="DG "/>
      <sheetName val="tldm190337,8"/>
      <sheetName val="???????-BLDG"/>
      <sheetName val="Thang 07"/>
      <sheetName val="T10-05"/>
      <sheetName val="T9-05"/>
      <sheetName val="t805"/>
      <sheetName val="11T"/>
      <sheetName val="9T"/>
      <sheetName val="Giao nhiem fu"/>
      <sheetName val="QDcea TGD (2)"/>
      <sheetName val="Dimu"/>
      <sheetName val="Klct"/>
      <sheetName val="Covi"/>
      <sheetName val="Nlvt"/>
      <sheetName val="Innl"/>
      <sheetName val="Invt"/>
      <sheetName val="Chon"/>
      <sheetName val="Qtnv"/>
      <sheetName val="Bqtn"/>
      <sheetName val="Bqtv"/>
      <sheetName val="Giao"/>
      <sheetName val="Dcap"/>
      <sheetName val="Nlie"/>
      <sheetName val="Mnli"/>
      <sheetName val="Tkng hop QL48 - 2"/>
      <sheetName val="TNghiÖ- VL"/>
      <sheetName val="nam2004"/>
      <sheetName val="Cm276 - Ke277"/>
      <sheetName val="GS08)B.hµng"/>
      <sheetName val="CDÕTKT2002"/>
      <sheetName val="Tong hopQ48­1"/>
      <sheetName val="tt chu don"/>
      <sheetName val="FUONDER TAN UYEN T12"/>
      <sheetName val="XXXXX\XX"/>
      <sheetName val=" CHIEU XA  T01"/>
      <sheetName val="[PNT-P3.xls]XXXXX\X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 refreshError="1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/>
      <sheetData sheetId="249"/>
      <sheetData sheetId="250"/>
      <sheetData sheetId="251"/>
      <sheetData sheetId="252" refreshError="1"/>
      <sheetData sheetId="253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/>
      <sheetData sheetId="305"/>
      <sheetData sheetId="306"/>
      <sheetData sheetId="307"/>
      <sheetData sheetId="308"/>
      <sheetData sheetId="309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 refreshError="1"/>
      <sheetData sheetId="368" refreshError="1"/>
      <sheetData sheetId="369" refreshError="1"/>
      <sheetData sheetId="370"/>
      <sheetData sheetId="371" refreshError="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 refreshError="1"/>
      <sheetData sheetId="381" refreshError="1"/>
      <sheetData sheetId="382" refreshError="1"/>
      <sheetData sheetId="383" refreshError="1"/>
      <sheetData sheetId="384"/>
      <sheetData sheetId="385"/>
      <sheetData sheetId="386" refreshError="1"/>
      <sheetData sheetId="387" refreshError="1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/>
      <sheetData sheetId="402" refreshError="1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 refreshError="1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 refreshError="1"/>
      <sheetData sheetId="446"/>
      <sheetData sheetId="447"/>
      <sheetData sheetId="448" refreshError="1"/>
      <sheetData sheetId="449" refreshError="1"/>
      <sheetData sheetId="450" refreshError="1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 refreshError="1"/>
      <sheetData sheetId="471" refreshError="1"/>
      <sheetData sheetId="472" refreshError="1"/>
      <sheetData sheetId="473"/>
      <sheetData sheetId="474"/>
      <sheetData sheetId="475"/>
      <sheetData sheetId="476"/>
      <sheetData sheetId="477"/>
      <sheetData sheetId="478"/>
      <sheetData sheetId="479"/>
      <sheetData sheetId="480" refreshError="1"/>
      <sheetData sheetId="481" refreshError="1"/>
      <sheetData sheetId="482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/>
      <sheetData sheetId="509"/>
      <sheetData sheetId="510"/>
      <sheetData sheetId="511"/>
      <sheetData sheetId="512"/>
      <sheetData sheetId="513"/>
      <sheetData sheetId="514"/>
      <sheetData sheetId="515" refreshError="1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 refreshError="1"/>
      <sheetData sheetId="561"/>
      <sheetData sheetId="562"/>
      <sheetData sheetId="563"/>
      <sheetData sheetId="564"/>
      <sheetData sheetId="565"/>
      <sheetData sheetId="566" refreshError="1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 refreshError="1"/>
      <sheetData sheetId="621"/>
      <sheetData sheetId="622"/>
      <sheetData sheetId="623"/>
      <sheetData sheetId="624" refreshError="1"/>
      <sheetData sheetId="625"/>
      <sheetData sheetId="626" refreshError="1"/>
      <sheetData sheetId="627" refreshError="1"/>
      <sheetData sheetId="628" refreshError="1"/>
      <sheetData sheetId="629" refreshError="1"/>
      <sheetData sheetId="630"/>
      <sheetData sheetId="631" refreshError="1"/>
      <sheetData sheetId="632"/>
      <sheetData sheetId="633" refreshError="1"/>
      <sheetData sheetId="634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/>
      <sheetData sheetId="643"/>
      <sheetData sheetId="644"/>
      <sheetData sheetId="645"/>
      <sheetData sheetId="646"/>
      <sheetData sheetId="647"/>
      <sheetData sheetId="648" refreshError="1"/>
      <sheetData sheetId="649" refreshError="1"/>
      <sheetData sheetId="650" refreshError="1"/>
      <sheetData sheetId="651" refreshError="1"/>
      <sheetData sheetId="652"/>
      <sheetData sheetId="653" refreshError="1"/>
      <sheetData sheetId="654" refreshError="1"/>
      <sheetData sheetId="655" refreshError="1"/>
      <sheetData sheetId="656" refreshError="1"/>
      <sheetData sheetId="657"/>
      <sheetData sheetId="658" refreshError="1"/>
      <sheetData sheetId="659"/>
      <sheetData sheetId="660"/>
      <sheetData sheetId="661"/>
      <sheetData sheetId="662" refreshError="1"/>
      <sheetData sheetId="663" refreshError="1"/>
      <sheetData sheetId="664"/>
      <sheetData sheetId="665" refreshError="1"/>
      <sheetData sheetId="666" refreshError="1"/>
      <sheetData sheetId="667" refreshError="1"/>
      <sheetData sheetId="668"/>
      <sheetData sheetId="669"/>
      <sheetData sheetId="670"/>
      <sheetData sheetId="671"/>
      <sheetData sheetId="672"/>
      <sheetData sheetId="673"/>
      <sheetData sheetId="674" refreshError="1"/>
      <sheetData sheetId="675" refreshError="1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/>
      <sheetData sheetId="692"/>
      <sheetData sheetId="693" refreshError="1"/>
      <sheetData sheetId="694"/>
      <sheetData sheetId="695" refreshError="1"/>
      <sheetData sheetId="696"/>
      <sheetData sheetId="697"/>
      <sheetData sheetId="698" refreshError="1"/>
      <sheetData sheetId="699" refreshError="1"/>
      <sheetData sheetId="700" refreshError="1"/>
      <sheetData sheetId="70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uyenGiao"/>
      <sheetName val="Lương kỹ sư"/>
      <sheetName val="Lương công nhân"/>
      <sheetName val="Vùng"/>
    </sheetNames>
    <sheetDataSet>
      <sheetData sheetId="0">
        <row r="8">
          <cell r="P8" t="str">
            <v>Đồ họa</v>
          </cell>
        </row>
        <row r="9">
          <cell r="P9" t="str">
            <v>Nguồn đóng</v>
          </cell>
        </row>
        <row r="10">
          <cell r="P10" t="str">
            <v>Tiếng Việt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antity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L$-INTER"/>
      <sheetName val="MTL$-TRUNCK-AG"/>
      <sheetName val="MTL$-PRODTANK-UG"/>
      <sheetName val="MTL$-PRODTANK-AG"/>
      <sheetName val="MTL$-JETTY"/>
      <sheetName val="MTL$-TRUNCK-UG"/>
      <sheetName val="XL4Poppy"/>
      <sheetName val="MTL__INTER"/>
      <sheetName val=" nhap x mang"/>
      <sheetName val="cat da bay"/>
      <sheetName val="kl dat"/>
      <sheetName val="Sheet4"/>
      <sheetName val="Sheet1"/>
      <sheetName val="xin kinh phi"/>
      <sheetName val="lan trai"/>
      <sheetName val="thuoc no"/>
      <sheetName val="Sheet3"/>
      <sheetName val="Sheet2"/>
      <sheetName val="so thuc pham"/>
      <sheetName val="Chart1"/>
      <sheetName val="Trang1"/>
      <sheetName val="Trang2"/>
      <sheetName val="Trang3"/>
      <sheetName val="Trang4"/>
      <sheetName val="Trang5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T"/>
      <sheetName val="Appendix 2"/>
      <sheetName val="Appendix 3"/>
      <sheetName val="Appendix 4"/>
      <sheetName val="Du toan"/>
    </sheetNames>
    <sheetDataSet>
      <sheetData sheetId="0" refreshError="1"/>
      <sheetData sheetId="1" refreshError="1"/>
      <sheetData sheetId="2" refreshError="1">
        <row r="8">
          <cell r="F8">
            <v>27</v>
          </cell>
        </row>
      </sheetData>
      <sheetData sheetId="3" refreshError="1">
        <row r="18">
          <cell r="E18">
            <v>1200</v>
          </cell>
        </row>
      </sheetData>
      <sheetData sheetId="4" refreshError="1">
        <row r="8">
          <cell r="D8">
            <v>1227</v>
          </cell>
        </row>
        <row r="11">
          <cell r="D11">
            <v>1774.7327999999998</v>
          </cell>
        </row>
        <row r="13">
          <cell r="D13">
            <v>2957.8879999999995</v>
          </cell>
        </row>
        <row r="27">
          <cell r="C27">
            <v>20374.942307692309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s"/>
      <sheetName val="BG "/>
      <sheetName val="OLYMPIA"/>
      <sheetName val="X_MEDIA"/>
      <sheetName val="POWERCOM"/>
      <sheetName val="LEADER"/>
      <sheetName val="SOLOMON"/>
      <sheetName val="DATA"/>
      <sheetName val="PROJECT"/>
      <sheetName val="SPUTNIK"/>
      <sheetName val="tra-vat-lieu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Sheet31"/>
      <sheetName val="Sheet32"/>
      <sheetName val="Sheet33"/>
      <sheetName val="Sheet34"/>
      <sheetName val="Sheet35"/>
      <sheetName val="Sheet36"/>
      <sheetName val="Sheet37"/>
      <sheetName val="Sheet38"/>
      <sheetName val="Sheet39"/>
      <sheetName val="Sheet40"/>
      <sheetName val="Sheet41"/>
      <sheetName val="Sheet42"/>
      <sheetName val="Sheet43"/>
      <sheetName val="Sheet44"/>
      <sheetName val="Sheet45"/>
      <sheetName val="Sheet46"/>
      <sheetName val="Sheet47"/>
      <sheetName val="Sheet48"/>
      <sheetName val="chiet tinh"/>
      <sheetName val="MList"/>
      <sheetName val="Trinh BC"/>
      <sheetName val="DK"/>
      <sheetName val="Luu"/>
      <sheetName val="Tra"/>
      <sheetName val="To phu"/>
      <sheetName val="Data-PT"/>
      <sheetName val="Nhan"/>
      <sheetName val="New"/>
      <sheetName val="Ma linh kien"/>
      <sheetName val="Nhan (2)"/>
      <sheetName val="Appendix 3"/>
      <sheetName val="Appendix 4"/>
      <sheetName val="Du to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gct"/>
      <sheetName val="dtct"/>
      <sheetName val="gvl"/>
      <sheetName val="Sheet10"/>
      <sheetName val="Sheet11"/>
      <sheetName val="Sheet12"/>
      <sheetName val="Sheet13"/>
      <sheetName val="Sheet14"/>
      <sheetName val="Sheet15"/>
      <sheetName val="Sheet16"/>
      <sheetName val="VL-NC-M"/>
      <sheetName val="tra-vat-lieu"/>
    </sheetNames>
    <sheetDataSet>
      <sheetData sheetId="0"/>
      <sheetData sheetId="1"/>
      <sheetData sheetId="2">
        <row r="9">
          <cell r="N9">
            <v>118182</v>
          </cell>
        </row>
        <row r="16">
          <cell r="N16">
            <v>759</v>
          </cell>
        </row>
        <row r="17">
          <cell r="N17">
            <v>55000</v>
          </cell>
        </row>
        <row r="38">
          <cell r="N38">
            <v>4.5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antity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g khoi luong"/>
      <sheetName val="Bang phan tich"/>
      <sheetName val="TH vat tu"/>
      <sheetName val="Bang tinh gia VL"/>
      <sheetName val="TH Kinh phi"/>
      <sheetName val="TH thiet bi"/>
      <sheetName val="TH may TC"/>
      <sheetName val="TH Nhan cong"/>
      <sheetName val="DM Chi phi"/>
    </sheetNames>
    <sheetDataSet>
      <sheetData sheetId="0"/>
      <sheetData sheetId="1"/>
      <sheetData sheetId="2"/>
      <sheetData sheetId="3"/>
      <sheetData sheetId="4">
        <row r="42">
          <cell r="G42">
            <v>0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ide"/>
      <sheetName val="Cate"/>
      <sheetName val="Actors"/>
      <sheetName val="Use Case"/>
      <sheetName val="Sheet1"/>
      <sheetName val="Check trùng lắp UC"/>
      <sheetName val="Check trùng lắp Transaction"/>
      <sheetName val="Point Actors &amp; Point Use-case"/>
      <sheetName val="Tech(TFW &amp;TCF) Environment(EFW)"/>
      <sheetName val="Dev Software Price"/>
      <sheetName val="Total Software Price"/>
      <sheetName val="Kiểm thử"/>
      <sheetName val="TCF (kiểm thử)"/>
      <sheetName val="ECF (kiểm thử)"/>
      <sheetName val="H"/>
      <sheetName val="H (kiểm thử)"/>
      <sheetName val="Bảng lương"/>
    </sheetNames>
    <sheetDataSet>
      <sheetData sheetId="0" refreshError="1"/>
      <sheetData sheetId="1">
        <row r="6">
          <cell r="A6" t="str">
            <v>Đơn giản</v>
          </cell>
        </row>
        <row r="7">
          <cell r="A7" t="str">
            <v>Trung bình</v>
          </cell>
        </row>
        <row r="8">
          <cell r="A8" t="str">
            <v>Phức tạp</v>
          </cell>
        </row>
        <row r="27">
          <cell r="A27" t="str">
            <v>B</v>
          </cell>
        </row>
        <row r="28">
          <cell r="A28" t="str">
            <v>M</v>
          </cell>
        </row>
        <row r="29">
          <cell r="A29" t="str">
            <v>T</v>
          </cell>
        </row>
        <row r="33">
          <cell r="B33" t="str">
            <v>Dữ liệu đầu vào (Input Data)</v>
          </cell>
        </row>
        <row r="34">
          <cell r="B34" t="str">
            <v>Dữ liệu đầu ra (Output Data)</v>
          </cell>
        </row>
        <row r="35">
          <cell r="B35" t="str">
            <v>Các yêu cầu truy vấn (Query)</v>
          </cell>
        </row>
        <row r="36">
          <cell r="B36" t="str">
            <v>CSDL (Database)</v>
          </cell>
        </row>
        <row r="37">
          <cell r="B37" t="str">
            <v>Dữ liệu tra cứu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/>
      <sheetData sheetId="1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BASE"/>
    </sheetNames>
    <sheetDataSet>
      <sheetData sheetId="0">
        <row r="7">
          <cell r="AH7" t="str">
            <v>SP1</v>
          </cell>
          <cell r="AI7" t="str">
            <v>SOLVENT CLEANING   (SSPC-SP-1)</v>
          </cell>
          <cell r="AJ7">
            <v>60</v>
          </cell>
          <cell r="AK7">
            <v>60</v>
          </cell>
          <cell r="AL7">
            <v>60</v>
          </cell>
        </row>
        <row r="8">
          <cell r="AH8" t="str">
            <v>SP2</v>
          </cell>
          <cell r="AI8" t="str">
            <v>HAND CLEANING   (SSPC-SP-2)</v>
          </cell>
          <cell r="AJ8">
            <v>50</v>
          </cell>
          <cell r="AK8">
            <v>50</v>
          </cell>
          <cell r="AL8">
            <v>50</v>
          </cell>
        </row>
        <row r="9">
          <cell r="AH9" t="str">
            <v>SP3</v>
          </cell>
          <cell r="AI9" t="str">
            <v>POWER CLEANING   (SSPC-SP-3)</v>
          </cell>
          <cell r="AJ9">
            <v>50</v>
          </cell>
          <cell r="AK9">
            <v>50</v>
          </cell>
          <cell r="AL9">
            <v>50</v>
          </cell>
        </row>
        <row r="10">
          <cell r="AH10" t="str">
            <v>SP5</v>
          </cell>
          <cell r="AI10" t="str">
            <v>WHITE METAL BLAST   (SSPC-SP-5)</v>
          </cell>
          <cell r="AJ10">
            <v>90</v>
          </cell>
          <cell r="AK10">
            <v>90</v>
          </cell>
          <cell r="AL10">
            <v>90</v>
          </cell>
        </row>
        <row r="11">
          <cell r="AH11" t="str">
            <v>SP6</v>
          </cell>
          <cell r="AI11" t="str">
            <v>COMMERCIAL BLAST (SSPC-SP-6)</v>
          </cell>
          <cell r="AJ11">
            <v>70</v>
          </cell>
          <cell r="AK11">
            <v>70</v>
          </cell>
          <cell r="AL11">
            <v>70</v>
          </cell>
        </row>
        <row r="12">
          <cell r="AH12" t="str">
            <v>SP7</v>
          </cell>
          <cell r="AI12" t="str">
            <v>BRUSH OFF BLAST CLEANING (SSPC-SP7)</v>
          </cell>
          <cell r="AJ12">
            <v>50</v>
          </cell>
          <cell r="AK12">
            <v>50</v>
          </cell>
          <cell r="AL12">
            <v>50</v>
          </cell>
        </row>
        <row r="13">
          <cell r="AH13" t="str">
            <v>SP8</v>
          </cell>
          <cell r="AI13" t="str">
            <v>PICKLING  (SSPC-SP-8)</v>
          </cell>
          <cell r="AJ13">
            <v>350</v>
          </cell>
          <cell r="AK13">
            <v>350</v>
          </cell>
          <cell r="AL13">
            <v>350</v>
          </cell>
        </row>
        <row r="14">
          <cell r="AH14" t="str">
            <v>SP10</v>
          </cell>
          <cell r="AI14" t="str">
            <v>NEAR WHITE BLAST (SSPC-SP-10)</v>
          </cell>
          <cell r="AJ14">
            <v>80</v>
          </cell>
          <cell r="AK14">
            <v>80</v>
          </cell>
          <cell r="AL14">
            <v>80</v>
          </cell>
        </row>
        <row r="16">
          <cell r="AH16" t="str">
            <v>RLP</v>
          </cell>
          <cell r="AI16" t="str">
            <v>RED LEAD PRIMER</v>
          </cell>
          <cell r="AJ16" t="str">
            <v>0101</v>
          </cell>
          <cell r="AK16" t="str">
            <v>905(OP-91)</v>
          </cell>
          <cell r="AL16" t="str">
            <v>210</v>
          </cell>
          <cell r="AM16">
            <v>1</v>
          </cell>
          <cell r="AN16">
            <v>9.1999999999999993</v>
          </cell>
          <cell r="AO16">
            <v>9.6999999999999993</v>
          </cell>
          <cell r="AP16">
            <v>14.8</v>
          </cell>
          <cell r="AQ16">
            <v>47.83</v>
          </cell>
          <cell r="AR16">
            <v>45.36</v>
          </cell>
          <cell r="AS16">
            <v>38.51</v>
          </cell>
          <cell r="AT16">
            <v>440</v>
          </cell>
          <cell r="AU16">
            <v>440</v>
          </cell>
          <cell r="AV16">
            <v>570</v>
          </cell>
        </row>
        <row r="17">
          <cell r="AI17" t="str">
            <v>RED LEAD PRIMER</v>
          </cell>
          <cell r="AJ17" t="str">
            <v>0102</v>
          </cell>
          <cell r="AK17" t="str">
            <v>906(OP-92)</v>
          </cell>
          <cell r="AL17" t="str">
            <v>220</v>
          </cell>
          <cell r="AM17">
            <v>1</v>
          </cell>
          <cell r="AN17">
            <v>8.7799999999999994</v>
          </cell>
          <cell r="AO17">
            <v>10</v>
          </cell>
          <cell r="AP17">
            <v>12.4</v>
          </cell>
          <cell r="AQ17">
            <v>47.83</v>
          </cell>
          <cell r="AR17">
            <v>42</v>
          </cell>
          <cell r="AS17">
            <v>38.71</v>
          </cell>
          <cell r="AT17">
            <v>420</v>
          </cell>
          <cell r="AU17">
            <v>420</v>
          </cell>
          <cell r="AV17">
            <v>480</v>
          </cell>
        </row>
        <row r="18">
          <cell r="AI18" t="str">
            <v>B P RED LEAD PRIMER</v>
          </cell>
          <cell r="AJ18" t="str">
            <v>0103</v>
          </cell>
          <cell r="AK18" t="str">
            <v>911</v>
          </cell>
          <cell r="AM18">
            <v>1</v>
          </cell>
          <cell r="AN18">
            <v>8.44</v>
          </cell>
          <cell r="AO18">
            <v>9</v>
          </cell>
          <cell r="AQ18">
            <v>45</v>
          </cell>
          <cell r="AR18">
            <v>42.22</v>
          </cell>
          <cell r="AT18">
            <v>380</v>
          </cell>
          <cell r="AU18">
            <v>380</v>
          </cell>
        </row>
        <row r="19">
          <cell r="AH19" t="str">
            <v>ATP</v>
          </cell>
          <cell r="AI19" t="str">
            <v xml:space="preserve">ALUMINUM TRIPOLYPHOSPHATE PRIMER </v>
          </cell>
          <cell r="AJ19" t="str">
            <v>0107</v>
          </cell>
          <cell r="AK19" t="str">
            <v>992</v>
          </cell>
          <cell r="AL19" t="str">
            <v>221</v>
          </cell>
          <cell r="AM19">
            <v>1</v>
          </cell>
          <cell r="AN19">
            <v>12.6</v>
          </cell>
          <cell r="AO19">
            <v>7.09</v>
          </cell>
          <cell r="AP19">
            <v>11.4</v>
          </cell>
          <cell r="AQ19">
            <v>39.68</v>
          </cell>
          <cell r="AR19">
            <v>42.31</v>
          </cell>
          <cell r="AS19">
            <v>38.6</v>
          </cell>
          <cell r="AT19">
            <v>500</v>
          </cell>
          <cell r="AU19">
            <v>300</v>
          </cell>
          <cell r="AV19">
            <v>440</v>
          </cell>
        </row>
        <row r="20">
          <cell r="AH20" t="str">
            <v>AZCP</v>
          </cell>
          <cell r="AI20" t="str">
            <v xml:space="preserve">ALKYD ZINC CHROMATE PRIMER </v>
          </cell>
          <cell r="AJ20" t="str">
            <v>0111</v>
          </cell>
          <cell r="AK20" t="str">
            <v>907(OP-93)</v>
          </cell>
          <cell r="AL20" t="str">
            <v>240</v>
          </cell>
          <cell r="AM20">
            <v>1</v>
          </cell>
          <cell r="AN20">
            <v>10.9</v>
          </cell>
          <cell r="AO20">
            <v>10.6</v>
          </cell>
          <cell r="AP20">
            <v>9</v>
          </cell>
          <cell r="AQ20">
            <v>40.369999999999997</v>
          </cell>
          <cell r="AR20">
            <v>41.51</v>
          </cell>
          <cell r="AS20">
            <v>40.89</v>
          </cell>
          <cell r="AT20">
            <v>440</v>
          </cell>
          <cell r="AU20">
            <v>440</v>
          </cell>
          <cell r="AV20">
            <v>368</v>
          </cell>
        </row>
        <row r="21">
          <cell r="AH21" t="str">
            <v>ROP</v>
          </cell>
          <cell r="AI21" t="str">
            <v xml:space="preserve">RED OXIDE PRIMER </v>
          </cell>
          <cell r="AJ21" t="str">
            <v>0121</v>
          </cell>
          <cell r="AK21" t="str">
            <v>904(OP-95)</v>
          </cell>
          <cell r="AL21" t="str">
            <v>230</v>
          </cell>
          <cell r="AM21">
            <v>1</v>
          </cell>
          <cell r="AN21">
            <v>6.5</v>
          </cell>
          <cell r="AO21">
            <v>8.1999999999999993</v>
          </cell>
          <cell r="AP21">
            <v>5.2</v>
          </cell>
          <cell r="AQ21">
            <v>46.15</v>
          </cell>
          <cell r="AR21">
            <v>41.46</v>
          </cell>
          <cell r="AS21">
            <v>57.12</v>
          </cell>
          <cell r="AT21">
            <v>300</v>
          </cell>
          <cell r="AU21">
            <v>340</v>
          </cell>
          <cell r="AV21">
            <v>297</v>
          </cell>
        </row>
        <row r="22">
          <cell r="AH22" t="str">
            <v>GS</v>
          </cell>
          <cell r="AI22" t="str">
            <v xml:space="preserve">GRAY SURFACE </v>
          </cell>
          <cell r="AJ22" t="str">
            <v>0141</v>
          </cell>
          <cell r="AK22" t="str">
            <v>501</v>
          </cell>
          <cell r="AL22" t="str">
            <v>090</v>
          </cell>
          <cell r="AM22">
            <v>1</v>
          </cell>
          <cell r="AN22">
            <v>8.1</v>
          </cell>
          <cell r="AO22">
            <v>12.1</v>
          </cell>
          <cell r="AP22">
            <v>12.6</v>
          </cell>
          <cell r="AQ22">
            <v>37.04</v>
          </cell>
          <cell r="AR22">
            <v>37.19</v>
          </cell>
          <cell r="AS22">
            <v>37.94</v>
          </cell>
          <cell r="AT22">
            <v>300</v>
          </cell>
          <cell r="AU22">
            <v>450</v>
          </cell>
          <cell r="AV22">
            <v>478</v>
          </cell>
        </row>
        <row r="23">
          <cell r="AH23" t="str">
            <v>RMP</v>
          </cell>
          <cell r="AI23" t="str">
            <v>READY-MIXED PAINT</v>
          </cell>
          <cell r="AJ23" t="str">
            <v>0151</v>
          </cell>
          <cell r="AK23" t="str">
            <v>111</v>
          </cell>
          <cell r="AL23" t="str">
            <v>100</v>
          </cell>
          <cell r="AM23">
            <v>1</v>
          </cell>
          <cell r="AN23">
            <v>10.9</v>
          </cell>
          <cell r="AO23">
            <v>9.6</v>
          </cell>
          <cell r="AP23">
            <v>10</v>
          </cell>
          <cell r="AQ23">
            <v>41.28</v>
          </cell>
          <cell r="AR23">
            <v>41.67</v>
          </cell>
          <cell r="AS23">
            <v>38</v>
          </cell>
          <cell r="AT23">
            <v>450</v>
          </cell>
          <cell r="AU23">
            <v>400</v>
          </cell>
          <cell r="AV23">
            <v>380</v>
          </cell>
        </row>
        <row r="24">
          <cell r="AH24" t="str">
            <v>FRMP</v>
          </cell>
          <cell r="AI24" t="str">
            <v xml:space="preserve">FLAT READY-MIXED PAINT </v>
          </cell>
          <cell r="AJ24" t="str">
            <v>0153</v>
          </cell>
          <cell r="AK24" t="str">
            <v>508</v>
          </cell>
          <cell r="AM24">
            <v>1</v>
          </cell>
          <cell r="AN24">
            <v>11.8</v>
          </cell>
          <cell r="AO24">
            <v>9.4</v>
          </cell>
          <cell r="AQ24">
            <v>36.44</v>
          </cell>
          <cell r="AR24">
            <v>37.229999999999997</v>
          </cell>
          <cell r="AT24">
            <v>430</v>
          </cell>
          <cell r="AU24">
            <v>350</v>
          </cell>
        </row>
        <row r="25">
          <cell r="AH25" t="str">
            <v>AE</v>
          </cell>
          <cell r="AI25" t="str">
            <v xml:space="preserve">ALKYD ENAMEL </v>
          </cell>
          <cell r="AJ25" t="str">
            <v>0162</v>
          </cell>
          <cell r="AK25" t="str">
            <v>502</v>
          </cell>
          <cell r="AL25" t="str">
            <v>110</v>
          </cell>
          <cell r="AM25">
            <v>1</v>
          </cell>
          <cell r="AN25">
            <v>11.9</v>
          </cell>
          <cell r="AO25">
            <v>12.4</v>
          </cell>
          <cell r="AP25">
            <v>12</v>
          </cell>
          <cell r="AQ25">
            <v>35.29</v>
          </cell>
          <cell r="AR25">
            <v>37.1</v>
          </cell>
          <cell r="AS25">
            <v>37.92</v>
          </cell>
          <cell r="AT25">
            <v>420</v>
          </cell>
          <cell r="AU25">
            <v>460</v>
          </cell>
          <cell r="AV25">
            <v>455</v>
          </cell>
        </row>
        <row r="26">
          <cell r="AH26" t="str">
            <v>AP</v>
          </cell>
          <cell r="AI26" t="str">
            <v>ALUMIN PAINT</v>
          </cell>
          <cell r="AJ26" t="str">
            <v>0152</v>
          </cell>
          <cell r="AK26" t="str">
            <v>103</v>
          </cell>
          <cell r="AL26" t="str">
            <v>310</v>
          </cell>
          <cell r="AM26">
            <v>1</v>
          </cell>
          <cell r="AN26">
            <v>10.9</v>
          </cell>
          <cell r="AO26">
            <v>13.5</v>
          </cell>
          <cell r="AP26">
            <v>13.5</v>
          </cell>
          <cell r="AQ26">
            <v>36.700000000000003</v>
          </cell>
          <cell r="AR26">
            <v>34.07</v>
          </cell>
          <cell r="AS26">
            <v>32.44</v>
          </cell>
          <cell r="AT26">
            <v>400</v>
          </cell>
          <cell r="AU26">
            <v>460</v>
          </cell>
          <cell r="AV26">
            <v>438</v>
          </cell>
        </row>
        <row r="27">
          <cell r="AH27" t="str">
            <v>AMF</v>
          </cell>
          <cell r="AI27" t="str">
            <v>PHEN0LIC-MODIFIED ALKYD M.I.O.FINISH</v>
          </cell>
          <cell r="AJ27" t="str">
            <v>4690(Ar-900)</v>
          </cell>
          <cell r="AL27" t="str">
            <v>800</v>
          </cell>
          <cell r="AM27">
            <v>1</v>
          </cell>
          <cell r="AN27">
            <v>19.16</v>
          </cell>
          <cell r="AP27">
            <v>17.8</v>
          </cell>
          <cell r="AQ27">
            <v>26.1</v>
          </cell>
          <cell r="AS27">
            <v>37.869999999999997</v>
          </cell>
          <cell r="AT27">
            <v>500</v>
          </cell>
          <cell r="AV27">
            <v>674</v>
          </cell>
        </row>
        <row r="28">
          <cell r="AH28" t="str">
            <v>GP</v>
          </cell>
          <cell r="AI28" t="str">
            <v xml:space="preserve">GALVAN. STEEL SHEET EHULSION PAINT </v>
          </cell>
          <cell r="AK28" t="str">
            <v>100(OM-12)</v>
          </cell>
          <cell r="AM28">
            <v>1</v>
          </cell>
          <cell r="AO28">
            <v>14.3</v>
          </cell>
          <cell r="AR28">
            <v>47.55</v>
          </cell>
          <cell r="AU28">
            <v>680</v>
          </cell>
        </row>
        <row r="29">
          <cell r="AI29" t="str">
            <v xml:space="preserve">EPOXY RESIN </v>
          </cell>
        </row>
        <row r="30">
          <cell r="AH30" t="str">
            <v>ERLP</v>
          </cell>
          <cell r="AI30" t="str">
            <v xml:space="preserve">EPOXY RED LEAD PRIMER </v>
          </cell>
          <cell r="AJ30" t="str">
            <v>0401</v>
          </cell>
          <cell r="AK30" t="str">
            <v>1007(EP-01)</v>
          </cell>
          <cell r="AM30">
            <v>1</v>
          </cell>
          <cell r="AN30">
            <v>13.7</v>
          </cell>
          <cell r="AO30">
            <v>11.9</v>
          </cell>
          <cell r="AQ30">
            <v>41.61</v>
          </cell>
          <cell r="AR30">
            <v>47.9</v>
          </cell>
          <cell r="AT30">
            <v>570</v>
          </cell>
          <cell r="AU30">
            <v>570</v>
          </cell>
        </row>
        <row r="31">
          <cell r="AH31" t="str">
            <v>EZCP</v>
          </cell>
          <cell r="AI31" t="str">
            <v xml:space="preserve">EPOXY ZINC CHROMATE PRIMER </v>
          </cell>
          <cell r="AJ31" t="str">
            <v>0411</v>
          </cell>
          <cell r="AK31" t="str">
            <v>1008(EP-09)</v>
          </cell>
          <cell r="AL31" t="str">
            <v>56</v>
          </cell>
          <cell r="AM31">
            <v>1</v>
          </cell>
          <cell r="AN31">
            <v>13.7</v>
          </cell>
          <cell r="AO31">
            <v>13.2</v>
          </cell>
          <cell r="AP31">
            <v>15.7</v>
          </cell>
          <cell r="AQ31">
            <v>41.61</v>
          </cell>
          <cell r="AR31">
            <v>43.18</v>
          </cell>
          <cell r="AS31">
            <v>57.32</v>
          </cell>
          <cell r="AT31">
            <v>570</v>
          </cell>
          <cell r="AU31">
            <v>570</v>
          </cell>
          <cell r="AV31">
            <v>900</v>
          </cell>
        </row>
        <row r="32">
          <cell r="AH32" t="str">
            <v>EZRP</v>
          </cell>
          <cell r="AI32" t="str">
            <v xml:space="preserve">EPOXY ZINC RICH PRIMER </v>
          </cell>
          <cell r="AJ32" t="str">
            <v>0416</v>
          </cell>
          <cell r="AK32" t="str">
            <v>1006(EP-03)</v>
          </cell>
          <cell r="AL32" t="str">
            <v>63</v>
          </cell>
          <cell r="AM32">
            <v>1</v>
          </cell>
          <cell r="AN32">
            <v>24.9</v>
          </cell>
          <cell r="AO32">
            <v>18.899999999999999</v>
          </cell>
          <cell r="AP32">
            <v>44.29</v>
          </cell>
          <cell r="AQ32">
            <v>44.18</v>
          </cell>
          <cell r="AR32">
            <v>52.91</v>
          </cell>
          <cell r="AS32">
            <v>29.35</v>
          </cell>
          <cell r="AT32">
            <v>1100</v>
          </cell>
          <cell r="AU32">
            <v>1000</v>
          </cell>
          <cell r="AV32">
            <v>1300</v>
          </cell>
        </row>
        <row r="33">
          <cell r="AH33" t="str">
            <v>EROP</v>
          </cell>
          <cell r="AI33" t="str">
            <v xml:space="preserve">EPOXY RED OXIDE PRIMER </v>
          </cell>
          <cell r="AJ33" t="str">
            <v>0421(Z-500)</v>
          </cell>
          <cell r="AK33" t="str">
            <v>1009(EP-02)</v>
          </cell>
          <cell r="AL33" t="str">
            <v>87</v>
          </cell>
          <cell r="AM33">
            <v>1</v>
          </cell>
          <cell r="AN33">
            <v>11.3</v>
          </cell>
          <cell r="AO33">
            <v>10.9</v>
          </cell>
          <cell r="AP33">
            <v>28.1</v>
          </cell>
          <cell r="AQ33">
            <v>41.59</v>
          </cell>
          <cell r="AR33">
            <v>43.12</v>
          </cell>
          <cell r="AS33">
            <v>39.15</v>
          </cell>
          <cell r="AT33">
            <v>470</v>
          </cell>
          <cell r="AU33">
            <v>470</v>
          </cell>
          <cell r="AV33">
            <v>1100</v>
          </cell>
        </row>
        <row r="34">
          <cell r="AH34" t="str">
            <v>EV</v>
          </cell>
          <cell r="AI34" t="str">
            <v xml:space="preserve">EPOXY VARNISH </v>
          </cell>
          <cell r="AJ34" t="str">
            <v>0450</v>
          </cell>
          <cell r="AK34" t="str">
            <v>1010</v>
          </cell>
          <cell r="AL34" t="str">
            <v>46</v>
          </cell>
          <cell r="AM34">
            <v>1</v>
          </cell>
          <cell r="AN34">
            <v>19</v>
          </cell>
          <cell r="AO34">
            <v>19.399999999999999</v>
          </cell>
          <cell r="AP34">
            <v>21.1</v>
          </cell>
          <cell r="AQ34">
            <v>28.95</v>
          </cell>
          <cell r="AR34">
            <v>28.35</v>
          </cell>
          <cell r="AS34">
            <v>26.07</v>
          </cell>
          <cell r="AT34">
            <v>550</v>
          </cell>
          <cell r="AU34">
            <v>550</v>
          </cell>
          <cell r="AV34">
            <v>550</v>
          </cell>
        </row>
        <row r="35">
          <cell r="AH35" t="str">
            <v>EFC</v>
          </cell>
          <cell r="AI35" t="str">
            <v xml:space="preserve">EPOXY FINISH COATING </v>
          </cell>
          <cell r="AJ35" t="str">
            <v>0451</v>
          </cell>
          <cell r="AK35" t="str">
            <v>1001(EP-04)</v>
          </cell>
          <cell r="AL35" t="str">
            <v>86</v>
          </cell>
          <cell r="AM35">
            <v>1</v>
          </cell>
          <cell r="AN35">
            <v>16.8</v>
          </cell>
          <cell r="AO35">
            <v>18.3</v>
          </cell>
          <cell r="AP35">
            <v>34.9</v>
          </cell>
          <cell r="AQ35">
            <v>41.67</v>
          </cell>
          <cell r="AR35">
            <v>38.25</v>
          </cell>
          <cell r="AS35">
            <v>22.92</v>
          </cell>
          <cell r="AT35">
            <v>700</v>
          </cell>
          <cell r="AU35">
            <v>700</v>
          </cell>
          <cell r="AV35">
            <v>800</v>
          </cell>
        </row>
        <row r="36">
          <cell r="AH36" t="str">
            <v>CTE</v>
          </cell>
          <cell r="AI36" t="str">
            <v xml:space="preserve">COAL TAR EPOXY HB </v>
          </cell>
          <cell r="AJ36" t="str">
            <v>0459</v>
          </cell>
          <cell r="AK36" t="str">
            <v>1004(EP-06)</v>
          </cell>
          <cell r="AL36" t="str">
            <v>58</v>
          </cell>
          <cell r="AM36">
            <v>1</v>
          </cell>
          <cell r="AN36">
            <v>7.9</v>
          </cell>
          <cell r="AO36">
            <v>7.6</v>
          </cell>
          <cell r="AQ36">
            <v>50.63</v>
          </cell>
          <cell r="AR36">
            <v>52.63</v>
          </cell>
          <cell r="AT36">
            <v>400</v>
          </cell>
          <cell r="AU36">
            <v>400</v>
          </cell>
          <cell r="AV36">
            <v>700</v>
          </cell>
        </row>
        <row r="37">
          <cell r="AH37" t="str">
            <v>IZRP</v>
          </cell>
          <cell r="AI37" t="str">
            <v xml:space="preserve">INORGANIC ZINC RICH PRIMER </v>
          </cell>
          <cell r="AJ37" t="str">
            <v>4120(Z-120HB)</v>
          </cell>
          <cell r="AK37" t="str">
            <v>1011(IZ-01)</v>
          </cell>
          <cell r="AL37" t="str">
            <v>33</v>
          </cell>
          <cell r="AM37">
            <v>1</v>
          </cell>
          <cell r="AN37">
            <v>19.399999999999999</v>
          </cell>
          <cell r="AO37">
            <v>15.6</v>
          </cell>
          <cell r="AP37">
            <v>30.3</v>
          </cell>
          <cell r="AQ37">
            <v>56.7</v>
          </cell>
          <cell r="AR37">
            <v>64.099999999999994</v>
          </cell>
          <cell r="AS37">
            <v>42.9</v>
          </cell>
          <cell r="AT37">
            <v>1100</v>
          </cell>
          <cell r="AU37">
            <v>1000</v>
          </cell>
          <cell r="AV37">
            <v>1300</v>
          </cell>
        </row>
        <row r="38">
          <cell r="AH38" t="str">
            <v>EATP</v>
          </cell>
          <cell r="AI38" t="str">
            <v>EPOXY ALUMINUM TRIPOLYPHOSPHATE PRIMER</v>
          </cell>
          <cell r="AJ38" t="str">
            <v>A-536</v>
          </cell>
          <cell r="AK38" t="str">
            <v>1075</v>
          </cell>
          <cell r="AL38" t="str">
            <v>57</v>
          </cell>
          <cell r="AM38">
            <v>1</v>
          </cell>
          <cell r="AN38">
            <v>18.7</v>
          </cell>
          <cell r="AO38">
            <v>14.7</v>
          </cell>
          <cell r="AP38">
            <v>15.5</v>
          </cell>
          <cell r="AQ38">
            <v>42.78</v>
          </cell>
          <cell r="AR38">
            <v>42.86</v>
          </cell>
          <cell r="AS38">
            <v>39.03</v>
          </cell>
          <cell r="AT38">
            <v>800</v>
          </cell>
          <cell r="AU38">
            <v>630</v>
          </cell>
          <cell r="AV38">
            <v>605</v>
          </cell>
        </row>
        <row r="39">
          <cell r="AH39" t="str">
            <v>EBZRP</v>
          </cell>
          <cell r="AI39" t="str">
            <v xml:space="preserve">EPOXY CURED BASED ZINC RICH PRIMER </v>
          </cell>
          <cell r="AJ39" t="str">
            <v>4180(Z-800)</v>
          </cell>
          <cell r="AK39" t="str">
            <v>1002</v>
          </cell>
          <cell r="AM39">
            <v>1</v>
          </cell>
          <cell r="AN39">
            <v>27.3</v>
          </cell>
          <cell r="AO39">
            <v>15.7</v>
          </cell>
          <cell r="AQ39">
            <v>40.29</v>
          </cell>
          <cell r="AR39">
            <v>38.22</v>
          </cell>
          <cell r="AT39">
            <v>1100</v>
          </cell>
          <cell r="AU39">
            <v>600</v>
          </cell>
        </row>
        <row r="40">
          <cell r="AH40" t="str">
            <v>HBEP</v>
          </cell>
          <cell r="AI40" t="str">
            <v>HIGH BUILD EPOXY POLYAMINE CURED</v>
          </cell>
          <cell r="AJ40" t="str">
            <v>4418(A-418)</v>
          </cell>
          <cell r="AK40" t="str">
            <v>1015</v>
          </cell>
          <cell r="AM40">
            <v>1</v>
          </cell>
          <cell r="AN40">
            <v>18.3</v>
          </cell>
          <cell r="AO40">
            <v>13.1</v>
          </cell>
          <cell r="AQ40">
            <v>65.569999999999993</v>
          </cell>
          <cell r="AR40">
            <v>83.97</v>
          </cell>
          <cell r="AT40">
            <v>1200</v>
          </cell>
          <cell r="AU40">
            <v>1100</v>
          </cell>
        </row>
        <row r="41">
          <cell r="AH41" t="str">
            <v>HSCP</v>
          </cell>
          <cell r="AI41" t="str">
            <v>HIGH SOILD EPOXY POLYAMINE CURED PRIMER</v>
          </cell>
          <cell r="AJ41" t="str">
            <v>4418(A-448)</v>
          </cell>
          <cell r="AK41">
            <v>1017</v>
          </cell>
          <cell r="AM41">
            <v>1</v>
          </cell>
          <cell r="AN41">
            <v>20.309999999999999</v>
          </cell>
          <cell r="AO41">
            <v>13.1</v>
          </cell>
          <cell r="AQ41">
            <v>64</v>
          </cell>
          <cell r="AR41">
            <v>83.97</v>
          </cell>
          <cell r="AT41">
            <v>1300</v>
          </cell>
          <cell r="AU41">
            <v>1100</v>
          </cell>
        </row>
        <row r="42">
          <cell r="AH42" t="str">
            <v>EEA</v>
          </cell>
          <cell r="AI42" t="str">
            <v>EPOXY ENAMEL AMINE ADDUCT CURED</v>
          </cell>
          <cell r="AJ42" t="str">
            <v>4450(A-500)</v>
          </cell>
          <cell r="AK42" t="str">
            <v>1014</v>
          </cell>
          <cell r="AM42">
            <v>1</v>
          </cell>
          <cell r="AN42">
            <v>23.8</v>
          </cell>
          <cell r="AO42">
            <v>11.4</v>
          </cell>
          <cell r="AQ42">
            <v>37.82</v>
          </cell>
          <cell r="AR42">
            <v>83.33</v>
          </cell>
          <cell r="AT42">
            <v>900</v>
          </cell>
          <cell r="AU42">
            <v>950</v>
          </cell>
        </row>
        <row r="43">
          <cell r="AH43" t="str">
            <v>NEP</v>
          </cell>
          <cell r="AI43" t="str">
            <v>NON-REACTIVE EPOXY PRIMER</v>
          </cell>
          <cell r="AJ43" t="str">
            <v>4405(A-505)</v>
          </cell>
          <cell r="AM43">
            <v>1</v>
          </cell>
          <cell r="AN43">
            <v>19.2</v>
          </cell>
          <cell r="AQ43">
            <v>41.67</v>
          </cell>
          <cell r="AT43">
            <v>800</v>
          </cell>
        </row>
        <row r="44">
          <cell r="AH44" t="str">
            <v>ZCOP</v>
          </cell>
          <cell r="AI44" t="str">
            <v xml:space="preserve">ZINC CHROMATE-RED OXIDE/EPOXY PRIMER </v>
          </cell>
          <cell r="AJ44" t="str">
            <v>4451(A-510)</v>
          </cell>
          <cell r="AK44" t="str">
            <v>1016</v>
          </cell>
          <cell r="AM44">
            <v>1</v>
          </cell>
          <cell r="AN44">
            <v>18.2</v>
          </cell>
          <cell r="AO44">
            <v>8.1999999999999993</v>
          </cell>
          <cell r="AQ44">
            <v>42.86</v>
          </cell>
          <cell r="AR44">
            <v>85.37</v>
          </cell>
          <cell r="AT44">
            <v>780</v>
          </cell>
          <cell r="AU44">
            <v>700</v>
          </cell>
        </row>
        <row r="45">
          <cell r="AH45" t="str">
            <v>EPC</v>
          </cell>
          <cell r="AI45" t="str">
            <v xml:space="preserve">EPOXY ENAMEL/POLYAMIDE CURED </v>
          </cell>
          <cell r="AJ45" t="str">
            <v>4415(A-515)</v>
          </cell>
          <cell r="AM45">
            <v>1</v>
          </cell>
          <cell r="AN45">
            <v>19.8</v>
          </cell>
          <cell r="AQ45">
            <v>42.93</v>
          </cell>
          <cell r="AT45">
            <v>850</v>
          </cell>
        </row>
        <row r="46">
          <cell r="AI46" t="str">
            <v>EPOXY NON-SKID SURFACING</v>
          </cell>
          <cell r="AJ46" t="str">
            <v>4425(A-525)</v>
          </cell>
          <cell r="AK46" t="str">
            <v>1018</v>
          </cell>
          <cell r="AM46">
            <v>1</v>
          </cell>
          <cell r="AN46">
            <v>18</v>
          </cell>
          <cell r="AO46">
            <v>31.3</v>
          </cell>
          <cell r="AQ46">
            <v>37.78</v>
          </cell>
          <cell r="AR46">
            <v>47.92</v>
          </cell>
          <cell r="AT46">
            <v>680</v>
          </cell>
          <cell r="AU46">
            <v>1500</v>
          </cell>
        </row>
        <row r="47">
          <cell r="AH47" t="str">
            <v>EPAP</v>
          </cell>
          <cell r="AI47" t="str">
            <v>EPOXY-POLYAMIDE,ALLOY PRIMER.</v>
          </cell>
          <cell r="AJ47" t="str">
            <v>4465(A-650)</v>
          </cell>
          <cell r="AK47">
            <v>1020</v>
          </cell>
          <cell r="AM47">
            <v>1</v>
          </cell>
          <cell r="AN47">
            <v>21</v>
          </cell>
          <cell r="AO47">
            <v>26.92</v>
          </cell>
          <cell r="AQ47">
            <v>42.86</v>
          </cell>
          <cell r="AR47">
            <v>13</v>
          </cell>
          <cell r="AT47">
            <v>900</v>
          </cell>
          <cell r="AU47">
            <v>350</v>
          </cell>
        </row>
        <row r="48">
          <cell r="AI48" t="str">
            <v>LEAD SILICO CHROMATE EP.PRI./POLYAMIDE CURED</v>
          </cell>
          <cell r="AJ48" t="str">
            <v>4430(A-530)</v>
          </cell>
          <cell r="AM48">
            <v>1</v>
          </cell>
          <cell r="AN48">
            <v>21.97</v>
          </cell>
          <cell r="AQ48">
            <v>37.78</v>
          </cell>
          <cell r="AT48">
            <v>830</v>
          </cell>
        </row>
        <row r="49">
          <cell r="AH49" t="str">
            <v>ERLP</v>
          </cell>
          <cell r="AI49" t="str">
            <v>EPOXY RED LEAD POLYAMIDE CURED PRIMER</v>
          </cell>
          <cell r="AJ49" t="str">
            <v>4440(A-540)</v>
          </cell>
          <cell r="AK49" t="str">
            <v>1051</v>
          </cell>
          <cell r="AM49">
            <v>1</v>
          </cell>
          <cell r="AN49">
            <v>19.399999999999999</v>
          </cell>
          <cell r="AO49">
            <v>15.8</v>
          </cell>
          <cell r="AQ49">
            <v>42.78</v>
          </cell>
          <cell r="AR49">
            <v>43.04</v>
          </cell>
          <cell r="AT49">
            <v>830</v>
          </cell>
          <cell r="AU49">
            <v>680</v>
          </cell>
        </row>
        <row r="50">
          <cell r="AH50" t="str">
            <v>EROP</v>
          </cell>
          <cell r="AI50" t="str">
            <v>RED LEAD-RED OXIDE EP./POLYAMIDE CURED PRI.</v>
          </cell>
          <cell r="AJ50" t="str">
            <v>4445(A-545)</v>
          </cell>
          <cell r="AK50" t="str">
            <v>1060</v>
          </cell>
          <cell r="AM50">
            <v>1</v>
          </cell>
          <cell r="AN50">
            <v>18.7</v>
          </cell>
          <cell r="AO50">
            <v>20.9</v>
          </cell>
          <cell r="AQ50">
            <v>42.78</v>
          </cell>
          <cell r="AR50">
            <v>28.71</v>
          </cell>
          <cell r="AT50">
            <v>800</v>
          </cell>
          <cell r="AU50">
            <v>600</v>
          </cell>
        </row>
        <row r="51">
          <cell r="AH51" t="str">
            <v>ETC</v>
          </cell>
          <cell r="AI51" t="str">
            <v>TAR EPOXY COATING/AMINE CURED</v>
          </cell>
          <cell r="AJ51" t="str">
            <v>4460(A-560)</v>
          </cell>
          <cell r="AK51" t="str">
            <v>1070(EP-10)</v>
          </cell>
          <cell r="AM51">
            <v>1</v>
          </cell>
          <cell r="AN51">
            <v>11.69</v>
          </cell>
          <cell r="AO51">
            <v>12.2</v>
          </cell>
          <cell r="AQ51">
            <v>42.78</v>
          </cell>
          <cell r="AR51">
            <v>57.38</v>
          </cell>
          <cell r="AT51">
            <v>500</v>
          </cell>
          <cell r="AU51">
            <v>700</v>
          </cell>
        </row>
        <row r="52">
          <cell r="AH52" t="str">
            <v>EWB</v>
          </cell>
          <cell r="AI52" t="str">
            <v>WATER BASE EPOXY ENAMEL/POLTAMINE CURED</v>
          </cell>
          <cell r="AJ52" t="str">
            <v>4458(A-580)</v>
          </cell>
          <cell r="AK52" t="str">
            <v>1017(EP-07)</v>
          </cell>
          <cell r="AL52" t="str">
            <v>96</v>
          </cell>
          <cell r="AM52">
            <v>1</v>
          </cell>
          <cell r="AN52">
            <v>34.4</v>
          </cell>
          <cell r="AO52">
            <v>16</v>
          </cell>
          <cell r="AP52">
            <v>32.700000000000003</v>
          </cell>
          <cell r="AQ52">
            <v>37.79</v>
          </cell>
          <cell r="AR52">
            <v>43.75</v>
          </cell>
          <cell r="AS52">
            <v>45.87</v>
          </cell>
          <cell r="AT52">
            <v>1300</v>
          </cell>
          <cell r="AU52">
            <v>700</v>
          </cell>
          <cell r="AV52">
            <v>1500</v>
          </cell>
        </row>
        <row r="53">
          <cell r="AH53" t="str">
            <v>CCTE</v>
          </cell>
          <cell r="AI53" t="str">
            <v>CATALYZED COAL TAR EPOXY POLYAMINE CURED</v>
          </cell>
          <cell r="AJ53" t="str">
            <v>4459(A-590)</v>
          </cell>
          <cell r="AK53" t="str">
            <v>SP-06</v>
          </cell>
          <cell r="AM53">
            <v>1</v>
          </cell>
          <cell r="AN53">
            <v>12.6</v>
          </cell>
          <cell r="AO53">
            <v>32.1</v>
          </cell>
          <cell r="AQ53">
            <v>55.56</v>
          </cell>
          <cell r="AR53">
            <v>42.37</v>
          </cell>
          <cell r="AT53">
            <v>700</v>
          </cell>
          <cell r="AU53">
            <v>1360</v>
          </cell>
        </row>
        <row r="54">
          <cell r="AH54" t="str">
            <v>EPF</v>
          </cell>
          <cell r="AI54" t="str">
            <v>EPOXY-POLYAMINE,FINISH</v>
          </cell>
          <cell r="AJ54" t="str">
            <v>4465(A-650)</v>
          </cell>
          <cell r="AK54" t="str">
            <v>SP-08</v>
          </cell>
          <cell r="AM54">
            <v>1</v>
          </cell>
          <cell r="AN54">
            <v>21</v>
          </cell>
          <cell r="AO54">
            <v>24.4</v>
          </cell>
          <cell r="AQ54">
            <v>42.86</v>
          </cell>
          <cell r="AR54">
            <v>25</v>
          </cell>
          <cell r="AT54">
            <v>900</v>
          </cell>
          <cell r="AU54">
            <v>610</v>
          </cell>
        </row>
        <row r="55">
          <cell r="AH55" t="str">
            <v>EPRLP</v>
          </cell>
          <cell r="AI55" t="str">
            <v>EPOXY/POLYAMINE,RED LEAD PRIMER</v>
          </cell>
          <cell r="AJ55" t="str">
            <v>4570(A-700)</v>
          </cell>
          <cell r="AK55" t="str">
            <v>SP-09</v>
          </cell>
          <cell r="AM55">
            <v>1</v>
          </cell>
          <cell r="AN55">
            <v>21</v>
          </cell>
          <cell r="AO55">
            <v>32</v>
          </cell>
          <cell r="AQ55">
            <v>42.86</v>
          </cell>
          <cell r="AR55">
            <v>23.75</v>
          </cell>
          <cell r="AT55">
            <v>900</v>
          </cell>
          <cell r="AU55">
            <v>760</v>
          </cell>
        </row>
        <row r="56">
          <cell r="AH56" t="str">
            <v>EMOP</v>
          </cell>
          <cell r="AI56" t="str">
            <v xml:space="preserve">EPOXY MIO PRIMER </v>
          </cell>
          <cell r="AJ56" t="str">
            <v>4691(Ar-910)</v>
          </cell>
          <cell r="AK56" t="str">
            <v>1050(EP-20)</v>
          </cell>
          <cell r="AL56" t="str">
            <v>76</v>
          </cell>
          <cell r="AM56">
            <v>1</v>
          </cell>
          <cell r="AN56">
            <v>17.3</v>
          </cell>
          <cell r="AO56">
            <v>9.2799999999999994</v>
          </cell>
          <cell r="AP56">
            <v>30.9</v>
          </cell>
          <cell r="AQ56">
            <v>43.35</v>
          </cell>
          <cell r="AR56">
            <v>31.25</v>
          </cell>
          <cell r="AS56">
            <v>25.89</v>
          </cell>
          <cell r="AT56">
            <v>750</v>
          </cell>
          <cell r="AU56">
            <v>290</v>
          </cell>
          <cell r="AV56">
            <v>800</v>
          </cell>
        </row>
        <row r="57">
          <cell r="AH57" t="str">
            <v>EPCP</v>
          </cell>
          <cell r="AI57" t="str">
            <v>EPOXY-PHENOLIC CURED PRIMER .</v>
          </cell>
          <cell r="AJ57" t="str">
            <v>4691(Ar-910)</v>
          </cell>
          <cell r="AK57" t="str">
            <v>1060</v>
          </cell>
          <cell r="AL57" t="str">
            <v>76</v>
          </cell>
          <cell r="AM57">
            <v>1</v>
          </cell>
          <cell r="AN57">
            <v>17.3</v>
          </cell>
          <cell r="AO57">
            <v>19.2</v>
          </cell>
          <cell r="AP57">
            <v>30.9</v>
          </cell>
          <cell r="AQ57">
            <v>43.35</v>
          </cell>
          <cell r="AR57">
            <v>31.25</v>
          </cell>
          <cell r="AS57">
            <v>25.89</v>
          </cell>
          <cell r="AT57">
            <v>750</v>
          </cell>
          <cell r="AU57">
            <v>600</v>
          </cell>
          <cell r="AV57">
            <v>800</v>
          </cell>
        </row>
        <row r="59">
          <cell r="AI59" t="str">
            <v xml:space="preserve">CHLORINATED RUBBER RESIN </v>
          </cell>
        </row>
        <row r="60">
          <cell r="AH60" t="str">
            <v>CRRLP</v>
          </cell>
          <cell r="AI60" t="str">
            <v xml:space="preserve">CALORINATED RUBBER RED LEAD PRIMER </v>
          </cell>
          <cell r="AJ60" t="str">
            <v>0201</v>
          </cell>
          <cell r="AK60" t="str">
            <v>1402(RF-63)</v>
          </cell>
          <cell r="AL60" t="str">
            <v>530</v>
          </cell>
          <cell r="AM60">
            <v>1</v>
          </cell>
          <cell r="AN60">
            <v>14.7</v>
          </cell>
          <cell r="AO60">
            <v>12.9</v>
          </cell>
          <cell r="AP60">
            <v>15.5</v>
          </cell>
          <cell r="AQ60">
            <v>32.65</v>
          </cell>
          <cell r="AR60">
            <v>37.979999999999997</v>
          </cell>
          <cell r="AS60">
            <v>36.450000000000003</v>
          </cell>
          <cell r="AT60">
            <v>480</v>
          </cell>
          <cell r="AU60">
            <v>490</v>
          </cell>
          <cell r="AV60">
            <v>565</v>
          </cell>
        </row>
        <row r="61">
          <cell r="AH61" t="str">
            <v>CRZCP</v>
          </cell>
          <cell r="AI61" t="str">
            <v>CHLORINATED RUBBER PRIMER ZINC CHROMATE PR.</v>
          </cell>
          <cell r="AJ61" t="str">
            <v>0211</v>
          </cell>
          <cell r="AK61" t="str">
            <v>1450(RF-67)</v>
          </cell>
          <cell r="AL61" t="str">
            <v>540</v>
          </cell>
          <cell r="AM61">
            <v>1</v>
          </cell>
          <cell r="AN61">
            <v>15.5</v>
          </cell>
          <cell r="AO61">
            <v>11.3</v>
          </cell>
          <cell r="AP61">
            <v>14.1</v>
          </cell>
          <cell r="AQ61">
            <v>30.97</v>
          </cell>
          <cell r="AR61">
            <v>42.48</v>
          </cell>
          <cell r="AS61">
            <v>36.450000000000003</v>
          </cell>
          <cell r="AT61">
            <v>480</v>
          </cell>
          <cell r="AU61">
            <v>480</v>
          </cell>
          <cell r="AV61">
            <v>514</v>
          </cell>
        </row>
        <row r="62">
          <cell r="AH62" t="str">
            <v>CRROP</v>
          </cell>
          <cell r="AI62" t="str">
            <v xml:space="preserve">CHLORINATED RUBBER RED OXIDE PRIMER </v>
          </cell>
          <cell r="AJ62" t="str">
            <v>0221</v>
          </cell>
          <cell r="AK62" t="str">
            <v>1403(RF-65)</v>
          </cell>
          <cell r="AL62" t="str">
            <v>510</v>
          </cell>
          <cell r="AM62">
            <v>1</v>
          </cell>
          <cell r="AN62">
            <v>14.6</v>
          </cell>
          <cell r="AO62">
            <v>12.1</v>
          </cell>
          <cell r="AP62">
            <v>31</v>
          </cell>
          <cell r="AQ62">
            <v>30.82</v>
          </cell>
          <cell r="AR62">
            <v>38.020000000000003</v>
          </cell>
          <cell r="AS62">
            <v>38.549999999999997</v>
          </cell>
          <cell r="AT62">
            <v>450</v>
          </cell>
          <cell r="AU62">
            <v>460</v>
          </cell>
          <cell r="AV62">
            <v>1195</v>
          </cell>
        </row>
        <row r="63">
          <cell r="AH63" t="str">
            <v>CRF</v>
          </cell>
          <cell r="AI63" t="str">
            <v xml:space="preserve">CHLORINATED RUBBER FINISH </v>
          </cell>
          <cell r="AJ63" t="str">
            <v>0251</v>
          </cell>
          <cell r="AK63" t="str">
            <v>1401</v>
          </cell>
          <cell r="AL63" t="str">
            <v>520</v>
          </cell>
          <cell r="AM63">
            <v>1</v>
          </cell>
          <cell r="AN63">
            <v>18.899999999999999</v>
          </cell>
          <cell r="AO63">
            <v>15.8</v>
          </cell>
          <cell r="AP63">
            <v>16.7</v>
          </cell>
          <cell r="AQ63">
            <v>31.75</v>
          </cell>
          <cell r="AR63">
            <v>34.18</v>
          </cell>
          <cell r="AS63">
            <v>33.83</v>
          </cell>
          <cell r="AT63">
            <v>600</v>
          </cell>
          <cell r="AU63">
            <v>540</v>
          </cell>
          <cell r="AV63">
            <v>565</v>
          </cell>
        </row>
        <row r="64">
          <cell r="AH64" t="str">
            <v>CRATP</v>
          </cell>
          <cell r="AI64" t="str">
            <v>C RUBBER ALUMINUM TRIPOLYPHOSPHATE PRIMER</v>
          </cell>
          <cell r="AJ64" t="str">
            <v>0203</v>
          </cell>
          <cell r="AL64" t="str">
            <v>531</v>
          </cell>
          <cell r="AM64">
            <v>1</v>
          </cell>
          <cell r="AN64">
            <v>13.4</v>
          </cell>
          <cell r="AP64">
            <v>14.5</v>
          </cell>
          <cell r="AQ64">
            <v>37.31</v>
          </cell>
          <cell r="AS64">
            <v>36.409999999999997</v>
          </cell>
          <cell r="AT64">
            <v>500</v>
          </cell>
          <cell r="AV64">
            <v>528</v>
          </cell>
        </row>
        <row r="65">
          <cell r="AH65" t="str">
            <v>PCRF</v>
          </cell>
          <cell r="AI65" t="str">
            <v>PIGMENTED CHLORINATED RUBBER FINISH</v>
          </cell>
          <cell r="AJ65" t="str">
            <v>4470(C-700)</v>
          </cell>
          <cell r="AK65" t="str">
            <v>RF-51~56</v>
          </cell>
          <cell r="AL65" t="str">
            <v>560</v>
          </cell>
          <cell r="AM65">
            <v>1</v>
          </cell>
          <cell r="AN65">
            <v>27.1</v>
          </cell>
          <cell r="AO65">
            <v>12.3</v>
          </cell>
          <cell r="AP65">
            <v>13.5</v>
          </cell>
          <cell r="AQ65">
            <v>33.21</v>
          </cell>
          <cell r="AR65">
            <v>38.21</v>
          </cell>
          <cell r="AS65">
            <v>33.78</v>
          </cell>
          <cell r="AT65">
            <v>900</v>
          </cell>
          <cell r="AU65">
            <v>470</v>
          </cell>
          <cell r="AV65">
            <v>456</v>
          </cell>
        </row>
        <row r="66">
          <cell r="AH66" t="str">
            <v>CRRLP</v>
          </cell>
          <cell r="AI66" t="str">
            <v xml:space="preserve">CHLORINATED RUBBER RED LEAD PRIMER </v>
          </cell>
          <cell r="AJ66" t="str">
            <v>4575(C-750)</v>
          </cell>
          <cell r="AL66" t="str">
            <v>500</v>
          </cell>
          <cell r="AM66">
            <v>1</v>
          </cell>
          <cell r="AN66">
            <v>17.2</v>
          </cell>
          <cell r="AP66">
            <v>15</v>
          </cell>
          <cell r="AQ66">
            <v>37.79</v>
          </cell>
          <cell r="AS66">
            <v>30.4</v>
          </cell>
          <cell r="AT66">
            <v>650</v>
          </cell>
          <cell r="AV66">
            <v>456</v>
          </cell>
        </row>
        <row r="67">
          <cell r="AH67" t="str">
            <v>CRROP</v>
          </cell>
          <cell r="AI67" t="str">
            <v xml:space="preserve">CHLORINATED RUBBER RED LEAD-RED OXIDE PRIMER </v>
          </cell>
          <cell r="AJ67" t="str">
            <v>4576(C-760)</v>
          </cell>
          <cell r="AL67" t="str">
            <v>550</v>
          </cell>
          <cell r="AM67">
            <v>1</v>
          </cell>
          <cell r="AN67">
            <v>15.9</v>
          </cell>
          <cell r="AP67">
            <v>14.8</v>
          </cell>
          <cell r="AQ67">
            <v>38.99</v>
          </cell>
          <cell r="AS67">
            <v>33.78</v>
          </cell>
          <cell r="AT67">
            <v>620</v>
          </cell>
          <cell r="AV67">
            <v>500</v>
          </cell>
        </row>
        <row r="68">
          <cell r="AI68" t="str">
            <v>CHLORINATED RUBBER BASE M.I.O.COATING</v>
          </cell>
          <cell r="AJ68" t="str">
            <v>4693(Ar-930)</v>
          </cell>
          <cell r="AK68" t="str">
            <v>1452(RF-68)</v>
          </cell>
          <cell r="AL68" t="str">
            <v>600</v>
          </cell>
          <cell r="AM68">
            <v>1</v>
          </cell>
          <cell r="AN68">
            <v>16.399999999999999</v>
          </cell>
          <cell r="AO68">
            <v>13.2</v>
          </cell>
          <cell r="AP68">
            <v>14.8</v>
          </cell>
          <cell r="AQ68">
            <v>37.799999999999997</v>
          </cell>
          <cell r="AR68">
            <v>37.880000000000003</v>
          </cell>
          <cell r="AS68">
            <v>33.72</v>
          </cell>
          <cell r="AT68">
            <v>620</v>
          </cell>
          <cell r="AU68">
            <v>500</v>
          </cell>
          <cell r="AV68">
            <v>499</v>
          </cell>
        </row>
        <row r="71">
          <cell r="AI71" t="str">
            <v xml:space="preserve">SILICONE RESIN </v>
          </cell>
        </row>
        <row r="72">
          <cell r="AH72" t="str">
            <v>HP200</v>
          </cell>
          <cell r="AI72" t="str">
            <v>HEAT-RESISTING PRIMER 200'C ,SILICONE SERIES.</v>
          </cell>
          <cell r="AJ72" t="str">
            <v>0631</v>
          </cell>
          <cell r="AK72" t="str">
            <v>1512</v>
          </cell>
          <cell r="AM72">
            <v>1</v>
          </cell>
          <cell r="AN72">
            <v>16.5</v>
          </cell>
          <cell r="AO72">
            <v>26.2</v>
          </cell>
          <cell r="AQ72">
            <v>36.36</v>
          </cell>
          <cell r="AR72">
            <v>38.17</v>
          </cell>
          <cell r="AT72">
            <v>600</v>
          </cell>
          <cell r="AU72">
            <v>1000</v>
          </cell>
        </row>
        <row r="73">
          <cell r="AH73" t="str">
            <v>HP300</v>
          </cell>
          <cell r="AI73" t="str">
            <v xml:space="preserve">HEAT-RESISTING PRIMER 300'C </v>
          </cell>
          <cell r="AJ73" t="str">
            <v>0632</v>
          </cell>
          <cell r="AK73" t="str">
            <v>1507</v>
          </cell>
          <cell r="AL73" t="str">
            <v>330-1</v>
          </cell>
          <cell r="AM73">
            <v>1</v>
          </cell>
          <cell r="AN73">
            <v>20.7</v>
          </cell>
          <cell r="AO73">
            <v>20.399999999999999</v>
          </cell>
          <cell r="AP73">
            <v>29</v>
          </cell>
          <cell r="AQ73">
            <v>36.229999999999997</v>
          </cell>
          <cell r="AR73">
            <v>38.24</v>
          </cell>
          <cell r="AS73">
            <v>33.76</v>
          </cell>
          <cell r="AT73">
            <v>750</v>
          </cell>
          <cell r="AU73">
            <v>780</v>
          </cell>
          <cell r="AV73">
            <v>979</v>
          </cell>
        </row>
        <row r="74">
          <cell r="AH74" t="str">
            <v>HP500</v>
          </cell>
          <cell r="AI74" t="str">
            <v>HEAT-RESISTING PRIMER 500'C</v>
          </cell>
          <cell r="AJ74" t="str">
            <v>0634</v>
          </cell>
          <cell r="AK74" t="str">
            <v>1501</v>
          </cell>
          <cell r="AM74">
            <v>1</v>
          </cell>
          <cell r="AN74">
            <v>35.799999999999997</v>
          </cell>
          <cell r="AO74">
            <v>34.1</v>
          </cell>
          <cell r="AQ74">
            <v>36.31</v>
          </cell>
          <cell r="AR74">
            <v>38.119999999999997</v>
          </cell>
          <cell r="AT74">
            <v>1300</v>
          </cell>
          <cell r="AU74">
            <v>1300</v>
          </cell>
        </row>
        <row r="75">
          <cell r="AH75" t="str">
            <v>HP600</v>
          </cell>
          <cell r="AI75" t="str">
            <v>HEAT-RESISTING PRIMER 600'C</v>
          </cell>
          <cell r="AJ75" t="str">
            <v>0635</v>
          </cell>
          <cell r="AK75" t="str">
            <v>1500</v>
          </cell>
          <cell r="AL75" t="str">
            <v>320-1</v>
          </cell>
          <cell r="AM75">
            <v>1</v>
          </cell>
          <cell r="AN75">
            <v>44.09</v>
          </cell>
          <cell r="AO75">
            <v>34.1</v>
          </cell>
          <cell r="AP75">
            <v>44.4</v>
          </cell>
          <cell r="AQ75">
            <v>31.75</v>
          </cell>
          <cell r="AR75">
            <v>38.119999999999997</v>
          </cell>
          <cell r="AS75">
            <v>33.78</v>
          </cell>
          <cell r="AT75">
            <v>1400</v>
          </cell>
          <cell r="AU75">
            <v>1300</v>
          </cell>
          <cell r="AV75">
            <v>1500</v>
          </cell>
        </row>
        <row r="76">
          <cell r="AH76" t="str">
            <v>HF200</v>
          </cell>
          <cell r="AI76" t="str">
            <v>HEAT-RESISTING PAINT 200'C SILICONE SREIES.</v>
          </cell>
          <cell r="AJ76" t="str">
            <v>0651</v>
          </cell>
          <cell r="AK76" t="str">
            <v>1504</v>
          </cell>
          <cell r="AM76">
            <v>1</v>
          </cell>
          <cell r="AN76">
            <v>17.5</v>
          </cell>
          <cell r="AO76">
            <v>27.3</v>
          </cell>
          <cell r="AQ76">
            <v>30.29</v>
          </cell>
          <cell r="AR76">
            <v>28.57</v>
          </cell>
          <cell r="AT76">
            <v>530</v>
          </cell>
          <cell r="AU76">
            <v>780</v>
          </cell>
        </row>
        <row r="77">
          <cell r="AH77" t="str">
            <v>HF300</v>
          </cell>
          <cell r="AI77" t="str">
            <v>HEAT-RESISTING PAINT 300'C</v>
          </cell>
          <cell r="AJ77" t="str">
            <v>0652</v>
          </cell>
          <cell r="AK77" t="str">
            <v>1505</v>
          </cell>
          <cell r="AL77" t="str">
            <v>330</v>
          </cell>
          <cell r="AM77">
            <v>1</v>
          </cell>
          <cell r="AN77">
            <v>27.6</v>
          </cell>
          <cell r="AO77">
            <v>27.3</v>
          </cell>
          <cell r="AP77">
            <v>28.4</v>
          </cell>
          <cell r="AQ77">
            <v>27.17</v>
          </cell>
          <cell r="AR77">
            <v>28.57</v>
          </cell>
          <cell r="AS77">
            <v>32.54</v>
          </cell>
          <cell r="AT77">
            <v>750</v>
          </cell>
          <cell r="AU77">
            <v>780</v>
          </cell>
          <cell r="AV77">
            <v>924</v>
          </cell>
        </row>
        <row r="78">
          <cell r="AH78" t="str">
            <v>HF400</v>
          </cell>
          <cell r="AI78" t="str">
            <v>HEAT-RESISTING PAINT 400'C ALUM. SERIES.</v>
          </cell>
          <cell r="AJ78" t="str">
            <v>0654</v>
          </cell>
          <cell r="AK78" t="str">
            <v>1503</v>
          </cell>
          <cell r="AM78">
            <v>1</v>
          </cell>
          <cell r="AN78">
            <v>51.61</v>
          </cell>
          <cell r="AO78">
            <v>59.4</v>
          </cell>
          <cell r="AQ78">
            <v>25.19</v>
          </cell>
          <cell r="AR78">
            <v>28.62</v>
          </cell>
          <cell r="AT78">
            <v>1300</v>
          </cell>
          <cell r="AU78">
            <v>1700</v>
          </cell>
        </row>
        <row r="79">
          <cell r="AH79" t="str">
            <v>HF600</v>
          </cell>
          <cell r="AI79" t="str">
            <v>HEAT-RESISTING PAINT 600'C</v>
          </cell>
          <cell r="AJ79" t="str">
            <v>0655</v>
          </cell>
          <cell r="AK79" t="str">
            <v>1508</v>
          </cell>
          <cell r="AL79" t="str">
            <v>320</v>
          </cell>
          <cell r="AM79">
            <v>1</v>
          </cell>
          <cell r="AN79">
            <v>74.400000000000006</v>
          </cell>
          <cell r="AO79">
            <v>52.39</v>
          </cell>
          <cell r="AP79">
            <v>43.5</v>
          </cell>
          <cell r="AQ79">
            <v>20.16</v>
          </cell>
          <cell r="AR79">
            <v>28.63</v>
          </cell>
          <cell r="AS79">
            <v>32.479999999999997</v>
          </cell>
          <cell r="AT79">
            <v>1500</v>
          </cell>
          <cell r="AU79">
            <v>1500</v>
          </cell>
          <cell r="AV79">
            <v>1413</v>
          </cell>
        </row>
        <row r="80">
          <cell r="AH80" t="str">
            <v>ITIP</v>
          </cell>
          <cell r="AI80" t="str">
            <v>THERMOINDICATIVE PAINT INTERBOND TEMP. INDICATING PAINT</v>
          </cell>
          <cell r="AJ80" t="str">
            <v>0654</v>
          </cell>
          <cell r="AK80" t="str">
            <v>HAA-705</v>
          </cell>
          <cell r="AM80">
            <v>1</v>
          </cell>
          <cell r="AN80">
            <v>51.61</v>
          </cell>
          <cell r="AO80">
            <v>68</v>
          </cell>
          <cell r="AQ80">
            <v>25.19</v>
          </cell>
          <cell r="AR80">
            <v>10</v>
          </cell>
          <cell r="AT80">
            <v>1300</v>
          </cell>
          <cell r="AU80">
            <v>680</v>
          </cell>
        </row>
        <row r="82">
          <cell r="AI82" t="str">
            <v xml:space="preserve">POLY-VINYL BUTYRAL RESIN (PVB) </v>
          </cell>
        </row>
        <row r="83">
          <cell r="AH83" t="str">
            <v>VRLP</v>
          </cell>
          <cell r="AI83" t="str">
            <v>VINYL RED LEAD PRIMER</v>
          </cell>
          <cell r="AJ83" t="str">
            <v>0301</v>
          </cell>
          <cell r="AK83" t="str">
            <v>SP30(VP-71)</v>
          </cell>
          <cell r="AL83" t="str">
            <v xml:space="preserve"> 21</v>
          </cell>
          <cell r="AM83">
            <v>1</v>
          </cell>
          <cell r="AN83">
            <v>21.8</v>
          </cell>
          <cell r="AO83">
            <v>25.3</v>
          </cell>
          <cell r="AP83">
            <v>64.900000000000006</v>
          </cell>
          <cell r="AQ83">
            <v>25.23</v>
          </cell>
          <cell r="AR83">
            <v>23.72</v>
          </cell>
          <cell r="AS83">
            <v>21.57</v>
          </cell>
          <cell r="AT83">
            <v>550</v>
          </cell>
          <cell r="AU83">
            <v>600</v>
          </cell>
          <cell r="AV83">
            <v>1400</v>
          </cell>
        </row>
        <row r="84">
          <cell r="AH84" t="str">
            <v>VZCP</v>
          </cell>
          <cell r="AI84" t="str">
            <v>VINYL ZINC CHRMATE PRIMER</v>
          </cell>
          <cell r="AJ84" t="str">
            <v>0311</v>
          </cell>
          <cell r="AK84" t="str">
            <v>VP-72</v>
          </cell>
          <cell r="AM84">
            <v>1</v>
          </cell>
          <cell r="AN84">
            <v>24.5</v>
          </cell>
          <cell r="AO84">
            <v>28.8</v>
          </cell>
          <cell r="AQ84">
            <v>22.04</v>
          </cell>
          <cell r="AR84">
            <v>19.79</v>
          </cell>
          <cell r="AT84">
            <v>540</v>
          </cell>
          <cell r="AU84">
            <v>570</v>
          </cell>
        </row>
        <row r="85">
          <cell r="AH85" t="str">
            <v>WP</v>
          </cell>
          <cell r="AI85" t="str">
            <v>WASH PRIMER</v>
          </cell>
          <cell r="AJ85" t="str">
            <v>0345</v>
          </cell>
          <cell r="AK85" t="str">
            <v>908(SP-02)</v>
          </cell>
          <cell r="AL85" t="str">
            <v xml:space="preserve"> 11</v>
          </cell>
          <cell r="AM85">
            <v>1</v>
          </cell>
          <cell r="AN85">
            <v>55.83</v>
          </cell>
          <cell r="AO85">
            <v>37.1</v>
          </cell>
          <cell r="AP85">
            <v>78.3</v>
          </cell>
          <cell r="AQ85">
            <v>8.06</v>
          </cell>
          <cell r="AR85">
            <v>11.86</v>
          </cell>
          <cell r="AS85">
            <v>8.94</v>
          </cell>
          <cell r="AT85">
            <v>450</v>
          </cell>
          <cell r="AU85">
            <v>440</v>
          </cell>
          <cell r="AV85">
            <v>700</v>
          </cell>
        </row>
        <row r="86">
          <cell r="AH86" t="str">
            <v>VE</v>
          </cell>
          <cell r="AI86" t="str">
            <v xml:space="preserve">VINYL ENAMEL </v>
          </cell>
          <cell r="AJ86" t="str">
            <v>0351</v>
          </cell>
          <cell r="AK86" t="str">
            <v>SP32(VA-11)</v>
          </cell>
          <cell r="AM86">
            <v>1</v>
          </cell>
          <cell r="AN86">
            <v>29.1</v>
          </cell>
          <cell r="AO86">
            <v>26.21</v>
          </cell>
          <cell r="AQ86">
            <v>18.899999999999999</v>
          </cell>
          <cell r="AR86">
            <v>19.079999999999998</v>
          </cell>
          <cell r="AT86">
            <v>550</v>
          </cell>
          <cell r="AU86">
            <v>500</v>
          </cell>
        </row>
        <row r="87">
          <cell r="AI87" t="str">
            <v>PIGMENTED PVC VINYL FINISH</v>
          </cell>
          <cell r="AJ87" t="str">
            <v>4340(U-400)</v>
          </cell>
          <cell r="AK87" t="str">
            <v>SP34(VA-51)</v>
          </cell>
          <cell r="AM87">
            <v>1</v>
          </cell>
          <cell r="AN87">
            <v>21.2</v>
          </cell>
          <cell r="AO87">
            <v>27.3</v>
          </cell>
          <cell r="AQ87">
            <v>30.19</v>
          </cell>
          <cell r="AR87">
            <v>19.78</v>
          </cell>
          <cell r="AT87">
            <v>640</v>
          </cell>
          <cell r="AU87">
            <v>540</v>
          </cell>
        </row>
        <row r="89">
          <cell r="AI89" t="str">
            <v xml:space="preserve">POLYOL POLYISOCYANATE </v>
          </cell>
        </row>
        <row r="90">
          <cell r="AH90" t="str">
            <v>PCC</v>
          </cell>
          <cell r="AI90" t="str">
            <v xml:space="preserve">POLYURETHANE COATING CLEAR </v>
          </cell>
          <cell r="AJ90" t="str">
            <v>0550</v>
          </cell>
          <cell r="AK90" t="str">
            <v>722</v>
          </cell>
          <cell r="AL90" t="str">
            <v xml:space="preserve"> 67</v>
          </cell>
          <cell r="AM90">
            <v>1</v>
          </cell>
          <cell r="AN90">
            <v>27.8</v>
          </cell>
          <cell r="AO90">
            <v>29.8</v>
          </cell>
          <cell r="AP90">
            <v>81.790000000000006</v>
          </cell>
          <cell r="AQ90">
            <v>25.18</v>
          </cell>
          <cell r="AR90">
            <v>25.17</v>
          </cell>
          <cell r="AS90">
            <v>18.34</v>
          </cell>
          <cell r="AT90">
            <v>700</v>
          </cell>
          <cell r="AU90">
            <v>750</v>
          </cell>
          <cell r="AV90">
            <v>1500</v>
          </cell>
        </row>
        <row r="91">
          <cell r="AH91" t="str">
            <v>PF</v>
          </cell>
          <cell r="AI91" t="str">
            <v>POLYURETHANE COATING</v>
          </cell>
          <cell r="AJ91" t="str">
            <v>0551</v>
          </cell>
          <cell r="AK91" t="str">
            <v>725</v>
          </cell>
          <cell r="AL91" t="str">
            <v xml:space="preserve"> 66</v>
          </cell>
          <cell r="AM91">
            <v>1</v>
          </cell>
          <cell r="AN91">
            <v>33.1</v>
          </cell>
          <cell r="AO91">
            <v>29.8</v>
          </cell>
          <cell r="AP91">
            <v>92.79</v>
          </cell>
          <cell r="AQ91">
            <v>27.19</v>
          </cell>
          <cell r="AR91">
            <v>30.2</v>
          </cell>
          <cell r="AS91">
            <v>18.32</v>
          </cell>
          <cell r="AT91">
            <v>900</v>
          </cell>
          <cell r="AU91">
            <v>900</v>
          </cell>
          <cell r="AV91">
            <v>1700</v>
          </cell>
        </row>
        <row r="92">
          <cell r="AH92" t="str">
            <v>PFC</v>
          </cell>
          <cell r="AI92" t="str">
            <v>POLYURETHANE COATING</v>
          </cell>
          <cell r="AJ92" t="str">
            <v>0551</v>
          </cell>
          <cell r="AK92" t="str">
            <v>UP-04</v>
          </cell>
          <cell r="AL92" t="str">
            <v xml:space="preserve"> 66</v>
          </cell>
          <cell r="AM92">
            <v>1</v>
          </cell>
          <cell r="AN92">
            <v>36.78</v>
          </cell>
          <cell r="AO92">
            <v>16.059999999999999</v>
          </cell>
          <cell r="AP92">
            <v>92.79</v>
          </cell>
          <cell r="AQ92">
            <v>27.19</v>
          </cell>
          <cell r="AR92">
            <v>30.2</v>
          </cell>
          <cell r="AS92">
            <v>18.32</v>
          </cell>
          <cell r="AT92">
            <v>1000</v>
          </cell>
          <cell r="AU92">
            <v>485</v>
          </cell>
          <cell r="AV92">
            <v>1700</v>
          </cell>
        </row>
        <row r="93">
          <cell r="AH93" t="str">
            <v>AICP</v>
          </cell>
          <cell r="AI93" t="str">
            <v>ALIPHATIC ISCYANATE CURED POLYURETHANE FIN.</v>
          </cell>
          <cell r="AJ93" t="str">
            <v>4231(I-300)</v>
          </cell>
          <cell r="AK93" t="str">
            <v>728</v>
          </cell>
          <cell r="AM93">
            <v>1</v>
          </cell>
          <cell r="AN93">
            <v>46.3</v>
          </cell>
          <cell r="AO93">
            <v>56.2</v>
          </cell>
          <cell r="AQ93">
            <v>30.24</v>
          </cell>
          <cell r="AR93">
            <v>30.25</v>
          </cell>
          <cell r="AT93">
            <v>1400</v>
          </cell>
          <cell r="AU93">
            <v>1700</v>
          </cell>
        </row>
        <row r="94">
          <cell r="AI94" t="str">
            <v>POLYURETHANE TANK LINING</v>
          </cell>
          <cell r="AJ94" t="str">
            <v>4230(I-310)</v>
          </cell>
          <cell r="AK94" t="str">
            <v>733</v>
          </cell>
          <cell r="AM94">
            <v>1</v>
          </cell>
          <cell r="AN94">
            <v>37</v>
          </cell>
          <cell r="AO94">
            <v>19.8</v>
          </cell>
          <cell r="AQ94">
            <v>37.840000000000003</v>
          </cell>
          <cell r="AR94">
            <v>28.79</v>
          </cell>
          <cell r="AT94">
            <v>1400</v>
          </cell>
          <cell r="AU94">
            <v>570</v>
          </cell>
        </row>
        <row r="95">
          <cell r="AI95" t="str">
            <v>NON-REACTIVE POLYURETHANE PRIMER</v>
          </cell>
          <cell r="AJ95" t="str">
            <v>4239(I-350)</v>
          </cell>
          <cell r="AM95">
            <v>1</v>
          </cell>
          <cell r="AN95">
            <v>18</v>
          </cell>
          <cell r="AQ95">
            <v>55.56</v>
          </cell>
          <cell r="AT95">
            <v>1000</v>
          </cell>
        </row>
        <row r="96">
          <cell r="AI96" t="str">
            <v>CLEAR POLYURETHANE FINISH</v>
          </cell>
          <cell r="AJ96" t="str">
            <v>4235(I-390)</v>
          </cell>
          <cell r="AK96" t="str">
            <v>1101</v>
          </cell>
          <cell r="AM96">
            <v>1</v>
          </cell>
          <cell r="AN96">
            <v>31.7</v>
          </cell>
          <cell r="AO96">
            <v>17</v>
          </cell>
          <cell r="AQ96">
            <v>37.85</v>
          </cell>
          <cell r="AR96">
            <v>26.47</v>
          </cell>
          <cell r="AT96">
            <v>1200</v>
          </cell>
          <cell r="AU96">
            <v>450</v>
          </cell>
        </row>
        <row r="97">
          <cell r="AI97" t="str">
            <v>URETHANE CHROMATE PRIMER</v>
          </cell>
          <cell r="AJ97" t="str">
            <v>4420(A-200)</v>
          </cell>
          <cell r="AK97" t="str">
            <v>1106</v>
          </cell>
          <cell r="AM97">
            <v>1</v>
          </cell>
          <cell r="AN97">
            <v>21.6</v>
          </cell>
          <cell r="AO97">
            <v>12.5</v>
          </cell>
          <cell r="AQ97">
            <v>37.04</v>
          </cell>
          <cell r="AR97">
            <v>24</v>
          </cell>
          <cell r="AT97">
            <v>800</v>
          </cell>
          <cell r="AU97">
            <v>300</v>
          </cell>
        </row>
        <row r="98">
          <cell r="AI98" t="str">
            <v>ZINC TETROXYCHROMATE BUTYRAL ETCH PRIMER</v>
          </cell>
          <cell r="AJ98" t="str">
            <v>4322(U-220)</v>
          </cell>
          <cell r="AK98" t="str">
            <v>738</v>
          </cell>
          <cell r="AM98">
            <v>1</v>
          </cell>
          <cell r="AN98">
            <v>58.41</v>
          </cell>
          <cell r="AO98">
            <v>69.59</v>
          </cell>
          <cell r="AQ98">
            <v>8.56</v>
          </cell>
          <cell r="AR98">
            <v>28.74</v>
          </cell>
          <cell r="AT98">
            <v>500</v>
          </cell>
          <cell r="AU98">
            <v>2000</v>
          </cell>
        </row>
        <row r="100">
          <cell r="AI100" t="str">
            <v>MASONRY &amp; ACRYLIC PAINT</v>
          </cell>
        </row>
        <row r="101">
          <cell r="AI101" t="str">
            <v>SOLVENT BASE MASONRY PRIMER</v>
          </cell>
          <cell r="AJ101" t="str">
            <v>1541</v>
          </cell>
          <cell r="AL101" t="str">
            <v>140</v>
          </cell>
          <cell r="AM101">
            <v>1</v>
          </cell>
          <cell r="AN101">
            <v>9.6999999999999993</v>
          </cell>
          <cell r="AP101">
            <v>14</v>
          </cell>
          <cell r="AQ101">
            <v>40.21</v>
          </cell>
          <cell r="AS101">
            <v>30.36</v>
          </cell>
          <cell r="AT101">
            <v>390</v>
          </cell>
          <cell r="AV101">
            <v>425</v>
          </cell>
        </row>
        <row r="102">
          <cell r="AI102" t="str">
            <v>WATER BASE MASONRY PRIMER</v>
          </cell>
          <cell r="AJ102" t="str">
            <v>1546</v>
          </cell>
          <cell r="AL102" t="str">
            <v>140-1</v>
          </cell>
          <cell r="AM102">
            <v>1</v>
          </cell>
          <cell r="AN102">
            <v>8.1999999999999993</v>
          </cell>
          <cell r="AP102">
            <v>12</v>
          </cell>
          <cell r="AQ102">
            <v>40.24</v>
          </cell>
          <cell r="AS102">
            <v>33.83</v>
          </cell>
          <cell r="AT102">
            <v>330</v>
          </cell>
          <cell r="AV102">
            <v>406</v>
          </cell>
        </row>
        <row r="103">
          <cell r="AI103" t="str">
            <v>WATER BASE MASONRY PAINT</v>
          </cell>
          <cell r="AJ103" t="str">
            <v>1556</v>
          </cell>
          <cell r="AM103">
            <v>1</v>
          </cell>
          <cell r="AN103">
            <v>11.9</v>
          </cell>
          <cell r="AQ103">
            <v>36.97</v>
          </cell>
          <cell r="AT103">
            <v>440</v>
          </cell>
        </row>
        <row r="104">
          <cell r="AI104" t="str">
            <v xml:space="preserve">ACRYLIC EMULSION PAINT </v>
          </cell>
          <cell r="AJ104" t="str">
            <v>1656</v>
          </cell>
          <cell r="AM104">
            <v>1</v>
          </cell>
          <cell r="AN104">
            <v>9.4</v>
          </cell>
          <cell r="AP104">
            <v>25.8</v>
          </cell>
          <cell r="AQ104">
            <v>38.299999999999997</v>
          </cell>
          <cell r="AS104">
            <v>34.880000000000003</v>
          </cell>
          <cell r="AT104">
            <v>360</v>
          </cell>
          <cell r="AV104">
            <v>900</v>
          </cell>
        </row>
        <row r="105">
          <cell r="AI105" t="str">
            <v xml:space="preserve">EMULSION PAINT </v>
          </cell>
          <cell r="AJ105" t="str">
            <v>1657</v>
          </cell>
          <cell r="AL105" t="str">
            <v>130</v>
          </cell>
          <cell r="AM105">
            <v>1</v>
          </cell>
          <cell r="AN105">
            <v>6.4</v>
          </cell>
          <cell r="AP105">
            <v>5.8</v>
          </cell>
          <cell r="AQ105">
            <v>40.630000000000003</v>
          </cell>
          <cell r="AS105">
            <v>34.83</v>
          </cell>
          <cell r="AT105">
            <v>260</v>
          </cell>
          <cell r="AV105">
            <v>202</v>
          </cell>
        </row>
        <row r="107">
          <cell r="AI107" t="str">
            <v>OTHER PAINT</v>
          </cell>
        </row>
        <row r="108">
          <cell r="AH108" t="str">
            <v>AO</v>
          </cell>
          <cell r="AI108" t="str">
            <v>AMERLOCK-400 100,</v>
          </cell>
          <cell r="AM108">
            <v>1</v>
          </cell>
          <cell r="AO108">
            <v>35</v>
          </cell>
          <cell r="AR108">
            <v>21</v>
          </cell>
          <cell r="AU108">
            <v>735</v>
          </cell>
        </row>
        <row r="109">
          <cell r="AI109" t="str">
            <v>BLACK VARNISH</v>
          </cell>
          <cell r="AJ109" t="str">
            <v>1727</v>
          </cell>
          <cell r="AL109" t="str">
            <v>170</v>
          </cell>
          <cell r="AM109">
            <v>1</v>
          </cell>
          <cell r="AN109">
            <v>5.8</v>
          </cell>
          <cell r="AP109">
            <v>6.2</v>
          </cell>
          <cell r="AQ109">
            <v>34.479999999999997</v>
          </cell>
          <cell r="AS109">
            <v>26.94</v>
          </cell>
          <cell r="AT109">
            <v>200</v>
          </cell>
          <cell r="AV109">
            <v>167</v>
          </cell>
        </row>
        <row r="110">
          <cell r="AI110" t="str">
            <v>NEO WATER PROOF COATING</v>
          </cell>
          <cell r="AJ110" t="str">
            <v>1728</v>
          </cell>
          <cell r="AL110" t="str">
            <v>160</v>
          </cell>
          <cell r="AM110">
            <v>1</v>
          </cell>
          <cell r="AN110">
            <v>4.4000000000000004</v>
          </cell>
          <cell r="AP110">
            <v>6.7</v>
          </cell>
          <cell r="AQ110">
            <v>227.27</v>
          </cell>
          <cell r="AS110">
            <v>28.81</v>
          </cell>
          <cell r="AT110">
            <v>1000</v>
          </cell>
          <cell r="AV110">
            <v>193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切割 MTL"/>
      <sheetName val="切割 DI"/>
      <sheetName val="ESTI."/>
      <sheetName val="DI-ESTI"/>
      <sheetName val="ESTI_"/>
      <sheetName val="DI_ESTI"/>
      <sheetName val="IBASE"/>
      <sheetName val="NEW-PANEL"/>
    </sheetNames>
    <sheetDataSet>
      <sheetData sheetId="0" refreshError="1"/>
      <sheetData sheetId="1" refreshError="1"/>
      <sheetData sheetId="2" refreshError="1">
        <row r="1">
          <cell r="A1" t="str">
            <v>STATISTICAL ESTIMATION OF FITTINGS AND VALVES FOR PIPING WORK</v>
          </cell>
        </row>
        <row r="2">
          <cell r="A2" t="str">
            <v xml:space="preserve">PROJECT NO : </v>
          </cell>
        </row>
        <row r="3">
          <cell r="A3" t="str">
            <v>Fc =</v>
          </cell>
          <cell r="B3">
            <v>1</v>
          </cell>
          <cell r="C3" t="str">
            <v>Fp =</v>
          </cell>
          <cell r="D3">
            <v>0.1</v>
          </cell>
        </row>
        <row r="4">
          <cell r="F4" t="str">
            <v>FITTING NO</v>
          </cell>
          <cell r="N4" t="str">
            <v>VALVE NO</v>
          </cell>
          <cell r="R4" t="str">
            <v>TOTAL</v>
          </cell>
          <cell r="S4" t="str">
            <v>TOTAL</v>
          </cell>
          <cell r="T4" t="str">
            <v>J/M</v>
          </cell>
          <cell r="U4" t="str">
            <v>J/M</v>
          </cell>
        </row>
        <row r="5">
          <cell r="A5" t="str">
            <v>NO</v>
          </cell>
          <cell r="B5" t="str">
            <v>SIZE</v>
          </cell>
          <cell r="C5" t="str">
            <v>SCH</v>
          </cell>
          <cell r="D5" t="str">
            <v>LG (M)</v>
          </cell>
          <cell r="E5" t="str">
            <v>IN-M</v>
          </cell>
          <cell r="F5" t="str">
            <v>90 ELL</v>
          </cell>
          <cell r="G5" t="str">
            <v>45 ELL</v>
          </cell>
          <cell r="H5" t="str">
            <v>TEE</v>
          </cell>
          <cell r="I5" t="str">
            <v>RED</v>
          </cell>
          <cell r="J5" t="str">
            <v>FLG</v>
          </cell>
          <cell r="K5" t="str">
            <v>CPLG</v>
          </cell>
          <cell r="L5" t="str">
            <v>CAP</v>
          </cell>
          <cell r="M5" t="str">
            <v>TOTAL</v>
          </cell>
          <cell r="N5" t="str">
            <v>BLOCK</v>
          </cell>
          <cell r="O5" t="str">
            <v>CHECK</v>
          </cell>
          <cell r="P5" t="str">
            <v>GLOBE</v>
          </cell>
          <cell r="Q5" t="str">
            <v>TOTAL</v>
          </cell>
          <cell r="R5" t="str">
            <v>JOINT</v>
          </cell>
          <cell r="S5" t="str">
            <v>DI</v>
          </cell>
          <cell r="T5" t="str">
            <v>(JOINT)</v>
          </cell>
          <cell r="U5" t="str">
            <v>(DI)</v>
          </cell>
        </row>
        <row r="6">
          <cell r="A6">
            <v>1</v>
          </cell>
          <cell r="B6">
            <v>0.5</v>
          </cell>
          <cell r="E6" t="str">
            <v xml:space="preserve"> 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 t="str">
            <v xml:space="preserve"> </v>
          </cell>
          <cell r="U6" t="str">
            <v xml:space="preserve"> </v>
          </cell>
        </row>
        <row r="7">
          <cell r="A7">
            <v>2</v>
          </cell>
          <cell r="B7">
            <v>0.75</v>
          </cell>
          <cell r="E7" t="str">
            <v xml:space="preserve"> 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 t="str">
            <v xml:space="preserve"> </v>
          </cell>
          <cell r="U7" t="str">
            <v xml:space="preserve"> </v>
          </cell>
        </row>
        <row r="8">
          <cell r="A8">
            <v>3</v>
          </cell>
          <cell r="B8">
            <v>1</v>
          </cell>
          <cell r="E8" t="str">
            <v xml:space="preserve"> 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 t="str">
            <v xml:space="preserve"> </v>
          </cell>
          <cell r="U8" t="str">
            <v xml:space="preserve"> </v>
          </cell>
        </row>
        <row r="9">
          <cell r="A9">
            <v>4</v>
          </cell>
          <cell r="B9">
            <v>1.5</v>
          </cell>
          <cell r="E9" t="str">
            <v xml:space="preserve"> 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 t="str">
            <v xml:space="preserve"> </v>
          </cell>
          <cell r="U9" t="str">
            <v xml:space="preserve"> </v>
          </cell>
        </row>
        <row r="10">
          <cell r="A10">
            <v>5</v>
          </cell>
          <cell r="B10">
            <v>2</v>
          </cell>
          <cell r="E10" t="str">
            <v xml:space="preserve"> 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 t="str">
            <v xml:space="preserve"> </v>
          </cell>
          <cell r="U10" t="str">
            <v xml:space="preserve"> </v>
          </cell>
        </row>
        <row r="11">
          <cell r="A11">
            <v>6</v>
          </cell>
          <cell r="B11">
            <v>2.5</v>
          </cell>
          <cell r="E11" t="str">
            <v xml:space="preserve"> 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 t="str">
            <v xml:space="preserve"> </v>
          </cell>
          <cell r="U11" t="str">
            <v xml:space="preserve"> </v>
          </cell>
        </row>
        <row r="12">
          <cell r="A12">
            <v>7</v>
          </cell>
          <cell r="B12">
            <v>3</v>
          </cell>
          <cell r="E12" t="str">
            <v xml:space="preserve"> 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 t="str">
            <v xml:space="preserve"> </v>
          </cell>
          <cell r="U12" t="str">
            <v xml:space="preserve"> </v>
          </cell>
        </row>
        <row r="13">
          <cell r="A13">
            <v>8</v>
          </cell>
          <cell r="B13">
            <v>4</v>
          </cell>
          <cell r="E13" t="str">
            <v xml:space="preserve"> 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 t="str">
            <v xml:space="preserve"> </v>
          </cell>
          <cell r="U13" t="str">
            <v xml:space="preserve"> </v>
          </cell>
        </row>
        <row r="14">
          <cell r="A14">
            <v>9</v>
          </cell>
          <cell r="B14">
            <v>5</v>
          </cell>
          <cell r="E14" t="str">
            <v xml:space="preserve"> 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 t="str">
            <v xml:space="preserve"> </v>
          </cell>
          <cell r="U14" t="str">
            <v xml:space="preserve"> </v>
          </cell>
        </row>
        <row r="15">
          <cell r="A15">
            <v>10</v>
          </cell>
          <cell r="B15">
            <v>6</v>
          </cell>
          <cell r="E15" t="str">
            <v xml:space="preserve"> 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 t="str">
            <v xml:space="preserve"> </v>
          </cell>
          <cell r="U15" t="str">
            <v xml:space="preserve"> </v>
          </cell>
        </row>
        <row r="16">
          <cell r="A16">
            <v>11</v>
          </cell>
          <cell r="B16">
            <v>8</v>
          </cell>
          <cell r="E16" t="str">
            <v xml:space="preserve"> 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 t="str">
            <v xml:space="preserve"> </v>
          </cell>
          <cell r="U16" t="str">
            <v xml:space="preserve"> </v>
          </cell>
        </row>
        <row r="17">
          <cell r="A17">
            <v>12</v>
          </cell>
          <cell r="B17">
            <v>10</v>
          </cell>
          <cell r="E17" t="str">
            <v xml:space="preserve"> 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 t="str">
            <v xml:space="preserve"> </v>
          </cell>
          <cell r="U17" t="str">
            <v xml:space="preserve"> </v>
          </cell>
        </row>
        <row r="18">
          <cell r="A18">
            <v>13</v>
          </cell>
          <cell r="B18">
            <v>12</v>
          </cell>
          <cell r="E18" t="str">
            <v xml:space="preserve"> 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 t="str">
            <v xml:space="preserve"> </v>
          </cell>
          <cell r="U18" t="str">
            <v xml:space="preserve"> </v>
          </cell>
        </row>
        <row r="19">
          <cell r="A19">
            <v>14</v>
          </cell>
          <cell r="B19">
            <v>14</v>
          </cell>
          <cell r="E19" t="str">
            <v xml:space="preserve"> 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 t="str">
            <v xml:space="preserve"> </v>
          </cell>
          <cell r="U19" t="str">
            <v xml:space="preserve"> </v>
          </cell>
        </row>
        <row r="20">
          <cell r="A20">
            <v>15</v>
          </cell>
          <cell r="B20">
            <v>16</v>
          </cell>
          <cell r="E20" t="str">
            <v xml:space="preserve"> 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 t="str">
            <v xml:space="preserve"> </v>
          </cell>
          <cell r="U20" t="str">
            <v xml:space="preserve"> </v>
          </cell>
        </row>
        <row r="21">
          <cell r="A21">
            <v>16</v>
          </cell>
          <cell r="B21">
            <v>18</v>
          </cell>
          <cell r="E21" t="str">
            <v xml:space="preserve"> 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 t="str">
            <v xml:space="preserve"> </v>
          </cell>
          <cell r="U21" t="str">
            <v xml:space="preserve"> </v>
          </cell>
        </row>
        <row r="22">
          <cell r="A22">
            <v>17</v>
          </cell>
          <cell r="B22">
            <v>20</v>
          </cell>
          <cell r="E22" t="str">
            <v xml:space="preserve"> 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 t="str">
            <v xml:space="preserve"> </v>
          </cell>
          <cell r="U22" t="str">
            <v xml:space="preserve"> </v>
          </cell>
        </row>
        <row r="23">
          <cell r="A23">
            <v>18</v>
          </cell>
          <cell r="B23">
            <v>22</v>
          </cell>
          <cell r="E23" t="str">
            <v xml:space="preserve"> 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 t="str">
            <v xml:space="preserve"> </v>
          </cell>
          <cell r="U23" t="str">
            <v xml:space="preserve"> </v>
          </cell>
        </row>
        <row r="24">
          <cell r="A24">
            <v>19</v>
          </cell>
          <cell r="B24">
            <v>24</v>
          </cell>
          <cell r="E24" t="str">
            <v xml:space="preserve"> 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 t="str">
            <v xml:space="preserve"> </v>
          </cell>
          <cell r="U24" t="str">
            <v xml:space="preserve"> </v>
          </cell>
        </row>
        <row r="25">
          <cell r="A25">
            <v>20</v>
          </cell>
          <cell r="B25">
            <v>26</v>
          </cell>
          <cell r="E25" t="str">
            <v xml:space="preserve"> 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 t="str">
            <v xml:space="preserve"> </v>
          </cell>
          <cell r="U25" t="str">
            <v xml:space="preserve"> </v>
          </cell>
        </row>
        <row r="26">
          <cell r="A26">
            <v>21</v>
          </cell>
          <cell r="B26">
            <v>28</v>
          </cell>
          <cell r="E26" t="str">
            <v xml:space="preserve"> 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 t="str">
            <v xml:space="preserve"> </v>
          </cell>
          <cell r="U26" t="str">
            <v xml:space="preserve"> </v>
          </cell>
        </row>
        <row r="27">
          <cell r="A27">
            <v>22</v>
          </cell>
          <cell r="B27">
            <v>30</v>
          </cell>
          <cell r="E27" t="str">
            <v xml:space="preserve"> 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 t="str">
            <v xml:space="preserve"> </v>
          </cell>
          <cell r="U27" t="str">
            <v xml:space="preserve"> </v>
          </cell>
        </row>
        <row r="28">
          <cell r="A28">
            <v>23</v>
          </cell>
          <cell r="B28">
            <v>32</v>
          </cell>
          <cell r="E28" t="str">
            <v xml:space="preserve"> 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 t="str">
            <v xml:space="preserve"> </v>
          </cell>
          <cell r="U28" t="str">
            <v xml:space="preserve"> </v>
          </cell>
        </row>
        <row r="29">
          <cell r="A29">
            <v>24</v>
          </cell>
          <cell r="B29">
            <v>34</v>
          </cell>
          <cell r="E29" t="str">
            <v xml:space="preserve"> 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 t="str">
            <v xml:space="preserve"> </v>
          </cell>
          <cell r="U29" t="str">
            <v xml:space="preserve"> </v>
          </cell>
        </row>
        <row r="30">
          <cell r="A30">
            <v>25</v>
          </cell>
          <cell r="B30">
            <v>36</v>
          </cell>
          <cell r="E30" t="str">
            <v xml:space="preserve"> 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 t="str">
            <v xml:space="preserve"> </v>
          </cell>
          <cell r="U30" t="str">
            <v xml:space="preserve"> </v>
          </cell>
        </row>
        <row r="31">
          <cell r="A31">
            <v>26</v>
          </cell>
          <cell r="B31">
            <v>38</v>
          </cell>
          <cell r="E31" t="str">
            <v xml:space="preserve"> 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 t="str">
            <v xml:space="preserve"> </v>
          </cell>
          <cell r="U31" t="str">
            <v xml:space="preserve"> </v>
          </cell>
        </row>
        <row r="32">
          <cell r="A32">
            <v>27</v>
          </cell>
          <cell r="B32">
            <v>40</v>
          </cell>
          <cell r="E32" t="str">
            <v xml:space="preserve"> 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 t="str">
            <v xml:space="preserve"> </v>
          </cell>
          <cell r="U32" t="str">
            <v xml:space="preserve"> </v>
          </cell>
        </row>
        <row r="33">
          <cell r="A33">
            <v>28</v>
          </cell>
          <cell r="B33">
            <v>42</v>
          </cell>
          <cell r="E33" t="str">
            <v xml:space="preserve"> 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 t="str">
            <v xml:space="preserve"> </v>
          </cell>
          <cell r="U33" t="str">
            <v xml:space="preserve"> </v>
          </cell>
        </row>
        <row r="34">
          <cell r="A34">
            <v>29</v>
          </cell>
          <cell r="B34">
            <v>44</v>
          </cell>
          <cell r="E34" t="str">
            <v xml:space="preserve"> 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 t="str">
            <v xml:space="preserve"> </v>
          </cell>
          <cell r="U34" t="str">
            <v xml:space="preserve"> </v>
          </cell>
        </row>
        <row r="35">
          <cell r="A35">
            <v>30</v>
          </cell>
          <cell r="B35">
            <v>46</v>
          </cell>
          <cell r="E35" t="str">
            <v xml:space="preserve"> 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 t="str">
            <v xml:space="preserve"> </v>
          </cell>
          <cell r="U35" t="str">
            <v xml:space="preserve"> </v>
          </cell>
        </row>
        <row r="36">
          <cell r="A36">
            <v>31</v>
          </cell>
          <cell r="B36">
            <v>48</v>
          </cell>
          <cell r="E36" t="str">
            <v xml:space="preserve"> 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 t="str">
            <v xml:space="preserve"> </v>
          </cell>
          <cell r="U36" t="str">
            <v xml:space="preserve"> </v>
          </cell>
        </row>
        <row r="37">
          <cell r="A37">
            <v>32</v>
          </cell>
          <cell r="B37">
            <v>52</v>
          </cell>
          <cell r="E37" t="str">
            <v xml:space="preserve"> 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 t="str">
            <v xml:space="preserve"> </v>
          </cell>
          <cell r="U37" t="str">
            <v xml:space="preserve"> </v>
          </cell>
        </row>
        <row r="38">
          <cell r="A38">
            <v>33</v>
          </cell>
          <cell r="B38">
            <v>56</v>
          </cell>
          <cell r="E38" t="str">
            <v xml:space="preserve"> 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 t="str">
            <v xml:space="preserve"> </v>
          </cell>
          <cell r="U38" t="str">
            <v xml:space="preserve"> </v>
          </cell>
        </row>
        <row r="39">
          <cell r="A39">
            <v>34</v>
          </cell>
          <cell r="B39">
            <v>60</v>
          </cell>
          <cell r="E39" t="str">
            <v xml:space="preserve"> 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 t="str">
            <v xml:space="preserve"> </v>
          </cell>
          <cell r="U39" t="str">
            <v xml:space="preserve"> </v>
          </cell>
        </row>
        <row r="40">
          <cell r="A40">
            <v>35</v>
          </cell>
          <cell r="B40">
            <v>64</v>
          </cell>
          <cell r="E40" t="str">
            <v xml:space="preserve"> 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 t="str">
            <v xml:space="preserve"> </v>
          </cell>
          <cell r="U40" t="str">
            <v xml:space="preserve"> </v>
          </cell>
        </row>
        <row r="41">
          <cell r="A41">
            <v>36</v>
          </cell>
          <cell r="B41">
            <v>68</v>
          </cell>
          <cell r="E41" t="str">
            <v xml:space="preserve"> 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 t="str">
            <v xml:space="preserve"> </v>
          </cell>
          <cell r="U41" t="str">
            <v xml:space="preserve"> </v>
          </cell>
        </row>
        <row r="42">
          <cell r="A42">
            <v>37</v>
          </cell>
          <cell r="B42">
            <v>72</v>
          </cell>
          <cell r="E42" t="str">
            <v xml:space="preserve"> 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 t="str">
            <v xml:space="preserve"> </v>
          </cell>
          <cell r="U42" t="str">
            <v xml:space="preserve"> </v>
          </cell>
        </row>
        <row r="43">
          <cell r="A43">
            <v>38</v>
          </cell>
          <cell r="B43">
            <v>76</v>
          </cell>
          <cell r="E43" t="str">
            <v xml:space="preserve"> 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 t="str">
            <v xml:space="preserve"> </v>
          </cell>
          <cell r="U43" t="str">
            <v xml:space="preserve"> </v>
          </cell>
        </row>
        <row r="44">
          <cell r="A44">
            <v>39</v>
          </cell>
          <cell r="B44">
            <v>80</v>
          </cell>
          <cell r="E44" t="str">
            <v xml:space="preserve"> 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 t="str">
            <v xml:space="preserve"> </v>
          </cell>
          <cell r="U44" t="str">
            <v xml:space="preserve"> </v>
          </cell>
        </row>
        <row r="45">
          <cell r="A45" t="str">
            <v>AVE.</v>
          </cell>
          <cell r="B45" t="str">
            <v xml:space="preserve"> 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 t="str">
            <v xml:space="preserve"> </v>
          </cell>
          <cell r="U45" t="str">
            <v xml:space="preserve"> </v>
          </cell>
        </row>
        <row r="47">
          <cell r="A47" t="str">
            <v>*** Reference Paper : Predict Fittings For Piping Systems ***</v>
          </cell>
          <cell r="K47" t="str">
            <v>Fc = 0.25  Utility Supply Lines, OSBL</v>
          </cell>
          <cell r="R47" t="str">
            <v>Fc = 2.00  Manifold Type Piping</v>
          </cell>
        </row>
        <row r="48">
          <cell r="D48" t="str">
            <v xml:space="preserve">   By William B. Hooper , Monsanto Co.</v>
          </cell>
          <cell r="K48" t="str">
            <v xml:space="preserve">        (PIPE JOINT FACTOR Fp = 100%)</v>
          </cell>
          <cell r="R48" t="str">
            <v xml:space="preserve">        (PIPE JOINT FACTOR Fp = 0%)</v>
          </cell>
        </row>
        <row r="49">
          <cell r="K49" t="str">
            <v>Fc = 0.50  Long, Straight Piping Run</v>
          </cell>
          <cell r="R49" t="str">
            <v>Fc = 4.00  Very Complex Manifolds</v>
          </cell>
        </row>
        <row r="50">
          <cell r="A50" t="str">
            <v>The number and types of pipe fittings can be estimated by this method</v>
          </cell>
          <cell r="K50" t="str">
            <v xml:space="preserve">        (PIPE JOINT FACTOR Fp = 100%)</v>
          </cell>
          <cell r="R50" t="str">
            <v xml:space="preserve">        (PIPE JOINT FACTOR Fp = 0%)</v>
          </cell>
        </row>
        <row r="51">
          <cell r="A51" t="str">
            <v>long before the piping isometrics are done. Pipe size and a general idea</v>
          </cell>
          <cell r="K51" t="str">
            <v>Fc = 1.00  Normal Piping</v>
          </cell>
        </row>
        <row r="52">
          <cell r="A52" t="str">
            <v>of the system's complexity are all that is needed.</v>
          </cell>
          <cell r="K52" t="str">
            <v xml:space="preserve">        (PIPE JOINT FACTOR Fp = 10%)</v>
          </cell>
        </row>
      </sheetData>
      <sheetData sheetId="3" refreshError="1">
        <row r="8">
          <cell r="B8" t="str">
            <v>5S</v>
          </cell>
          <cell r="C8">
            <v>0.5</v>
          </cell>
          <cell r="D8">
            <v>1.65</v>
          </cell>
          <cell r="E8">
            <v>1</v>
          </cell>
          <cell r="I8">
            <v>7.0000000000000007E-2</v>
          </cell>
          <cell r="J8">
            <v>0</v>
          </cell>
          <cell r="K8">
            <v>7.0000000000000007E-2</v>
          </cell>
          <cell r="P8">
            <v>2</v>
          </cell>
        </row>
        <row r="9">
          <cell r="B9" t="str">
            <v>5S</v>
          </cell>
          <cell r="C9">
            <v>0.5</v>
          </cell>
          <cell r="D9">
            <v>1.65</v>
          </cell>
          <cell r="E9">
            <v>1</v>
          </cell>
          <cell r="I9">
            <v>7.0000000000000007E-2</v>
          </cell>
          <cell r="J9">
            <v>0</v>
          </cell>
          <cell r="K9">
            <v>7.0000000000000007E-2</v>
          </cell>
          <cell r="P9">
            <v>2</v>
          </cell>
        </row>
        <row r="10">
          <cell r="B10" t="str">
            <v>5S</v>
          </cell>
          <cell r="C10">
            <v>0.5</v>
          </cell>
          <cell r="D10">
            <v>1.65</v>
          </cell>
          <cell r="E10">
            <v>1</v>
          </cell>
          <cell r="I10">
            <v>7.0000000000000007E-2</v>
          </cell>
          <cell r="J10">
            <v>0</v>
          </cell>
          <cell r="K10">
            <v>7.0000000000000007E-2</v>
          </cell>
          <cell r="P10">
            <v>2</v>
          </cell>
        </row>
        <row r="11">
          <cell r="B11" t="str">
            <v>5S</v>
          </cell>
          <cell r="C11">
            <v>0.75</v>
          </cell>
          <cell r="D11">
            <v>1.65</v>
          </cell>
          <cell r="E11">
            <v>1</v>
          </cell>
          <cell r="I11">
            <v>7.0000000000000007E-2</v>
          </cell>
          <cell r="J11">
            <v>0</v>
          </cell>
          <cell r="K11">
            <v>7.0000000000000007E-2</v>
          </cell>
          <cell r="P11">
            <v>2</v>
          </cell>
        </row>
        <row r="12">
          <cell r="B12" t="str">
            <v>5S</v>
          </cell>
          <cell r="C12">
            <v>0.75</v>
          </cell>
          <cell r="D12">
            <v>1.65</v>
          </cell>
          <cell r="E12">
            <v>1</v>
          </cell>
          <cell r="I12">
            <v>7.0000000000000007E-2</v>
          </cell>
          <cell r="J12">
            <v>0</v>
          </cell>
          <cell r="K12">
            <v>7.0000000000000007E-2</v>
          </cell>
          <cell r="P12">
            <v>2</v>
          </cell>
        </row>
        <row r="13">
          <cell r="B13" t="str">
            <v>5S</v>
          </cell>
          <cell r="C13">
            <v>0.75</v>
          </cell>
          <cell r="D13">
            <v>1.65</v>
          </cell>
          <cell r="E13">
            <v>1</v>
          </cell>
          <cell r="I13">
            <v>7.0000000000000007E-2</v>
          </cell>
          <cell r="J13">
            <v>0</v>
          </cell>
          <cell r="K13">
            <v>7.0000000000000007E-2</v>
          </cell>
          <cell r="P13">
            <v>2</v>
          </cell>
        </row>
        <row r="14">
          <cell r="B14" t="str">
            <v>5S</v>
          </cell>
          <cell r="C14">
            <v>1</v>
          </cell>
          <cell r="D14">
            <v>1.65</v>
          </cell>
          <cell r="E14">
            <v>1</v>
          </cell>
          <cell r="I14">
            <v>0.12</v>
          </cell>
          <cell r="J14">
            <v>0</v>
          </cell>
          <cell r="K14">
            <v>0.12</v>
          </cell>
          <cell r="P14">
            <v>2</v>
          </cell>
        </row>
        <row r="15">
          <cell r="B15" t="str">
            <v>5S</v>
          </cell>
          <cell r="C15">
            <v>1</v>
          </cell>
          <cell r="D15">
            <v>1.65</v>
          </cell>
          <cell r="E15">
            <v>1</v>
          </cell>
          <cell r="I15">
            <v>0.12</v>
          </cell>
          <cell r="J15">
            <v>0</v>
          </cell>
          <cell r="K15">
            <v>0.12</v>
          </cell>
          <cell r="P15">
            <v>2</v>
          </cell>
        </row>
        <row r="16">
          <cell r="B16" t="str">
            <v>5S</v>
          </cell>
          <cell r="C16">
            <v>1</v>
          </cell>
          <cell r="D16">
            <v>1.65</v>
          </cell>
          <cell r="E16">
            <v>1</v>
          </cell>
          <cell r="I16">
            <v>0.12</v>
          </cell>
          <cell r="J16">
            <v>0</v>
          </cell>
          <cell r="K16">
            <v>0.12</v>
          </cell>
          <cell r="P16">
            <v>2</v>
          </cell>
        </row>
        <row r="17">
          <cell r="B17" t="str">
            <v>5S</v>
          </cell>
          <cell r="C17">
            <v>1.25</v>
          </cell>
          <cell r="D17">
            <v>1.65</v>
          </cell>
          <cell r="E17">
            <v>1</v>
          </cell>
          <cell r="I17">
            <v>0.15</v>
          </cell>
          <cell r="K17">
            <v>0.15</v>
          </cell>
          <cell r="P17">
            <v>2</v>
          </cell>
        </row>
        <row r="18">
          <cell r="B18" t="str">
            <v>5S</v>
          </cell>
          <cell r="C18">
            <v>1.25</v>
          </cell>
          <cell r="D18">
            <v>1.65</v>
          </cell>
          <cell r="E18">
            <v>1</v>
          </cell>
          <cell r="I18">
            <v>0.15</v>
          </cell>
          <cell r="K18">
            <v>0.15</v>
          </cell>
          <cell r="P18">
            <v>2</v>
          </cell>
        </row>
        <row r="19">
          <cell r="B19" t="str">
            <v>5S</v>
          </cell>
          <cell r="C19">
            <v>1.25</v>
          </cell>
          <cell r="D19">
            <v>1.65</v>
          </cell>
          <cell r="E19">
            <v>1</v>
          </cell>
          <cell r="I19">
            <v>0.15</v>
          </cell>
          <cell r="K19">
            <v>0.15</v>
          </cell>
          <cell r="P19">
            <v>2</v>
          </cell>
        </row>
        <row r="20">
          <cell r="B20" t="str">
            <v>5S</v>
          </cell>
          <cell r="C20">
            <v>1.5</v>
          </cell>
          <cell r="D20">
            <v>1.65</v>
          </cell>
          <cell r="E20">
            <v>1</v>
          </cell>
          <cell r="I20">
            <v>0.15</v>
          </cell>
          <cell r="J20">
            <v>0</v>
          </cell>
          <cell r="K20">
            <v>0.15</v>
          </cell>
          <cell r="P20">
            <v>2</v>
          </cell>
        </row>
        <row r="21">
          <cell r="B21" t="str">
            <v>5S</v>
          </cell>
          <cell r="C21">
            <v>1.5</v>
          </cell>
          <cell r="D21">
            <v>1.65</v>
          </cell>
          <cell r="E21">
            <v>1</v>
          </cell>
          <cell r="I21">
            <v>0.15</v>
          </cell>
          <cell r="J21">
            <v>0</v>
          </cell>
          <cell r="K21">
            <v>0.15</v>
          </cell>
          <cell r="P21">
            <v>2</v>
          </cell>
        </row>
        <row r="22">
          <cell r="B22" t="str">
            <v>5S</v>
          </cell>
          <cell r="C22">
            <v>1.5</v>
          </cell>
          <cell r="D22">
            <v>1.65</v>
          </cell>
          <cell r="E22">
            <v>1</v>
          </cell>
          <cell r="I22">
            <v>0.15</v>
          </cell>
          <cell r="J22">
            <v>0</v>
          </cell>
          <cell r="K22">
            <v>0.15</v>
          </cell>
          <cell r="P22">
            <v>2</v>
          </cell>
        </row>
        <row r="23">
          <cell r="B23" t="str">
            <v>5S</v>
          </cell>
          <cell r="C23">
            <v>2</v>
          </cell>
          <cell r="D23">
            <v>1.65</v>
          </cell>
          <cell r="E23">
            <v>1</v>
          </cell>
          <cell r="I23">
            <v>0.15</v>
          </cell>
          <cell r="J23">
            <v>0</v>
          </cell>
          <cell r="K23">
            <v>0.15</v>
          </cell>
          <cell r="P23">
            <v>2</v>
          </cell>
        </row>
        <row r="24">
          <cell r="B24" t="str">
            <v>5S</v>
          </cell>
          <cell r="C24">
            <v>2</v>
          </cell>
          <cell r="D24">
            <v>1.65</v>
          </cell>
          <cell r="E24">
            <v>1</v>
          </cell>
          <cell r="I24">
            <v>0.15</v>
          </cell>
          <cell r="J24">
            <v>0</v>
          </cell>
          <cell r="K24">
            <v>0.15</v>
          </cell>
          <cell r="P24">
            <v>2</v>
          </cell>
        </row>
        <row r="25">
          <cell r="B25" t="str">
            <v>5S</v>
          </cell>
          <cell r="C25">
            <v>2</v>
          </cell>
          <cell r="D25">
            <v>1.65</v>
          </cell>
          <cell r="E25">
            <v>1</v>
          </cell>
          <cell r="I25">
            <v>0.15</v>
          </cell>
          <cell r="J25">
            <v>0</v>
          </cell>
          <cell r="K25">
            <v>0.15</v>
          </cell>
          <cell r="P25">
            <v>2</v>
          </cell>
        </row>
        <row r="26">
          <cell r="B26" t="str">
            <v>5S</v>
          </cell>
          <cell r="C26">
            <v>2.5</v>
          </cell>
          <cell r="D26">
            <v>2.11</v>
          </cell>
          <cell r="E26">
            <v>1</v>
          </cell>
          <cell r="I26">
            <v>0.15</v>
          </cell>
          <cell r="J26">
            <v>0</v>
          </cell>
          <cell r="K26">
            <v>0.15</v>
          </cell>
          <cell r="P26">
            <v>2</v>
          </cell>
        </row>
        <row r="27">
          <cell r="B27" t="str">
            <v>5S</v>
          </cell>
          <cell r="C27">
            <v>3</v>
          </cell>
          <cell r="D27">
            <v>2.11</v>
          </cell>
          <cell r="E27">
            <v>1</v>
          </cell>
          <cell r="I27">
            <v>0.3</v>
          </cell>
          <cell r="J27">
            <v>0</v>
          </cell>
          <cell r="K27">
            <v>0.3</v>
          </cell>
          <cell r="P27">
            <v>2</v>
          </cell>
        </row>
        <row r="28">
          <cell r="B28" t="str">
            <v>5S</v>
          </cell>
          <cell r="C28">
            <v>3.5</v>
          </cell>
          <cell r="D28">
            <v>2.11</v>
          </cell>
          <cell r="E28">
            <v>1</v>
          </cell>
          <cell r="I28">
            <v>0.3</v>
          </cell>
          <cell r="K28">
            <v>0.3</v>
          </cell>
          <cell r="P28">
            <v>3</v>
          </cell>
        </row>
        <row r="29">
          <cell r="B29" t="str">
            <v>5S</v>
          </cell>
          <cell r="C29">
            <v>4</v>
          </cell>
          <cell r="D29">
            <v>2.11</v>
          </cell>
          <cell r="E29">
            <v>1</v>
          </cell>
          <cell r="I29">
            <v>0.3</v>
          </cell>
          <cell r="J29">
            <v>0</v>
          </cell>
          <cell r="K29">
            <v>0.3</v>
          </cell>
          <cell r="P29">
            <v>3</v>
          </cell>
        </row>
        <row r="30">
          <cell r="B30" t="str">
            <v>5S</v>
          </cell>
          <cell r="C30">
            <v>5</v>
          </cell>
          <cell r="D30">
            <v>2.77</v>
          </cell>
          <cell r="E30">
            <v>1</v>
          </cell>
          <cell r="I30">
            <v>0.3</v>
          </cell>
          <cell r="K30">
            <v>0.3</v>
          </cell>
          <cell r="P30">
            <v>4</v>
          </cell>
        </row>
        <row r="31">
          <cell r="B31" t="str">
            <v>5S</v>
          </cell>
          <cell r="C31">
            <v>6</v>
          </cell>
          <cell r="D31">
            <v>2.77</v>
          </cell>
          <cell r="E31">
            <v>1</v>
          </cell>
          <cell r="I31">
            <v>0.45</v>
          </cell>
          <cell r="J31">
            <v>0</v>
          </cell>
          <cell r="K31">
            <v>0.45</v>
          </cell>
          <cell r="P31">
            <v>4</v>
          </cell>
        </row>
        <row r="32">
          <cell r="B32" t="str">
            <v>5S</v>
          </cell>
          <cell r="C32">
            <v>8</v>
          </cell>
          <cell r="D32">
            <v>2.77</v>
          </cell>
          <cell r="E32">
            <v>1</v>
          </cell>
          <cell r="I32">
            <v>0.45</v>
          </cell>
          <cell r="J32">
            <v>0</v>
          </cell>
          <cell r="K32">
            <v>0.45</v>
          </cell>
          <cell r="P32">
            <v>4</v>
          </cell>
        </row>
        <row r="33">
          <cell r="B33" t="str">
            <v>5S</v>
          </cell>
          <cell r="C33">
            <v>10</v>
          </cell>
          <cell r="D33">
            <v>3.4</v>
          </cell>
          <cell r="E33">
            <v>1</v>
          </cell>
          <cell r="I33">
            <v>0.9</v>
          </cell>
          <cell r="J33">
            <v>0</v>
          </cell>
          <cell r="K33">
            <v>0.9</v>
          </cell>
          <cell r="P33">
            <v>4</v>
          </cell>
        </row>
        <row r="34">
          <cell r="B34" t="str">
            <v>5S</v>
          </cell>
          <cell r="C34">
            <v>12</v>
          </cell>
          <cell r="D34">
            <v>3.96</v>
          </cell>
          <cell r="E34">
            <v>1</v>
          </cell>
          <cell r="I34">
            <v>1.2</v>
          </cell>
          <cell r="J34">
            <v>0</v>
          </cell>
          <cell r="K34">
            <v>1.2</v>
          </cell>
          <cell r="P34">
            <v>6</v>
          </cell>
        </row>
        <row r="35">
          <cell r="B35" t="str">
            <v>5S</v>
          </cell>
          <cell r="C35">
            <v>14</v>
          </cell>
          <cell r="D35">
            <v>3.96</v>
          </cell>
          <cell r="E35">
            <v>1</v>
          </cell>
          <cell r="I35">
            <v>1.34</v>
          </cell>
          <cell r="J35">
            <v>0</v>
          </cell>
          <cell r="K35">
            <v>1.34</v>
          </cell>
          <cell r="P35">
            <v>6</v>
          </cell>
        </row>
        <row r="36">
          <cell r="B36" t="str">
            <v>5S</v>
          </cell>
          <cell r="C36">
            <v>16</v>
          </cell>
          <cell r="D36">
            <v>4.1900000000000004</v>
          </cell>
          <cell r="E36">
            <v>1</v>
          </cell>
          <cell r="I36">
            <v>1.65</v>
          </cell>
          <cell r="J36">
            <v>0</v>
          </cell>
          <cell r="K36">
            <v>1.65</v>
          </cell>
          <cell r="P36">
            <v>6</v>
          </cell>
        </row>
        <row r="37">
          <cell r="B37" t="str">
            <v>5S</v>
          </cell>
          <cell r="C37">
            <v>18</v>
          </cell>
          <cell r="D37">
            <v>4.1900000000000004</v>
          </cell>
          <cell r="E37">
            <v>1</v>
          </cell>
          <cell r="I37">
            <v>1.8</v>
          </cell>
          <cell r="J37">
            <v>0</v>
          </cell>
          <cell r="K37">
            <v>1.8</v>
          </cell>
          <cell r="P37">
            <v>6</v>
          </cell>
        </row>
        <row r="38">
          <cell r="B38" t="str">
            <v>5S</v>
          </cell>
          <cell r="C38">
            <v>20</v>
          </cell>
          <cell r="D38">
            <v>4.78</v>
          </cell>
          <cell r="E38">
            <v>1</v>
          </cell>
          <cell r="I38">
            <v>2.54</v>
          </cell>
          <cell r="J38">
            <v>0</v>
          </cell>
          <cell r="K38">
            <v>2.54</v>
          </cell>
          <cell r="P38">
            <v>7</v>
          </cell>
        </row>
        <row r="39">
          <cell r="B39" t="str">
            <v>5S</v>
          </cell>
          <cell r="C39">
            <v>22</v>
          </cell>
          <cell r="D39">
            <v>4.78</v>
          </cell>
          <cell r="E39">
            <v>1</v>
          </cell>
          <cell r="I39">
            <v>2.69</v>
          </cell>
          <cell r="J39">
            <v>0</v>
          </cell>
          <cell r="K39">
            <v>2.69</v>
          </cell>
          <cell r="P39">
            <v>8</v>
          </cell>
        </row>
        <row r="40">
          <cell r="B40" t="str">
            <v>5S</v>
          </cell>
          <cell r="C40">
            <v>24</v>
          </cell>
          <cell r="D40">
            <v>5.54</v>
          </cell>
          <cell r="E40">
            <v>1</v>
          </cell>
          <cell r="I40">
            <v>2.4300000000000002</v>
          </cell>
          <cell r="J40">
            <v>1.47</v>
          </cell>
          <cell r="K40">
            <v>3.9000000000000004</v>
          </cell>
          <cell r="P40">
            <v>8</v>
          </cell>
        </row>
        <row r="41">
          <cell r="B41" t="str">
            <v>5S</v>
          </cell>
          <cell r="C41">
            <v>30</v>
          </cell>
          <cell r="D41">
            <v>6.35</v>
          </cell>
          <cell r="E41">
            <v>1</v>
          </cell>
          <cell r="I41">
            <v>3.04</v>
          </cell>
          <cell r="J41">
            <v>3.11</v>
          </cell>
          <cell r="K41">
            <v>6.15</v>
          </cell>
          <cell r="P41">
            <v>10</v>
          </cell>
        </row>
        <row r="42">
          <cell r="B42">
            <v>10</v>
          </cell>
          <cell r="C42">
            <v>14</v>
          </cell>
          <cell r="D42">
            <v>6.35</v>
          </cell>
          <cell r="E42">
            <v>1</v>
          </cell>
          <cell r="I42">
            <v>1.42</v>
          </cell>
          <cell r="J42">
            <v>1.27</v>
          </cell>
          <cell r="K42">
            <v>2.69</v>
          </cell>
          <cell r="P42">
            <v>6</v>
          </cell>
        </row>
        <row r="43">
          <cell r="B43">
            <v>10</v>
          </cell>
          <cell r="C43">
            <v>16</v>
          </cell>
          <cell r="D43">
            <v>6.35</v>
          </cell>
          <cell r="E43">
            <v>1</v>
          </cell>
          <cell r="I43">
            <v>1.62</v>
          </cell>
          <cell r="J43">
            <v>1.38</v>
          </cell>
          <cell r="K43">
            <v>3</v>
          </cell>
          <cell r="P43">
            <v>6</v>
          </cell>
        </row>
        <row r="44">
          <cell r="B44">
            <v>10</v>
          </cell>
          <cell r="C44">
            <v>18</v>
          </cell>
          <cell r="D44">
            <v>6.35</v>
          </cell>
          <cell r="E44">
            <v>1</v>
          </cell>
          <cell r="I44">
            <v>1.82</v>
          </cell>
          <cell r="J44">
            <v>1.48</v>
          </cell>
          <cell r="K44">
            <v>3.3</v>
          </cell>
          <cell r="P44">
            <v>6</v>
          </cell>
        </row>
        <row r="45">
          <cell r="B45">
            <v>10</v>
          </cell>
          <cell r="C45">
            <v>20</v>
          </cell>
          <cell r="D45">
            <v>6.35</v>
          </cell>
          <cell r="E45">
            <v>1</v>
          </cell>
          <cell r="I45">
            <v>2.0299999999999998</v>
          </cell>
          <cell r="J45">
            <v>1.72</v>
          </cell>
          <cell r="K45">
            <v>3.75</v>
          </cell>
          <cell r="P45">
            <v>7</v>
          </cell>
        </row>
        <row r="46">
          <cell r="B46">
            <v>10</v>
          </cell>
          <cell r="C46">
            <v>22</v>
          </cell>
          <cell r="D46">
            <v>6.35</v>
          </cell>
          <cell r="E46">
            <v>1</v>
          </cell>
          <cell r="I46">
            <v>2.23</v>
          </cell>
          <cell r="J46">
            <v>2.27</v>
          </cell>
          <cell r="K46">
            <v>4.5</v>
          </cell>
          <cell r="P46">
            <v>8</v>
          </cell>
        </row>
        <row r="47">
          <cell r="B47">
            <v>10</v>
          </cell>
          <cell r="C47">
            <v>24</v>
          </cell>
          <cell r="D47">
            <v>6.35</v>
          </cell>
          <cell r="E47">
            <v>1</v>
          </cell>
          <cell r="I47">
            <v>2.4300000000000002</v>
          </cell>
          <cell r="J47">
            <v>2.0699999999999998</v>
          </cell>
          <cell r="K47">
            <v>4.5</v>
          </cell>
          <cell r="P47">
            <v>8</v>
          </cell>
        </row>
        <row r="48">
          <cell r="B48">
            <v>10</v>
          </cell>
          <cell r="C48">
            <v>26</v>
          </cell>
          <cell r="D48">
            <v>7.92</v>
          </cell>
          <cell r="E48">
            <v>1</v>
          </cell>
          <cell r="I48">
            <v>2.64</v>
          </cell>
          <cell r="J48">
            <v>4.8600000000000003</v>
          </cell>
          <cell r="K48">
            <v>7.5</v>
          </cell>
          <cell r="P48">
            <v>9</v>
          </cell>
        </row>
        <row r="49">
          <cell r="B49">
            <v>10</v>
          </cell>
          <cell r="C49">
            <v>28</v>
          </cell>
          <cell r="D49">
            <v>7.92</v>
          </cell>
          <cell r="E49">
            <v>1</v>
          </cell>
          <cell r="I49">
            <v>2.84</v>
          </cell>
          <cell r="J49">
            <v>5.26</v>
          </cell>
          <cell r="K49">
            <v>8.1</v>
          </cell>
          <cell r="P49">
            <v>9</v>
          </cell>
        </row>
        <row r="50">
          <cell r="B50">
            <v>10</v>
          </cell>
          <cell r="C50">
            <v>30</v>
          </cell>
          <cell r="D50">
            <v>7.92</v>
          </cell>
          <cell r="E50">
            <v>1</v>
          </cell>
          <cell r="I50">
            <v>3.04</v>
          </cell>
          <cell r="J50">
            <v>5.66</v>
          </cell>
          <cell r="K50">
            <v>8.6999999999999993</v>
          </cell>
          <cell r="P50">
            <v>10</v>
          </cell>
        </row>
        <row r="51">
          <cell r="B51">
            <v>10</v>
          </cell>
          <cell r="C51">
            <v>32</v>
          </cell>
          <cell r="D51">
            <v>7.92</v>
          </cell>
          <cell r="E51">
            <v>1</v>
          </cell>
          <cell r="I51">
            <v>3.24</v>
          </cell>
          <cell r="J51">
            <v>6.06</v>
          </cell>
          <cell r="K51">
            <v>9.3000000000000007</v>
          </cell>
          <cell r="P51">
            <v>11</v>
          </cell>
        </row>
        <row r="52">
          <cell r="B52">
            <v>10</v>
          </cell>
          <cell r="C52">
            <v>34</v>
          </cell>
          <cell r="D52">
            <v>7.92</v>
          </cell>
          <cell r="E52">
            <v>1</v>
          </cell>
          <cell r="I52">
            <v>3.45</v>
          </cell>
          <cell r="J52">
            <v>6.44</v>
          </cell>
          <cell r="K52">
            <v>9.89</v>
          </cell>
          <cell r="P52">
            <v>12</v>
          </cell>
        </row>
        <row r="53">
          <cell r="B53">
            <v>10</v>
          </cell>
          <cell r="C53">
            <v>36</v>
          </cell>
          <cell r="D53">
            <v>7.92</v>
          </cell>
          <cell r="E53">
            <v>1</v>
          </cell>
          <cell r="I53">
            <v>3.65</v>
          </cell>
          <cell r="J53">
            <v>6.84</v>
          </cell>
          <cell r="K53">
            <v>10.49</v>
          </cell>
          <cell r="P53">
            <v>12</v>
          </cell>
        </row>
        <row r="54">
          <cell r="B54" t="str">
            <v>10S</v>
          </cell>
          <cell r="C54">
            <v>0.125</v>
          </cell>
          <cell r="D54">
            <v>1.24</v>
          </cell>
          <cell r="E54">
            <v>1</v>
          </cell>
          <cell r="I54">
            <v>7.0000000000000007E-2</v>
          </cell>
          <cell r="K54">
            <v>7.0000000000000007E-2</v>
          </cell>
          <cell r="P54">
            <v>2</v>
          </cell>
        </row>
        <row r="55">
          <cell r="B55" t="str">
            <v>10S</v>
          </cell>
          <cell r="C55">
            <v>0.125</v>
          </cell>
          <cell r="D55">
            <v>1.24</v>
          </cell>
          <cell r="E55">
            <v>1</v>
          </cell>
          <cell r="I55">
            <v>7.0000000000000007E-2</v>
          </cell>
          <cell r="K55">
            <v>7.0000000000000007E-2</v>
          </cell>
          <cell r="P55">
            <v>2</v>
          </cell>
        </row>
        <row r="56">
          <cell r="B56" t="str">
            <v>10S</v>
          </cell>
          <cell r="C56">
            <v>0.125</v>
          </cell>
          <cell r="D56">
            <v>1.24</v>
          </cell>
          <cell r="E56">
            <v>1</v>
          </cell>
          <cell r="I56">
            <v>7.0000000000000007E-2</v>
          </cell>
          <cell r="K56">
            <v>7.0000000000000007E-2</v>
          </cell>
          <cell r="P56">
            <v>2</v>
          </cell>
        </row>
        <row r="57">
          <cell r="B57" t="str">
            <v>10S</v>
          </cell>
          <cell r="C57">
            <v>0.25</v>
          </cell>
          <cell r="D57">
            <v>1.65</v>
          </cell>
          <cell r="E57">
            <v>1</v>
          </cell>
          <cell r="I57">
            <v>7.0000000000000007E-2</v>
          </cell>
          <cell r="K57">
            <v>7.0000000000000007E-2</v>
          </cell>
          <cell r="P57">
            <v>2</v>
          </cell>
        </row>
        <row r="58">
          <cell r="B58" t="str">
            <v>10S</v>
          </cell>
          <cell r="C58">
            <v>0.25</v>
          </cell>
          <cell r="D58">
            <v>1.65</v>
          </cell>
          <cell r="E58">
            <v>1</v>
          </cell>
          <cell r="I58">
            <v>7.0000000000000007E-2</v>
          </cell>
          <cell r="K58">
            <v>7.0000000000000007E-2</v>
          </cell>
          <cell r="P58">
            <v>2</v>
          </cell>
        </row>
        <row r="59">
          <cell r="B59" t="str">
            <v>10S</v>
          </cell>
          <cell r="C59">
            <v>0.25</v>
          </cell>
          <cell r="D59">
            <v>1.65</v>
          </cell>
          <cell r="E59">
            <v>1</v>
          </cell>
          <cell r="I59">
            <v>7.0000000000000007E-2</v>
          </cell>
          <cell r="K59">
            <v>7.0000000000000007E-2</v>
          </cell>
          <cell r="P59">
            <v>2</v>
          </cell>
        </row>
        <row r="60">
          <cell r="B60" t="str">
            <v>10S</v>
          </cell>
          <cell r="C60">
            <v>0.375</v>
          </cell>
          <cell r="D60">
            <v>1.65</v>
          </cell>
          <cell r="E60">
            <v>1</v>
          </cell>
          <cell r="I60">
            <v>7.0000000000000007E-2</v>
          </cell>
          <cell r="J60">
            <v>0</v>
          </cell>
          <cell r="K60">
            <v>7.0000000000000007E-2</v>
          </cell>
          <cell r="P60">
            <v>2</v>
          </cell>
        </row>
        <row r="61">
          <cell r="B61" t="str">
            <v>10S</v>
          </cell>
          <cell r="C61">
            <v>0.375</v>
          </cell>
          <cell r="D61">
            <v>1.65</v>
          </cell>
          <cell r="E61">
            <v>1</v>
          </cell>
          <cell r="I61">
            <v>7.0000000000000007E-2</v>
          </cell>
          <cell r="J61">
            <v>0</v>
          </cell>
          <cell r="K61">
            <v>7.0000000000000007E-2</v>
          </cell>
          <cell r="P61">
            <v>2</v>
          </cell>
        </row>
        <row r="62">
          <cell r="B62" t="str">
            <v>10S</v>
          </cell>
          <cell r="C62">
            <v>0.375</v>
          </cell>
          <cell r="D62">
            <v>1.65</v>
          </cell>
          <cell r="E62">
            <v>1</v>
          </cell>
          <cell r="I62">
            <v>7.0000000000000007E-2</v>
          </cell>
          <cell r="J62">
            <v>0</v>
          </cell>
          <cell r="K62">
            <v>7.0000000000000007E-2</v>
          </cell>
          <cell r="P62">
            <v>2</v>
          </cell>
        </row>
        <row r="63">
          <cell r="B63" t="str">
            <v>10S</v>
          </cell>
          <cell r="C63">
            <v>0.5</v>
          </cell>
          <cell r="D63">
            <v>2.11</v>
          </cell>
          <cell r="E63">
            <v>1</v>
          </cell>
          <cell r="I63">
            <v>7.0000000000000007E-2</v>
          </cell>
          <cell r="J63">
            <v>0</v>
          </cell>
          <cell r="K63">
            <v>7.0000000000000007E-2</v>
          </cell>
          <cell r="P63">
            <v>2</v>
          </cell>
        </row>
        <row r="64">
          <cell r="B64" t="str">
            <v>10S</v>
          </cell>
          <cell r="C64">
            <v>0.5</v>
          </cell>
          <cell r="D64">
            <v>2.11</v>
          </cell>
          <cell r="E64">
            <v>1</v>
          </cell>
          <cell r="I64">
            <v>7.0000000000000007E-2</v>
          </cell>
          <cell r="J64">
            <v>0</v>
          </cell>
          <cell r="K64">
            <v>7.0000000000000007E-2</v>
          </cell>
          <cell r="P64">
            <v>2</v>
          </cell>
        </row>
        <row r="65">
          <cell r="B65" t="str">
            <v>10S</v>
          </cell>
          <cell r="C65">
            <v>0.5</v>
          </cell>
          <cell r="D65">
            <v>2.11</v>
          </cell>
          <cell r="E65">
            <v>1</v>
          </cell>
          <cell r="I65">
            <v>7.0000000000000007E-2</v>
          </cell>
          <cell r="J65">
            <v>0</v>
          </cell>
          <cell r="K65">
            <v>7.0000000000000007E-2</v>
          </cell>
          <cell r="P65">
            <v>2</v>
          </cell>
        </row>
        <row r="66">
          <cell r="B66" t="str">
            <v>10S</v>
          </cell>
          <cell r="C66">
            <v>0.75</v>
          </cell>
          <cell r="D66">
            <v>2.11</v>
          </cell>
          <cell r="E66">
            <v>1</v>
          </cell>
          <cell r="I66">
            <v>7.0000000000000007E-2</v>
          </cell>
          <cell r="J66">
            <v>0</v>
          </cell>
          <cell r="K66">
            <v>7.0000000000000007E-2</v>
          </cell>
          <cell r="P66">
            <v>2</v>
          </cell>
        </row>
        <row r="67">
          <cell r="B67" t="str">
            <v>10S</v>
          </cell>
          <cell r="C67">
            <v>0.75</v>
          </cell>
          <cell r="D67">
            <v>2.11</v>
          </cell>
          <cell r="E67">
            <v>1</v>
          </cell>
          <cell r="I67">
            <v>7.0000000000000007E-2</v>
          </cell>
          <cell r="J67">
            <v>0</v>
          </cell>
          <cell r="K67">
            <v>7.0000000000000007E-2</v>
          </cell>
          <cell r="P67">
            <v>2</v>
          </cell>
        </row>
        <row r="68">
          <cell r="B68" t="str">
            <v>10S</v>
          </cell>
          <cell r="C68">
            <v>0.75</v>
          </cell>
          <cell r="D68">
            <v>2.11</v>
          </cell>
          <cell r="E68">
            <v>1</v>
          </cell>
          <cell r="I68">
            <v>7.0000000000000007E-2</v>
          </cell>
          <cell r="J68">
            <v>0</v>
          </cell>
          <cell r="K68">
            <v>7.0000000000000007E-2</v>
          </cell>
          <cell r="P68">
            <v>2</v>
          </cell>
        </row>
        <row r="69">
          <cell r="B69" t="str">
            <v>10S</v>
          </cell>
          <cell r="C69">
            <v>1</v>
          </cell>
          <cell r="D69">
            <v>2.77</v>
          </cell>
          <cell r="E69">
            <v>1</v>
          </cell>
          <cell r="I69">
            <v>0.12</v>
          </cell>
          <cell r="J69">
            <v>0</v>
          </cell>
          <cell r="K69">
            <v>0.12</v>
          </cell>
          <cell r="P69">
            <v>2</v>
          </cell>
        </row>
        <row r="70">
          <cell r="B70" t="str">
            <v>10S</v>
          </cell>
          <cell r="C70">
            <v>1</v>
          </cell>
          <cell r="D70">
            <v>2.77</v>
          </cell>
          <cell r="E70">
            <v>1</v>
          </cell>
          <cell r="I70">
            <v>0.12</v>
          </cell>
          <cell r="J70">
            <v>0</v>
          </cell>
          <cell r="K70">
            <v>0.12</v>
          </cell>
          <cell r="P70">
            <v>2</v>
          </cell>
        </row>
        <row r="71">
          <cell r="B71" t="str">
            <v>10S</v>
          </cell>
          <cell r="C71">
            <v>1</v>
          </cell>
          <cell r="D71">
            <v>2.77</v>
          </cell>
          <cell r="E71">
            <v>1</v>
          </cell>
          <cell r="I71">
            <v>0.12</v>
          </cell>
          <cell r="J71">
            <v>0</v>
          </cell>
          <cell r="K71">
            <v>0.12</v>
          </cell>
          <cell r="P71">
            <v>2</v>
          </cell>
        </row>
        <row r="72">
          <cell r="B72" t="str">
            <v>10S</v>
          </cell>
          <cell r="C72">
            <v>1.25</v>
          </cell>
          <cell r="D72">
            <v>2.77</v>
          </cell>
          <cell r="E72">
            <v>1</v>
          </cell>
          <cell r="I72">
            <v>0.15</v>
          </cell>
          <cell r="K72">
            <v>0.15</v>
          </cell>
          <cell r="P72">
            <v>2</v>
          </cell>
        </row>
        <row r="73">
          <cell r="B73" t="str">
            <v>10S</v>
          </cell>
          <cell r="C73">
            <v>1.25</v>
          </cell>
          <cell r="D73">
            <v>2.77</v>
          </cell>
          <cell r="E73">
            <v>1</v>
          </cell>
          <cell r="I73">
            <v>0.15</v>
          </cell>
          <cell r="K73">
            <v>0.15</v>
          </cell>
          <cell r="P73">
            <v>2</v>
          </cell>
        </row>
        <row r="74">
          <cell r="B74" t="str">
            <v>10S</v>
          </cell>
          <cell r="C74">
            <v>1.25</v>
          </cell>
          <cell r="D74">
            <v>2.77</v>
          </cell>
          <cell r="E74">
            <v>1</v>
          </cell>
          <cell r="I74">
            <v>0.15</v>
          </cell>
          <cell r="K74">
            <v>0.15</v>
          </cell>
          <cell r="P74">
            <v>2</v>
          </cell>
        </row>
        <row r="75">
          <cell r="B75" t="str">
            <v>10S</v>
          </cell>
          <cell r="C75">
            <v>1.5</v>
          </cell>
          <cell r="D75">
            <v>2.77</v>
          </cell>
          <cell r="E75">
            <v>1</v>
          </cell>
          <cell r="I75">
            <v>0.15</v>
          </cell>
          <cell r="J75">
            <v>0</v>
          </cell>
          <cell r="K75">
            <v>0.15</v>
          </cell>
          <cell r="P75">
            <v>2</v>
          </cell>
        </row>
        <row r="76">
          <cell r="B76" t="str">
            <v>10S</v>
          </cell>
          <cell r="C76">
            <v>1.5</v>
          </cell>
          <cell r="D76">
            <v>2.77</v>
          </cell>
          <cell r="E76">
            <v>1</v>
          </cell>
          <cell r="I76">
            <v>0.15</v>
          </cell>
          <cell r="J76">
            <v>0</v>
          </cell>
          <cell r="K76">
            <v>0.15</v>
          </cell>
          <cell r="P76">
            <v>2</v>
          </cell>
        </row>
        <row r="77">
          <cell r="B77" t="str">
            <v>10S</v>
          </cell>
          <cell r="C77">
            <v>1.5</v>
          </cell>
          <cell r="D77">
            <v>2.77</v>
          </cell>
          <cell r="E77">
            <v>1</v>
          </cell>
          <cell r="I77">
            <v>0.15</v>
          </cell>
          <cell r="J77">
            <v>0</v>
          </cell>
          <cell r="K77">
            <v>0.15</v>
          </cell>
          <cell r="P77">
            <v>2</v>
          </cell>
        </row>
        <row r="78">
          <cell r="B78" t="str">
            <v>10S</v>
          </cell>
          <cell r="C78">
            <v>2</v>
          </cell>
          <cell r="D78">
            <v>2.77</v>
          </cell>
          <cell r="E78">
            <v>1</v>
          </cell>
          <cell r="I78">
            <v>0.15</v>
          </cell>
          <cell r="J78">
            <v>0</v>
          </cell>
          <cell r="K78">
            <v>0.15</v>
          </cell>
          <cell r="P78">
            <v>2</v>
          </cell>
        </row>
        <row r="79">
          <cell r="B79" t="str">
            <v>10S</v>
          </cell>
          <cell r="C79">
            <v>2</v>
          </cell>
          <cell r="D79">
            <v>2.77</v>
          </cell>
          <cell r="E79">
            <v>1</v>
          </cell>
          <cell r="I79">
            <v>0.15</v>
          </cell>
          <cell r="J79">
            <v>0</v>
          </cell>
          <cell r="K79">
            <v>0.15</v>
          </cell>
          <cell r="P79">
            <v>2</v>
          </cell>
        </row>
        <row r="80">
          <cell r="B80" t="str">
            <v>10S</v>
          </cell>
          <cell r="C80">
            <v>2</v>
          </cell>
          <cell r="D80">
            <v>2.77</v>
          </cell>
          <cell r="E80">
            <v>1</v>
          </cell>
          <cell r="I80">
            <v>0.15</v>
          </cell>
          <cell r="J80">
            <v>0</v>
          </cell>
          <cell r="K80">
            <v>0.15</v>
          </cell>
          <cell r="P80">
            <v>2</v>
          </cell>
        </row>
        <row r="81">
          <cell r="B81" t="str">
            <v>10S</v>
          </cell>
          <cell r="C81">
            <v>2.5</v>
          </cell>
          <cell r="D81">
            <v>3.05</v>
          </cell>
          <cell r="E81">
            <v>1</v>
          </cell>
          <cell r="I81">
            <v>0.15</v>
          </cell>
          <cell r="J81">
            <v>0</v>
          </cell>
          <cell r="K81">
            <v>0.15</v>
          </cell>
          <cell r="P81">
            <v>2</v>
          </cell>
        </row>
        <row r="82">
          <cell r="B82" t="str">
            <v>10S</v>
          </cell>
          <cell r="C82">
            <v>3</v>
          </cell>
          <cell r="D82">
            <v>3.05</v>
          </cell>
          <cell r="E82">
            <v>1</v>
          </cell>
          <cell r="I82">
            <v>0.3</v>
          </cell>
          <cell r="J82">
            <v>0</v>
          </cell>
          <cell r="K82">
            <v>0.3</v>
          </cell>
          <cell r="P82">
            <v>2</v>
          </cell>
        </row>
        <row r="83">
          <cell r="B83" t="str">
            <v>10S</v>
          </cell>
          <cell r="C83">
            <v>3.5</v>
          </cell>
          <cell r="D83">
            <v>3.05</v>
          </cell>
          <cell r="E83">
            <v>1</v>
          </cell>
          <cell r="I83">
            <v>0.3</v>
          </cell>
          <cell r="K83">
            <v>0.3</v>
          </cell>
          <cell r="P83">
            <v>3</v>
          </cell>
        </row>
        <row r="84">
          <cell r="B84" t="str">
            <v>10S</v>
          </cell>
          <cell r="C84">
            <v>4</v>
          </cell>
          <cell r="D84">
            <v>3.05</v>
          </cell>
          <cell r="E84">
            <v>1</v>
          </cell>
          <cell r="I84">
            <v>0.45</v>
          </cell>
          <cell r="J84">
            <v>0</v>
          </cell>
          <cell r="K84">
            <v>0.45</v>
          </cell>
          <cell r="P84">
            <v>3</v>
          </cell>
        </row>
        <row r="85">
          <cell r="B85" t="str">
            <v>10S</v>
          </cell>
          <cell r="C85">
            <v>5</v>
          </cell>
          <cell r="D85">
            <v>3.4</v>
          </cell>
          <cell r="E85">
            <v>1</v>
          </cell>
          <cell r="I85">
            <v>0.45</v>
          </cell>
          <cell r="K85">
            <v>0.45</v>
          </cell>
          <cell r="P85">
            <v>4</v>
          </cell>
        </row>
        <row r="86">
          <cell r="B86" t="str">
            <v>10S</v>
          </cell>
          <cell r="C86">
            <v>6</v>
          </cell>
          <cell r="D86">
            <v>3.4</v>
          </cell>
          <cell r="E86">
            <v>1</v>
          </cell>
          <cell r="I86">
            <v>0.6</v>
          </cell>
          <cell r="J86">
            <v>0</v>
          </cell>
          <cell r="K86">
            <v>0.6</v>
          </cell>
          <cell r="P86">
            <v>4</v>
          </cell>
        </row>
        <row r="87">
          <cell r="B87" t="str">
            <v>10S</v>
          </cell>
          <cell r="C87">
            <v>8</v>
          </cell>
          <cell r="D87">
            <v>3.76</v>
          </cell>
          <cell r="E87">
            <v>1</v>
          </cell>
          <cell r="I87">
            <v>0.6</v>
          </cell>
          <cell r="J87">
            <v>0</v>
          </cell>
          <cell r="K87">
            <v>0.6</v>
          </cell>
          <cell r="P87">
            <v>4</v>
          </cell>
        </row>
        <row r="88">
          <cell r="B88" t="str">
            <v>10S</v>
          </cell>
          <cell r="C88">
            <v>10</v>
          </cell>
          <cell r="D88">
            <v>4.1900000000000004</v>
          </cell>
          <cell r="E88">
            <v>1</v>
          </cell>
          <cell r="I88">
            <v>1.2</v>
          </cell>
          <cell r="J88">
            <v>0</v>
          </cell>
          <cell r="K88">
            <v>1.2</v>
          </cell>
          <cell r="P88">
            <v>4</v>
          </cell>
        </row>
        <row r="89">
          <cell r="B89" t="str">
            <v>10S</v>
          </cell>
          <cell r="C89">
            <v>12</v>
          </cell>
          <cell r="D89">
            <v>4.57</v>
          </cell>
          <cell r="E89">
            <v>1</v>
          </cell>
          <cell r="I89">
            <v>1.5</v>
          </cell>
          <cell r="J89">
            <v>0</v>
          </cell>
          <cell r="K89">
            <v>1.5</v>
          </cell>
          <cell r="P89">
            <v>6</v>
          </cell>
        </row>
        <row r="90">
          <cell r="B90" t="str">
            <v>10S</v>
          </cell>
          <cell r="C90">
            <v>14</v>
          </cell>
          <cell r="D90">
            <v>4.78</v>
          </cell>
          <cell r="E90">
            <v>1</v>
          </cell>
          <cell r="I90">
            <v>1.65</v>
          </cell>
          <cell r="J90">
            <v>0</v>
          </cell>
          <cell r="K90">
            <v>1.65</v>
          </cell>
          <cell r="P90">
            <v>6</v>
          </cell>
        </row>
        <row r="91">
          <cell r="B91" t="str">
            <v>10S</v>
          </cell>
          <cell r="C91">
            <v>16</v>
          </cell>
          <cell r="D91">
            <v>4.78</v>
          </cell>
          <cell r="E91">
            <v>1</v>
          </cell>
          <cell r="I91">
            <v>1.95</v>
          </cell>
          <cell r="J91">
            <v>0</v>
          </cell>
          <cell r="K91">
            <v>1.95</v>
          </cell>
          <cell r="P91">
            <v>6</v>
          </cell>
        </row>
        <row r="92">
          <cell r="B92" t="str">
            <v>10S</v>
          </cell>
          <cell r="C92">
            <v>18</v>
          </cell>
          <cell r="D92">
            <v>4.78</v>
          </cell>
          <cell r="E92">
            <v>1</v>
          </cell>
          <cell r="I92">
            <v>2.25</v>
          </cell>
          <cell r="J92">
            <v>0</v>
          </cell>
          <cell r="K92">
            <v>2.25</v>
          </cell>
          <cell r="P92">
            <v>6</v>
          </cell>
        </row>
        <row r="93">
          <cell r="B93" t="str">
            <v>10S</v>
          </cell>
          <cell r="C93">
            <v>20</v>
          </cell>
          <cell r="D93">
            <v>5.54</v>
          </cell>
          <cell r="E93">
            <v>1</v>
          </cell>
          <cell r="I93">
            <v>2.0299999999999998</v>
          </cell>
          <cell r="J93">
            <v>1.1200000000000001</v>
          </cell>
          <cell r="K93">
            <v>3.15</v>
          </cell>
          <cell r="P93">
            <v>7</v>
          </cell>
        </row>
        <row r="94">
          <cell r="B94" t="str">
            <v>10S</v>
          </cell>
          <cell r="C94">
            <v>22</v>
          </cell>
          <cell r="D94">
            <v>5.54</v>
          </cell>
          <cell r="E94">
            <v>1</v>
          </cell>
          <cell r="I94">
            <v>2.23</v>
          </cell>
          <cell r="J94">
            <v>1.37</v>
          </cell>
          <cell r="K94">
            <v>3.6</v>
          </cell>
          <cell r="P94">
            <v>8</v>
          </cell>
        </row>
        <row r="95">
          <cell r="B95" t="str">
            <v>10S</v>
          </cell>
          <cell r="C95">
            <v>24</v>
          </cell>
          <cell r="D95">
            <v>6.35</v>
          </cell>
          <cell r="E95">
            <v>1</v>
          </cell>
          <cell r="I95">
            <v>2.4300000000000002</v>
          </cell>
          <cell r="J95">
            <v>2.0699999999999998</v>
          </cell>
          <cell r="K95">
            <v>4.5</v>
          </cell>
          <cell r="P95">
            <v>8</v>
          </cell>
        </row>
        <row r="96">
          <cell r="B96" t="str">
            <v>10S</v>
          </cell>
          <cell r="C96">
            <v>30</v>
          </cell>
          <cell r="D96">
            <v>7.92</v>
          </cell>
          <cell r="E96">
            <v>1</v>
          </cell>
          <cell r="I96">
            <v>3.04</v>
          </cell>
          <cell r="J96">
            <v>5.66</v>
          </cell>
          <cell r="K96">
            <v>8.6999999999999993</v>
          </cell>
          <cell r="P96">
            <v>10</v>
          </cell>
        </row>
        <row r="97">
          <cell r="B97">
            <v>20</v>
          </cell>
          <cell r="C97">
            <v>8</v>
          </cell>
          <cell r="D97">
            <v>6.35</v>
          </cell>
          <cell r="E97">
            <v>1</v>
          </cell>
          <cell r="I97">
            <v>0.81</v>
          </cell>
          <cell r="J97">
            <v>0.99</v>
          </cell>
          <cell r="K97">
            <v>1.8</v>
          </cell>
          <cell r="P97">
            <v>4</v>
          </cell>
        </row>
        <row r="98">
          <cell r="B98">
            <v>20</v>
          </cell>
          <cell r="C98">
            <v>10</v>
          </cell>
          <cell r="D98">
            <v>6.35</v>
          </cell>
          <cell r="E98">
            <v>1</v>
          </cell>
          <cell r="I98">
            <v>1.01</v>
          </cell>
          <cell r="J98">
            <v>1.0900000000000001</v>
          </cell>
          <cell r="K98">
            <v>2.1</v>
          </cell>
          <cell r="P98">
            <v>4</v>
          </cell>
        </row>
        <row r="99">
          <cell r="B99">
            <v>20</v>
          </cell>
          <cell r="C99">
            <v>12</v>
          </cell>
          <cell r="D99">
            <v>6.35</v>
          </cell>
          <cell r="E99">
            <v>1</v>
          </cell>
          <cell r="I99">
            <v>1.22</v>
          </cell>
          <cell r="J99">
            <v>1.32</v>
          </cell>
          <cell r="K99">
            <v>2.54</v>
          </cell>
          <cell r="P99">
            <v>6</v>
          </cell>
        </row>
        <row r="100">
          <cell r="B100">
            <v>20</v>
          </cell>
          <cell r="C100">
            <v>14</v>
          </cell>
          <cell r="D100">
            <v>7.92</v>
          </cell>
          <cell r="E100">
            <v>1</v>
          </cell>
          <cell r="I100">
            <v>1.42</v>
          </cell>
          <cell r="J100">
            <v>2.48</v>
          </cell>
          <cell r="K100">
            <v>3.9</v>
          </cell>
          <cell r="P100">
            <v>6</v>
          </cell>
        </row>
        <row r="101">
          <cell r="B101">
            <v>20</v>
          </cell>
          <cell r="C101">
            <v>16</v>
          </cell>
          <cell r="D101">
            <v>7.92</v>
          </cell>
          <cell r="E101">
            <v>1</v>
          </cell>
          <cell r="I101">
            <v>1.62</v>
          </cell>
          <cell r="J101">
            <v>2.73</v>
          </cell>
          <cell r="K101">
            <v>4.3499999999999996</v>
          </cell>
          <cell r="P101">
            <v>6</v>
          </cell>
        </row>
        <row r="102">
          <cell r="B102">
            <v>20</v>
          </cell>
          <cell r="C102">
            <v>18</v>
          </cell>
          <cell r="D102">
            <v>7.92</v>
          </cell>
          <cell r="E102">
            <v>1</v>
          </cell>
          <cell r="I102">
            <v>1.82</v>
          </cell>
          <cell r="J102">
            <v>3.12</v>
          </cell>
          <cell r="K102">
            <v>4.9400000000000004</v>
          </cell>
          <cell r="P102">
            <v>6</v>
          </cell>
        </row>
        <row r="103">
          <cell r="B103">
            <v>20</v>
          </cell>
          <cell r="C103">
            <v>20</v>
          </cell>
          <cell r="D103">
            <v>9.5299999999999994</v>
          </cell>
          <cell r="E103">
            <v>1</v>
          </cell>
          <cell r="I103">
            <v>2.0299999999999998</v>
          </cell>
          <cell r="J103">
            <v>5.47</v>
          </cell>
          <cell r="K103">
            <v>7.5</v>
          </cell>
          <cell r="P103">
            <v>7</v>
          </cell>
        </row>
        <row r="104">
          <cell r="B104">
            <v>20</v>
          </cell>
          <cell r="C104">
            <v>22</v>
          </cell>
          <cell r="D104">
            <v>9.5299999999999994</v>
          </cell>
          <cell r="E104">
            <v>1</v>
          </cell>
          <cell r="I104">
            <v>2.23</v>
          </cell>
          <cell r="J104">
            <v>6.47</v>
          </cell>
          <cell r="K104">
            <v>8.6999999999999993</v>
          </cell>
          <cell r="P104">
            <v>8</v>
          </cell>
        </row>
        <row r="105">
          <cell r="B105">
            <v>20</v>
          </cell>
          <cell r="C105">
            <v>24</v>
          </cell>
          <cell r="D105">
            <v>9.5299999999999994</v>
          </cell>
          <cell r="E105">
            <v>1</v>
          </cell>
          <cell r="I105">
            <v>2.4300000000000002</v>
          </cell>
          <cell r="J105">
            <v>6.57</v>
          </cell>
          <cell r="K105">
            <v>9</v>
          </cell>
          <cell r="P105">
            <v>8</v>
          </cell>
        </row>
        <row r="106">
          <cell r="B106">
            <v>20</v>
          </cell>
          <cell r="C106">
            <v>26</v>
          </cell>
          <cell r="D106">
            <v>12.7</v>
          </cell>
          <cell r="E106">
            <v>1.25</v>
          </cell>
          <cell r="I106">
            <v>2.64</v>
          </cell>
          <cell r="J106">
            <v>13.86</v>
          </cell>
          <cell r="K106">
            <v>16.5</v>
          </cell>
          <cell r="P106">
            <v>9</v>
          </cell>
        </row>
        <row r="107">
          <cell r="B107">
            <v>20</v>
          </cell>
          <cell r="C107">
            <v>28</v>
          </cell>
          <cell r="D107">
            <v>12.7</v>
          </cell>
          <cell r="E107">
            <v>1.25</v>
          </cell>
          <cell r="I107">
            <v>2.84</v>
          </cell>
          <cell r="J107">
            <v>15.16</v>
          </cell>
          <cell r="K107">
            <v>18</v>
          </cell>
          <cell r="P107">
            <v>9</v>
          </cell>
        </row>
        <row r="108">
          <cell r="B108">
            <v>20</v>
          </cell>
          <cell r="C108">
            <v>30</v>
          </cell>
          <cell r="D108">
            <v>12.7</v>
          </cell>
          <cell r="E108">
            <v>1.25</v>
          </cell>
          <cell r="I108">
            <v>3.04</v>
          </cell>
          <cell r="J108">
            <v>16.45</v>
          </cell>
          <cell r="K108">
            <v>19.489999999999998</v>
          </cell>
          <cell r="P108">
            <v>10</v>
          </cell>
        </row>
        <row r="109">
          <cell r="B109">
            <v>20</v>
          </cell>
          <cell r="C109">
            <v>32</v>
          </cell>
          <cell r="D109">
            <v>12.7</v>
          </cell>
          <cell r="E109">
            <v>1.25</v>
          </cell>
          <cell r="I109">
            <v>3.24</v>
          </cell>
          <cell r="J109">
            <v>17.75</v>
          </cell>
          <cell r="K109">
            <v>20.990000000000002</v>
          </cell>
          <cell r="P109">
            <v>11</v>
          </cell>
        </row>
        <row r="110">
          <cell r="B110">
            <v>20</v>
          </cell>
          <cell r="C110">
            <v>34</v>
          </cell>
          <cell r="D110">
            <v>12.7</v>
          </cell>
          <cell r="E110">
            <v>1.25</v>
          </cell>
          <cell r="I110">
            <v>3.45</v>
          </cell>
          <cell r="J110">
            <v>18.54</v>
          </cell>
          <cell r="K110">
            <v>21.99</v>
          </cell>
          <cell r="P110">
            <v>12</v>
          </cell>
        </row>
        <row r="111">
          <cell r="B111">
            <v>20</v>
          </cell>
          <cell r="C111">
            <v>36</v>
          </cell>
          <cell r="D111">
            <v>12.7</v>
          </cell>
          <cell r="E111">
            <v>1.25</v>
          </cell>
          <cell r="I111">
            <v>3.65</v>
          </cell>
          <cell r="J111">
            <v>18.84</v>
          </cell>
          <cell r="K111">
            <v>22.49</v>
          </cell>
          <cell r="P111">
            <v>12</v>
          </cell>
        </row>
        <row r="112">
          <cell r="B112">
            <v>30</v>
          </cell>
          <cell r="C112">
            <v>8</v>
          </cell>
          <cell r="D112">
            <v>7.04</v>
          </cell>
          <cell r="E112">
            <v>1</v>
          </cell>
          <cell r="I112">
            <v>0.81</v>
          </cell>
          <cell r="J112">
            <v>1.1399999999999999</v>
          </cell>
          <cell r="K112">
            <v>1.95</v>
          </cell>
          <cell r="P112">
            <v>4</v>
          </cell>
        </row>
        <row r="113">
          <cell r="B113">
            <v>30</v>
          </cell>
          <cell r="C113">
            <v>10</v>
          </cell>
          <cell r="D113">
            <v>7.8</v>
          </cell>
          <cell r="E113">
            <v>1</v>
          </cell>
          <cell r="I113">
            <v>1.01</v>
          </cell>
          <cell r="J113">
            <v>1.99</v>
          </cell>
          <cell r="K113">
            <v>3</v>
          </cell>
          <cell r="P113">
            <v>4</v>
          </cell>
        </row>
        <row r="114">
          <cell r="B114">
            <v>30</v>
          </cell>
          <cell r="C114">
            <v>12</v>
          </cell>
          <cell r="D114">
            <v>8.3800000000000008</v>
          </cell>
          <cell r="E114">
            <v>1</v>
          </cell>
          <cell r="I114">
            <v>1.22</v>
          </cell>
          <cell r="J114">
            <v>2.68</v>
          </cell>
          <cell r="K114">
            <v>3.9000000000000004</v>
          </cell>
          <cell r="P114">
            <v>6</v>
          </cell>
        </row>
        <row r="115">
          <cell r="B115">
            <v>30</v>
          </cell>
          <cell r="C115">
            <v>14</v>
          </cell>
          <cell r="D115">
            <v>9.5299999999999994</v>
          </cell>
          <cell r="E115">
            <v>1</v>
          </cell>
          <cell r="I115">
            <v>1.42</v>
          </cell>
          <cell r="J115">
            <v>3.97</v>
          </cell>
          <cell r="K115">
            <v>5.3900000000000006</v>
          </cell>
          <cell r="P115">
            <v>6</v>
          </cell>
        </row>
        <row r="116">
          <cell r="B116">
            <v>30</v>
          </cell>
          <cell r="C116">
            <v>16</v>
          </cell>
          <cell r="D116">
            <v>9.5299999999999994</v>
          </cell>
          <cell r="E116">
            <v>1</v>
          </cell>
          <cell r="I116">
            <v>1.62</v>
          </cell>
          <cell r="J116">
            <v>4.68</v>
          </cell>
          <cell r="K116">
            <v>6.3</v>
          </cell>
          <cell r="P116">
            <v>6</v>
          </cell>
        </row>
        <row r="117">
          <cell r="B117">
            <v>30</v>
          </cell>
          <cell r="C117">
            <v>18</v>
          </cell>
          <cell r="D117">
            <v>11.13</v>
          </cell>
          <cell r="E117">
            <v>1.25</v>
          </cell>
          <cell r="I117">
            <v>1.82</v>
          </cell>
          <cell r="J117">
            <v>6.88</v>
          </cell>
          <cell r="K117">
            <v>8.6999999999999993</v>
          </cell>
          <cell r="P117">
            <v>6</v>
          </cell>
        </row>
        <row r="118">
          <cell r="B118">
            <v>30</v>
          </cell>
          <cell r="C118">
            <v>20</v>
          </cell>
          <cell r="D118">
            <v>12.7</v>
          </cell>
          <cell r="E118">
            <v>1.25</v>
          </cell>
          <cell r="I118">
            <v>2.0299999999999998</v>
          </cell>
          <cell r="J118">
            <v>10.42</v>
          </cell>
          <cell r="K118">
            <v>12.45</v>
          </cell>
          <cell r="P118">
            <v>7</v>
          </cell>
        </row>
        <row r="119">
          <cell r="B119">
            <v>30</v>
          </cell>
          <cell r="C119">
            <v>22</v>
          </cell>
          <cell r="D119">
            <v>12.7</v>
          </cell>
          <cell r="E119">
            <v>1.25</v>
          </cell>
          <cell r="I119">
            <v>2.23</v>
          </cell>
          <cell r="J119">
            <v>11.72</v>
          </cell>
          <cell r="K119">
            <v>13.950000000000001</v>
          </cell>
          <cell r="P119">
            <v>8</v>
          </cell>
        </row>
        <row r="120">
          <cell r="B120">
            <v>30</v>
          </cell>
          <cell r="C120">
            <v>24</v>
          </cell>
          <cell r="D120">
            <v>14.27</v>
          </cell>
          <cell r="E120">
            <v>1.25</v>
          </cell>
          <cell r="I120">
            <v>2.4300000000000002</v>
          </cell>
          <cell r="J120">
            <v>15.57</v>
          </cell>
          <cell r="K120">
            <v>18</v>
          </cell>
          <cell r="P120">
            <v>8</v>
          </cell>
        </row>
        <row r="121">
          <cell r="B121">
            <v>30</v>
          </cell>
          <cell r="C121">
            <v>28</v>
          </cell>
          <cell r="D121">
            <v>15.88</v>
          </cell>
          <cell r="E121">
            <v>1.5</v>
          </cell>
          <cell r="I121">
            <v>2.84</v>
          </cell>
          <cell r="J121">
            <v>22.65</v>
          </cell>
          <cell r="K121">
            <v>25.49</v>
          </cell>
          <cell r="P121">
            <v>9</v>
          </cell>
        </row>
        <row r="122">
          <cell r="B122">
            <v>30</v>
          </cell>
          <cell r="C122">
            <v>30</v>
          </cell>
          <cell r="D122">
            <v>15.88</v>
          </cell>
          <cell r="E122">
            <v>1.5</v>
          </cell>
          <cell r="I122">
            <v>3.04</v>
          </cell>
          <cell r="J122">
            <v>23.96</v>
          </cell>
          <cell r="K122">
            <v>27</v>
          </cell>
          <cell r="P122">
            <v>10</v>
          </cell>
        </row>
        <row r="123">
          <cell r="B123">
            <v>30</v>
          </cell>
          <cell r="C123">
            <v>32</v>
          </cell>
          <cell r="D123">
            <v>15.88</v>
          </cell>
          <cell r="E123">
            <v>1.5</v>
          </cell>
          <cell r="I123">
            <v>3.24</v>
          </cell>
          <cell r="J123">
            <v>26.76</v>
          </cell>
          <cell r="K123">
            <v>30</v>
          </cell>
          <cell r="P123">
            <v>11</v>
          </cell>
        </row>
        <row r="124">
          <cell r="B124">
            <v>30</v>
          </cell>
          <cell r="C124">
            <v>34</v>
          </cell>
          <cell r="D124">
            <v>15.88</v>
          </cell>
          <cell r="E124">
            <v>1.5</v>
          </cell>
          <cell r="I124">
            <v>3.45</v>
          </cell>
          <cell r="J124">
            <v>28.05</v>
          </cell>
          <cell r="K124">
            <v>31.5</v>
          </cell>
          <cell r="P124">
            <v>12</v>
          </cell>
        </row>
        <row r="125">
          <cell r="B125">
            <v>30</v>
          </cell>
          <cell r="C125">
            <v>36</v>
          </cell>
          <cell r="D125">
            <v>15.88</v>
          </cell>
          <cell r="E125">
            <v>1.5</v>
          </cell>
          <cell r="I125">
            <v>3.65</v>
          </cell>
          <cell r="J125">
            <v>29.35</v>
          </cell>
          <cell r="K125">
            <v>33</v>
          </cell>
          <cell r="P125">
            <v>12</v>
          </cell>
        </row>
        <row r="126">
          <cell r="B126">
            <v>40</v>
          </cell>
          <cell r="C126">
            <v>0.125</v>
          </cell>
          <cell r="D126">
            <v>1.73</v>
          </cell>
          <cell r="E126">
            <v>1</v>
          </cell>
          <cell r="I126">
            <v>7.0000000000000007E-2</v>
          </cell>
          <cell r="K126">
            <v>7.0000000000000007E-2</v>
          </cell>
          <cell r="P126">
            <v>2</v>
          </cell>
        </row>
        <row r="127">
          <cell r="B127">
            <v>40</v>
          </cell>
          <cell r="C127">
            <v>0.125</v>
          </cell>
          <cell r="D127">
            <v>1.73</v>
          </cell>
          <cell r="E127">
            <v>1</v>
          </cell>
          <cell r="I127">
            <v>7.0000000000000007E-2</v>
          </cell>
          <cell r="K127">
            <v>7.0000000000000007E-2</v>
          </cell>
          <cell r="P127">
            <v>2</v>
          </cell>
        </row>
        <row r="128">
          <cell r="B128">
            <v>40</v>
          </cell>
          <cell r="C128">
            <v>0.125</v>
          </cell>
          <cell r="D128">
            <v>1.73</v>
          </cell>
          <cell r="E128">
            <v>1</v>
          </cell>
          <cell r="I128">
            <v>7.0000000000000007E-2</v>
          </cell>
          <cell r="K128">
            <v>7.0000000000000007E-2</v>
          </cell>
          <cell r="P128">
            <v>2</v>
          </cell>
        </row>
        <row r="129">
          <cell r="B129">
            <v>40</v>
          </cell>
          <cell r="C129">
            <v>0.25</v>
          </cell>
          <cell r="D129">
            <v>2.2400000000000002</v>
          </cell>
          <cell r="E129">
            <v>1</v>
          </cell>
          <cell r="I129">
            <v>7.0000000000000007E-2</v>
          </cell>
          <cell r="K129">
            <v>7.0000000000000007E-2</v>
          </cell>
          <cell r="P129">
            <v>2</v>
          </cell>
        </row>
        <row r="130">
          <cell r="B130">
            <v>40</v>
          </cell>
          <cell r="C130">
            <v>0.25</v>
          </cell>
          <cell r="D130">
            <v>2.2400000000000002</v>
          </cell>
          <cell r="E130">
            <v>1</v>
          </cell>
          <cell r="I130">
            <v>7.0000000000000007E-2</v>
          </cell>
          <cell r="K130">
            <v>7.0000000000000007E-2</v>
          </cell>
          <cell r="P130">
            <v>2</v>
          </cell>
        </row>
        <row r="131">
          <cell r="B131">
            <v>40</v>
          </cell>
          <cell r="C131">
            <v>0.25</v>
          </cell>
          <cell r="D131">
            <v>2.2400000000000002</v>
          </cell>
          <cell r="E131">
            <v>1</v>
          </cell>
          <cell r="I131">
            <v>7.0000000000000007E-2</v>
          </cell>
          <cell r="K131">
            <v>7.0000000000000007E-2</v>
          </cell>
          <cell r="P131">
            <v>2</v>
          </cell>
        </row>
        <row r="132">
          <cell r="B132">
            <v>40</v>
          </cell>
          <cell r="C132">
            <v>0.375</v>
          </cell>
          <cell r="D132">
            <v>2.31</v>
          </cell>
          <cell r="E132">
            <v>1</v>
          </cell>
          <cell r="I132">
            <v>7.0000000000000007E-2</v>
          </cell>
          <cell r="J132">
            <v>0</v>
          </cell>
          <cell r="K132">
            <v>7.0000000000000007E-2</v>
          </cell>
          <cell r="P132">
            <v>2</v>
          </cell>
        </row>
        <row r="133">
          <cell r="B133">
            <v>40</v>
          </cell>
          <cell r="C133">
            <v>0.375</v>
          </cell>
          <cell r="D133">
            <v>2.31</v>
          </cell>
          <cell r="E133">
            <v>1</v>
          </cell>
          <cell r="I133">
            <v>7.0000000000000007E-2</v>
          </cell>
          <cell r="J133">
            <v>0</v>
          </cell>
          <cell r="K133">
            <v>7.0000000000000007E-2</v>
          </cell>
          <cell r="P133">
            <v>2</v>
          </cell>
        </row>
        <row r="134">
          <cell r="B134">
            <v>40</v>
          </cell>
          <cell r="C134">
            <v>0.375</v>
          </cell>
          <cell r="D134">
            <v>2.31</v>
          </cell>
          <cell r="E134">
            <v>1</v>
          </cell>
          <cell r="I134">
            <v>7.0000000000000007E-2</v>
          </cell>
          <cell r="J134">
            <v>0</v>
          </cell>
          <cell r="K134">
            <v>7.0000000000000007E-2</v>
          </cell>
          <cell r="P134">
            <v>2</v>
          </cell>
        </row>
        <row r="135">
          <cell r="B135">
            <v>40</v>
          </cell>
          <cell r="C135">
            <v>0.5</v>
          </cell>
          <cell r="D135">
            <v>2.77</v>
          </cell>
          <cell r="E135">
            <v>1</v>
          </cell>
          <cell r="I135">
            <v>7.0000000000000007E-2</v>
          </cell>
          <cell r="J135">
            <v>0</v>
          </cell>
          <cell r="K135">
            <v>7.0000000000000007E-2</v>
          </cell>
          <cell r="P135">
            <v>2</v>
          </cell>
        </row>
        <row r="136">
          <cell r="B136">
            <v>40</v>
          </cell>
          <cell r="C136">
            <v>0.5</v>
          </cell>
          <cell r="D136">
            <v>2.77</v>
          </cell>
          <cell r="E136">
            <v>1</v>
          </cell>
          <cell r="I136">
            <v>7.0000000000000007E-2</v>
          </cell>
          <cell r="J136">
            <v>0</v>
          </cell>
          <cell r="K136">
            <v>7.0000000000000007E-2</v>
          </cell>
          <cell r="P136">
            <v>2</v>
          </cell>
        </row>
        <row r="137">
          <cell r="B137">
            <v>40</v>
          </cell>
          <cell r="C137">
            <v>0.5</v>
          </cell>
          <cell r="D137">
            <v>2.77</v>
          </cell>
          <cell r="E137">
            <v>1</v>
          </cell>
          <cell r="I137">
            <v>7.0000000000000007E-2</v>
          </cell>
          <cell r="J137">
            <v>0</v>
          </cell>
          <cell r="K137">
            <v>7.0000000000000007E-2</v>
          </cell>
          <cell r="P137">
            <v>2</v>
          </cell>
        </row>
        <row r="138">
          <cell r="B138">
            <v>40</v>
          </cell>
          <cell r="C138">
            <v>0.75</v>
          </cell>
          <cell r="D138">
            <v>2.87</v>
          </cell>
          <cell r="E138">
            <v>1</v>
          </cell>
          <cell r="I138">
            <v>7.0000000000000007E-2</v>
          </cell>
          <cell r="J138">
            <v>0</v>
          </cell>
          <cell r="K138">
            <v>7.0000000000000007E-2</v>
          </cell>
          <cell r="P138">
            <v>2</v>
          </cell>
        </row>
        <row r="139">
          <cell r="B139">
            <v>40</v>
          </cell>
          <cell r="C139">
            <v>0.75</v>
          </cell>
          <cell r="D139">
            <v>2.87</v>
          </cell>
          <cell r="E139">
            <v>1</v>
          </cell>
          <cell r="I139">
            <v>7.0000000000000007E-2</v>
          </cell>
          <cell r="J139">
            <v>0</v>
          </cell>
          <cell r="K139">
            <v>7.0000000000000007E-2</v>
          </cell>
          <cell r="P139">
            <v>2</v>
          </cell>
        </row>
        <row r="140">
          <cell r="B140">
            <v>40</v>
          </cell>
          <cell r="C140">
            <v>0.75</v>
          </cell>
          <cell r="D140">
            <v>2.87</v>
          </cell>
          <cell r="E140">
            <v>1</v>
          </cell>
          <cell r="I140">
            <v>7.0000000000000007E-2</v>
          </cell>
          <cell r="J140">
            <v>0</v>
          </cell>
          <cell r="K140">
            <v>7.0000000000000007E-2</v>
          </cell>
          <cell r="P140">
            <v>2</v>
          </cell>
        </row>
        <row r="141">
          <cell r="B141">
            <v>40</v>
          </cell>
          <cell r="C141">
            <v>1</v>
          </cell>
          <cell r="D141">
            <v>3.38</v>
          </cell>
          <cell r="E141">
            <v>1</v>
          </cell>
          <cell r="I141">
            <v>0.12</v>
          </cell>
          <cell r="J141">
            <v>0</v>
          </cell>
          <cell r="K141">
            <v>0.12</v>
          </cell>
          <cell r="P141">
            <v>2</v>
          </cell>
        </row>
        <row r="142">
          <cell r="B142">
            <v>40</v>
          </cell>
          <cell r="C142">
            <v>1</v>
          </cell>
          <cell r="D142">
            <v>3.38</v>
          </cell>
          <cell r="E142">
            <v>1</v>
          </cell>
          <cell r="I142">
            <v>0.12</v>
          </cell>
          <cell r="J142">
            <v>0</v>
          </cell>
          <cell r="K142">
            <v>0.12</v>
          </cell>
          <cell r="P142">
            <v>2</v>
          </cell>
        </row>
        <row r="143">
          <cell r="B143">
            <v>40</v>
          </cell>
          <cell r="C143">
            <v>1</v>
          </cell>
          <cell r="D143">
            <v>3.38</v>
          </cell>
          <cell r="E143">
            <v>1</v>
          </cell>
          <cell r="I143">
            <v>0.12</v>
          </cell>
          <cell r="J143">
            <v>0</v>
          </cell>
          <cell r="K143">
            <v>0.12</v>
          </cell>
          <cell r="P143">
            <v>2</v>
          </cell>
        </row>
        <row r="144">
          <cell r="B144">
            <v>40</v>
          </cell>
          <cell r="C144">
            <v>1.25</v>
          </cell>
          <cell r="D144">
            <v>3.56</v>
          </cell>
          <cell r="E144">
            <v>1</v>
          </cell>
          <cell r="I144">
            <v>0.15</v>
          </cell>
          <cell r="K144">
            <v>0.15</v>
          </cell>
          <cell r="P144">
            <v>2</v>
          </cell>
        </row>
        <row r="145">
          <cell r="B145">
            <v>40</v>
          </cell>
          <cell r="C145">
            <v>1.25</v>
          </cell>
          <cell r="D145">
            <v>3.56</v>
          </cell>
          <cell r="E145">
            <v>1</v>
          </cell>
          <cell r="I145">
            <v>0.15</v>
          </cell>
          <cell r="K145">
            <v>0.15</v>
          </cell>
          <cell r="P145">
            <v>2</v>
          </cell>
        </row>
        <row r="146">
          <cell r="B146">
            <v>40</v>
          </cell>
          <cell r="C146">
            <v>1.25</v>
          </cell>
          <cell r="D146">
            <v>3.56</v>
          </cell>
          <cell r="E146">
            <v>1</v>
          </cell>
          <cell r="I146">
            <v>0.15</v>
          </cell>
          <cell r="K146">
            <v>0.15</v>
          </cell>
          <cell r="P146">
            <v>2</v>
          </cell>
        </row>
        <row r="147">
          <cell r="B147">
            <v>40</v>
          </cell>
          <cell r="C147">
            <v>1.5</v>
          </cell>
          <cell r="D147">
            <v>3.68</v>
          </cell>
          <cell r="E147">
            <v>1</v>
          </cell>
          <cell r="I147">
            <v>0.15</v>
          </cell>
          <cell r="J147">
            <v>0</v>
          </cell>
          <cell r="K147">
            <v>0.15</v>
          </cell>
          <cell r="P147">
            <v>2</v>
          </cell>
        </row>
        <row r="148">
          <cell r="B148">
            <v>40</v>
          </cell>
          <cell r="C148">
            <v>1.5</v>
          </cell>
          <cell r="D148">
            <v>3.68</v>
          </cell>
          <cell r="E148">
            <v>1</v>
          </cell>
          <cell r="I148">
            <v>0.15</v>
          </cell>
          <cell r="J148">
            <v>0</v>
          </cell>
          <cell r="K148">
            <v>0.15</v>
          </cell>
          <cell r="P148">
            <v>2</v>
          </cell>
        </row>
        <row r="149">
          <cell r="B149">
            <v>40</v>
          </cell>
          <cell r="C149">
            <v>1.5</v>
          </cell>
          <cell r="D149">
            <v>3.68</v>
          </cell>
          <cell r="E149">
            <v>1</v>
          </cell>
          <cell r="I149">
            <v>0.15</v>
          </cell>
          <cell r="J149">
            <v>0</v>
          </cell>
          <cell r="K149">
            <v>0.15</v>
          </cell>
          <cell r="P149">
            <v>2</v>
          </cell>
        </row>
        <row r="150">
          <cell r="B150">
            <v>40</v>
          </cell>
          <cell r="C150">
            <v>2</v>
          </cell>
          <cell r="D150">
            <v>3.91</v>
          </cell>
          <cell r="E150">
            <v>1</v>
          </cell>
          <cell r="I150">
            <v>0.3</v>
          </cell>
          <cell r="J150">
            <v>0</v>
          </cell>
          <cell r="K150">
            <v>0.3</v>
          </cell>
          <cell r="P150">
            <v>2</v>
          </cell>
        </row>
        <row r="151">
          <cell r="B151">
            <v>40</v>
          </cell>
          <cell r="C151">
            <v>2</v>
          </cell>
          <cell r="D151">
            <v>3.91</v>
          </cell>
          <cell r="E151">
            <v>1</v>
          </cell>
          <cell r="I151">
            <v>0.3</v>
          </cell>
          <cell r="J151">
            <v>0</v>
          </cell>
          <cell r="K151">
            <v>0.3</v>
          </cell>
          <cell r="P151">
            <v>2</v>
          </cell>
        </row>
        <row r="152">
          <cell r="B152">
            <v>40</v>
          </cell>
          <cell r="C152">
            <v>2</v>
          </cell>
          <cell r="D152">
            <v>3.91</v>
          </cell>
          <cell r="E152">
            <v>1</v>
          </cell>
          <cell r="I152">
            <v>0.3</v>
          </cell>
          <cell r="J152">
            <v>0</v>
          </cell>
          <cell r="K152">
            <v>0.3</v>
          </cell>
          <cell r="P152">
            <v>2</v>
          </cell>
        </row>
        <row r="153">
          <cell r="B153">
            <v>40</v>
          </cell>
          <cell r="C153">
            <v>2.5</v>
          </cell>
          <cell r="D153">
            <v>5.16</v>
          </cell>
          <cell r="E153">
            <v>1</v>
          </cell>
          <cell r="I153">
            <v>0.25</v>
          </cell>
          <cell r="J153">
            <v>0.2</v>
          </cell>
          <cell r="K153">
            <v>0.45</v>
          </cell>
          <cell r="P153">
            <v>2</v>
          </cell>
        </row>
        <row r="154">
          <cell r="B154">
            <v>40</v>
          </cell>
          <cell r="C154">
            <v>3</v>
          </cell>
          <cell r="D154">
            <v>5.49</v>
          </cell>
          <cell r="E154">
            <v>1</v>
          </cell>
          <cell r="I154">
            <v>0.3</v>
          </cell>
          <cell r="J154">
            <v>0.3</v>
          </cell>
          <cell r="K154">
            <v>0.6</v>
          </cell>
          <cell r="P154">
            <v>2</v>
          </cell>
        </row>
        <row r="155">
          <cell r="B155">
            <v>40</v>
          </cell>
          <cell r="C155">
            <v>3.5</v>
          </cell>
          <cell r="D155">
            <v>5.74</v>
          </cell>
          <cell r="E155">
            <v>1</v>
          </cell>
          <cell r="I155">
            <v>0.35</v>
          </cell>
          <cell r="J155">
            <v>0.4</v>
          </cell>
          <cell r="K155">
            <v>0.75</v>
          </cell>
          <cell r="P155">
            <v>3</v>
          </cell>
        </row>
        <row r="156">
          <cell r="B156">
            <v>40</v>
          </cell>
          <cell r="C156">
            <v>4</v>
          </cell>
          <cell r="D156">
            <v>6.02</v>
          </cell>
          <cell r="E156">
            <v>1</v>
          </cell>
          <cell r="I156">
            <v>0.41</v>
          </cell>
          <cell r="J156">
            <v>0.49</v>
          </cell>
          <cell r="K156">
            <v>0.89999999999999991</v>
          </cell>
          <cell r="P156">
            <v>3</v>
          </cell>
        </row>
        <row r="157">
          <cell r="B157">
            <v>40</v>
          </cell>
          <cell r="C157">
            <v>5</v>
          </cell>
          <cell r="D157">
            <v>6.55</v>
          </cell>
          <cell r="E157">
            <v>1</v>
          </cell>
          <cell r="I157">
            <v>0.51</v>
          </cell>
          <cell r="J157">
            <v>0.54</v>
          </cell>
          <cell r="K157">
            <v>1.05</v>
          </cell>
          <cell r="P157">
            <v>4</v>
          </cell>
        </row>
        <row r="158">
          <cell r="B158">
            <v>40</v>
          </cell>
          <cell r="C158">
            <v>6</v>
          </cell>
          <cell r="D158">
            <v>7.11</v>
          </cell>
          <cell r="E158">
            <v>1</v>
          </cell>
          <cell r="I158">
            <v>0.61</v>
          </cell>
          <cell r="J158">
            <v>1.04</v>
          </cell>
          <cell r="K158">
            <v>1.65</v>
          </cell>
          <cell r="P158">
            <v>4</v>
          </cell>
        </row>
        <row r="159">
          <cell r="B159">
            <v>40</v>
          </cell>
          <cell r="C159">
            <v>8</v>
          </cell>
          <cell r="D159">
            <v>8.18</v>
          </cell>
          <cell r="E159">
            <v>1</v>
          </cell>
          <cell r="I159">
            <v>0.81</v>
          </cell>
          <cell r="J159">
            <v>1.73</v>
          </cell>
          <cell r="K159">
            <v>2.54</v>
          </cell>
          <cell r="P159">
            <v>4</v>
          </cell>
        </row>
        <row r="160">
          <cell r="B160">
            <v>40</v>
          </cell>
          <cell r="C160">
            <v>10</v>
          </cell>
          <cell r="D160">
            <v>9.27</v>
          </cell>
          <cell r="E160">
            <v>1</v>
          </cell>
          <cell r="I160">
            <v>1.01</v>
          </cell>
          <cell r="J160">
            <v>3.04</v>
          </cell>
          <cell r="K160">
            <v>4.05</v>
          </cell>
          <cell r="P160">
            <v>4</v>
          </cell>
        </row>
        <row r="161">
          <cell r="B161">
            <v>40</v>
          </cell>
          <cell r="C161">
            <v>12</v>
          </cell>
          <cell r="D161">
            <v>10.31</v>
          </cell>
          <cell r="E161">
            <v>1.25</v>
          </cell>
          <cell r="I161">
            <v>1.22</v>
          </cell>
          <cell r="J161">
            <v>4.0199999999999996</v>
          </cell>
          <cell r="K161">
            <v>5.2399999999999993</v>
          </cell>
          <cell r="P161">
            <v>6</v>
          </cell>
        </row>
        <row r="162">
          <cell r="B162">
            <v>40</v>
          </cell>
          <cell r="C162">
            <v>14</v>
          </cell>
          <cell r="D162">
            <v>11.13</v>
          </cell>
          <cell r="E162">
            <v>1.25</v>
          </cell>
          <cell r="I162">
            <v>1.42</v>
          </cell>
          <cell r="J162">
            <v>5.33</v>
          </cell>
          <cell r="K162">
            <v>6.75</v>
          </cell>
          <cell r="P162">
            <v>6</v>
          </cell>
        </row>
        <row r="163">
          <cell r="B163">
            <v>40</v>
          </cell>
          <cell r="C163">
            <v>16</v>
          </cell>
          <cell r="D163">
            <v>12.7</v>
          </cell>
          <cell r="E163">
            <v>1.25</v>
          </cell>
          <cell r="I163">
            <v>1.62</v>
          </cell>
          <cell r="J163">
            <v>8.42</v>
          </cell>
          <cell r="K163">
            <v>10.039999999999999</v>
          </cell>
          <cell r="P163">
            <v>6</v>
          </cell>
        </row>
        <row r="164">
          <cell r="B164">
            <v>40</v>
          </cell>
          <cell r="C164">
            <v>18</v>
          </cell>
          <cell r="D164">
            <v>14.27</v>
          </cell>
          <cell r="E164">
            <v>1.25</v>
          </cell>
          <cell r="I164">
            <v>1.82</v>
          </cell>
          <cell r="J164">
            <v>11.53</v>
          </cell>
          <cell r="K164">
            <v>13.35</v>
          </cell>
          <cell r="P164">
            <v>6</v>
          </cell>
        </row>
        <row r="165">
          <cell r="B165">
            <v>40</v>
          </cell>
          <cell r="C165">
            <v>20</v>
          </cell>
          <cell r="D165">
            <v>15.09</v>
          </cell>
          <cell r="E165">
            <v>1.5</v>
          </cell>
          <cell r="I165">
            <v>2.0299999999999998</v>
          </cell>
          <cell r="J165">
            <v>14.47</v>
          </cell>
          <cell r="K165">
            <v>16.5</v>
          </cell>
          <cell r="P165">
            <v>7</v>
          </cell>
        </row>
        <row r="166">
          <cell r="B166">
            <v>40</v>
          </cell>
          <cell r="C166">
            <v>24</v>
          </cell>
          <cell r="D166">
            <v>17.48</v>
          </cell>
          <cell r="E166">
            <v>1.5</v>
          </cell>
          <cell r="I166">
            <v>2.4300000000000002</v>
          </cell>
          <cell r="J166">
            <v>24.57</v>
          </cell>
          <cell r="K166">
            <v>27</v>
          </cell>
          <cell r="P166">
            <v>8</v>
          </cell>
        </row>
        <row r="167">
          <cell r="B167">
            <v>40</v>
          </cell>
          <cell r="C167">
            <v>32</v>
          </cell>
          <cell r="D167">
            <v>17.48</v>
          </cell>
          <cell r="E167">
            <v>1.5</v>
          </cell>
          <cell r="I167">
            <v>3.24</v>
          </cell>
          <cell r="J167">
            <v>31.26</v>
          </cell>
          <cell r="K167">
            <v>34.5</v>
          </cell>
          <cell r="P167">
            <v>11</v>
          </cell>
        </row>
        <row r="168">
          <cell r="B168">
            <v>40</v>
          </cell>
          <cell r="C168">
            <v>34</v>
          </cell>
          <cell r="D168">
            <v>17.48</v>
          </cell>
          <cell r="E168">
            <v>1.5</v>
          </cell>
          <cell r="I168">
            <v>3.45</v>
          </cell>
          <cell r="J168">
            <v>34.049999999999997</v>
          </cell>
          <cell r="K168">
            <v>37.5</v>
          </cell>
          <cell r="P168">
            <v>12</v>
          </cell>
        </row>
        <row r="169">
          <cell r="B169">
            <v>40</v>
          </cell>
          <cell r="C169">
            <v>36</v>
          </cell>
          <cell r="D169">
            <v>19.05</v>
          </cell>
          <cell r="E169">
            <v>2</v>
          </cell>
          <cell r="I169">
            <v>3.65</v>
          </cell>
          <cell r="J169">
            <v>41.34</v>
          </cell>
          <cell r="K169">
            <v>44.99</v>
          </cell>
          <cell r="P169">
            <v>12</v>
          </cell>
        </row>
        <row r="170">
          <cell r="B170" t="str">
            <v>40S</v>
          </cell>
          <cell r="C170">
            <v>0.125</v>
          </cell>
          <cell r="D170">
            <v>1.73</v>
          </cell>
          <cell r="E170">
            <v>1</v>
          </cell>
          <cell r="I170">
            <v>7.0000000000000007E-2</v>
          </cell>
          <cell r="K170">
            <v>7.0000000000000007E-2</v>
          </cell>
          <cell r="P170">
            <v>2</v>
          </cell>
        </row>
        <row r="171">
          <cell r="B171" t="str">
            <v>40S</v>
          </cell>
          <cell r="C171">
            <v>0.125</v>
          </cell>
          <cell r="D171">
            <v>1.73</v>
          </cell>
          <cell r="E171">
            <v>1</v>
          </cell>
          <cell r="I171">
            <v>7.0000000000000007E-2</v>
          </cell>
          <cell r="K171">
            <v>7.0000000000000007E-2</v>
          </cell>
          <cell r="P171">
            <v>2</v>
          </cell>
        </row>
        <row r="172">
          <cell r="B172" t="str">
            <v>40S</v>
          </cell>
          <cell r="C172">
            <v>0.125</v>
          </cell>
          <cell r="D172">
            <v>1.73</v>
          </cell>
          <cell r="E172">
            <v>1</v>
          </cell>
          <cell r="I172">
            <v>7.0000000000000007E-2</v>
          </cell>
          <cell r="K172">
            <v>7.0000000000000007E-2</v>
          </cell>
          <cell r="P172">
            <v>2</v>
          </cell>
        </row>
        <row r="173">
          <cell r="B173" t="str">
            <v>40S</v>
          </cell>
          <cell r="C173">
            <v>0.25</v>
          </cell>
          <cell r="D173">
            <v>2.2400000000000002</v>
          </cell>
          <cell r="E173">
            <v>1</v>
          </cell>
          <cell r="I173">
            <v>7.0000000000000007E-2</v>
          </cell>
          <cell r="K173">
            <v>7.0000000000000007E-2</v>
          </cell>
          <cell r="P173">
            <v>2</v>
          </cell>
        </row>
        <row r="174">
          <cell r="B174" t="str">
            <v>40S</v>
          </cell>
          <cell r="C174">
            <v>0.25</v>
          </cell>
          <cell r="D174">
            <v>2.2400000000000002</v>
          </cell>
          <cell r="E174">
            <v>1</v>
          </cell>
          <cell r="I174">
            <v>7.0000000000000007E-2</v>
          </cell>
          <cell r="K174">
            <v>7.0000000000000007E-2</v>
          </cell>
          <cell r="P174">
            <v>2</v>
          </cell>
        </row>
        <row r="175">
          <cell r="B175" t="str">
            <v>40S</v>
          </cell>
          <cell r="C175">
            <v>0.25</v>
          </cell>
          <cell r="D175">
            <v>2.2400000000000002</v>
          </cell>
          <cell r="E175">
            <v>1</v>
          </cell>
          <cell r="I175">
            <v>7.0000000000000007E-2</v>
          </cell>
          <cell r="K175">
            <v>7.0000000000000007E-2</v>
          </cell>
          <cell r="P175">
            <v>2</v>
          </cell>
        </row>
        <row r="176">
          <cell r="B176" t="str">
            <v>40S</v>
          </cell>
          <cell r="C176">
            <v>0.375</v>
          </cell>
          <cell r="D176">
            <v>2.31</v>
          </cell>
          <cell r="E176">
            <v>1</v>
          </cell>
          <cell r="I176">
            <v>7.0000000000000007E-2</v>
          </cell>
          <cell r="K176">
            <v>7.0000000000000007E-2</v>
          </cell>
          <cell r="P176">
            <v>2</v>
          </cell>
        </row>
        <row r="177">
          <cell r="B177" t="str">
            <v>40S</v>
          </cell>
          <cell r="C177">
            <v>0.375</v>
          </cell>
          <cell r="D177">
            <v>2.31</v>
          </cell>
          <cell r="E177">
            <v>1</v>
          </cell>
          <cell r="I177">
            <v>7.0000000000000007E-2</v>
          </cell>
          <cell r="K177">
            <v>7.0000000000000007E-2</v>
          </cell>
          <cell r="P177">
            <v>2</v>
          </cell>
        </row>
        <row r="178">
          <cell r="B178" t="str">
            <v>40S</v>
          </cell>
          <cell r="C178">
            <v>0.375</v>
          </cell>
          <cell r="D178">
            <v>2.31</v>
          </cell>
          <cell r="E178">
            <v>1</v>
          </cell>
          <cell r="I178">
            <v>7.0000000000000007E-2</v>
          </cell>
          <cell r="K178">
            <v>7.0000000000000007E-2</v>
          </cell>
          <cell r="P178">
            <v>2</v>
          </cell>
        </row>
        <row r="179">
          <cell r="B179" t="str">
            <v>40S</v>
          </cell>
          <cell r="C179">
            <v>0.5</v>
          </cell>
          <cell r="D179">
            <v>2.77</v>
          </cell>
          <cell r="E179">
            <v>1</v>
          </cell>
          <cell r="I179">
            <v>7.0000000000000007E-2</v>
          </cell>
          <cell r="J179">
            <v>0</v>
          </cell>
          <cell r="K179">
            <v>7.0000000000000007E-2</v>
          </cell>
          <cell r="P179">
            <v>2</v>
          </cell>
        </row>
        <row r="180">
          <cell r="B180" t="str">
            <v>40S</v>
          </cell>
          <cell r="C180">
            <v>0.5</v>
          </cell>
          <cell r="D180">
            <v>2.77</v>
          </cell>
          <cell r="E180">
            <v>1</v>
          </cell>
          <cell r="I180">
            <v>7.0000000000000007E-2</v>
          </cell>
          <cell r="J180">
            <v>0</v>
          </cell>
          <cell r="K180">
            <v>7.0000000000000007E-2</v>
          </cell>
          <cell r="P180">
            <v>2</v>
          </cell>
        </row>
        <row r="181">
          <cell r="B181" t="str">
            <v>40S</v>
          </cell>
          <cell r="C181">
            <v>0.5</v>
          </cell>
          <cell r="D181">
            <v>2.77</v>
          </cell>
          <cell r="E181">
            <v>1</v>
          </cell>
          <cell r="I181">
            <v>7.0000000000000007E-2</v>
          </cell>
          <cell r="J181">
            <v>0</v>
          </cell>
          <cell r="K181">
            <v>7.0000000000000007E-2</v>
          </cell>
          <cell r="P181">
            <v>2</v>
          </cell>
        </row>
        <row r="182">
          <cell r="B182" t="str">
            <v>40S</v>
          </cell>
          <cell r="C182">
            <v>0.75</v>
          </cell>
          <cell r="D182">
            <v>2.87</v>
          </cell>
          <cell r="E182">
            <v>1</v>
          </cell>
          <cell r="I182">
            <v>7.0000000000000007E-2</v>
          </cell>
          <cell r="J182">
            <v>0</v>
          </cell>
          <cell r="K182">
            <v>7.0000000000000007E-2</v>
          </cell>
          <cell r="P182">
            <v>2</v>
          </cell>
        </row>
        <row r="183">
          <cell r="B183" t="str">
            <v>40S</v>
          </cell>
          <cell r="C183">
            <v>0.75</v>
          </cell>
          <cell r="D183">
            <v>2.87</v>
          </cell>
          <cell r="E183">
            <v>1</v>
          </cell>
          <cell r="I183">
            <v>7.0000000000000007E-2</v>
          </cell>
          <cell r="J183">
            <v>0</v>
          </cell>
          <cell r="K183">
            <v>7.0000000000000007E-2</v>
          </cell>
          <cell r="P183">
            <v>2</v>
          </cell>
        </row>
        <row r="184">
          <cell r="B184" t="str">
            <v>40S</v>
          </cell>
          <cell r="C184">
            <v>0.75</v>
          </cell>
          <cell r="D184">
            <v>2.87</v>
          </cell>
          <cell r="E184">
            <v>1</v>
          </cell>
          <cell r="I184">
            <v>7.0000000000000007E-2</v>
          </cell>
          <cell r="J184">
            <v>0</v>
          </cell>
          <cell r="K184">
            <v>7.0000000000000007E-2</v>
          </cell>
          <cell r="P184">
            <v>2</v>
          </cell>
        </row>
        <row r="185">
          <cell r="B185" t="str">
            <v>40S</v>
          </cell>
          <cell r="C185">
            <v>1</v>
          </cell>
          <cell r="D185">
            <v>3.38</v>
          </cell>
          <cell r="E185">
            <v>1</v>
          </cell>
          <cell r="I185">
            <v>0.12</v>
          </cell>
          <cell r="J185">
            <v>0</v>
          </cell>
          <cell r="K185">
            <v>0.12</v>
          </cell>
          <cell r="P185">
            <v>2</v>
          </cell>
        </row>
        <row r="186">
          <cell r="B186" t="str">
            <v>40S</v>
          </cell>
          <cell r="C186">
            <v>1</v>
          </cell>
          <cell r="D186">
            <v>3.38</v>
          </cell>
          <cell r="E186">
            <v>1</v>
          </cell>
          <cell r="I186">
            <v>0.12</v>
          </cell>
          <cell r="J186">
            <v>0</v>
          </cell>
          <cell r="K186">
            <v>0.12</v>
          </cell>
          <cell r="P186">
            <v>2</v>
          </cell>
        </row>
        <row r="187">
          <cell r="B187" t="str">
            <v>40S</v>
          </cell>
          <cell r="C187">
            <v>1</v>
          </cell>
          <cell r="D187">
            <v>3.38</v>
          </cell>
          <cell r="E187">
            <v>1</v>
          </cell>
          <cell r="I187">
            <v>0.12</v>
          </cell>
          <cell r="J187">
            <v>0</v>
          </cell>
          <cell r="K187">
            <v>0.12</v>
          </cell>
          <cell r="P187">
            <v>2</v>
          </cell>
        </row>
        <row r="188">
          <cell r="B188" t="str">
            <v>40S</v>
          </cell>
          <cell r="C188">
            <v>1.25</v>
          </cell>
          <cell r="D188">
            <v>3.56</v>
          </cell>
          <cell r="E188">
            <v>1</v>
          </cell>
          <cell r="I188">
            <v>0.15</v>
          </cell>
          <cell r="K188">
            <v>0.15</v>
          </cell>
          <cell r="P188">
            <v>2</v>
          </cell>
        </row>
        <row r="189">
          <cell r="B189" t="str">
            <v>40S</v>
          </cell>
          <cell r="C189">
            <v>1.25</v>
          </cell>
          <cell r="D189">
            <v>3.56</v>
          </cell>
          <cell r="E189">
            <v>1</v>
          </cell>
          <cell r="I189">
            <v>0.15</v>
          </cell>
          <cell r="K189">
            <v>0.15</v>
          </cell>
          <cell r="P189">
            <v>2</v>
          </cell>
        </row>
        <row r="190">
          <cell r="B190" t="str">
            <v>40S</v>
          </cell>
          <cell r="C190">
            <v>1.25</v>
          </cell>
          <cell r="D190">
            <v>3.56</v>
          </cell>
          <cell r="E190">
            <v>1</v>
          </cell>
          <cell r="I190">
            <v>0.15</v>
          </cell>
          <cell r="K190">
            <v>0.15</v>
          </cell>
          <cell r="P190">
            <v>2</v>
          </cell>
        </row>
        <row r="191">
          <cell r="B191" t="str">
            <v>40S</v>
          </cell>
          <cell r="C191">
            <v>1.5</v>
          </cell>
          <cell r="D191">
            <v>3.68</v>
          </cell>
          <cell r="E191">
            <v>1</v>
          </cell>
          <cell r="I191">
            <v>0.15</v>
          </cell>
          <cell r="J191">
            <v>0</v>
          </cell>
          <cell r="K191">
            <v>0.15</v>
          </cell>
          <cell r="P191">
            <v>2</v>
          </cell>
        </row>
        <row r="192">
          <cell r="B192" t="str">
            <v>40S</v>
          </cell>
          <cell r="C192">
            <v>1.5</v>
          </cell>
          <cell r="D192">
            <v>3.68</v>
          </cell>
          <cell r="E192">
            <v>1</v>
          </cell>
          <cell r="I192">
            <v>0.15</v>
          </cell>
          <cell r="J192">
            <v>0</v>
          </cell>
          <cell r="K192">
            <v>0.15</v>
          </cell>
          <cell r="P192">
            <v>2</v>
          </cell>
        </row>
        <row r="193">
          <cell r="B193" t="str">
            <v>40S</v>
          </cell>
          <cell r="C193">
            <v>1.5</v>
          </cell>
          <cell r="D193">
            <v>3.68</v>
          </cell>
          <cell r="E193">
            <v>1</v>
          </cell>
          <cell r="I193">
            <v>0.15</v>
          </cell>
          <cell r="J193">
            <v>0</v>
          </cell>
          <cell r="K193">
            <v>0.15</v>
          </cell>
          <cell r="P193">
            <v>2</v>
          </cell>
        </row>
        <row r="194">
          <cell r="B194" t="str">
            <v>40S</v>
          </cell>
          <cell r="C194">
            <v>2</v>
          </cell>
          <cell r="D194">
            <v>3.91</v>
          </cell>
          <cell r="E194">
            <v>1</v>
          </cell>
          <cell r="I194">
            <v>0.3</v>
          </cell>
          <cell r="J194">
            <v>0</v>
          </cell>
          <cell r="K194">
            <v>0.3</v>
          </cell>
          <cell r="P194">
            <v>2</v>
          </cell>
        </row>
        <row r="195">
          <cell r="B195" t="str">
            <v>40S</v>
          </cell>
          <cell r="C195">
            <v>2</v>
          </cell>
          <cell r="D195">
            <v>3.91</v>
          </cell>
          <cell r="E195">
            <v>1</v>
          </cell>
          <cell r="I195">
            <v>0.3</v>
          </cell>
          <cell r="J195">
            <v>0</v>
          </cell>
          <cell r="K195">
            <v>0.3</v>
          </cell>
          <cell r="P195">
            <v>2</v>
          </cell>
        </row>
        <row r="196">
          <cell r="B196" t="str">
            <v>40S</v>
          </cell>
          <cell r="C196">
            <v>2</v>
          </cell>
          <cell r="D196">
            <v>3.91</v>
          </cell>
          <cell r="E196">
            <v>1</v>
          </cell>
          <cell r="I196">
            <v>0.3</v>
          </cell>
          <cell r="J196">
            <v>0</v>
          </cell>
          <cell r="K196">
            <v>0.3</v>
          </cell>
          <cell r="P196">
            <v>2</v>
          </cell>
        </row>
        <row r="197">
          <cell r="B197" t="str">
            <v>40S</v>
          </cell>
          <cell r="C197">
            <v>2.5</v>
          </cell>
          <cell r="D197">
            <v>5.16</v>
          </cell>
          <cell r="E197">
            <v>1</v>
          </cell>
          <cell r="I197">
            <v>0.25</v>
          </cell>
          <cell r="J197">
            <v>0.2</v>
          </cell>
          <cell r="K197">
            <v>0.45</v>
          </cell>
          <cell r="P197">
            <v>2</v>
          </cell>
        </row>
        <row r="198">
          <cell r="B198" t="str">
            <v>40S</v>
          </cell>
          <cell r="C198">
            <v>3</v>
          </cell>
          <cell r="D198">
            <v>5.49</v>
          </cell>
          <cell r="E198">
            <v>1</v>
          </cell>
          <cell r="I198">
            <v>0.3</v>
          </cell>
          <cell r="J198">
            <v>0.3</v>
          </cell>
          <cell r="K198">
            <v>0.6</v>
          </cell>
          <cell r="P198">
            <v>2</v>
          </cell>
        </row>
        <row r="199">
          <cell r="B199" t="str">
            <v>40S</v>
          </cell>
          <cell r="C199">
            <v>3.5</v>
          </cell>
          <cell r="D199">
            <v>5.74</v>
          </cell>
          <cell r="E199">
            <v>1</v>
          </cell>
          <cell r="I199">
            <v>0.35</v>
          </cell>
          <cell r="J199">
            <v>0.4</v>
          </cell>
          <cell r="K199">
            <v>0.75</v>
          </cell>
          <cell r="P199">
            <v>3</v>
          </cell>
        </row>
        <row r="200">
          <cell r="B200" t="str">
            <v>40S</v>
          </cell>
          <cell r="C200">
            <v>4</v>
          </cell>
          <cell r="D200">
            <v>6.02</v>
          </cell>
          <cell r="E200">
            <v>1</v>
          </cell>
          <cell r="I200">
            <v>0.41</v>
          </cell>
          <cell r="J200">
            <v>0.49</v>
          </cell>
          <cell r="K200">
            <v>0.89999999999999991</v>
          </cell>
          <cell r="P200">
            <v>3</v>
          </cell>
        </row>
        <row r="201">
          <cell r="B201" t="str">
            <v>40S</v>
          </cell>
          <cell r="C201">
            <v>5</v>
          </cell>
          <cell r="D201">
            <v>6.55</v>
          </cell>
          <cell r="E201">
            <v>1</v>
          </cell>
          <cell r="I201">
            <v>0.51</v>
          </cell>
          <cell r="J201">
            <v>0.54</v>
          </cell>
          <cell r="K201">
            <v>1.05</v>
          </cell>
          <cell r="P201">
            <v>4</v>
          </cell>
        </row>
        <row r="202">
          <cell r="B202" t="str">
            <v>40S</v>
          </cell>
          <cell r="C202">
            <v>6</v>
          </cell>
          <cell r="D202">
            <v>7.11</v>
          </cell>
          <cell r="E202">
            <v>1</v>
          </cell>
          <cell r="I202">
            <v>0.61</v>
          </cell>
          <cell r="J202">
            <v>1.04</v>
          </cell>
          <cell r="K202">
            <v>1.65</v>
          </cell>
          <cell r="P202">
            <v>4</v>
          </cell>
        </row>
        <row r="203">
          <cell r="B203" t="str">
            <v>40S</v>
          </cell>
          <cell r="C203">
            <v>8</v>
          </cell>
          <cell r="D203">
            <v>8.18</v>
          </cell>
          <cell r="E203">
            <v>1</v>
          </cell>
          <cell r="I203">
            <v>0.81</v>
          </cell>
          <cell r="J203">
            <v>1.73</v>
          </cell>
          <cell r="K203">
            <v>2.54</v>
          </cell>
          <cell r="P203">
            <v>4</v>
          </cell>
        </row>
        <row r="204">
          <cell r="B204" t="str">
            <v>40S</v>
          </cell>
          <cell r="C204">
            <v>10</v>
          </cell>
          <cell r="D204">
            <v>9.27</v>
          </cell>
          <cell r="E204">
            <v>1</v>
          </cell>
          <cell r="I204">
            <v>1.01</v>
          </cell>
          <cell r="J204">
            <v>3.04</v>
          </cell>
          <cell r="K204">
            <v>4.05</v>
          </cell>
          <cell r="P204">
            <v>4</v>
          </cell>
        </row>
        <row r="205">
          <cell r="B205" t="str">
            <v>40S</v>
          </cell>
          <cell r="C205">
            <v>12</v>
          </cell>
          <cell r="D205">
            <v>9.5299999999999994</v>
          </cell>
          <cell r="E205">
            <v>1</v>
          </cell>
          <cell r="I205">
            <v>1.22</v>
          </cell>
          <cell r="J205">
            <v>3.28</v>
          </cell>
          <cell r="K205">
            <v>4.5</v>
          </cell>
          <cell r="P205">
            <v>6</v>
          </cell>
        </row>
        <row r="206">
          <cell r="B206">
            <v>60</v>
          </cell>
          <cell r="C206">
            <v>8</v>
          </cell>
          <cell r="D206">
            <v>10.31</v>
          </cell>
          <cell r="E206">
            <v>1.25</v>
          </cell>
          <cell r="I206">
            <v>0.81</v>
          </cell>
          <cell r="J206">
            <v>2.64</v>
          </cell>
          <cell r="K206">
            <v>3.45</v>
          </cell>
          <cell r="P206">
            <v>4</v>
          </cell>
        </row>
        <row r="207">
          <cell r="B207">
            <v>60</v>
          </cell>
          <cell r="C207">
            <v>10</v>
          </cell>
          <cell r="D207">
            <v>12.7</v>
          </cell>
          <cell r="E207">
            <v>1.25</v>
          </cell>
          <cell r="I207">
            <v>1.01</v>
          </cell>
          <cell r="J207">
            <v>5.74</v>
          </cell>
          <cell r="K207">
            <v>6.75</v>
          </cell>
          <cell r="P207">
            <v>4</v>
          </cell>
        </row>
        <row r="208">
          <cell r="B208">
            <v>60</v>
          </cell>
          <cell r="C208">
            <v>12</v>
          </cell>
          <cell r="D208">
            <v>14.27</v>
          </cell>
          <cell r="E208">
            <v>1.25</v>
          </cell>
          <cell r="I208">
            <v>1.22</v>
          </cell>
          <cell r="J208">
            <v>8.3800000000000008</v>
          </cell>
          <cell r="K208">
            <v>9.6000000000000014</v>
          </cell>
          <cell r="P208">
            <v>6</v>
          </cell>
        </row>
        <row r="209">
          <cell r="B209">
            <v>60</v>
          </cell>
          <cell r="C209">
            <v>14</v>
          </cell>
          <cell r="D209">
            <v>15.09</v>
          </cell>
          <cell r="E209">
            <v>1.5</v>
          </cell>
          <cell r="I209">
            <v>1.42</v>
          </cell>
          <cell r="J209">
            <v>9.9700000000000006</v>
          </cell>
          <cell r="K209">
            <v>11.39</v>
          </cell>
          <cell r="P209">
            <v>6</v>
          </cell>
        </row>
        <row r="210">
          <cell r="B210">
            <v>60</v>
          </cell>
          <cell r="C210">
            <v>16</v>
          </cell>
          <cell r="D210">
            <v>16.66</v>
          </cell>
          <cell r="E210">
            <v>1.5</v>
          </cell>
          <cell r="I210">
            <v>1.62</v>
          </cell>
          <cell r="J210">
            <v>14.88</v>
          </cell>
          <cell r="K210">
            <v>16.5</v>
          </cell>
          <cell r="P210">
            <v>6</v>
          </cell>
        </row>
        <row r="211">
          <cell r="B211">
            <v>60</v>
          </cell>
          <cell r="C211">
            <v>18</v>
          </cell>
          <cell r="D211">
            <v>19.05</v>
          </cell>
          <cell r="E211">
            <v>2</v>
          </cell>
          <cell r="I211">
            <v>1.82</v>
          </cell>
          <cell r="J211">
            <v>20.67</v>
          </cell>
          <cell r="K211">
            <v>22.490000000000002</v>
          </cell>
          <cell r="P211">
            <v>6</v>
          </cell>
        </row>
        <row r="212">
          <cell r="B212">
            <v>60</v>
          </cell>
          <cell r="C212">
            <v>20</v>
          </cell>
          <cell r="D212">
            <v>20.62</v>
          </cell>
          <cell r="E212">
            <v>2</v>
          </cell>
          <cell r="I212">
            <v>2.0299999999999998</v>
          </cell>
          <cell r="J212">
            <v>23.47</v>
          </cell>
          <cell r="K212">
            <v>25.5</v>
          </cell>
          <cell r="P212">
            <v>7</v>
          </cell>
        </row>
        <row r="213">
          <cell r="B213">
            <v>60</v>
          </cell>
          <cell r="C213">
            <v>22</v>
          </cell>
          <cell r="D213">
            <v>22.23</v>
          </cell>
          <cell r="E213">
            <v>2</v>
          </cell>
          <cell r="I213">
            <v>2.23</v>
          </cell>
          <cell r="J213">
            <v>29.27</v>
          </cell>
          <cell r="K213">
            <v>31.5</v>
          </cell>
          <cell r="P213">
            <v>8</v>
          </cell>
        </row>
        <row r="214">
          <cell r="B214">
            <v>60</v>
          </cell>
          <cell r="C214">
            <v>24</v>
          </cell>
          <cell r="D214">
            <v>24.61</v>
          </cell>
          <cell r="E214">
            <v>2</v>
          </cell>
          <cell r="I214">
            <v>2.4300000000000002</v>
          </cell>
          <cell r="J214">
            <v>35.07</v>
          </cell>
          <cell r="K214">
            <v>37.5</v>
          </cell>
          <cell r="P214">
            <v>8</v>
          </cell>
        </row>
        <row r="215">
          <cell r="B215">
            <v>80</v>
          </cell>
          <cell r="C215">
            <v>0.125</v>
          </cell>
          <cell r="D215">
            <v>2.41</v>
          </cell>
          <cell r="E215">
            <v>1</v>
          </cell>
          <cell r="I215">
            <v>7.0000000000000007E-2</v>
          </cell>
          <cell r="K215">
            <v>7.0000000000000007E-2</v>
          </cell>
          <cell r="P215">
            <v>2</v>
          </cell>
        </row>
        <row r="216">
          <cell r="B216">
            <v>80</v>
          </cell>
          <cell r="C216">
            <v>0.125</v>
          </cell>
          <cell r="D216">
            <v>2.41</v>
          </cell>
          <cell r="E216">
            <v>1</v>
          </cell>
          <cell r="I216">
            <v>7.0000000000000007E-2</v>
          </cell>
          <cell r="K216">
            <v>7.0000000000000007E-2</v>
          </cell>
          <cell r="P216">
            <v>2</v>
          </cell>
        </row>
        <row r="217">
          <cell r="B217">
            <v>80</v>
          </cell>
          <cell r="C217">
            <v>0.125</v>
          </cell>
          <cell r="D217">
            <v>2.41</v>
          </cell>
          <cell r="E217">
            <v>1</v>
          </cell>
          <cell r="I217">
            <v>7.0000000000000007E-2</v>
          </cell>
          <cell r="K217">
            <v>7.0000000000000007E-2</v>
          </cell>
          <cell r="P217">
            <v>2</v>
          </cell>
        </row>
        <row r="218">
          <cell r="B218">
            <v>80</v>
          </cell>
          <cell r="C218">
            <v>0.25</v>
          </cell>
          <cell r="D218">
            <v>3.02</v>
          </cell>
          <cell r="E218">
            <v>1</v>
          </cell>
          <cell r="I218">
            <v>7.0000000000000007E-2</v>
          </cell>
          <cell r="K218">
            <v>7.0000000000000007E-2</v>
          </cell>
          <cell r="P218">
            <v>2</v>
          </cell>
        </row>
        <row r="219">
          <cell r="B219">
            <v>80</v>
          </cell>
          <cell r="C219">
            <v>0.25</v>
          </cell>
          <cell r="D219">
            <v>3.02</v>
          </cell>
          <cell r="E219">
            <v>1</v>
          </cell>
          <cell r="I219">
            <v>7.0000000000000007E-2</v>
          </cell>
          <cell r="K219">
            <v>7.0000000000000007E-2</v>
          </cell>
          <cell r="P219">
            <v>2</v>
          </cell>
        </row>
        <row r="220">
          <cell r="B220">
            <v>80</v>
          </cell>
          <cell r="C220">
            <v>0.25</v>
          </cell>
          <cell r="D220">
            <v>3.02</v>
          </cell>
          <cell r="E220">
            <v>1</v>
          </cell>
          <cell r="I220">
            <v>7.0000000000000007E-2</v>
          </cell>
          <cell r="K220">
            <v>7.0000000000000007E-2</v>
          </cell>
          <cell r="P220">
            <v>2</v>
          </cell>
        </row>
        <row r="221">
          <cell r="B221">
            <v>80</v>
          </cell>
          <cell r="C221">
            <v>0.375</v>
          </cell>
          <cell r="D221">
            <v>3.2</v>
          </cell>
          <cell r="E221">
            <v>1</v>
          </cell>
          <cell r="I221">
            <v>7.0000000000000007E-2</v>
          </cell>
          <cell r="J221">
            <v>0</v>
          </cell>
          <cell r="K221">
            <v>7.0000000000000007E-2</v>
          </cell>
          <cell r="P221">
            <v>2</v>
          </cell>
        </row>
        <row r="222">
          <cell r="B222">
            <v>80</v>
          </cell>
          <cell r="C222">
            <v>0.375</v>
          </cell>
          <cell r="D222">
            <v>3.2</v>
          </cell>
          <cell r="E222">
            <v>1</v>
          </cell>
          <cell r="I222">
            <v>7.0000000000000007E-2</v>
          </cell>
          <cell r="J222">
            <v>0</v>
          </cell>
          <cell r="K222">
            <v>7.0000000000000007E-2</v>
          </cell>
          <cell r="P222">
            <v>2</v>
          </cell>
        </row>
        <row r="223">
          <cell r="B223">
            <v>80</v>
          </cell>
          <cell r="C223">
            <v>0.375</v>
          </cell>
          <cell r="D223">
            <v>3.2</v>
          </cell>
          <cell r="E223">
            <v>1</v>
          </cell>
          <cell r="I223">
            <v>7.0000000000000007E-2</v>
          </cell>
          <cell r="J223">
            <v>0</v>
          </cell>
          <cell r="K223">
            <v>7.0000000000000007E-2</v>
          </cell>
          <cell r="P223">
            <v>2</v>
          </cell>
        </row>
        <row r="224">
          <cell r="B224">
            <v>80</v>
          </cell>
          <cell r="C224">
            <v>0.5</v>
          </cell>
          <cell r="D224">
            <v>3.73</v>
          </cell>
          <cell r="E224">
            <v>1</v>
          </cell>
          <cell r="I224">
            <v>7.0000000000000007E-2</v>
          </cell>
          <cell r="J224">
            <v>0</v>
          </cell>
          <cell r="K224">
            <v>7.0000000000000007E-2</v>
          </cell>
          <cell r="P224">
            <v>2</v>
          </cell>
        </row>
        <row r="225">
          <cell r="B225">
            <v>80</v>
          </cell>
          <cell r="C225">
            <v>0.5</v>
          </cell>
          <cell r="D225">
            <v>3.73</v>
          </cell>
          <cell r="E225">
            <v>1</v>
          </cell>
          <cell r="I225">
            <v>7.0000000000000007E-2</v>
          </cell>
          <cell r="J225">
            <v>0</v>
          </cell>
          <cell r="K225">
            <v>7.0000000000000007E-2</v>
          </cell>
          <cell r="P225">
            <v>2</v>
          </cell>
        </row>
        <row r="226">
          <cell r="B226">
            <v>80</v>
          </cell>
          <cell r="C226">
            <v>0.5</v>
          </cell>
          <cell r="D226">
            <v>3.73</v>
          </cell>
          <cell r="E226">
            <v>1</v>
          </cell>
          <cell r="I226">
            <v>7.0000000000000007E-2</v>
          </cell>
          <cell r="J226">
            <v>0</v>
          </cell>
          <cell r="K226">
            <v>7.0000000000000007E-2</v>
          </cell>
          <cell r="P226">
            <v>2</v>
          </cell>
        </row>
        <row r="227">
          <cell r="B227">
            <v>80</v>
          </cell>
          <cell r="C227">
            <v>0.75</v>
          </cell>
          <cell r="D227">
            <v>3.91</v>
          </cell>
          <cell r="E227">
            <v>1</v>
          </cell>
          <cell r="I227">
            <v>7.0000000000000007E-2</v>
          </cell>
          <cell r="J227">
            <v>0</v>
          </cell>
          <cell r="K227">
            <v>7.0000000000000007E-2</v>
          </cell>
          <cell r="P227">
            <v>2</v>
          </cell>
        </row>
        <row r="228">
          <cell r="B228">
            <v>80</v>
          </cell>
          <cell r="C228">
            <v>0.75</v>
          </cell>
          <cell r="D228">
            <v>3.91</v>
          </cell>
          <cell r="E228">
            <v>1</v>
          </cell>
          <cell r="I228">
            <v>7.0000000000000007E-2</v>
          </cell>
          <cell r="J228">
            <v>0</v>
          </cell>
          <cell r="K228">
            <v>7.0000000000000007E-2</v>
          </cell>
          <cell r="P228">
            <v>2</v>
          </cell>
        </row>
        <row r="229">
          <cell r="B229">
            <v>80</v>
          </cell>
          <cell r="C229">
            <v>0.75</v>
          </cell>
          <cell r="D229">
            <v>3.91</v>
          </cell>
          <cell r="E229">
            <v>1</v>
          </cell>
          <cell r="I229">
            <v>7.0000000000000007E-2</v>
          </cell>
          <cell r="J229">
            <v>0</v>
          </cell>
          <cell r="K229">
            <v>7.0000000000000007E-2</v>
          </cell>
          <cell r="P229">
            <v>2</v>
          </cell>
        </row>
        <row r="230">
          <cell r="B230">
            <v>80</v>
          </cell>
          <cell r="C230">
            <v>1</v>
          </cell>
          <cell r="D230">
            <v>4.55</v>
          </cell>
          <cell r="E230">
            <v>1</v>
          </cell>
          <cell r="I230">
            <v>0.15</v>
          </cell>
          <cell r="J230">
            <v>0</v>
          </cell>
          <cell r="K230">
            <v>0.15</v>
          </cell>
          <cell r="P230">
            <v>2</v>
          </cell>
        </row>
        <row r="231">
          <cell r="B231">
            <v>80</v>
          </cell>
          <cell r="C231">
            <v>1</v>
          </cell>
          <cell r="D231">
            <v>4.55</v>
          </cell>
          <cell r="E231">
            <v>1</v>
          </cell>
          <cell r="I231">
            <v>0.15</v>
          </cell>
          <cell r="J231">
            <v>0</v>
          </cell>
          <cell r="K231">
            <v>0.15</v>
          </cell>
          <cell r="P231">
            <v>2</v>
          </cell>
        </row>
        <row r="232">
          <cell r="B232">
            <v>80</v>
          </cell>
          <cell r="C232">
            <v>1</v>
          </cell>
          <cell r="D232">
            <v>4.55</v>
          </cell>
          <cell r="E232">
            <v>1</v>
          </cell>
          <cell r="I232">
            <v>0.15</v>
          </cell>
          <cell r="J232">
            <v>0</v>
          </cell>
          <cell r="K232">
            <v>0.15</v>
          </cell>
          <cell r="P232">
            <v>2</v>
          </cell>
        </row>
        <row r="233">
          <cell r="B233">
            <v>80</v>
          </cell>
          <cell r="C233">
            <v>1.25</v>
          </cell>
          <cell r="D233">
            <v>4.8499999999999996</v>
          </cell>
          <cell r="E233">
            <v>1</v>
          </cell>
          <cell r="I233">
            <v>0.13</v>
          </cell>
          <cell r="J233">
            <v>0.17</v>
          </cell>
          <cell r="K233">
            <v>0.30000000000000004</v>
          </cell>
          <cell r="P233">
            <v>2</v>
          </cell>
        </row>
        <row r="234">
          <cell r="B234">
            <v>80</v>
          </cell>
          <cell r="C234">
            <v>1.25</v>
          </cell>
          <cell r="D234">
            <v>4.8499999999999996</v>
          </cell>
          <cell r="E234">
            <v>1</v>
          </cell>
          <cell r="I234">
            <v>0.13</v>
          </cell>
          <cell r="J234">
            <v>0.17</v>
          </cell>
          <cell r="K234">
            <v>0.30000000000000004</v>
          </cell>
          <cell r="P234">
            <v>2</v>
          </cell>
        </row>
        <row r="235">
          <cell r="B235">
            <v>80</v>
          </cell>
          <cell r="C235">
            <v>1.25</v>
          </cell>
          <cell r="D235">
            <v>4.8499999999999996</v>
          </cell>
          <cell r="E235">
            <v>1</v>
          </cell>
          <cell r="I235">
            <v>0.13</v>
          </cell>
          <cell r="J235">
            <v>0.17</v>
          </cell>
          <cell r="K235">
            <v>0.30000000000000004</v>
          </cell>
          <cell r="P235">
            <v>2</v>
          </cell>
        </row>
        <row r="236">
          <cell r="B236">
            <v>80</v>
          </cell>
          <cell r="C236">
            <v>1.5</v>
          </cell>
          <cell r="D236">
            <v>5.08</v>
          </cell>
          <cell r="E236">
            <v>1</v>
          </cell>
          <cell r="I236">
            <v>0.15</v>
          </cell>
          <cell r="J236">
            <v>0.15</v>
          </cell>
          <cell r="K236">
            <v>0.3</v>
          </cell>
          <cell r="P236">
            <v>2</v>
          </cell>
        </row>
        <row r="237">
          <cell r="B237">
            <v>80</v>
          </cell>
          <cell r="C237">
            <v>1.5</v>
          </cell>
          <cell r="D237">
            <v>5.08</v>
          </cell>
          <cell r="E237">
            <v>1</v>
          </cell>
          <cell r="I237">
            <v>0.15</v>
          </cell>
          <cell r="J237">
            <v>0.15</v>
          </cell>
          <cell r="K237">
            <v>0.3</v>
          </cell>
          <cell r="P237">
            <v>2</v>
          </cell>
        </row>
        <row r="238">
          <cell r="B238">
            <v>80</v>
          </cell>
          <cell r="C238">
            <v>1.5</v>
          </cell>
          <cell r="D238">
            <v>5.08</v>
          </cell>
          <cell r="E238">
            <v>1</v>
          </cell>
          <cell r="I238">
            <v>0.15</v>
          </cell>
          <cell r="J238">
            <v>0.15</v>
          </cell>
          <cell r="K238">
            <v>0.3</v>
          </cell>
          <cell r="P238">
            <v>2</v>
          </cell>
        </row>
        <row r="239">
          <cell r="B239">
            <v>80</v>
          </cell>
          <cell r="C239">
            <v>2</v>
          </cell>
          <cell r="D239">
            <v>5.54</v>
          </cell>
          <cell r="E239">
            <v>1</v>
          </cell>
          <cell r="I239">
            <v>0.2</v>
          </cell>
          <cell r="J239">
            <v>0.25</v>
          </cell>
          <cell r="K239">
            <v>0.45</v>
          </cell>
          <cell r="P239">
            <v>2</v>
          </cell>
        </row>
        <row r="240">
          <cell r="B240">
            <v>80</v>
          </cell>
          <cell r="C240">
            <v>2</v>
          </cell>
          <cell r="D240">
            <v>5.54</v>
          </cell>
          <cell r="E240">
            <v>1</v>
          </cell>
          <cell r="I240">
            <v>0.2</v>
          </cell>
          <cell r="J240">
            <v>0.25</v>
          </cell>
          <cell r="K240">
            <v>0.45</v>
          </cell>
          <cell r="P240">
            <v>2</v>
          </cell>
        </row>
        <row r="241">
          <cell r="B241">
            <v>80</v>
          </cell>
          <cell r="C241">
            <v>2</v>
          </cell>
          <cell r="D241">
            <v>5.54</v>
          </cell>
          <cell r="E241">
            <v>1</v>
          </cell>
          <cell r="I241">
            <v>0.2</v>
          </cell>
          <cell r="J241">
            <v>0.25</v>
          </cell>
          <cell r="K241">
            <v>0.45</v>
          </cell>
          <cell r="P241">
            <v>2</v>
          </cell>
        </row>
        <row r="242">
          <cell r="B242">
            <v>80</v>
          </cell>
          <cell r="C242">
            <v>2.5</v>
          </cell>
          <cell r="D242">
            <v>7.01</v>
          </cell>
          <cell r="E242">
            <v>1</v>
          </cell>
          <cell r="I242">
            <v>0.25</v>
          </cell>
          <cell r="J242">
            <v>0.5</v>
          </cell>
          <cell r="K242">
            <v>0.75</v>
          </cell>
          <cell r="P242">
            <v>2</v>
          </cell>
        </row>
        <row r="243">
          <cell r="B243">
            <v>80</v>
          </cell>
          <cell r="C243">
            <v>3</v>
          </cell>
          <cell r="D243">
            <v>7.62</v>
          </cell>
          <cell r="E243">
            <v>1</v>
          </cell>
          <cell r="I243">
            <v>0.3</v>
          </cell>
          <cell r="J243">
            <v>0.6</v>
          </cell>
          <cell r="K243">
            <v>0.89999999999999991</v>
          </cell>
          <cell r="P243">
            <v>2</v>
          </cell>
        </row>
        <row r="244">
          <cell r="B244">
            <v>80</v>
          </cell>
          <cell r="C244">
            <v>3.5</v>
          </cell>
          <cell r="D244">
            <v>8.08</v>
          </cell>
          <cell r="E244">
            <v>1</v>
          </cell>
          <cell r="I244">
            <v>0.35</v>
          </cell>
          <cell r="J244">
            <v>0.85</v>
          </cell>
          <cell r="K244">
            <v>1.2</v>
          </cell>
          <cell r="P244">
            <v>3</v>
          </cell>
        </row>
        <row r="245">
          <cell r="B245">
            <v>80</v>
          </cell>
          <cell r="C245">
            <v>4</v>
          </cell>
          <cell r="D245">
            <v>8.56</v>
          </cell>
          <cell r="E245">
            <v>1</v>
          </cell>
          <cell r="I245">
            <v>0.41</v>
          </cell>
          <cell r="J245">
            <v>0.93</v>
          </cell>
          <cell r="K245">
            <v>1.34</v>
          </cell>
          <cell r="P245">
            <v>3</v>
          </cell>
        </row>
        <row r="246">
          <cell r="B246">
            <v>80</v>
          </cell>
          <cell r="C246">
            <v>5</v>
          </cell>
          <cell r="D246">
            <v>9.5299999999999994</v>
          </cell>
          <cell r="E246">
            <v>1</v>
          </cell>
          <cell r="I246">
            <v>0.51</v>
          </cell>
          <cell r="J246">
            <v>1.59</v>
          </cell>
          <cell r="K246">
            <v>2.1</v>
          </cell>
          <cell r="P246">
            <v>4</v>
          </cell>
        </row>
        <row r="247">
          <cell r="B247">
            <v>80</v>
          </cell>
          <cell r="C247">
            <v>6</v>
          </cell>
          <cell r="D247">
            <v>10.97</v>
          </cell>
          <cell r="E247">
            <v>1.25</v>
          </cell>
          <cell r="I247">
            <v>0.61</v>
          </cell>
          <cell r="J247">
            <v>2.69</v>
          </cell>
          <cell r="K247">
            <v>3.3</v>
          </cell>
          <cell r="P247">
            <v>4</v>
          </cell>
        </row>
        <row r="248">
          <cell r="B248">
            <v>80</v>
          </cell>
          <cell r="C248">
            <v>8</v>
          </cell>
          <cell r="D248">
            <v>12.7</v>
          </cell>
          <cell r="E248">
            <v>1.25</v>
          </cell>
          <cell r="I248">
            <v>0.81</v>
          </cell>
          <cell r="J248">
            <v>4.58</v>
          </cell>
          <cell r="K248">
            <v>5.3900000000000006</v>
          </cell>
          <cell r="P248">
            <v>4</v>
          </cell>
        </row>
        <row r="249">
          <cell r="B249">
            <v>80</v>
          </cell>
          <cell r="C249">
            <v>10</v>
          </cell>
          <cell r="D249">
            <v>15.09</v>
          </cell>
          <cell r="E249">
            <v>1.5</v>
          </cell>
          <cell r="I249">
            <v>1.01</v>
          </cell>
          <cell r="J249">
            <v>7.99</v>
          </cell>
          <cell r="K249">
            <v>9</v>
          </cell>
          <cell r="P249">
            <v>4</v>
          </cell>
        </row>
        <row r="250">
          <cell r="B250">
            <v>80</v>
          </cell>
          <cell r="C250">
            <v>12</v>
          </cell>
          <cell r="D250">
            <v>17.48</v>
          </cell>
          <cell r="E250">
            <v>1.5</v>
          </cell>
          <cell r="I250">
            <v>1.22</v>
          </cell>
          <cell r="J250">
            <v>11.68</v>
          </cell>
          <cell r="K250">
            <v>12.9</v>
          </cell>
          <cell r="P250">
            <v>6</v>
          </cell>
        </row>
        <row r="251">
          <cell r="B251">
            <v>80</v>
          </cell>
          <cell r="C251">
            <v>14</v>
          </cell>
          <cell r="D251">
            <v>19.05</v>
          </cell>
          <cell r="E251">
            <v>2</v>
          </cell>
          <cell r="I251">
            <v>1.42</v>
          </cell>
          <cell r="J251">
            <v>12.68</v>
          </cell>
          <cell r="K251">
            <v>14.1</v>
          </cell>
          <cell r="P251">
            <v>6</v>
          </cell>
        </row>
        <row r="252">
          <cell r="B252">
            <v>80</v>
          </cell>
          <cell r="C252">
            <v>16</v>
          </cell>
          <cell r="D252">
            <v>21.44</v>
          </cell>
          <cell r="E252">
            <v>2</v>
          </cell>
          <cell r="I252">
            <v>1.62</v>
          </cell>
          <cell r="J252">
            <v>19.37</v>
          </cell>
          <cell r="K252">
            <v>20.990000000000002</v>
          </cell>
          <cell r="P252">
            <v>6</v>
          </cell>
        </row>
        <row r="253">
          <cell r="B253">
            <v>80</v>
          </cell>
          <cell r="C253">
            <v>18</v>
          </cell>
          <cell r="D253">
            <v>23.83</v>
          </cell>
          <cell r="E253">
            <v>2</v>
          </cell>
          <cell r="I253">
            <v>1.82</v>
          </cell>
          <cell r="J253">
            <v>26.68</v>
          </cell>
          <cell r="K253">
            <v>28.5</v>
          </cell>
          <cell r="P253">
            <v>6</v>
          </cell>
        </row>
        <row r="254">
          <cell r="B254">
            <v>80</v>
          </cell>
          <cell r="C254">
            <v>20</v>
          </cell>
          <cell r="D254">
            <v>26.19</v>
          </cell>
          <cell r="E254" t="str">
            <v>N</v>
          </cell>
          <cell r="I254">
            <v>2.0299999999999998</v>
          </cell>
          <cell r="J254">
            <v>36.96</v>
          </cell>
          <cell r="K254">
            <v>38.99</v>
          </cell>
          <cell r="P254">
            <v>7</v>
          </cell>
        </row>
        <row r="255">
          <cell r="B255">
            <v>80</v>
          </cell>
          <cell r="C255">
            <v>22</v>
          </cell>
          <cell r="D255">
            <v>28.58</v>
          </cell>
          <cell r="E255" t="str">
            <v>N</v>
          </cell>
          <cell r="I255">
            <v>2.23</v>
          </cell>
          <cell r="J255">
            <v>45.77</v>
          </cell>
          <cell r="K255">
            <v>48</v>
          </cell>
          <cell r="P255">
            <v>8</v>
          </cell>
        </row>
        <row r="256">
          <cell r="B256">
            <v>80</v>
          </cell>
          <cell r="C256">
            <v>24</v>
          </cell>
          <cell r="D256">
            <v>30.96</v>
          </cell>
          <cell r="E256" t="str">
            <v>N</v>
          </cell>
          <cell r="I256">
            <v>2.4300000000000002</v>
          </cell>
          <cell r="J256">
            <v>53.07</v>
          </cell>
          <cell r="K256">
            <v>55.5</v>
          </cell>
          <cell r="P256">
            <v>8</v>
          </cell>
        </row>
        <row r="257">
          <cell r="B257" t="str">
            <v>80S</v>
          </cell>
          <cell r="C257">
            <v>0.125</v>
          </cell>
          <cell r="D257">
            <v>2.41</v>
          </cell>
          <cell r="E257">
            <v>1</v>
          </cell>
          <cell r="I257">
            <v>7.0000000000000007E-2</v>
          </cell>
          <cell r="K257">
            <v>7.0000000000000007E-2</v>
          </cell>
          <cell r="P257">
            <v>2</v>
          </cell>
        </row>
        <row r="258">
          <cell r="B258" t="str">
            <v>80S</v>
          </cell>
          <cell r="C258">
            <v>0.125</v>
          </cell>
          <cell r="D258">
            <v>2.41</v>
          </cell>
          <cell r="E258">
            <v>1</v>
          </cell>
          <cell r="I258">
            <v>7.0000000000000007E-2</v>
          </cell>
          <cell r="K258">
            <v>7.0000000000000007E-2</v>
          </cell>
          <cell r="P258">
            <v>2</v>
          </cell>
        </row>
        <row r="259">
          <cell r="B259" t="str">
            <v>80S</v>
          </cell>
          <cell r="C259">
            <v>0.125</v>
          </cell>
          <cell r="D259">
            <v>2.41</v>
          </cell>
          <cell r="E259">
            <v>1</v>
          </cell>
          <cell r="I259">
            <v>7.0000000000000007E-2</v>
          </cell>
          <cell r="K259">
            <v>7.0000000000000007E-2</v>
          </cell>
          <cell r="P259">
            <v>2</v>
          </cell>
        </row>
        <row r="260">
          <cell r="B260" t="str">
            <v>80S</v>
          </cell>
          <cell r="C260">
            <v>0.25</v>
          </cell>
          <cell r="D260">
            <v>3.02</v>
          </cell>
          <cell r="E260">
            <v>1</v>
          </cell>
          <cell r="I260">
            <v>7.0000000000000007E-2</v>
          </cell>
          <cell r="K260">
            <v>7.0000000000000007E-2</v>
          </cell>
          <cell r="P260">
            <v>2</v>
          </cell>
        </row>
        <row r="261">
          <cell r="B261" t="str">
            <v>80S</v>
          </cell>
          <cell r="C261">
            <v>0.25</v>
          </cell>
          <cell r="D261">
            <v>3.02</v>
          </cell>
          <cell r="E261">
            <v>1</v>
          </cell>
          <cell r="I261">
            <v>7.0000000000000007E-2</v>
          </cell>
          <cell r="K261">
            <v>7.0000000000000007E-2</v>
          </cell>
          <cell r="P261">
            <v>2</v>
          </cell>
        </row>
        <row r="262">
          <cell r="B262" t="str">
            <v>80S</v>
          </cell>
          <cell r="C262">
            <v>0.25</v>
          </cell>
          <cell r="D262">
            <v>3.02</v>
          </cell>
          <cell r="E262">
            <v>1</v>
          </cell>
          <cell r="I262">
            <v>7.0000000000000007E-2</v>
          </cell>
          <cell r="K262">
            <v>7.0000000000000007E-2</v>
          </cell>
          <cell r="P262">
            <v>2</v>
          </cell>
        </row>
        <row r="263">
          <cell r="B263" t="str">
            <v>80S</v>
          </cell>
          <cell r="C263">
            <v>0.375</v>
          </cell>
          <cell r="D263">
            <v>3.2</v>
          </cell>
          <cell r="E263">
            <v>1</v>
          </cell>
          <cell r="I263">
            <v>7.0000000000000007E-2</v>
          </cell>
          <cell r="J263">
            <v>0</v>
          </cell>
          <cell r="K263">
            <v>7.0000000000000007E-2</v>
          </cell>
          <cell r="P263">
            <v>2</v>
          </cell>
        </row>
        <row r="264">
          <cell r="B264" t="str">
            <v>80S</v>
          </cell>
          <cell r="C264">
            <v>0.375</v>
          </cell>
          <cell r="D264">
            <v>3.2</v>
          </cell>
          <cell r="E264">
            <v>1</v>
          </cell>
          <cell r="I264">
            <v>7.0000000000000007E-2</v>
          </cell>
          <cell r="J264">
            <v>0</v>
          </cell>
          <cell r="K264">
            <v>7.0000000000000007E-2</v>
          </cell>
          <cell r="P264">
            <v>2</v>
          </cell>
        </row>
        <row r="265">
          <cell r="B265" t="str">
            <v>80S</v>
          </cell>
          <cell r="C265">
            <v>0.375</v>
          </cell>
          <cell r="D265">
            <v>3.2</v>
          </cell>
          <cell r="E265">
            <v>1</v>
          </cell>
          <cell r="I265">
            <v>7.0000000000000007E-2</v>
          </cell>
          <cell r="J265">
            <v>0</v>
          </cell>
          <cell r="K265">
            <v>7.0000000000000007E-2</v>
          </cell>
          <cell r="P265">
            <v>2</v>
          </cell>
        </row>
        <row r="266">
          <cell r="B266" t="str">
            <v>80S</v>
          </cell>
          <cell r="C266">
            <v>0.5</v>
          </cell>
          <cell r="D266">
            <v>3.73</v>
          </cell>
          <cell r="E266">
            <v>1</v>
          </cell>
          <cell r="I266">
            <v>7.0000000000000007E-2</v>
          </cell>
          <cell r="J266">
            <v>0</v>
          </cell>
          <cell r="K266">
            <v>7.0000000000000007E-2</v>
          </cell>
          <cell r="P266">
            <v>2</v>
          </cell>
        </row>
        <row r="267">
          <cell r="B267" t="str">
            <v>80S</v>
          </cell>
          <cell r="C267">
            <v>0.5</v>
          </cell>
          <cell r="D267">
            <v>3.73</v>
          </cell>
          <cell r="E267">
            <v>1</v>
          </cell>
          <cell r="I267">
            <v>7.0000000000000007E-2</v>
          </cell>
          <cell r="J267">
            <v>0</v>
          </cell>
          <cell r="K267">
            <v>7.0000000000000007E-2</v>
          </cell>
          <cell r="P267">
            <v>2</v>
          </cell>
        </row>
        <row r="268">
          <cell r="B268" t="str">
            <v>80S</v>
          </cell>
          <cell r="C268">
            <v>0.5</v>
          </cell>
          <cell r="D268">
            <v>3.73</v>
          </cell>
          <cell r="E268">
            <v>1</v>
          </cell>
          <cell r="I268">
            <v>7.0000000000000007E-2</v>
          </cell>
          <cell r="J268">
            <v>0</v>
          </cell>
          <cell r="K268">
            <v>7.0000000000000007E-2</v>
          </cell>
          <cell r="P268">
            <v>2</v>
          </cell>
        </row>
        <row r="269">
          <cell r="B269" t="str">
            <v>80S</v>
          </cell>
          <cell r="C269">
            <v>0.75</v>
          </cell>
          <cell r="D269">
            <v>3.91</v>
          </cell>
          <cell r="E269">
            <v>1</v>
          </cell>
          <cell r="I269">
            <v>7.0000000000000007E-2</v>
          </cell>
          <cell r="J269">
            <v>0</v>
          </cell>
          <cell r="K269">
            <v>7.0000000000000007E-2</v>
          </cell>
          <cell r="P269">
            <v>2</v>
          </cell>
        </row>
        <row r="270">
          <cell r="B270" t="str">
            <v>80S</v>
          </cell>
          <cell r="C270">
            <v>0.75</v>
          </cell>
          <cell r="D270">
            <v>3.91</v>
          </cell>
          <cell r="E270">
            <v>1</v>
          </cell>
          <cell r="I270">
            <v>7.0000000000000007E-2</v>
          </cell>
          <cell r="J270">
            <v>0</v>
          </cell>
          <cell r="K270">
            <v>7.0000000000000007E-2</v>
          </cell>
          <cell r="P270">
            <v>2</v>
          </cell>
        </row>
        <row r="271">
          <cell r="B271" t="str">
            <v>80S</v>
          </cell>
          <cell r="C271">
            <v>0.75</v>
          </cell>
          <cell r="D271">
            <v>3.91</v>
          </cell>
          <cell r="E271">
            <v>1</v>
          </cell>
          <cell r="I271">
            <v>7.0000000000000007E-2</v>
          </cell>
          <cell r="J271">
            <v>0</v>
          </cell>
          <cell r="K271">
            <v>7.0000000000000007E-2</v>
          </cell>
          <cell r="P271">
            <v>2</v>
          </cell>
        </row>
        <row r="272">
          <cell r="B272" t="str">
            <v>80S</v>
          </cell>
          <cell r="C272">
            <v>1</v>
          </cell>
          <cell r="D272">
            <v>4.55</v>
          </cell>
          <cell r="E272">
            <v>1</v>
          </cell>
          <cell r="I272">
            <v>0.15</v>
          </cell>
          <cell r="J272">
            <v>0</v>
          </cell>
          <cell r="K272">
            <v>0.15</v>
          </cell>
          <cell r="P272">
            <v>2</v>
          </cell>
        </row>
        <row r="273">
          <cell r="B273" t="str">
            <v>80S</v>
          </cell>
          <cell r="C273">
            <v>1</v>
          </cell>
          <cell r="D273">
            <v>4.55</v>
          </cell>
          <cell r="E273">
            <v>1</v>
          </cell>
          <cell r="I273">
            <v>0.15</v>
          </cell>
          <cell r="J273">
            <v>0</v>
          </cell>
          <cell r="K273">
            <v>0.15</v>
          </cell>
          <cell r="P273">
            <v>2</v>
          </cell>
        </row>
        <row r="274">
          <cell r="B274" t="str">
            <v>80S</v>
          </cell>
          <cell r="C274">
            <v>1</v>
          </cell>
          <cell r="D274">
            <v>4.55</v>
          </cell>
          <cell r="E274">
            <v>1</v>
          </cell>
          <cell r="I274">
            <v>0.15</v>
          </cell>
          <cell r="J274">
            <v>0</v>
          </cell>
          <cell r="K274">
            <v>0.15</v>
          </cell>
          <cell r="P274">
            <v>2</v>
          </cell>
        </row>
        <row r="275">
          <cell r="B275" t="str">
            <v>80S</v>
          </cell>
          <cell r="C275">
            <v>1.25</v>
          </cell>
          <cell r="D275">
            <v>4.8499999999999996</v>
          </cell>
          <cell r="E275">
            <v>1</v>
          </cell>
          <cell r="I275">
            <v>0.13</v>
          </cell>
          <cell r="J275">
            <v>0.17</v>
          </cell>
          <cell r="K275">
            <v>0.30000000000000004</v>
          </cell>
          <cell r="P275">
            <v>2</v>
          </cell>
        </row>
        <row r="276">
          <cell r="B276" t="str">
            <v>80S</v>
          </cell>
          <cell r="C276">
            <v>1.25</v>
          </cell>
          <cell r="D276">
            <v>4.8499999999999996</v>
          </cell>
          <cell r="E276">
            <v>1</v>
          </cell>
          <cell r="I276">
            <v>0.13</v>
          </cell>
          <cell r="J276">
            <v>0.17</v>
          </cell>
          <cell r="K276">
            <v>0.30000000000000004</v>
          </cell>
          <cell r="P276">
            <v>2</v>
          </cell>
        </row>
        <row r="277">
          <cell r="B277" t="str">
            <v>80S</v>
          </cell>
          <cell r="C277">
            <v>1.25</v>
          </cell>
          <cell r="D277">
            <v>4.8499999999999996</v>
          </cell>
          <cell r="E277">
            <v>1</v>
          </cell>
          <cell r="I277">
            <v>0.13</v>
          </cell>
          <cell r="J277">
            <v>0.17</v>
          </cell>
          <cell r="K277">
            <v>0.30000000000000004</v>
          </cell>
          <cell r="P277">
            <v>2</v>
          </cell>
        </row>
        <row r="278">
          <cell r="B278" t="str">
            <v>80S</v>
          </cell>
          <cell r="C278">
            <v>1.5</v>
          </cell>
          <cell r="D278">
            <v>5.08</v>
          </cell>
          <cell r="E278">
            <v>1</v>
          </cell>
          <cell r="I278">
            <v>0.15</v>
          </cell>
          <cell r="J278">
            <v>0.15</v>
          </cell>
          <cell r="K278">
            <v>0.3</v>
          </cell>
          <cell r="P278">
            <v>2</v>
          </cell>
        </row>
        <row r="279">
          <cell r="B279" t="str">
            <v>80S</v>
          </cell>
          <cell r="C279">
            <v>1.5</v>
          </cell>
          <cell r="D279">
            <v>5.08</v>
          </cell>
          <cell r="E279">
            <v>1</v>
          </cell>
          <cell r="I279">
            <v>0.15</v>
          </cell>
          <cell r="J279">
            <v>0.15</v>
          </cell>
          <cell r="K279">
            <v>0.3</v>
          </cell>
          <cell r="P279">
            <v>2</v>
          </cell>
        </row>
        <row r="280">
          <cell r="B280" t="str">
            <v>80S</v>
          </cell>
          <cell r="C280">
            <v>1.5</v>
          </cell>
          <cell r="D280">
            <v>5.08</v>
          </cell>
          <cell r="E280">
            <v>1</v>
          </cell>
          <cell r="I280">
            <v>0.15</v>
          </cell>
          <cell r="J280">
            <v>0.15</v>
          </cell>
          <cell r="K280">
            <v>0.3</v>
          </cell>
          <cell r="P280">
            <v>2</v>
          </cell>
        </row>
        <row r="281">
          <cell r="B281" t="str">
            <v>80S</v>
          </cell>
          <cell r="C281">
            <v>2</v>
          </cell>
          <cell r="D281">
            <v>5.54</v>
          </cell>
          <cell r="E281">
            <v>1</v>
          </cell>
          <cell r="I281">
            <v>0.2</v>
          </cell>
          <cell r="J281">
            <v>0.25</v>
          </cell>
          <cell r="K281">
            <v>0.45</v>
          </cell>
          <cell r="P281">
            <v>2</v>
          </cell>
        </row>
        <row r="282">
          <cell r="B282" t="str">
            <v>80S</v>
          </cell>
          <cell r="C282">
            <v>2</v>
          </cell>
          <cell r="D282">
            <v>5.54</v>
          </cell>
          <cell r="E282">
            <v>1</v>
          </cell>
          <cell r="I282">
            <v>0.2</v>
          </cell>
          <cell r="J282">
            <v>0.25</v>
          </cell>
          <cell r="K282">
            <v>0.45</v>
          </cell>
          <cell r="P282">
            <v>2</v>
          </cell>
        </row>
        <row r="283">
          <cell r="B283" t="str">
            <v>80S</v>
          </cell>
          <cell r="C283">
            <v>2</v>
          </cell>
          <cell r="D283">
            <v>5.54</v>
          </cell>
          <cell r="E283">
            <v>1</v>
          </cell>
          <cell r="I283">
            <v>0.2</v>
          </cell>
          <cell r="J283">
            <v>0.25</v>
          </cell>
          <cell r="K283">
            <v>0.45</v>
          </cell>
          <cell r="P283">
            <v>2</v>
          </cell>
        </row>
        <row r="284">
          <cell r="B284" t="str">
            <v>80S</v>
          </cell>
          <cell r="C284">
            <v>2.5</v>
          </cell>
          <cell r="D284">
            <v>7.01</v>
          </cell>
          <cell r="E284">
            <v>1</v>
          </cell>
          <cell r="I284">
            <v>0.25</v>
          </cell>
          <cell r="J284">
            <v>0.5</v>
          </cell>
          <cell r="K284">
            <v>0.75</v>
          </cell>
          <cell r="P284">
            <v>2</v>
          </cell>
        </row>
        <row r="285">
          <cell r="B285" t="str">
            <v>80S</v>
          </cell>
          <cell r="C285">
            <v>3</v>
          </cell>
          <cell r="D285">
            <v>7.62</v>
          </cell>
          <cell r="E285">
            <v>1</v>
          </cell>
          <cell r="I285">
            <v>0.3</v>
          </cell>
          <cell r="J285">
            <v>0.6</v>
          </cell>
          <cell r="K285">
            <v>0.89999999999999991</v>
          </cell>
          <cell r="P285">
            <v>2</v>
          </cell>
        </row>
        <row r="286">
          <cell r="B286" t="str">
            <v>80S</v>
          </cell>
          <cell r="C286">
            <v>3.5</v>
          </cell>
          <cell r="D286">
            <v>8.08</v>
          </cell>
          <cell r="E286">
            <v>1</v>
          </cell>
          <cell r="I286">
            <v>0.35</v>
          </cell>
          <cell r="J286">
            <v>0.85</v>
          </cell>
          <cell r="K286">
            <v>1.2</v>
          </cell>
          <cell r="P286">
            <v>3</v>
          </cell>
        </row>
        <row r="287">
          <cell r="B287" t="str">
            <v>80S</v>
          </cell>
          <cell r="C287">
            <v>4</v>
          </cell>
          <cell r="D287">
            <v>8.56</v>
          </cell>
          <cell r="E287">
            <v>1</v>
          </cell>
          <cell r="I287">
            <v>0.41</v>
          </cell>
          <cell r="J287">
            <v>0.93</v>
          </cell>
          <cell r="K287">
            <v>1.34</v>
          </cell>
          <cell r="P287">
            <v>3</v>
          </cell>
        </row>
        <row r="288">
          <cell r="B288" t="str">
            <v>80S</v>
          </cell>
          <cell r="C288">
            <v>5</v>
          </cell>
          <cell r="D288">
            <v>9.5299999999999994</v>
          </cell>
          <cell r="E288">
            <v>1</v>
          </cell>
          <cell r="I288">
            <v>0.51</v>
          </cell>
          <cell r="J288">
            <v>1.59</v>
          </cell>
          <cell r="K288">
            <v>2.1</v>
          </cell>
          <cell r="P288">
            <v>4</v>
          </cell>
        </row>
        <row r="289">
          <cell r="B289" t="str">
            <v>80S</v>
          </cell>
          <cell r="C289">
            <v>6</v>
          </cell>
          <cell r="D289">
            <v>10.97</v>
          </cell>
          <cell r="E289">
            <v>1.25</v>
          </cell>
          <cell r="I289">
            <v>0.61</v>
          </cell>
          <cell r="J289">
            <v>2.69</v>
          </cell>
          <cell r="K289">
            <v>3.3</v>
          </cell>
          <cell r="P289">
            <v>4</v>
          </cell>
        </row>
        <row r="290">
          <cell r="B290" t="str">
            <v>80S</v>
          </cell>
          <cell r="C290">
            <v>8</v>
          </cell>
          <cell r="D290">
            <v>12.7</v>
          </cell>
          <cell r="E290">
            <v>1.25</v>
          </cell>
          <cell r="I290">
            <v>0.81</v>
          </cell>
          <cell r="J290">
            <v>4.58</v>
          </cell>
          <cell r="K290">
            <v>5.3900000000000006</v>
          </cell>
          <cell r="P290">
            <v>4</v>
          </cell>
        </row>
        <row r="291">
          <cell r="B291" t="str">
            <v>80S</v>
          </cell>
          <cell r="C291">
            <v>10</v>
          </cell>
          <cell r="D291">
            <v>12.7</v>
          </cell>
          <cell r="E291">
            <v>1.25</v>
          </cell>
          <cell r="I291">
            <v>1.01</v>
          </cell>
          <cell r="J291">
            <v>5.74</v>
          </cell>
          <cell r="K291">
            <v>6.75</v>
          </cell>
          <cell r="P291">
            <v>4</v>
          </cell>
        </row>
        <row r="292">
          <cell r="B292" t="str">
            <v>80S</v>
          </cell>
          <cell r="C292">
            <v>12</v>
          </cell>
          <cell r="D292">
            <v>12.7</v>
          </cell>
          <cell r="E292">
            <v>1.25</v>
          </cell>
          <cell r="I292">
            <v>1.22</v>
          </cell>
          <cell r="J292">
            <v>6.73</v>
          </cell>
          <cell r="K292">
            <v>7.95</v>
          </cell>
          <cell r="P292">
            <v>6</v>
          </cell>
        </row>
        <row r="293">
          <cell r="B293">
            <v>100</v>
          </cell>
          <cell r="C293">
            <v>8</v>
          </cell>
          <cell r="D293">
            <v>15.09</v>
          </cell>
          <cell r="E293">
            <v>1.5</v>
          </cell>
          <cell r="I293">
            <v>0.81</v>
          </cell>
          <cell r="J293">
            <v>6.09</v>
          </cell>
          <cell r="K293">
            <v>6.9</v>
          </cell>
          <cell r="P293">
            <v>4</v>
          </cell>
        </row>
        <row r="294">
          <cell r="B294">
            <v>100</v>
          </cell>
          <cell r="C294">
            <v>10</v>
          </cell>
          <cell r="D294">
            <v>18.260000000000002</v>
          </cell>
          <cell r="E294">
            <v>1.5</v>
          </cell>
          <cell r="I294">
            <v>1.01</v>
          </cell>
          <cell r="J294">
            <v>11.44</v>
          </cell>
          <cell r="K294">
            <v>12.45</v>
          </cell>
          <cell r="P294">
            <v>4</v>
          </cell>
        </row>
        <row r="295">
          <cell r="B295">
            <v>100</v>
          </cell>
          <cell r="C295">
            <v>12</v>
          </cell>
          <cell r="D295">
            <v>21.44</v>
          </cell>
          <cell r="E295">
            <v>2</v>
          </cell>
          <cell r="I295">
            <v>1.22</v>
          </cell>
          <cell r="J295">
            <v>15.28</v>
          </cell>
          <cell r="K295">
            <v>16.5</v>
          </cell>
          <cell r="P295">
            <v>6</v>
          </cell>
        </row>
        <row r="296">
          <cell r="B296">
            <v>100</v>
          </cell>
          <cell r="C296">
            <v>14</v>
          </cell>
          <cell r="D296">
            <v>23.83</v>
          </cell>
          <cell r="E296">
            <v>2</v>
          </cell>
          <cell r="I296">
            <v>1.42</v>
          </cell>
          <cell r="J296">
            <v>21.07</v>
          </cell>
          <cell r="K296">
            <v>22.490000000000002</v>
          </cell>
          <cell r="P296">
            <v>6</v>
          </cell>
        </row>
        <row r="297">
          <cell r="B297">
            <v>100</v>
          </cell>
          <cell r="C297">
            <v>16</v>
          </cell>
          <cell r="D297">
            <v>26.19</v>
          </cell>
          <cell r="E297" t="str">
            <v>N</v>
          </cell>
          <cell r="I297">
            <v>1.62</v>
          </cell>
          <cell r="J297">
            <v>28.38</v>
          </cell>
          <cell r="K297">
            <v>30</v>
          </cell>
          <cell r="P297">
            <v>6</v>
          </cell>
        </row>
        <row r="298">
          <cell r="B298">
            <v>100</v>
          </cell>
          <cell r="C298">
            <v>18</v>
          </cell>
          <cell r="D298">
            <v>29.36</v>
          </cell>
          <cell r="E298" t="str">
            <v>N</v>
          </cell>
          <cell r="I298">
            <v>1.82</v>
          </cell>
          <cell r="J298">
            <v>37.17</v>
          </cell>
          <cell r="K298">
            <v>38.99</v>
          </cell>
          <cell r="P298">
            <v>6</v>
          </cell>
        </row>
        <row r="299">
          <cell r="B299">
            <v>100</v>
          </cell>
          <cell r="C299">
            <v>20</v>
          </cell>
          <cell r="D299">
            <v>32.54</v>
          </cell>
          <cell r="E299" t="str">
            <v>N</v>
          </cell>
          <cell r="I299">
            <v>2.0299999999999998</v>
          </cell>
          <cell r="J299">
            <v>45.97</v>
          </cell>
          <cell r="K299">
            <v>48</v>
          </cell>
          <cell r="P299">
            <v>7</v>
          </cell>
        </row>
        <row r="300">
          <cell r="B300">
            <v>100</v>
          </cell>
          <cell r="C300">
            <v>22</v>
          </cell>
          <cell r="D300">
            <v>34.93</v>
          </cell>
          <cell r="E300" t="str">
            <v>N</v>
          </cell>
          <cell r="I300">
            <v>2.23</v>
          </cell>
          <cell r="J300">
            <v>65.27</v>
          </cell>
          <cell r="K300">
            <v>67.5</v>
          </cell>
          <cell r="P300">
            <v>8</v>
          </cell>
        </row>
        <row r="301">
          <cell r="B301">
            <v>100</v>
          </cell>
          <cell r="C301">
            <v>24</v>
          </cell>
          <cell r="D301">
            <v>38.89</v>
          </cell>
          <cell r="E301" t="str">
            <v>N</v>
          </cell>
          <cell r="I301">
            <v>2.4300000000000002</v>
          </cell>
          <cell r="J301">
            <v>75.56</v>
          </cell>
          <cell r="K301">
            <v>77.990000000000009</v>
          </cell>
          <cell r="P301">
            <v>8</v>
          </cell>
        </row>
        <row r="302">
          <cell r="B302">
            <v>120</v>
          </cell>
          <cell r="C302">
            <v>4</v>
          </cell>
          <cell r="D302">
            <v>11.13</v>
          </cell>
          <cell r="E302">
            <v>1.25</v>
          </cell>
          <cell r="I302">
            <v>0.41</v>
          </cell>
          <cell r="J302">
            <v>1.84</v>
          </cell>
          <cell r="K302">
            <v>2.25</v>
          </cell>
          <cell r="P302">
            <v>4</v>
          </cell>
        </row>
        <row r="303">
          <cell r="B303">
            <v>120</v>
          </cell>
          <cell r="C303">
            <v>5</v>
          </cell>
          <cell r="D303">
            <v>12.7</v>
          </cell>
          <cell r="E303">
            <v>1.25</v>
          </cell>
          <cell r="I303">
            <v>0.51</v>
          </cell>
          <cell r="J303">
            <v>2.94</v>
          </cell>
          <cell r="K303">
            <v>3.45</v>
          </cell>
          <cell r="P303">
            <v>4</v>
          </cell>
        </row>
        <row r="304">
          <cell r="B304">
            <v>120</v>
          </cell>
          <cell r="C304">
            <v>6</v>
          </cell>
          <cell r="D304">
            <v>14.27</v>
          </cell>
          <cell r="E304">
            <v>1.25</v>
          </cell>
          <cell r="I304">
            <v>0.61</v>
          </cell>
          <cell r="J304">
            <v>4.1900000000000004</v>
          </cell>
          <cell r="K304">
            <v>4.8000000000000007</v>
          </cell>
          <cell r="P304">
            <v>4</v>
          </cell>
        </row>
        <row r="305">
          <cell r="B305">
            <v>120</v>
          </cell>
          <cell r="C305">
            <v>8</v>
          </cell>
          <cell r="D305">
            <v>18.260000000000002</v>
          </cell>
          <cell r="E305">
            <v>1.5</v>
          </cell>
          <cell r="I305">
            <v>0.81</v>
          </cell>
          <cell r="J305">
            <v>9.23</v>
          </cell>
          <cell r="K305">
            <v>10.040000000000001</v>
          </cell>
          <cell r="P305">
            <v>4</v>
          </cell>
        </row>
        <row r="306">
          <cell r="B306">
            <v>120</v>
          </cell>
          <cell r="C306">
            <v>10</v>
          </cell>
          <cell r="D306">
            <v>21.44</v>
          </cell>
          <cell r="E306">
            <v>2</v>
          </cell>
          <cell r="I306">
            <v>1.01</v>
          </cell>
          <cell r="J306">
            <v>12.49</v>
          </cell>
          <cell r="K306">
            <v>13.5</v>
          </cell>
          <cell r="P306">
            <v>4</v>
          </cell>
        </row>
        <row r="307">
          <cell r="B307">
            <v>120</v>
          </cell>
          <cell r="C307">
            <v>12</v>
          </cell>
          <cell r="D307">
            <v>25.4</v>
          </cell>
          <cell r="E307" t="str">
            <v>N</v>
          </cell>
          <cell r="I307">
            <v>1.22</v>
          </cell>
          <cell r="J307">
            <v>21.27</v>
          </cell>
          <cell r="K307">
            <v>22.49</v>
          </cell>
          <cell r="P307">
            <v>6</v>
          </cell>
        </row>
        <row r="308">
          <cell r="B308">
            <v>120</v>
          </cell>
          <cell r="C308">
            <v>14</v>
          </cell>
          <cell r="D308">
            <v>27.79</v>
          </cell>
          <cell r="E308" t="str">
            <v>N</v>
          </cell>
          <cell r="I308">
            <v>1.42</v>
          </cell>
          <cell r="J308">
            <v>25.58</v>
          </cell>
          <cell r="K308">
            <v>27</v>
          </cell>
          <cell r="P308">
            <v>6</v>
          </cell>
        </row>
        <row r="309">
          <cell r="B309">
            <v>120</v>
          </cell>
          <cell r="C309">
            <v>16</v>
          </cell>
          <cell r="D309">
            <v>30.96</v>
          </cell>
          <cell r="E309" t="str">
            <v>N</v>
          </cell>
          <cell r="I309">
            <v>1.62</v>
          </cell>
          <cell r="J309">
            <v>35.880000000000003</v>
          </cell>
          <cell r="K309">
            <v>37.5</v>
          </cell>
          <cell r="P309">
            <v>6</v>
          </cell>
        </row>
        <row r="310">
          <cell r="B310">
            <v>120</v>
          </cell>
          <cell r="C310">
            <v>18</v>
          </cell>
          <cell r="D310">
            <v>34.93</v>
          </cell>
          <cell r="E310" t="str">
            <v>N</v>
          </cell>
          <cell r="I310">
            <v>1.82</v>
          </cell>
          <cell r="J310">
            <v>47.68</v>
          </cell>
          <cell r="K310">
            <v>49.5</v>
          </cell>
          <cell r="P310">
            <v>6</v>
          </cell>
        </row>
        <row r="311">
          <cell r="B311">
            <v>120</v>
          </cell>
          <cell r="C311">
            <v>20</v>
          </cell>
          <cell r="D311">
            <v>38.1</v>
          </cell>
          <cell r="E311" t="str">
            <v>N</v>
          </cell>
          <cell r="I311">
            <v>2.0299999999999998</v>
          </cell>
          <cell r="J311">
            <v>62.47</v>
          </cell>
          <cell r="K311">
            <v>64.5</v>
          </cell>
          <cell r="P311">
            <v>7</v>
          </cell>
        </row>
        <row r="312">
          <cell r="B312">
            <v>120</v>
          </cell>
          <cell r="C312">
            <v>22</v>
          </cell>
          <cell r="D312">
            <v>41.28</v>
          </cell>
          <cell r="E312" t="str">
            <v>N</v>
          </cell>
          <cell r="I312">
            <v>2.23</v>
          </cell>
          <cell r="J312">
            <v>84.76</v>
          </cell>
          <cell r="K312">
            <v>86.990000000000009</v>
          </cell>
          <cell r="P312">
            <v>8</v>
          </cell>
        </row>
        <row r="313">
          <cell r="B313">
            <v>120</v>
          </cell>
          <cell r="C313">
            <v>24</v>
          </cell>
          <cell r="D313">
            <v>46.02</v>
          </cell>
          <cell r="E313" t="str">
            <v>N</v>
          </cell>
          <cell r="I313">
            <v>2.4300000000000002</v>
          </cell>
          <cell r="J313">
            <v>98.07</v>
          </cell>
          <cell r="K313">
            <v>100.5</v>
          </cell>
          <cell r="P313">
            <v>8</v>
          </cell>
        </row>
        <row r="314">
          <cell r="B314">
            <v>140</v>
          </cell>
          <cell r="C314">
            <v>8</v>
          </cell>
          <cell r="D314">
            <v>20.62</v>
          </cell>
          <cell r="E314">
            <v>2</v>
          </cell>
          <cell r="I314">
            <v>0.81</v>
          </cell>
          <cell r="J314">
            <v>10.130000000000001</v>
          </cell>
          <cell r="K314">
            <v>10.940000000000001</v>
          </cell>
          <cell r="P314">
            <v>4</v>
          </cell>
        </row>
        <row r="315">
          <cell r="B315">
            <v>140</v>
          </cell>
          <cell r="C315">
            <v>10</v>
          </cell>
          <cell r="D315">
            <v>25.4</v>
          </cell>
          <cell r="E315" t="str">
            <v>N</v>
          </cell>
          <cell r="I315">
            <v>1.01</v>
          </cell>
          <cell r="J315">
            <v>18.48</v>
          </cell>
          <cell r="K315">
            <v>19.490000000000002</v>
          </cell>
          <cell r="P315">
            <v>4</v>
          </cell>
        </row>
        <row r="316">
          <cell r="B316">
            <v>140</v>
          </cell>
          <cell r="C316">
            <v>12</v>
          </cell>
          <cell r="D316">
            <v>28.58</v>
          </cell>
          <cell r="E316" t="str">
            <v>N</v>
          </cell>
          <cell r="I316">
            <v>1.22</v>
          </cell>
          <cell r="J316">
            <v>25.78</v>
          </cell>
          <cell r="K316">
            <v>27</v>
          </cell>
          <cell r="P316">
            <v>6</v>
          </cell>
        </row>
        <row r="317">
          <cell r="B317">
            <v>140</v>
          </cell>
          <cell r="C317">
            <v>14</v>
          </cell>
          <cell r="D317">
            <v>31.75</v>
          </cell>
          <cell r="E317" t="str">
            <v>N</v>
          </cell>
          <cell r="I317">
            <v>1.42</v>
          </cell>
          <cell r="J317">
            <v>31.58</v>
          </cell>
          <cell r="K317">
            <v>33</v>
          </cell>
          <cell r="P317">
            <v>6</v>
          </cell>
        </row>
        <row r="318">
          <cell r="B318">
            <v>140</v>
          </cell>
          <cell r="C318">
            <v>16</v>
          </cell>
          <cell r="D318">
            <v>36.53</v>
          </cell>
          <cell r="E318" t="str">
            <v>N</v>
          </cell>
          <cell r="I318">
            <v>1.62</v>
          </cell>
          <cell r="J318">
            <v>44.87</v>
          </cell>
          <cell r="K318">
            <v>46.489999999999995</v>
          </cell>
          <cell r="P318">
            <v>6</v>
          </cell>
        </row>
        <row r="319">
          <cell r="B319">
            <v>140</v>
          </cell>
          <cell r="C319">
            <v>18</v>
          </cell>
          <cell r="D319">
            <v>39.67</v>
          </cell>
          <cell r="E319" t="str">
            <v>N</v>
          </cell>
          <cell r="I319">
            <v>1.82</v>
          </cell>
          <cell r="J319">
            <v>59.68</v>
          </cell>
          <cell r="K319">
            <v>61.5</v>
          </cell>
          <cell r="P319">
            <v>6</v>
          </cell>
        </row>
        <row r="320">
          <cell r="B320">
            <v>140</v>
          </cell>
          <cell r="C320">
            <v>20</v>
          </cell>
          <cell r="D320">
            <v>44.45</v>
          </cell>
          <cell r="E320" t="str">
            <v>N</v>
          </cell>
          <cell r="I320">
            <v>2.0299999999999998</v>
          </cell>
          <cell r="J320">
            <v>78.959999999999994</v>
          </cell>
          <cell r="K320">
            <v>80.989999999999995</v>
          </cell>
          <cell r="P320">
            <v>7</v>
          </cell>
        </row>
        <row r="321">
          <cell r="B321">
            <v>140</v>
          </cell>
          <cell r="C321">
            <v>22</v>
          </cell>
          <cell r="D321">
            <v>47.63</v>
          </cell>
          <cell r="E321" t="str">
            <v>N</v>
          </cell>
          <cell r="I321">
            <v>2.23</v>
          </cell>
          <cell r="J321">
            <v>108.77</v>
          </cell>
          <cell r="K321">
            <v>111</v>
          </cell>
          <cell r="P321">
            <v>8</v>
          </cell>
        </row>
        <row r="322">
          <cell r="B322">
            <v>140</v>
          </cell>
          <cell r="C322">
            <v>24</v>
          </cell>
          <cell r="D322">
            <v>52.37</v>
          </cell>
          <cell r="E322" t="str">
            <v>N</v>
          </cell>
          <cell r="I322">
            <v>2.4300000000000002</v>
          </cell>
          <cell r="J322">
            <v>126.57</v>
          </cell>
          <cell r="K322">
            <v>129</v>
          </cell>
          <cell r="P322">
            <v>8</v>
          </cell>
        </row>
        <row r="323">
          <cell r="B323">
            <v>160</v>
          </cell>
          <cell r="C323">
            <v>0.5</v>
          </cell>
          <cell r="D323">
            <v>4.78</v>
          </cell>
          <cell r="E323">
            <v>1</v>
          </cell>
          <cell r="I323">
            <v>7.0000000000000007E-2</v>
          </cell>
          <cell r="J323">
            <v>0.08</v>
          </cell>
          <cell r="K323">
            <v>0.15000000000000002</v>
          </cell>
          <cell r="P323">
            <v>2</v>
          </cell>
        </row>
        <row r="324">
          <cell r="B324">
            <v>160</v>
          </cell>
          <cell r="C324">
            <v>0.5</v>
          </cell>
          <cell r="D324">
            <v>4.78</v>
          </cell>
          <cell r="E324">
            <v>1</v>
          </cell>
          <cell r="I324">
            <v>7.0000000000000007E-2</v>
          </cell>
          <cell r="J324">
            <v>0.08</v>
          </cell>
          <cell r="K324">
            <v>0.15000000000000002</v>
          </cell>
          <cell r="P324">
            <v>2</v>
          </cell>
        </row>
        <row r="325">
          <cell r="B325">
            <v>160</v>
          </cell>
          <cell r="C325">
            <v>0.5</v>
          </cell>
          <cell r="D325">
            <v>4.78</v>
          </cell>
          <cell r="E325">
            <v>1</v>
          </cell>
          <cell r="I325">
            <v>7.0000000000000007E-2</v>
          </cell>
          <cell r="J325">
            <v>0.08</v>
          </cell>
          <cell r="K325">
            <v>0.15000000000000002</v>
          </cell>
          <cell r="P325">
            <v>2</v>
          </cell>
        </row>
        <row r="326">
          <cell r="B326">
            <v>160</v>
          </cell>
          <cell r="C326">
            <v>0.75</v>
          </cell>
          <cell r="D326">
            <v>5.56</v>
          </cell>
          <cell r="E326">
            <v>1</v>
          </cell>
          <cell r="I326">
            <v>0.08</v>
          </cell>
          <cell r="J326">
            <v>7.0000000000000007E-2</v>
          </cell>
          <cell r="K326">
            <v>0.15000000000000002</v>
          </cell>
          <cell r="P326">
            <v>2</v>
          </cell>
        </row>
        <row r="327">
          <cell r="B327">
            <v>160</v>
          </cell>
          <cell r="C327">
            <v>0.75</v>
          </cell>
          <cell r="D327">
            <v>5.56</v>
          </cell>
          <cell r="E327">
            <v>1</v>
          </cell>
          <cell r="I327">
            <v>0.08</v>
          </cell>
          <cell r="J327">
            <v>7.0000000000000007E-2</v>
          </cell>
          <cell r="K327">
            <v>0.15000000000000002</v>
          </cell>
          <cell r="P327">
            <v>2</v>
          </cell>
        </row>
        <row r="328">
          <cell r="B328">
            <v>160</v>
          </cell>
          <cell r="C328">
            <v>0.75</v>
          </cell>
          <cell r="D328">
            <v>5.56</v>
          </cell>
          <cell r="E328">
            <v>1</v>
          </cell>
          <cell r="I328">
            <v>0.08</v>
          </cell>
          <cell r="J328">
            <v>7.0000000000000007E-2</v>
          </cell>
          <cell r="K328">
            <v>0.15000000000000002</v>
          </cell>
          <cell r="P328">
            <v>2</v>
          </cell>
        </row>
        <row r="329">
          <cell r="B329">
            <v>160</v>
          </cell>
          <cell r="C329">
            <v>1</v>
          </cell>
          <cell r="D329">
            <v>6.35</v>
          </cell>
          <cell r="E329">
            <v>1</v>
          </cell>
          <cell r="I329">
            <v>0.1</v>
          </cell>
          <cell r="J329">
            <v>0.35</v>
          </cell>
          <cell r="K329">
            <v>0.44999999999999996</v>
          </cell>
          <cell r="P329">
            <v>2</v>
          </cell>
        </row>
        <row r="330">
          <cell r="B330">
            <v>160</v>
          </cell>
          <cell r="C330">
            <v>1</v>
          </cell>
          <cell r="D330">
            <v>6.35</v>
          </cell>
          <cell r="E330">
            <v>1</v>
          </cell>
          <cell r="I330">
            <v>0.1</v>
          </cell>
          <cell r="J330">
            <v>0.35</v>
          </cell>
          <cell r="K330">
            <v>0.44999999999999996</v>
          </cell>
          <cell r="P330">
            <v>2</v>
          </cell>
        </row>
        <row r="331">
          <cell r="B331">
            <v>160</v>
          </cell>
          <cell r="C331">
            <v>1</v>
          </cell>
          <cell r="D331">
            <v>6.35</v>
          </cell>
          <cell r="E331">
            <v>1</v>
          </cell>
          <cell r="I331">
            <v>0.1</v>
          </cell>
          <cell r="J331">
            <v>0.35</v>
          </cell>
          <cell r="K331">
            <v>0.44999999999999996</v>
          </cell>
          <cell r="P331">
            <v>2</v>
          </cell>
        </row>
        <row r="332">
          <cell r="B332">
            <v>160</v>
          </cell>
          <cell r="C332">
            <v>1.25</v>
          </cell>
          <cell r="D332">
            <v>6.35</v>
          </cell>
          <cell r="E332">
            <v>1</v>
          </cell>
          <cell r="I332">
            <v>0.13</v>
          </cell>
          <cell r="J332">
            <v>0.32</v>
          </cell>
          <cell r="K332">
            <v>0.45</v>
          </cell>
          <cell r="P332">
            <v>2</v>
          </cell>
        </row>
        <row r="333">
          <cell r="B333">
            <v>160</v>
          </cell>
          <cell r="C333">
            <v>1.25</v>
          </cell>
          <cell r="D333">
            <v>6.35</v>
          </cell>
          <cell r="E333">
            <v>1</v>
          </cell>
          <cell r="I333">
            <v>0.13</v>
          </cell>
          <cell r="J333">
            <v>0.32</v>
          </cell>
          <cell r="K333">
            <v>0.45</v>
          </cell>
          <cell r="P333">
            <v>2</v>
          </cell>
        </row>
        <row r="334">
          <cell r="B334">
            <v>160</v>
          </cell>
          <cell r="C334">
            <v>1.25</v>
          </cell>
          <cell r="D334">
            <v>6.35</v>
          </cell>
          <cell r="E334">
            <v>1</v>
          </cell>
          <cell r="I334">
            <v>0.13</v>
          </cell>
          <cell r="J334">
            <v>0.32</v>
          </cell>
          <cell r="K334">
            <v>0.45</v>
          </cell>
          <cell r="P334">
            <v>2</v>
          </cell>
        </row>
        <row r="335">
          <cell r="B335">
            <v>160</v>
          </cell>
          <cell r="C335">
            <v>1.5</v>
          </cell>
          <cell r="D335">
            <v>7.14</v>
          </cell>
          <cell r="E335">
            <v>1</v>
          </cell>
          <cell r="I335">
            <v>0.15</v>
          </cell>
          <cell r="J335">
            <v>0.45</v>
          </cell>
          <cell r="K335">
            <v>0.6</v>
          </cell>
          <cell r="P335">
            <v>2</v>
          </cell>
        </row>
        <row r="336">
          <cell r="B336">
            <v>160</v>
          </cell>
          <cell r="C336">
            <v>1.5</v>
          </cell>
          <cell r="D336">
            <v>7.14</v>
          </cell>
          <cell r="E336">
            <v>1</v>
          </cell>
          <cell r="I336">
            <v>0.15</v>
          </cell>
          <cell r="J336">
            <v>0.45</v>
          </cell>
          <cell r="K336">
            <v>0.6</v>
          </cell>
          <cell r="P336">
            <v>2</v>
          </cell>
        </row>
        <row r="337">
          <cell r="B337">
            <v>160</v>
          </cell>
          <cell r="C337">
            <v>1.5</v>
          </cell>
          <cell r="D337">
            <v>7.14</v>
          </cell>
          <cell r="E337">
            <v>1</v>
          </cell>
          <cell r="I337">
            <v>0.15</v>
          </cell>
          <cell r="J337">
            <v>0.45</v>
          </cell>
          <cell r="K337">
            <v>0.6</v>
          </cell>
          <cell r="P337">
            <v>2</v>
          </cell>
        </row>
        <row r="338">
          <cell r="B338">
            <v>160</v>
          </cell>
          <cell r="C338">
            <v>2</v>
          </cell>
          <cell r="D338">
            <v>8.74</v>
          </cell>
          <cell r="E338">
            <v>1</v>
          </cell>
          <cell r="I338">
            <v>0.2</v>
          </cell>
          <cell r="J338">
            <v>0.7</v>
          </cell>
          <cell r="K338">
            <v>0.89999999999999991</v>
          </cell>
          <cell r="P338">
            <v>4</v>
          </cell>
        </row>
        <row r="339">
          <cell r="B339">
            <v>160</v>
          </cell>
          <cell r="C339">
            <v>2</v>
          </cell>
          <cell r="D339">
            <v>8.74</v>
          </cell>
          <cell r="E339">
            <v>1</v>
          </cell>
          <cell r="I339">
            <v>0.2</v>
          </cell>
          <cell r="J339">
            <v>0.7</v>
          </cell>
          <cell r="K339">
            <v>0.89999999999999991</v>
          </cell>
          <cell r="P339">
            <v>4</v>
          </cell>
        </row>
        <row r="340">
          <cell r="B340">
            <v>160</v>
          </cell>
          <cell r="C340">
            <v>2</v>
          </cell>
          <cell r="D340">
            <v>8.74</v>
          </cell>
          <cell r="E340">
            <v>1</v>
          </cell>
          <cell r="I340">
            <v>0.2</v>
          </cell>
          <cell r="J340">
            <v>0.7</v>
          </cell>
          <cell r="K340">
            <v>0.89999999999999991</v>
          </cell>
          <cell r="P340">
            <v>4</v>
          </cell>
        </row>
        <row r="341">
          <cell r="B341">
            <v>160</v>
          </cell>
          <cell r="C341">
            <v>2.5</v>
          </cell>
          <cell r="D341">
            <v>9.5299999999999994</v>
          </cell>
          <cell r="E341">
            <v>1</v>
          </cell>
          <cell r="I341">
            <v>0.25</v>
          </cell>
          <cell r="J341">
            <v>0.8</v>
          </cell>
          <cell r="K341">
            <v>1.05</v>
          </cell>
          <cell r="P341">
            <v>4</v>
          </cell>
        </row>
        <row r="342">
          <cell r="B342">
            <v>160</v>
          </cell>
          <cell r="C342">
            <v>3</v>
          </cell>
          <cell r="D342">
            <v>11.13</v>
          </cell>
          <cell r="E342">
            <v>1.25</v>
          </cell>
          <cell r="I342">
            <v>0.3</v>
          </cell>
          <cell r="J342">
            <v>1.5</v>
          </cell>
          <cell r="K342">
            <v>1.8</v>
          </cell>
          <cell r="P342">
            <v>4</v>
          </cell>
        </row>
        <row r="343">
          <cell r="B343">
            <v>160</v>
          </cell>
          <cell r="C343">
            <v>4</v>
          </cell>
          <cell r="D343">
            <v>13.49</v>
          </cell>
          <cell r="E343">
            <v>1.25</v>
          </cell>
          <cell r="I343">
            <v>0.41</v>
          </cell>
          <cell r="J343">
            <v>2.59</v>
          </cell>
          <cell r="K343">
            <v>3</v>
          </cell>
          <cell r="P343">
            <v>4</v>
          </cell>
        </row>
        <row r="344">
          <cell r="B344">
            <v>160</v>
          </cell>
          <cell r="C344">
            <v>5</v>
          </cell>
          <cell r="D344">
            <v>15.88</v>
          </cell>
          <cell r="E344">
            <v>1.5</v>
          </cell>
          <cell r="I344">
            <v>0.51</v>
          </cell>
          <cell r="J344">
            <v>4.29</v>
          </cell>
          <cell r="K344">
            <v>4.8</v>
          </cell>
          <cell r="P344">
            <v>4</v>
          </cell>
        </row>
        <row r="345">
          <cell r="B345">
            <v>160</v>
          </cell>
          <cell r="C345">
            <v>6</v>
          </cell>
          <cell r="D345">
            <v>18.260000000000002</v>
          </cell>
          <cell r="E345">
            <v>1.5</v>
          </cell>
          <cell r="I345">
            <v>0.61</v>
          </cell>
          <cell r="J345">
            <v>7.04</v>
          </cell>
          <cell r="K345">
            <v>7.65</v>
          </cell>
          <cell r="P345">
            <v>4</v>
          </cell>
        </row>
        <row r="346">
          <cell r="B346">
            <v>160</v>
          </cell>
          <cell r="C346">
            <v>8</v>
          </cell>
          <cell r="D346">
            <v>23.01</v>
          </cell>
          <cell r="E346">
            <v>2</v>
          </cell>
          <cell r="I346">
            <v>0.81</v>
          </cell>
          <cell r="J346">
            <v>11.19</v>
          </cell>
          <cell r="K346">
            <v>12</v>
          </cell>
          <cell r="P346">
            <v>4</v>
          </cell>
        </row>
        <row r="347">
          <cell r="B347">
            <v>160</v>
          </cell>
          <cell r="C347">
            <v>10</v>
          </cell>
          <cell r="D347">
            <v>28.58</v>
          </cell>
          <cell r="E347" t="str">
            <v>N</v>
          </cell>
          <cell r="I347">
            <v>1.01</v>
          </cell>
          <cell r="J347">
            <v>21.48</v>
          </cell>
          <cell r="K347">
            <v>22.490000000000002</v>
          </cell>
          <cell r="P347">
            <v>4</v>
          </cell>
        </row>
        <row r="348">
          <cell r="B348">
            <v>160</v>
          </cell>
          <cell r="C348">
            <v>12</v>
          </cell>
          <cell r="D348">
            <v>33.32</v>
          </cell>
          <cell r="E348" t="str">
            <v>N</v>
          </cell>
          <cell r="I348">
            <v>1.22</v>
          </cell>
          <cell r="J348">
            <v>31.78</v>
          </cell>
          <cell r="K348">
            <v>33</v>
          </cell>
          <cell r="P348">
            <v>6</v>
          </cell>
        </row>
        <row r="349">
          <cell r="B349">
            <v>160</v>
          </cell>
          <cell r="C349">
            <v>14</v>
          </cell>
          <cell r="D349">
            <v>35.71</v>
          </cell>
          <cell r="E349" t="str">
            <v>N</v>
          </cell>
          <cell r="I349">
            <v>1.42</v>
          </cell>
          <cell r="J349">
            <v>39.07</v>
          </cell>
          <cell r="K349">
            <v>40.49</v>
          </cell>
          <cell r="P349">
            <v>6</v>
          </cell>
        </row>
        <row r="350">
          <cell r="B350">
            <v>160</v>
          </cell>
          <cell r="C350">
            <v>16</v>
          </cell>
          <cell r="D350">
            <v>40.49</v>
          </cell>
          <cell r="E350" t="str">
            <v>N</v>
          </cell>
          <cell r="I350">
            <v>1.62</v>
          </cell>
          <cell r="J350">
            <v>53.88</v>
          </cell>
          <cell r="K350">
            <v>55.5</v>
          </cell>
          <cell r="P350">
            <v>6</v>
          </cell>
        </row>
        <row r="351">
          <cell r="B351">
            <v>160</v>
          </cell>
          <cell r="C351">
            <v>18</v>
          </cell>
          <cell r="D351">
            <v>45.24</v>
          </cell>
          <cell r="E351" t="str">
            <v>N</v>
          </cell>
          <cell r="I351">
            <v>1.82</v>
          </cell>
          <cell r="J351">
            <v>71.680000000000007</v>
          </cell>
          <cell r="K351">
            <v>73.5</v>
          </cell>
          <cell r="P351">
            <v>6</v>
          </cell>
        </row>
        <row r="352">
          <cell r="B352">
            <v>160</v>
          </cell>
          <cell r="C352">
            <v>20</v>
          </cell>
          <cell r="D352">
            <v>50.01</v>
          </cell>
          <cell r="E352" t="str">
            <v>N</v>
          </cell>
          <cell r="I352">
            <v>2.0299999999999998</v>
          </cell>
          <cell r="J352">
            <v>93.97</v>
          </cell>
          <cell r="K352">
            <v>96</v>
          </cell>
          <cell r="P352">
            <v>7</v>
          </cell>
        </row>
        <row r="353">
          <cell r="B353">
            <v>160</v>
          </cell>
          <cell r="C353">
            <v>22</v>
          </cell>
          <cell r="D353">
            <v>53.98</v>
          </cell>
          <cell r="E353" t="str">
            <v>N</v>
          </cell>
          <cell r="I353">
            <v>2.23</v>
          </cell>
          <cell r="J353">
            <v>132.77000000000001</v>
          </cell>
          <cell r="K353">
            <v>135</v>
          </cell>
          <cell r="P353">
            <v>8</v>
          </cell>
        </row>
        <row r="354">
          <cell r="B354">
            <v>160</v>
          </cell>
          <cell r="C354">
            <v>24</v>
          </cell>
          <cell r="D354">
            <v>59.54</v>
          </cell>
          <cell r="E354" t="str">
            <v>N</v>
          </cell>
          <cell r="I354">
            <v>2.4300000000000002</v>
          </cell>
          <cell r="J354">
            <v>162.56</v>
          </cell>
          <cell r="K354">
            <v>164.99</v>
          </cell>
          <cell r="P354">
            <v>8</v>
          </cell>
        </row>
        <row r="355">
          <cell r="B355" t="str">
            <v>STD</v>
          </cell>
          <cell r="C355">
            <v>0.125</v>
          </cell>
          <cell r="D355">
            <v>1.73</v>
          </cell>
          <cell r="E355">
            <v>1</v>
          </cell>
          <cell r="I355">
            <v>7.0000000000000007E-2</v>
          </cell>
          <cell r="K355">
            <v>7.0000000000000007E-2</v>
          </cell>
          <cell r="P355">
            <v>2</v>
          </cell>
        </row>
        <row r="356">
          <cell r="B356" t="str">
            <v>STD</v>
          </cell>
          <cell r="C356">
            <v>0.125</v>
          </cell>
          <cell r="D356">
            <v>1.73</v>
          </cell>
          <cell r="E356">
            <v>1</v>
          </cell>
          <cell r="I356">
            <v>7.0000000000000007E-2</v>
          </cell>
          <cell r="K356">
            <v>7.0000000000000007E-2</v>
          </cell>
          <cell r="P356">
            <v>2</v>
          </cell>
        </row>
        <row r="357">
          <cell r="B357" t="str">
            <v>STD</v>
          </cell>
          <cell r="C357">
            <v>0.125</v>
          </cell>
          <cell r="D357">
            <v>1.73</v>
          </cell>
          <cell r="E357">
            <v>1</v>
          </cell>
          <cell r="I357">
            <v>7.0000000000000007E-2</v>
          </cell>
          <cell r="K357">
            <v>7.0000000000000007E-2</v>
          </cell>
          <cell r="P357">
            <v>2</v>
          </cell>
        </row>
        <row r="358">
          <cell r="B358" t="str">
            <v>STD</v>
          </cell>
          <cell r="C358">
            <v>0.25</v>
          </cell>
          <cell r="D358">
            <v>2.2400000000000002</v>
          </cell>
          <cell r="E358">
            <v>1</v>
          </cell>
          <cell r="I358">
            <v>7.0000000000000007E-2</v>
          </cell>
          <cell r="K358">
            <v>7.0000000000000007E-2</v>
          </cell>
          <cell r="P358">
            <v>2</v>
          </cell>
        </row>
        <row r="359">
          <cell r="B359" t="str">
            <v>STD</v>
          </cell>
          <cell r="C359">
            <v>0.25</v>
          </cell>
          <cell r="D359">
            <v>2.2400000000000002</v>
          </cell>
          <cell r="E359">
            <v>1</v>
          </cell>
          <cell r="I359">
            <v>7.0000000000000007E-2</v>
          </cell>
          <cell r="K359">
            <v>7.0000000000000007E-2</v>
          </cell>
          <cell r="P359">
            <v>2</v>
          </cell>
        </row>
        <row r="360">
          <cell r="B360" t="str">
            <v>STD</v>
          </cell>
          <cell r="C360">
            <v>0.25</v>
          </cell>
          <cell r="D360">
            <v>2.2400000000000002</v>
          </cell>
          <cell r="E360">
            <v>1</v>
          </cell>
          <cell r="I360">
            <v>7.0000000000000007E-2</v>
          </cell>
          <cell r="K360">
            <v>7.0000000000000007E-2</v>
          </cell>
          <cell r="P360">
            <v>2</v>
          </cell>
        </row>
        <row r="361">
          <cell r="B361" t="str">
            <v>STD</v>
          </cell>
          <cell r="C361">
            <v>0.375</v>
          </cell>
          <cell r="D361">
            <v>2.31</v>
          </cell>
          <cell r="E361">
            <v>1</v>
          </cell>
          <cell r="I361">
            <v>7.0000000000000007E-2</v>
          </cell>
          <cell r="J361">
            <v>0</v>
          </cell>
          <cell r="K361">
            <v>7.0000000000000007E-2</v>
          </cell>
          <cell r="P361">
            <v>2</v>
          </cell>
        </row>
        <row r="362">
          <cell r="B362" t="str">
            <v>STD</v>
          </cell>
          <cell r="C362">
            <v>0.375</v>
          </cell>
          <cell r="D362">
            <v>2.31</v>
          </cell>
          <cell r="E362">
            <v>1</v>
          </cell>
          <cell r="I362">
            <v>7.0000000000000007E-2</v>
          </cell>
          <cell r="J362">
            <v>0</v>
          </cell>
          <cell r="K362">
            <v>7.0000000000000007E-2</v>
          </cell>
          <cell r="P362">
            <v>2</v>
          </cell>
        </row>
        <row r="363">
          <cell r="B363" t="str">
            <v>STD</v>
          </cell>
          <cell r="C363">
            <v>0.375</v>
          </cell>
          <cell r="D363">
            <v>2.31</v>
          </cell>
          <cell r="E363">
            <v>1</v>
          </cell>
          <cell r="I363">
            <v>7.0000000000000007E-2</v>
          </cell>
          <cell r="J363">
            <v>0</v>
          </cell>
          <cell r="K363">
            <v>7.0000000000000007E-2</v>
          </cell>
          <cell r="P363">
            <v>2</v>
          </cell>
        </row>
        <row r="364">
          <cell r="B364" t="str">
            <v>STD</v>
          </cell>
          <cell r="C364">
            <v>0.5</v>
          </cell>
          <cell r="D364">
            <v>2.77</v>
          </cell>
          <cell r="E364">
            <v>1</v>
          </cell>
          <cell r="I364">
            <v>7.0000000000000007E-2</v>
          </cell>
          <cell r="J364">
            <v>0</v>
          </cell>
          <cell r="K364">
            <v>7.0000000000000007E-2</v>
          </cell>
          <cell r="P364">
            <v>2</v>
          </cell>
        </row>
        <row r="365">
          <cell r="B365" t="str">
            <v>STD</v>
          </cell>
          <cell r="C365">
            <v>0.5</v>
          </cell>
          <cell r="D365">
            <v>2.77</v>
          </cell>
          <cell r="E365">
            <v>1</v>
          </cell>
          <cell r="I365">
            <v>7.0000000000000007E-2</v>
          </cell>
          <cell r="J365">
            <v>0</v>
          </cell>
          <cell r="K365">
            <v>7.0000000000000007E-2</v>
          </cell>
          <cell r="P365">
            <v>2</v>
          </cell>
        </row>
        <row r="366">
          <cell r="B366" t="str">
            <v>STD</v>
          </cell>
          <cell r="C366">
            <v>0.5</v>
          </cell>
          <cell r="D366">
            <v>2.77</v>
          </cell>
          <cell r="E366">
            <v>1</v>
          </cell>
          <cell r="I366">
            <v>7.0000000000000007E-2</v>
          </cell>
          <cell r="J366">
            <v>0</v>
          </cell>
          <cell r="K366">
            <v>7.0000000000000007E-2</v>
          </cell>
          <cell r="P366">
            <v>2</v>
          </cell>
        </row>
        <row r="367">
          <cell r="B367" t="str">
            <v>STD</v>
          </cell>
          <cell r="C367">
            <v>0.75</v>
          </cell>
          <cell r="D367">
            <v>2.87</v>
          </cell>
          <cell r="E367">
            <v>1</v>
          </cell>
          <cell r="I367">
            <v>7.0000000000000007E-2</v>
          </cell>
          <cell r="J367">
            <v>0</v>
          </cell>
          <cell r="K367">
            <v>7.0000000000000007E-2</v>
          </cell>
          <cell r="P367">
            <v>2</v>
          </cell>
        </row>
        <row r="368">
          <cell r="B368" t="str">
            <v>STD</v>
          </cell>
          <cell r="C368">
            <v>0.75</v>
          </cell>
          <cell r="D368">
            <v>2.87</v>
          </cell>
          <cell r="E368">
            <v>1</v>
          </cell>
          <cell r="I368">
            <v>7.0000000000000007E-2</v>
          </cell>
          <cell r="J368">
            <v>0</v>
          </cell>
          <cell r="K368">
            <v>7.0000000000000007E-2</v>
          </cell>
          <cell r="P368">
            <v>2</v>
          </cell>
        </row>
        <row r="369">
          <cell r="B369" t="str">
            <v>STD</v>
          </cell>
          <cell r="C369">
            <v>0.75</v>
          </cell>
          <cell r="D369">
            <v>2.87</v>
          </cell>
          <cell r="E369">
            <v>1</v>
          </cell>
          <cell r="I369">
            <v>7.0000000000000007E-2</v>
          </cell>
          <cell r="J369">
            <v>0</v>
          </cell>
          <cell r="K369">
            <v>7.0000000000000007E-2</v>
          </cell>
          <cell r="P369">
            <v>2</v>
          </cell>
        </row>
        <row r="370">
          <cell r="B370" t="str">
            <v>STD</v>
          </cell>
          <cell r="C370">
            <v>1</v>
          </cell>
          <cell r="D370">
            <v>3.38</v>
          </cell>
          <cell r="E370">
            <v>1</v>
          </cell>
          <cell r="I370">
            <v>0.12</v>
          </cell>
          <cell r="J370">
            <v>0</v>
          </cell>
          <cell r="K370">
            <v>0.12</v>
          </cell>
          <cell r="P370">
            <v>2</v>
          </cell>
        </row>
        <row r="371">
          <cell r="B371" t="str">
            <v>STD</v>
          </cell>
          <cell r="C371">
            <v>1</v>
          </cell>
          <cell r="D371">
            <v>3.38</v>
          </cell>
          <cell r="E371">
            <v>1</v>
          </cell>
          <cell r="I371">
            <v>0.12</v>
          </cell>
          <cell r="J371">
            <v>0</v>
          </cell>
          <cell r="K371">
            <v>0.12</v>
          </cell>
          <cell r="P371">
            <v>2</v>
          </cell>
        </row>
        <row r="372">
          <cell r="B372" t="str">
            <v>STD</v>
          </cell>
          <cell r="C372">
            <v>1</v>
          </cell>
          <cell r="D372">
            <v>3.38</v>
          </cell>
          <cell r="E372">
            <v>1</v>
          </cell>
          <cell r="I372">
            <v>0.12</v>
          </cell>
          <cell r="J372">
            <v>0</v>
          </cell>
          <cell r="K372">
            <v>0.12</v>
          </cell>
          <cell r="P372">
            <v>2</v>
          </cell>
        </row>
        <row r="373">
          <cell r="B373" t="str">
            <v>STD</v>
          </cell>
          <cell r="C373">
            <v>1.25</v>
          </cell>
          <cell r="D373">
            <v>3.56</v>
          </cell>
          <cell r="E373">
            <v>1</v>
          </cell>
          <cell r="I373">
            <v>0.15</v>
          </cell>
          <cell r="K373">
            <v>0.15</v>
          </cell>
          <cell r="P373">
            <v>2</v>
          </cell>
        </row>
        <row r="374">
          <cell r="B374" t="str">
            <v>STD</v>
          </cell>
          <cell r="C374">
            <v>1.25</v>
          </cell>
          <cell r="D374">
            <v>3.56</v>
          </cell>
          <cell r="E374">
            <v>1</v>
          </cell>
          <cell r="I374">
            <v>0.15</v>
          </cell>
          <cell r="K374">
            <v>0.15</v>
          </cell>
          <cell r="P374">
            <v>2</v>
          </cell>
        </row>
        <row r="375">
          <cell r="B375" t="str">
            <v>STD</v>
          </cell>
          <cell r="C375">
            <v>1.25</v>
          </cell>
          <cell r="D375">
            <v>3.56</v>
          </cell>
          <cell r="E375">
            <v>1</v>
          </cell>
          <cell r="I375">
            <v>0.15</v>
          </cell>
          <cell r="K375">
            <v>0.15</v>
          </cell>
          <cell r="P375">
            <v>2</v>
          </cell>
        </row>
        <row r="376">
          <cell r="B376" t="str">
            <v>STD</v>
          </cell>
          <cell r="C376">
            <v>1.5</v>
          </cell>
          <cell r="D376">
            <v>3.68</v>
          </cell>
          <cell r="E376">
            <v>1</v>
          </cell>
          <cell r="I376">
            <v>0.15</v>
          </cell>
          <cell r="J376">
            <v>0</v>
          </cell>
          <cell r="K376">
            <v>0.15</v>
          </cell>
          <cell r="P376">
            <v>2</v>
          </cell>
        </row>
        <row r="377">
          <cell r="B377" t="str">
            <v>STD</v>
          </cell>
          <cell r="C377">
            <v>1.5</v>
          </cell>
          <cell r="D377">
            <v>3.68</v>
          </cell>
          <cell r="E377">
            <v>1</v>
          </cell>
          <cell r="I377">
            <v>0.15</v>
          </cell>
          <cell r="J377">
            <v>0</v>
          </cell>
          <cell r="K377">
            <v>0.15</v>
          </cell>
          <cell r="P377">
            <v>2</v>
          </cell>
        </row>
        <row r="378">
          <cell r="B378" t="str">
            <v>STD</v>
          </cell>
          <cell r="C378">
            <v>1.5</v>
          </cell>
          <cell r="D378">
            <v>3.68</v>
          </cell>
          <cell r="E378">
            <v>1</v>
          </cell>
          <cell r="I378">
            <v>0.15</v>
          </cell>
          <cell r="J378">
            <v>0</v>
          </cell>
          <cell r="K378">
            <v>0.15</v>
          </cell>
          <cell r="P378">
            <v>2</v>
          </cell>
        </row>
        <row r="379">
          <cell r="B379" t="str">
            <v>STD</v>
          </cell>
          <cell r="C379">
            <v>2</v>
          </cell>
          <cell r="D379">
            <v>3.91</v>
          </cell>
          <cell r="E379">
            <v>1</v>
          </cell>
          <cell r="I379">
            <v>0.3</v>
          </cell>
          <cell r="J379">
            <v>0</v>
          </cell>
          <cell r="K379">
            <v>0.3</v>
          </cell>
          <cell r="P379">
            <v>2</v>
          </cell>
        </row>
        <row r="380">
          <cell r="B380" t="str">
            <v>STD</v>
          </cell>
          <cell r="C380">
            <v>2</v>
          </cell>
          <cell r="D380">
            <v>3.91</v>
          </cell>
          <cell r="E380">
            <v>1</v>
          </cell>
          <cell r="I380">
            <v>0.3</v>
          </cell>
          <cell r="J380">
            <v>0</v>
          </cell>
          <cell r="K380">
            <v>0.3</v>
          </cell>
          <cell r="P380">
            <v>2</v>
          </cell>
        </row>
        <row r="381">
          <cell r="B381" t="str">
            <v>STD</v>
          </cell>
          <cell r="C381">
            <v>2</v>
          </cell>
          <cell r="D381">
            <v>3.91</v>
          </cell>
          <cell r="E381">
            <v>1</v>
          </cell>
          <cell r="I381">
            <v>0.3</v>
          </cell>
          <cell r="J381">
            <v>0</v>
          </cell>
          <cell r="K381">
            <v>0.3</v>
          </cell>
          <cell r="P381">
            <v>2</v>
          </cell>
        </row>
        <row r="382">
          <cell r="B382" t="str">
            <v>STD</v>
          </cell>
          <cell r="C382">
            <v>2.5</v>
          </cell>
          <cell r="D382">
            <v>5.16</v>
          </cell>
          <cell r="E382">
            <v>1</v>
          </cell>
          <cell r="I382">
            <v>0.25</v>
          </cell>
          <cell r="J382">
            <v>0.2</v>
          </cell>
          <cell r="K382">
            <v>0.45</v>
          </cell>
          <cell r="P382">
            <v>2</v>
          </cell>
        </row>
        <row r="383">
          <cell r="B383" t="str">
            <v>STD</v>
          </cell>
          <cell r="C383">
            <v>3</v>
          </cell>
          <cell r="D383">
            <v>5.49</v>
          </cell>
          <cell r="E383">
            <v>1</v>
          </cell>
          <cell r="I383">
            <v>0.3</v>
          </cell>
          <cell r="J383">
            <v>0.3</v>
          </cell>
          <cell r="K383">
            <v>0.6</v>
          </cell>
          <cell r="P383">
            <v>2</v>
          </cell>
        </row>
        <row r="384">
          <cell r="B384" t="str">
            <v>STD</v>
          </cell>
          <cell r="C384">
            <v>3.5</v>
          </cell>
          <cell r="D384">
            <v>5.74</v>
          </cell>
          <cell r="E384">
            <v>1</v>
          </cell>
          <cell r="I384">
            <v>0.35</v>
          </cell>
          <cell r="J384">
            <v>0.4</v>
          </cell>
          <cell r="K384">
            <v>0.75</v>
          </cell>
          <cell r="P384">
            <v>3</v>
          </cell>
        </row>
        <row r="385">
          <cell r="B385" t="str">
            <v>STD</v>
          </cell>
          <cell r="C385">
            <v>4</v>
          </cell>
          <cell r="D385">
            <v>6.02</v>
          </cell>
          <cell r="E385">
            <v>1</v>
          </cell>
          <cell r="I385">
            <v>0.41</v>
          </cell>
          <cell r="J385">
            <v>0.49</v>
          </cell>
          <cell r="K385">
            <v>0.89999999999999991</v>
          </cell>
          <cell r="P385">
            <v>3</v>
          </cell>
        </row>
        <row r="386">
          <cell r="B386" t="str">
            <v>STD</v>
          </cell>
          <cell r="C386">
            <v>5</v>
          </cell>
          <cell r="D386">
            <v>6.55</v>
          </cell>
          <cell r="E386">
            <v>1</v>
          </cell>
          <cell r="I386">
            <v>0.51</v>
          </cell>
          <cell r="J386">
            <v>0.54</v>
          </cell>
          <cell r="K386">
            <v>1.05</v>
          </cell>
          <cell r="P386">
            <v>4</v>
          </cell>
        </row>
        <row r="387">
          <cell r="B387" t="str">
            <v>STD</v>
          </cell>
          <cell r="C387">
            <v>6</v>
          </cell>
          <cell r="D387">
            <v>7.11</v>
          </cell>
          <cell r="E387">
            <v>1</v>
          </cell>
          <cell r="I387">
            <v>0.61</v>
          </cell>
          <cell r="J387">
            <v>1.04</v>
          </cell>
          <cell r="K387">
            <v>1.65</v>
          </cell>
          <cell r="P387">
            <v>4</v>
          </cell>
        </row>
        <row r="388">
          <cell r="B388" t="str">
            <v>STD</v>
          </cell>
          <cell r="C388">
            <v>8</v>
          </cell>
          <cell r="D388">
            <v>8.18</v>
          </cell>
          <cell r="E388">
            <v>1</v>
          </cell>
          <cell r="I388">
            <v>0.81</v>
          </cell>
          <cell r="J388">
            <v>1.73</v>
          </cell>
          <cell r="K388">
            <v>2.54</v>
          </cell>
          <cell r="P388">
            <v>4</v>
          </cell>
        </row>
        <row r="389">
          <cell r="B389" t="str">
            <v>STD</v>
          </cell>
          <cell r="C389">
            <v>10</v>
          </cell>
          <cell r="D389">
            <v>9.27</v>
          </cell>
          <cell r="E389">
            <v>1</v>
          </cell>
          <cell r="I389">
            <v>1.01</v>
          </cell>
          <cell r="J389">
            <v>3.04</v>
          </cell>
          <cell r="K389">
            <v>4.05</v>
          </cell>
          <cell r="P389">
            <v>4</v>
          </cell>
        </row>
        <row r="390">
          <cell r="B390" t="str">
            <v>STD</v>
          </cell>
          <cell r="C390">
            <v>12</v>
          </cell>
          <cell r="D390">
            <v>9.5299999999999994</v>
          </cell>
          <cell r="E390">
            <v>1</v>
          </cell>
          <cell r="I390">
            <v>1.22</v>
          </cell>
          <cell r="J390">
            <v>3.28</v>
          </cell>
          <cell r="K390">
            <v>4.5</v>
          </cell>
          <cell r="P390">
            <v>6</v>
          </cell>
        </row>
        <row r="391">
          <cell r="B391" t="str">
            <v>STD</v>
          </cell>
          <cell r="C391">
            <v>14</v>
          </cell>
          <cell r="D391">
            <v>9.5299999999999994</v>
          </cell>
          <cell r="E391">
            <v>1</v>
          </cell>
          <cell r="I391">
            <v>1.42</v>
          </cell>
          <cell r="J391">
            <v>3.97</v>
          </cell>
          <cell r="K391">
            <v>5.3900000000000006</v>
          </cell>
          <cell r="P391">
            <v>6</v>
          </cell>
        </row>
        <row r="392">
          <cell r="B392" t="str">
            <v>STD</v>
          </cell>
          <cell r="C392">
            <v>16</v>
          </cell>
          <cell r="D392">
            <v>9.5299999999999994</v>
          </cell>
          <cell r="E392">
            <v>1</v>
          </cell>
          <cell r="I392">
            <v>1.62</v>
          </cell>
          <cell r="J392">
            <v>4.68</v>
          </cell>
          <cell r="K392">
            <v>6.3</v>
          </cell>
          <cell r="P392">
            <v>6</v>
          </cell>
        </row>
        <row r="393">
          <cell r="B393" t="str">
            <v>STD</v>
          </cell>
          <cell r="C393">
            <v>18</v>
          </cell>
          <cell r="D393">
            <v>9.5299999999999994</v>
          </cell>
          <cell r="E393">
            <v>1</v>
          </cell>
          <cell r="I393">
            <v>1.82</v>
          </cell>
          <cell r="J393">
            <v>5.38</v>
          </cell>
          <cell r="K393">
            <v>7.2</v>
          </cell>
          <cell r="P393">
            <v>6</v>
          </cell>
        </row>
        <row r="394">
          <cell r="B394" t="str">
            <v>STD</v>
          </cell>
          <cell r="C394">
            <v>20</v>
          </cell>
          <cell r="D394">
            <v>9.5299999999999994</v>
          </cell>
          <cell r="E394">
            <v>1</v>
          </cell>
          <cell r="I394">
            <v>2.0299999999999998</v>
          </cell>
          <cell r="J394">
            <v>5.47</v>
          </cell>
          <cell r="K394">
            <v>7.5</v>
          </cell>
          <cell r="P394">
            <v>7</v>
          </cell>
        </row>
        <row r="395">
          <cell r="B395" t="str">
            <v>STD</v>
          </cell>
          <cell r="C395">
            <v>22</v>
          </cell>
          <cell r="D395">
            <v>9.5299999999999994</v>
          </cell>
          <cell r="E395">
            <v>1</v>
          </cell>
          <cell r="I395">
            <v>2.23</v>
          </cell>
          <cell r="J395">
            <v>6.47</v>
          </cell>
          <cell r="K395">
            <v>8.6999999999999993</v>
          </cell>
          <cell r="P395">
            <v>8</v>
          </cell>
        </row>
        <row r="396">
          <cell r="B396" t="str">
            <v>STD</v>
          </cell>
          <cell r="C396">
            <v>24</v>
          </cell>
          <cell r="D396">
            <v>9.5299999999999994</v>
          </cell>
          <cell r="E396">
            <v>1</v>
          </cell>
          <cell r="I396">
            <v>2.4300000000000002</v>
          </cell>
          <cell r="J396">
            <v>6.57</v>
          </cell>
          <cell r="K396">
            <v>9</v>
          </cell>
          <cell r="P396">
            <v>8</v>
          </cell>
        </row>
        <row r="397">
          <cell r="B397" t="str">
            <v>STD</v>
          </cell>
          <cell r="C397">
            <v>26</v>
          </cell>
          <cell r="D397">
            <v>9.5299999999999994</v>
          </cell>
          <cell r="E397">
            <v>1</v>
          </cell>
          <cell r="I397">
            <v>2.64</v>
          </cell>
          <cell r="J397">
            <v>7.7</v>
          </cell>
          <cell r="K397">
            <v>10.34</v>
          </cell>
          <cell r="P397">
            <v>9</v>
          </cell>
        </row>
        <row r="398">
          <cell r="B398" t="str">
            <v>STD</v>
          </cell>
          <cell r="C398">
            <v>28</v>
          </cell>
          <cell r="D398">
            <v>9.5299999999999994</v>
          </cell>
          <cell r="E398">
            <v>1</v>
          </cell>
          <cell r="I398">
            <v>2.84</v>
          </cell>
          <cell r="J398">
            <v>8.25</v>
          </cell>
          <cell r="K398">
            <v>11.09</v>
          </cell>
          <cell r="P398">
            <v>9</v>
          </cell>
        </row>
        <row r="399">
          <cell r="B399" t="str">
            <v>STD</v>
          </cell>
          <cell r="C399">
            <v>30</v>
          </cell>
          <cell r="D399">
            <v>9.5299999999999994</v>
          </cell>
          <cell r="E399">
            <v>1</v>
          </cell>
          <cell r="I399">
            <v>3.04</v>
          </cell>
          <cell r="J399">
            <v>8.9600000000000009</v>
          </cell>
          <cell r="K399">
            <v>12</v>
          </cell>
          <cell r="P399">
            <v>10</v>
          </cell>
        </row>
        <row r="400">
          <cell r="B400" t="str">
            <v>STD</v>
          </cell>
          <cell r="C400">
            <v>32</v>
          </cell>
          <cell r="D400">
            <v>9.5299999999999994</v>
          </cell>
          <cell r="E400">
            <v>1</v>
          </cell>
          <cell r="I400">
            <v>3.24</v>
          </cell>
          <cell r="J400">
            <v>9.51</v>
          </cell>
          <cell r="K400">
            <v>12.75</v>
          </cell>
          <cell r="P400">
            <v>11</v>
          </cell>
        </row>
        <row r="401">
          <cell r="B401" t="str">
            <v>STD</v>
          </cell>
          <cell r="C401">
            <v>34</v>
          </cell>
          <cell r="D401">
            <v>9.5299999999999994</v>
          </cell>
          <cell r="E401">
            <v>1</v>
          </cell>
          <cell r="I401">
            <v>3.45</v>
          </cell>
          <cell r="J401">
            <v>10.050000000000001</v>
          </cell>
          <cell r="K401">
            <v>13.5</v>
          </cell>
          <cell r="P401">
            <v>12</v>
          </cell>
        </row>
        <row r="402">
          <cell r="B402" t="str">
            <v>STD</v>
          </cell>
          <cell r="C402">
            <v>36</v>
          </cell>
          <cell r="D402">
            <v>9.5299999999999994</v>
          </cell>
          <cell r="E402">
            <v>1</v>
          </cell>
          <cell r="I402">
            <v>3.65</v>
          </cell>
          <cell r="J402">
            <v>10.6</v>
          </cell>
          <cell r="K402">
            <v>14.25</v>
          </cell>
          <cell r="P402">
            <v>12</v>
          </cell>
        </row>
        <row r="403">
          <cell r="B403" t="str">
            <v>STD</v>
          </cell>
          <cell r="C403">
            <v>38</v>
          </cell>
          <cell r="D403">
            <v>9.5299999999999994</v>
          </cell>
          <cell r="E403">
            <v>1</v>
          </cell>
          <cell r="I403">
            <v>3.85</v>
          </cell>
          <cell r="J403">
            <v>11.23</v>
          </cell>
          <cell r="K403">
            <v>15.08</v>
          </cell>
          <cell r="P403">
            <v>13</v>
          </cell>
        </row>
        <row r="404">
          <cell r="B404" t="str">
            <v>STD</v>
          </cell>
          <cell r="C404">
            <v>40</v>
          </cell>
          <cell r="D404">
            <v>9.5299999999999994</v>
          </cell>
          <cell r="E404">
            <v>1</v>
          </cell>
          <cell r="I404">
            <v>4.0599999999999996</v>
          </cell>
          <cell r="J404">
            <v>11.66</v>
          </cell>
          <cell r="K404">
            <v>15.719999999999999</v>
          </cell>
          <cell r="P404">
            <v>14</v>
          </cell>
        </row>
        <row r="405">
          <cell r="B405" t="str">
            <v>STD</v>
          </cell>
          <cell r="C405">
            <v>42</v>
          </cell>
          <cell r="D405">
            <v>9.5299999999999994</v>
          </cell>
          <cell r="E405">
            <v>1</v>
          </cell>
          <cell r="I405">
            <v>4.26</v>
          </cell>
          <cell r="J405">
            <v>12.24</v>
          </cell>
          <cell r="K405">
            <v>16.5</v>
          </cell>
          <cell r="P405">
            <v>14</v>
          </cell>
        </row>
        <row r="406">
          <cell r="B406" t="str">
            <v>STD</v>
          </cell>
          <cell r="C406">
            <v>44</v>
          </cell>
          <cell r="D406">
            <v>9.5299999999999994</v>
          </cell>
          <cell r="E406">
            <v>1</v>
          </cell>
          <cell r="I406">
            <v>4.47</v>
          </cell>
          <cell r="J406">
            <v>17.54</v>
          </cell>
          <cell r="K406">
            <v>22.009999999999998</v>
          </cell>
          <cell r="P406">
            <v>15</v>
          </cell>
        </row>
        <row r="407">
          <cell r="B407" t="str">
            <v>STD</v>
          </cell>
          <cell r="C407">
            <v>46</v>
          </cell>
          <cell r="D407">
            <v>9.5299999999999994</v>
          </cell>
          <cell r="E407">
            <v>1</v>
          </cell>
          <cell r="I407">
            <v>4.67</v>
          </cell>
          <cell r="J407">
            <v>18.329999999999998</v>
          </cell>
          <cell r="K407">
            <v>23</v>
          </cell>
          <cell r="P407">
            <v>16</v>
          </cell>
        </row>
        <row r="408">
          <cell r="B408" t="str">
            <v>STD</v>
          </cell>
          <cell r="C408">
            <v>48</v>
          </cell>
          <cell r="D408">
            <v>9.5299999999999994</v>
          </cell>
          <cell r="E408">
            <v>1</v>
          </cell>
          <cell r="I408">
            <v>4.87</v>
          </cell>
          <cell r="J408">
            <v>19.13</v>
          </cell>
          <cell r="K408">
            <v>24</v>
          </cell>
          <cell r="P408">
            <v>16</v>
          </cell>
        </row>
        <row r="409">
          <cell r="B409" t="str">
            <v xml:space="preserve">XS </v>
          </cell>
          <cell r="C409">
            <v>0.125</v>
          </cell>
          <cell r="D409">
            <v>2.41</v>
          </cell>
          <cell r="E409">
            <v>1</v>
          </cell>
          <cell r="I409">
            <v>7.0000000000000007E-2</v>
          </cell>
          <cell r="K409">
            <v>7.0000000000000007E-2</v>
          </cell>
          <cell r="P409">
            <v>2</v>
          </cell>
        </row>
        <row r="410">
          <cell r="B410" t="str">
            <v xml:space="preserve">XS </v>
          </cell>
          <cell r="C410">
            <v>0.125</v>
          </cell>
          <cell r="D410">
            <v>2.41</v>
          </cell>
          <cell r="E410">
            <v>1</v>
          </cell>
          <cell r="I410">
            <v>7.0000000000000007E-2</v>
          </cell>
          <cell r="K410">
            <v>7.0000000000000007E-2</v>
          </cell>
          <cell r="P410">
            <v>2</v>
          </cell>
        </row>
        <row r="411">
          <cell r="B411" t="str">
            <v xml:space="preserve">XS </v>
          </cell>
          <cell r="C411">
            <v>0.125</v>
          </cell>
          <cell r="D411">
            <v>2.41</v>
          </cell>
          <cell r="E411">
            <v>1</v>
          </cell>
          <cell r="I411">
            <v>7.0000000000000007E-2</v>
          </cell>
          <cell r="K411">
            <v>7.0000000000000007E-2</v>
          </cell>
          <cell r="P411">
            <v>2</v>
          </cell>
        </row>
        <row r="412">
          <cell r="B412" t="str">
            <v xml:space="preserve">XS </v>
          </cell>
          <cell r="C412">
            <v>0.25</v>
          </cell>
          <cell r="D412">
            <v>3.02</v>
          </cell>
          <cell r="E412">
            <v>1</v>
          </cell>
          <cell r="I412">
            <v>7.0000000000000007E-2</v>
          </cell>
          <cell r="K412">
            <v>7.0000000000000007E-2</v>
          </cell>
          <cell r="P412">
            <v>2</v>
          </cell>
        </row>
        <row r="413">
          <cell r="B413" t="str">
            <v xml:space="preserve">XS </v>
          </cell>
          <cell r="C413">
            <v>0.25</v>
          </cell>
          <cell r="D413">
            <v>3.02</v>
          </cell>
          <cell r="E413">
            <v>1</v>
          </cell>
          <cell r="I413">
            <v>7.0000000000000007E-2</v>
          </cell>
          <cell r="K413">
            <v>7.0000000000000007E-2</v>
          </cell>
          <cell r="P413">
            <v>2</v>
          </cell>
        </row>
        <row r="414">
          <cell r="B414" t="str">
            <v xml:space="preserve">XS </v>
          </cell>
          <cell r="C414">
            <v>0.25</v>
          </cell>
          <cell r="D414">
            <v>3.02</v>
          </cell>
          <cell r="E414">
            <v>1</v>
          </cell>
          <cell r="I414">
            <v>7.0000000000000007E-2</v>
          </cell>
          <cell r="K414">
            <v>7.0000000000000007E-2</v>
          </cell>
          <cell r="P414">
            <v>2</v>
          </cell>
        </row>
        <row r="415">
          <cell r="B415" t="str">
            <v xml:space="preserve">XS </v>
          </cell>
          <cell r="C415">
            <v>0.375</v>
          </cell>
          <cell r="D415">
            <v>3.2</v>
          </cell>
          <cell r="E415">
            <v>1</v>
          </cell>
          <cell r="I415">
            <v>7.0000000000000007E-2</v>
          </cell>
          <cell r="J415">
            <v>0</v>
          </cell>
          <cell r="K415">
            <v>7.0000000000000007E-2</v>
          </cell>
          <cell r="P415">
            <v>2</v>
          </cell>
        </row>
        <row r="416">
          <cell r="B416" t="str">
            <v xml:space="preserve">XS </v>
          </cell>
          <cell r="C416">
            <v>0.375</v>
          </cell>
          <cell r="D416">
            <v>3.2</v>
          </cell>
          <cell r="E416">
            <v>1</v>
          </cell>
          <cell r="I416">
            <v>7.0000000000000007E-2</v>
          </cell>
          <cell r="J416">
            <v>0</v>
          </cell>
          <cell r="K416">
            <v>7.0000000000000007E-2</v>
          </cell>
          <cell r="P416">
            <v>2</v>
          </cell>
        </row>
        <row r="417">
          <cell r="B417" t="str">
            <v xml:space="preserve">XS </v>
          </cell>
          <cell r="C417">
            <v>0.375</v>
          </cell>
          <cell r="D417">
            <v>3.2</v>
          </cell>
          <cell r="E417">
            <v>1</v>
          </cell>
          <cell r="I417">
            <v>7.0000000000000007E-2</v>
          </cell>
          <cell r="J417">
            <v>0</v>
          </cell>
          <cell r="K417">
            <v>7.0000000000000007E-2</v>
          </cell>
          <cell r="P417">
            <v>2</v>
          </cell>
        </row>
        <row r="418">
          <cell r="B418" t="str">
            <v xml:space="preserve">XS </v>
          </cell>
          <cell r="C418">
            <v>0.5</v>
          </cell>
          <cell r="D418">
            <v>3.73</v>
          </cell>
          <cell r="E418">
            <v>1</v>
          </cell>
          <cell r="I418">
            <v>7.0000000000000007E-2</v>
          </cell>
          <cell r="J418">
            <v>0</v>
          </cell>
          <cell r="K418">
            <v>7.0000000000000007E-2</v>
          </cell>
          <cell r="P418">
            <v>2</v>
          </cell>
        </row>
        <row r="419">
          <cell r="B419" t="str">
            <v xml:space="preserve">XS </v>
          </cell>
          <cell r="C419">
            <v>0.5</v>
          </cell>
          <cell r="D419">
            <v>3.73</v>
          </cell>
          <cell r="E419">
            <v>1</v>
          </cell>
          <cell r="I419">
            <v>7.0000000000000007E-2</v>
          </cell>
          <cell r="J419">
            <v>0</v>
          </cell>
          <cell r="K419">
            <v>7.0000000000000007E-2</v>
          </cell>
          <cell r="P419">
            <v>2</v>
          </cell>
        </row>
        <row r="420">
          <cell r="B420" t="str">
            <v xml:space="preserve">XS </v>
          </cell>
          <cell r="C420">
            <v>0.5</v>
          </cell>
          <cell r="D420">
            <v>3.73</v>
          </cell>
          <cell r="E420">
            <v>1</v>
          </cell>
          <cell r="I420">
            <v>7.0000000000000007E-2</v>
          </cell>
          <cell r="J420">
            <v>0</v>
          </cell>
          <cell r="K420">
            <v>7.0000000000000007E-2</v>
          </cell>
          <cell r="P420">
            <v>2</v>
          </cell>
        </row>
        <row r="421">
          <cell r="B421" t="str">
            <v xml:space="preserve">XS </v>
          </cell>
          <cell r="C421">
            <v>0.75</v>
          </cell>
          <cell r="D421">
            <v>3.91</v>
          </cell>
          <cell r="E421">
            <v>1</v>
          </cell>
          <cell r="I421">
            <v>7.0000000000000007E-2</v>
          </cell>
          <cell r="J421">
            <v>0</v>
          </cell>
          <cell r="K421">
            <v>7.0000000000000007E-2</v>
          </cell>
          <cell r="P421">
            <v>2</v>
          </cell>
        </row>
        <row r="422">
          <cell r="B422" t="str">
            <v xml:space="preserve">XS </v>
          </cell>
          <cell r="C422">
            <v>0.75</v>
          </cell>
          <cell r="D422">
            <v>3.91</v>
          </cell>
          <cell r="E422">
            <v>1</v>
          </cell>
          <cell r="I422">
            <v>7.0000000000000007E-2</v>
          </cell>
          <cell r="J422">
            <v>0</v>
          </cell>
          <cell r="K422">
            <v>7.0000000000000007E-2</v>
          </cell>
          <cell r="P422">
            <v>2</v>
          </cell>
        </row>
        <row r="423">
          <cell r="B423" t="str">
            <v xml:space="preserve">XS </v>
          </cell>
          <cell r="C423">
            <v>0.75</v>
          </cell>
          <cell r="D423">
            <v>3.91</v>
          </cell>
          <cell r="E423">
            <v>1</v>
          </cell>
          <cell r="I423">
            <v>7.0000000000000007E-2</v>
          </cell>
          <cell r="J423">
            <v>0</v>
          </cell>
          <cell r="K423">
            <v>7.0000000000000007E-2</v>
          </cell>
          <cell r="P423">
            <v>2</v>
          </cell>
        </row>
        <row r="424">
          <cell r="B424" t="str">
            <v xml:space="preserve">XS </v>
          </cell>
          <cell r="C424">
            <v>1</v>
          </cell>
          <cell r="D424">
            <v>4.55</v>
          </cell>
          <cell r="E424">
            <v>1</v>
          </cell>
          <cell r="I424">
            <v>0.15</v>
          </cell>
          <cell r="J424">
            <v>0</v>
          </cell>
          <cell r="K424">
            <v>0.15</v>
          </cell>
          <cell r="P424">
            <v>2</v>
          </cell>
        </row>
        <row r="425">
          <cell r="B425" t="str">
            <v xml:space="preserve">XS </v>
          </cell>
          <cell r="C425">
            <v>1</v>
          </cell>
          <cell r="D425">
            <v>4.55</v>
          </cell>
          <cell r="E425">
            <v>1</v>
          </cell>
          <cell r="I425">
            <v>0.15</v>
          </cell>
          <cell r="J425">
            <v>0</v>
          </cell>
          <cell r="K425">
            <v>0.15</v>
          </cell>
          <cell r="P425">
            <v>2</v>
          </cell>
        </row>
        <row r="426">
          <cell r="B426" t="str">
            <v xml:space="preserve">XS </v>
          </cell>
          <cell r="C426">
            <v>1</v>
          </cell>
          <cell r="D426">
            <v>4.55</v>
          </cell>
          <cell r="E426">
            <v>1</v>
          </cell>
          <cell r="I426">
            <v>0.15</v>
          </cell>
          <cell r="J426">
            <v>0</v>
          </cell>
          <cell r="K426">
            <v>0.15</v>
          </cell>
          <cell r="P426">
            <v>2</v>
          </cell>
        </row>
        <row r="427">
          <cell r="B427" t="str">
            <v xml:space="preserve">XS </v>
          </cell>
          <cell r="C427">
            <v>1.25</v>
          </cell>
          <cell r="D427">
            <v>4.8499999999999996</v>
          </cell>
          <cell r="E427">
            <v>1</v>
          </cell>
          <cell r="I427">
            <v>0.13</v>
          </cell>
          <cell r="J427">
            <v>0.17</v>
          </cell>
          <cell r="K427">
            <v>0.30000000000000004</v>
          </cell>
          <cell r="P427">
            <v>2</v>
          </cell>
        </row>
        <row r="428">
          <cell r="B428" t="str">
            <v xml:space="preserve">XS </v>
          </cell>
          <cell r="C428">
            <v>1.25</v>
          </cell>
          <cell r="D428">
            <v>4.8499999999999996</v>
          </cell>
          <cell r="E428">
            <v>1</v>
          </cell>
          <cell r="I428">
            <v>0.13</v>
          </cell>
          <cell r="J428">
            <v>0.17</v>
          </cell>
          <cell r="K428">
            <v>0.30000000000000004</v>
          </cell>
          <cell r="P428">
            <v>2</v>
          </cell>
        </row>
        <row r="429">
          <cell r="B429" t="str">
            <v xml:space="preserve">XS </v>
          </cell>
          <cell r="C429">
            <v>1.25</v>
          </cell>
          <cell r="D429">
            <v>4.8499999999999996</v>
          </cell>
          <cell r="E429">
            <v>1</v>
          </cell>
          <cell r="I429">
            <v>0.13</v>
          </cell>
          <cell r="J429">
            <v>0.17</v>
          </cell>
          <cell r="K429">
            <v>0.30000000000000004</v>
          </cell>
          <cell r="P429">
            <v>2</v>
          </cell>
        </row>
        <row r="430">
          <cell r="B430" t="str">
            <v xml:space="preserve">XS </v>
          </cell>
          <cell r="C430">
            <v>1.5</v>
          </cell>
          <cell r="D430">
            <v>5.08</v>
          </cell>
          <cell r="E430">
            <v>1</v>
          </cell>
          <cell r="I430">
            <v>0.15</v>
          </cell>
          <cell r="J430">
            <v>0.15</v>
          </cell>
          <cell r="K430">
            <v>0.3</v>
          </cell>
          <cell r="P430">
            <v>2</v>
          </cell>
        </row>
        <row r="431">
          <cell r="B431" t="str">
            <v xml:space="preserve">XS </v>
          </cell>
          <cell r="C431">
            <v>1.5</v>
          </cell>
          <cell r="D431">
            <v>5.08</v>
          </cell>
          <cell r="E431">
            <v>1</v>
          </cell>
          <cell r="I431">
            <v>0.15</v>
          </cell>
          <cell r="J431">
            <v>0.15</v>
          </cell>
          <cell r="K431">
            <v>0.3</v>
          </cell>
          <cell r="P431">
            <v>2</v>
          </cell>
        </row>
        <row r="432">
          <cell r="B432" t="str">
            <v xml:space="preserve">XS </v>
          </cell>
          <cell r="C432">
            <v>1.5</v>
          </cell>
          <cell r="D432">
            <v>5.08</v>
          </cell>
          <cell r="E432">
            <v>1</v>
          </cell>
          <cell r="I432">
            <v>0.15</v>
          </cell>
          <cell r="J432">
            <v>0.15</v>
          </cell>
          <cell r="K432">
            <v>0.3</v>
          </cell>
          <cell r="P432">
            <v>2</v>
          </cell>
        </row>
        <row r="433">
          <cell r="B433" t="str">
            <v xml:space="preserve">XS </v>
          </cell>
          <cell r="C433">
            <v>2</v>
          </cell>
          <cell r="D433">
            <v>5.54</v>
          </cell>
          <cell r="E433">
            <v>1</v>
          </cell>
          <cell r="I433">
            <v>0.2</v>
          </cell>
          <cell r="J433">
            <v>0.25</v>
          </cell>
          <cell r="K433">
            <v>0.45</v>
          </cell>
          <cell r="P433">
            <v>2</v>
          </cell>
        </row>
        <row r="434">
          <cell r="B434" t="str">
            <v xml:space="preserve">XS </v>
          </cell>
          <cell r="C434">
            <v>2</v>
          </cell>
          <cell r="D434">
            <v>5.54</v>
          </cell>
          <cell r="E434">
            <v>1</v>
          </cell>
          <cell r="I434">
            <v>0.2</v>
          </cell>
          <cell r="J434">
            <v>0.25</v>
          </cell>
          <cell r="K434">
            <v>0.45</v>
          </cell>
          <cell r="P434">
            <v>2</v>
          </cell>
        </row>
        <row r="435">
          <cell r="B435" t="str">
            <v xml:space="preserve">XS </v>
          </cell>
          <cell r="C435">
            <v>2</v>
          </cell>
          <cell r="D435">
            <v>5.54</v>
          </cell>
          <cell r="E435">
            <v>1</v>
          </cell>
          <cell r="I435">
            <v>0.2</v>
          </cell>
          <cell r="J435">
            <v>0.25</v>
          </cell>
          <cell r="K435">
            <v>0.45</v>
          </cell>
          <cell r="P435">
            <v>2</v>
          </cell>
        </row>
        <row r="436">
          <cell r="B436" t="str">
            <v xml:space="preserve">XS </v>
          </cell>
          <cell r="C436">
            <v>2.5</v>
          </cell>
          <cell r="D436">
            <v>7.01</v>
          </cell>
          <cell r="E436">
            <v>1</v>
          </cell>
          <cell r="I436">
            <v>0.25</v>
          </cell>
          <cell r="J436">
            <v>0.5</v>
          </cell>
          <cell r="K436">
            <v>0.75</v>
          </cell>
          <cell r="P436">
            <v>2</v>
          </cell>
        </row>
        <row r="437">
          <cell r="B437" t="str">
            <v xml:space="preserve">XS </v>
          </cell>
          <cell r="C437">
            <v>3</v>
          </cell>
          <cell r="D437">
            <v>7.62</v>
          </cell>
          <cell r="E437">
            <v>1</v>
          </cell>
          <cell r="I437">
            <v>0.3</v>
          </cell>
          <cell r="J437">
            <v>0.6</v>
          </cell>
          <cell r="K437">
            <v>0.89999999999999991</v>
          </cell>
          <cell r="P437">
            <v>2</v>
          </cell>
        </row>
        <row r="438">
          <cell r="B438" t="str">
            <v xml:space="preserve">XS </v>
          </cell>
          <cell r="C438">
            <v>3.5</v>
          </cell>
          <cell r="D438">
            <v>8.08</v>
          </cell>
          <cell r="E438">
            <v>1</v>
          </cell>
          <cell r="I438">
            <v>0.35</v>
          </cell>
          <cell r="J438">
            <v>0.85</v>
          </cell>
          <cell r="K438">
            <v>1.2</v>
          </cell>
          <cell r="P438">
            <v>3</v>
          </cell>
        </row>
        <row r="439">
          <cell r="B439" t="str">
            <v xml:space="preserve">XS </v>
          </cell>
          <cell r="C439">
            <v>4</v>
          </cell>
          <cell r="D439">
            <v>8.56</v>
          </cell>
          <cell r="E439">
            <v>1</v>
          </cell>
          <cell r="I439">
            <v>0.41</v>
          </cell>
          <cell r="J439">
            <v>0.93</v>
          </cell>
          <cell r="K439">
            <v>1.34</v>
          </cell>
          <cell r="P439">
            <v>3</v>
          </cell>
        </row>
        <row r="440">
          <cell r="B440" t="str">
            <v xml:space="preserve">XS </v>
          </cell>
          <cell r="C440">
            <v>5</v>
          </cell>
          <cell r="D440">
            <v>9.5299999999999994</v>
          </cell>
          <cell r="E440">
            <v>1</v>
          </cell>
          <cell r="I440">
            <v>0.51</v>
          </cell>
          <cell r="J440">
            <v>1.59</v>
          </cell>
          <cell r="K440">
            <v>2.1</v>
          </cell>
          <cell r="P440">
            <v>4</v>
          </cell>
        </row>
        <row r="441">
          <cell r="B441" t="str">
            <v xml:space="preserve">XS </v>
          </cell>
          <cell r="C441">
            <v>6</v>
          </cell>
          <cell r="D441">
            <v>10.97</v>
          </cell>
          <cell r="E441">
            <v>1.25</v>
          </cell>
          <cell r="I441">
            <v>0.61</v>
          </cell>
          <cell r="J441">
            <v>2.69</v>
          </cell>
          <cell r="K441">
            <v>3.3</v>
          </cell>
          <cell r="P441">
            <v>4</v>
          </cell>
        </row>
        <row r="442">
          <cell r="B442" t="str">
            <v xml:space="preserve">XS </v>
          </cell>
          <cell r="C442">
            <v>8</v>
          </cell>
          <cell r="D442">
            <v>12.7</v>
          </cell>
          <cell r="E442">
            <v>1.25</v>
          </cell>
          <cell r="I442">
            <v>0.81</v>
          </cell>
          <cell r="J442">
            <v>4.58</v>
          </cell>
          <cell r="K442">
            <v>5.3900000000000006</v>
          </cell>
          <cell r="P442">
            <v>4</v>
          </cell>
        </row>
        <row r="443">
          <cell r="B443" t="str">
            <v xml:space="preserve">XS </v>
          </cell>
          <cell r="C443">
            <v>10</v>
          </cell>
          <cell r="D443">
            <v>12.7</v>
          </cell>
          <cell r="E443">
            <v>1.25</v>
          </cell>
          <cell r="I443">
            <v>1.01</v>
          </cell>
          <cell r="J443">
            <v>5.74</v>
          </cell>
          <cell r="K443">
            <v>6.75</v>
          </cell>
          <cell r="P443">
            <v>4</v>
          </cell>
        </row>
        <row r="444">
          <cell r="B444" t="str">
            <v xml:space="preserve">XS </v>
          </cell>
          <cell r="C444">
            <v>12</v>
          </cell>
          <cell r="D444">
            <v>12.7</v>
          </cell>
          <cell r="E444">
            <v>1.25</v>
          </cell>
          <cell r="I444">
            <v>1.22</v>
          </cell>
          <cell r="J444">
            <v>6.73</v>
          </cell>
          <cell r="K444">
            <v>7.95</v>
          </cell>
          <cell r="P444">
            <v>6</v>
          </cell>
        </row>
        <row r="445">
          <cell r="B445" t="str">
            <v xml:space="preserve">XS </v>
          </cell>
          <cell r="C445">
            <v>14</v>
          </cell>
          <cell r="D445">
            <v>12.7</v>
          </cell>
          <cell r="E445">
            <v>1.25</v>
          </cell>
          <cell r="I445">
            <v>1.42</v>
          </cell>
          <cell r="J445">
            <v>7.28</v>
          </cell>
          <cell r="K445">
            <v>8.6999999999999993</v>
          </cell>
          <cell r="P445">
            <v>6</v>
          </cell>
        </row>
        <row r="446">
          <cell r="B446" t="str">
            <v xml:space="preserve">XS </v>
          </cell>
          <cell r="C446">
            <v>16</v>
          </cell>
          <cell r="D446">
            <v>12.7</v>
          </cell>
          <cell r="E446">
            <v>1.25</v>
          </cell>
          <cell r="I446">
            <v>1.62</v>
          </cell>
          <cell r="J446">
            <v>8.42</v>
          </cell>
          <cell r="K446">
            <v>10.039999999999999</v>
          </cell>
          <cell r="P446">
            <v>6</v>
          </cell>
        </row>
        <row r="447">
          <cell r="B447" t="str">
            <v xml:space="preserve">XS </v>
          </cell>
          <cell r="C447">
            <v>18</v>
          </cell>
          <cell r="D447">
            <v>12.7</v>
          </cell>
          <cell r="E447">
            <v>1.25</v>
          </cell>
          <cell r="I447">
            <v>1.82</v>
          </cell>
          <cell r="J447">
            <v>9.42</v>
          </cell>
          <cell r="K447">
            <v>11.24</v>
          </cell>
          <cell r="P447">
            <v>6</v>
          </cell>
        </row>
        <row r="448">
          <cell r="B448" t="str">
            <v xml:space="preserve">XS </v>
          </cell>
          <cell r="C448">
            <v>20</v>
          </cell>
          <cell r="D448">
            <v>12.7</v>
          </cell>
          <cell r="E448">
            <v>1.25</v>
          </cell>
          <cell r="I448">
            <v>2.0299999999999998</v>
          </cell>
          <cell r="J448">
            <v>10.42</v>
          </cell>
          <cell r="K448">
            <v>12.45</v>
          </cell>
          <cell r="P448">
            <v>7</v>
          </cell>
        </row>
        <row r="449">
          <cell r="B449" t="str">
            <v xml:space="preserve">XS </v>
          </cell>
          <cell r="C449">
            <v>22</v>
          </cell>
          <cell r="D449">
            <v>12.7</v>
          </cell>
          <cell r="E449">
            <v>1.25</v>
          </cell>
          <cell r="I449">
            <v>2.23</v>
          </cell>
          <cell r="J449">
            <v>11.72</v>
          </cell>
          <cell r="K449">
            <v>13.950000000000001</v>
          </cell>
          <cell r="P449">
            <v>8</v>
          </cell>
        </row>
        <row r="450">
          <cell r="B450" t="str">
            <v xml:space="preserve">XS </v>
          </cell>
          <cell r="C450">
            <v>24</v>
          </cell>
          <cell r="D450">
            <v>12.7</v>
          </cell>
          <cell r="E450">
            <v>1.25</v>
          </cell>
          <cell r="I450">
            <v>2.4300000000000002</v>
          </cell>
          <cell r="J450">
            <v>12.57</v>
          </cell>
          <cell r="K450">
            <v>15</v>
          </cell>
          <cell r="P450">
            <v>8</v>
          </cell>
        </row>
        <row r="451">
          <cell r="B451" t="str">
            <v xml:space="preserve">XS </v>
          </cell>
          <cell r="C451">
            <v>26</v>
          </cell>
          <cell r="D451">
            <v>12.7</v>
          </cell>
          <cell r="E451">
            <v>1.25</v>
          </cell>
          <cell r="I451">
            <v>2.64</v>
          </cell>
          <cell r="J451">
            <v>13.86</v>
          </cell>
          <cell r="K451">
            <v>16.5</v>
          </cell>
          <cell r="P451">
            <v>9</v>
          </cell>
        </row>
        <row r="452">
          <cell r="B452" t="str">
            <v xml:space="preserve">XS </v>
          </cell>
          <cell r="C452">
            <v>28</v>
          </cell>
          <cell r="D452">
            <v>12.7</v>
          </cell>
          <cell r="E452">
            <v>1.25</v>
          </cell>
          <cell r="I452">
            <v>2.84</v>
          </cell>
          <cell r="J452">
            <v>15.16</v>
          </cell>
          <cell r="K452">
            <v>18</v>
          </cell>
          <cell r="P452">
            <v>9</v>
          </cell>
        </row>
        <row r="453">
          <cell r="B453" t="str">
            <v xml:space="preserve">XS </v>
          </cell>
          <cell r="C453">
            <v>30</v>
          </cell>
          <cell r="D453">
            <v>12.7</v>
          </cell>
          <cell r="E453">
            <v>1.25</v>
          </cell>
          <cell r="I453">
            <v>3.04</v>
          </cell>
          <cell r="J453">
            <v>16.45</v>
          </cell>
          <cell r="K453">
            <v>19.489999999999998</v>
          </cell>
          <cell r="P453">
            <v>10</v>
          </cell>
        </row>
        <row r="454">
          <cell r="B454" t="str">
            <v xml:space="preserve">XS </v>
          </cell>
          <cell r="C454">
            <v>32</v>
          </cell>
          <cell r="D454">
            <v>12.7</v>
          </cell>
          <cell r="E454">
            <v>1.25</v>
          </cell>
          <cell r="I454">
            <v>3.24</v>
          </cell>
          <cell r="J454">
            <v>17.75</v>
          </cell>
          <cell r="K454">
            <v>20.990000000000002</v>
          </cell>
          <cell r="P454">
            <v>11</v>
          </cell>
        </row>
        <row r="455">
          <cell r="B455" t="str">
            <v xml:space="preserve">XS </v>
          </cell>
          <cell r="C455">
            <v>34</v>
          </cell>
          <cell r="D455">
            <v>12.7</v>
          </cell>
          <cell r="E455">
            <v>1.25</v>
          </cell>
          <cell r="I455">
            <v>3.45</v>
          </cell>
          <cell r="J455">
            <v>18.54</v>
          </cell>
          <cell r="K455">
            <v>21.99</v>
          </cell>
          <cell r="P455">
            <v>12</v>
          </cell>
        </row>
        <row r="456">
          <cell r="B456" t="str">
            <v xml:space="preserve">XS </v>
          </cell>
          <cell r="C456">
            <v>36</v>
          </cell>
          <cell r="D456">
            <v>12.7</v>
          </cell>
          <cell r="E456">
            <v>1.25</v>
          </cell>
          <cell r="I456">
            <v>3.65</v>
          </cell>
          <cell r="J456">
            <v>18.84</v>
          </cell>
          <cell r="K456">
            <v>22.49</v>
          </cell>
          <cell r="P456">
            <v>12</v>
          </cell>
        </row>
        <row r="457">
          <cell r="B457" t="str">
            <v xml:space="preserve">XS </v>
          </cell>
          <cell r="C457">
            <v>38</v>
          </cell>
          <cell r="D457">
            <v>12.7</v>
          </cell>
          <cell r="E457">
            <v>1.25</v>
          </cell>
          <cell r="I457">
            <v>3.85</v>
          </cell>
          <cell r="J457">
            <v>19.89</v>
          </cell>
          <cell r="K457">
            <v>23.740000000000002</v>
          </cell>
          <cell r="P457">
            <v>13</v>
          </cell>
        </row>
        <row r="458">
          <cell r="B458" t="str">
            <v xml:space="preserve">XS </v>
          </cell>
          <cell r="C458">
            <v>40</v>
          </cell>
          <cell r="D458">
            <v>12.7</v>
          </cell>
          <cell r="E458">
            <v>1.25</v>
          </cell>
          <cell r="I458">
            <v>4.0599999999999996</v>
          </cell>
          <cell r="J458">
            <v>21.66</v>
          </cell>
          <cell r="K458">
            <v>25.72</v>
          </cell>
          <cell r="P458">
            <v>14</v>
          </cell>
        </row>
        <row r="459">
          <cell r="B459" t="str">
            <v xml:space="preserve">XS </v>
          </cell>
          <cell r="C459">
            <v>42</v>
          </cell>
          <cell r="D459">
            <v>12.7</v>
          </cell>
          <cell r="E459">
            <v>1.25</v>
          </cell>
          <cell r="I459">
            <v>4.26</v>
          </cell>
          <cell r="J459">
            <v>22.74</v>
          </cell>
          <cell r="K459">
            <v>27</v>
          </cell>
          <cell r="P459">
            <v>14</v>
          </cell>
        </row>
        <row r="460">
          <cell r="B460" t="str">
            <v xml:space="preserve">XS </v>
          </cell>
          <cell r="C460">
            <v>44</v>
          </cell>
          <cell r="D460">
            <v>12.7</v>
          </cell>
          <cell r="E460">
            <v>1.25</v>
          </cell>
          <cell r="I460">
            <v>4.47</v>
          </cell>
          <cell r="J460">
            <v>27.16</v>
          </cell>
          <cell r="K460">
            <v>31.63</v>
          </cell>
          <cell r="P460">
            <v>15</v>
          </cell>
        </row>
        <row r="461">
          <cell r="B461" t="str">
            <v xml:space="preserve">XS </v>
          </cell>
          <cell r="C461">
            <v>46</v>
          </cell>
          <cell r="D461">
            <v>12.7</v>
          </cell>
          <cell r="E461">
            <v>1.25</v>
          </cell>
          <cell r="I461">
            <v>4.67</v>
          </cell>
          <cell r="J461">
            <v>28.4</v>
          </cell>
          <cell r="K461">
            <v>33.07</v>
          </cell>
          <cell r="P461">
            <v>16</v>
          </cell>
        </row>
        <row r="462">
          <cell r="B462" t="str">
            <v xml:space="preserve">XS </v>
          </cell>
          <cell r="C462">
            <v>48</v>
          </cell>
          <cell r="D462">
            <v>12.7</v>
          </cell>
          <cell r="E462">
            <v>1.25</v>
          </cell>
          <cell r="I462">
            <v>4.87</v>
          </cell>
          <cell r="J462">
            <v>29.63</v>
          </cell>
          <cell r="K462">
            <v>34.5</v>
          </cell>
          <cell r="P462">
            <v>16</v>
          </cell>
        </row>
        <row r="463">
          <cell r="B463" t="str">
            <v>XXS</v>
          </cell>
          <cell r="C463">
            <v>0.5</v>
          </cell>
          <cell r="D463">
            <v>7.47</v>
          </cell>
          <cell r="E463">
            <v>1</v>
          </cell>
          <cell r="I463">
            <v>7.0000000000000007E-2</v>
          </cell>
          <cell r="J463">
            <v>0.23</v>
          </cell>
          <cell r="K463">
            <v>0.30000000000000004</v>
          </cell>
          <cell r="P463">
            <v>2</v>
          </cell>
        </row>
        <row r="464">
          <cell r="B464" t="str">
            <v>XXS</v>
          </cell>
          <cell r="C464">
            <v>0.5</v>
          </cell>
          <cell r="D464">
            <v>7.47</v>
          </cell>
          <cell r="E464">
            <v>1</v>
          </cell>
          <cell r="I464">
            <v>7.0000000000000007E-2</v>
          </cell>
          <cell r="J464">
            <v>0.23</v>
          </cell>
          <cell r="K464">
            <v>0.30000000000000004</v>
          </cell>
          <cell r="P464">
            <v>2</v>
          </cell>
        </row>
        <row r="465">
          <cell r="B465" t="str">
            <v>XXS</v>
          </cell>
          <cell r="C465">
            <v>0.5</v>
          </cell>
          <cell r="D465">
            <v>7.47</v>
          </cell>
          <cell r="E465">
            <v>1</v>
          </cell>
          <cell r="I465">
            <v>7.0000000000000007E-2</v>
          </cell>
          <cell r="J465">
            <v>0.23</v>
          </cell>
          <cell r="K465">
            <v>0.30000000000000004</v>
          </cell>
          <cell r="P465">
            <v>2</v>
          </cell>
        </row>
        <row r="466">
          <cell r="B466" t="str">
            <v>XXS</v>
          </cell>
          <cell r="C466">
            <v>0.75</v>
          </cell>
          <cell r="D466">
            <v>7.82</v>
          </cell>
          <cell r="E466">
            <v>1</v>
          </cell>
          <cell r="I466">
            <v>0.08</v>
          </cell>
          <cell r="J466">
            <v>0.22</v>
          </cell>
          <cell r="K466">
            <v>0.3</v>
          </cell>
          <cell r="P466">
            <v>2</v>
          </cell>
        </row>
        <row r="467">
          <cell r="B467" t="str">
            <v>XXS</v>
          </cell>
          <cell r="C467">
            <v>0.75</v>
          </cell>
          <cell r="D467">
            <v>7.82</v>
          </cell>
          <cell r="E467">
            <v>1</v>
          </cell>
          <cell r="I467">
            <v>0.08</v>
          </cell>
          <cell r="J467">
            <v>0.22</v>
          </cell>
          <cell r="K467">
            <v>0.3</v>
          </cell>
          <cell r="P467">
            <v>2</v>
          </cell>
        </row>
        <row r="468">
          <cell r="B468" t="str">
            <v>XXS</v>
          </cell>
          <cell r="C468">
            <v>0.75</v>
          </cell>
          <cell r="D468">
            <v>7.82</v>
          </cell>
          <cell r="E468">
            <v>1</v>
          </cell>
          <cell r="I468">
            <v>0.08</v>
          </cell>
          <cell r="J468">
            <v>0.22</v>
          </cell>
          <cell r="K468">
            <v>0.3</v>
          </cell>
          <cell r="P468">
            <v>2</v>
          </cell>
        </row>
        <row r="469">
          <cell r="B469" t="str">
            <v>XXS</v>
          </cell>
          <cell r="C469">
            <v>1</v>
          </cell>
          <cell r="D469">
            <v>9.09</v>
          </cell>
          <cell r="E469">
            <v>1</v>
          </cell>
          <cell r="I469">
            <v>0.1</v>
          </cell>
          <cell r="J469">
            <v>0.5</v>
          </cell>
          <cell r="K469">
            <v>0.6</v>
          </cell>
          <cell r="P469">
            <v>2</v>
          </cell>
        </row>
        <row r="470">
          <cell r="B470" t="str">
            <v>XXS</v>
          </cell>
          <cell r="C470">
            <v>1</v>
          </cell>
          <cell r="D470">
            <v>9.09</v>
          </cell>
          <cell r="E470">
            <v>1</v>
          </cell>
          <cell r="I470">
            <v>0.1</v>
          </cell>
          <cell r="J470">
            <v>0.5</v>
          </cell>
          <cell r="K470">
            <v>0.6</v>
          </cell>
          <cell r="P470">
            <v>2</v>
          </cell>
        </row>
        <row r="471">
          <cell r="B471" t="str">
            <v>XXS</v>
          </cell>
          <cell r="C471">
            <v>1</v>
          </cell>
          <cell r="D471">
            <v>9.09</v>
          </cell>
          <cell r="E471">
            <v>1</v>
          </cell>
          <cell r="I471">
            <v>0.1</v>
          </cell>
          <cell r="J471">
            <v>0.5</v>
          </cell>
          <cell r="K471">
            <v>0.6</v>
          </cell>
          <cell r="P471">
            <v>2</v>
          </cell>
        </row>
        <row r="472">
          <cell r="B472" t="str">
            <v>XXS</v>
          </cell>
          <cell r="C472">
            <v>1.25</v>
          </cell>
          <cell r="D472">
            <v>9.6999999999999993</v>
          </cell>
          <cell r="E472">
            <v>1</v>
          </cell>
          <cell r="I472">
            <v>0.13</v>
          </cell>
          <cell r="J472">
            <v>0.67</v>
          </cell>
          <cell r="K472">
            <v>0.8</v>
          </cell>
          <cell r="P472">
            <v>2</v>
          </cell>
        </row>
        <row r="473">
          <cell r="B473" t="str">
            <v>XXS</v>
          </cell>
          <cell r="C473">
            <v>1.25</v>
          </cell>
          <cell r="D473">
            <v>9.6999999999999993</v>
          </cell>
          <cell r="E473">
            <v>1</v>
          </cell>
          <cell r="I473">
            <v>0.13</v>
          </cell>
          <cell r="J473">
            <v>0.67</v>
          </cell>
          <cell r="K473">
            <v>0.8</v>
          </cell>
          <cell r="P473">
            <v>2</v>
          </cell>
        </row>
        <row r="474">
          <cell r="B474" t="str">
            <v>XXS</v>
          </cell>
          <cell r="C474">
            <v>1.25</v>
          </cell>
          <cell r="D474">
            <v>9.6999999999999993</v>
          </cell>
          <cell r="E474">
            <v>1</v>
          </cell>
          <cell r="I474">
            <v>0.13</v>
          </cell>
          <cell r="J474">
            <v>0.67</v>
          </cell>
          <cell r="K474">
            <v>0.8</v>
          </cell>
          <cell r="P474">
            <v>2</v>
          </cell>
        </row>
        <row r="475">
          <cell r="B475" t="str">
            <v>XXS</v>
          </cell>
          <cell r="C475">
            <v>1.5</v>
          </cell>
          <cell r="D475">
            <v>10.15</v>
          </cell>
          <cell r="E475">
            <v>1.25</v>
          </cell>
          <cell r="I475">
            <v>0.15</v>
          </cell>
          <cell r="J475">
            <v>0.75</v>
          </cell>
          <cell r="K475">
            <v>0.9</v>
          </cell>
          <cell r="P475">
            <v>2</v>
          </cell>
        </row>
        <row r="476">
          <cell r="B476" t="str">
            <v>XXS</v>
          </cell>
          <cell r="C476">
            <v>1.5</v>
          </cell>
          <cell r="D476">
            <v>10.15</v>
          </cell>
          <cell r="E476">
            <v>1.25</v>
          </cell>
          <cell r="I476">
            <v>0.15</v>
          </cell>
          <cell r="J476">
            <v>0.75</v>
          </cell>
          <cell r="K476">
            <v>0.9</v>
          </cell>
          <cell r="P476">
            <v>2</v>
          </cell>
        </row>
        <row r="477">
          <cell r="B477" t="str">
            <v>XXS</v>
          </cell>
          <cell r="C477">
            <v>1.5</v>
          </cell>
          <cell r="D477">
            <v>10.15</v>
          </cell>
          <cell r="E477">
            <v>1.25</v>
          </cell>
          <cell r="I477">
            <v>0.15</v>
          </cell>
          <cell r="J477">
            <v>0.75</v>
          </cell>
          <cell r="K477">
            <v>0.9</v>
          </cell>
          <cell r="P477">
            <v>2</v>
          </cell>
        </row>
        <row r="478">
          <cell r="B478" t="str">
            <v>XXS</v>
          </cell>
          <cell r="C478">
            <v>2</v>
          </cell>
          <cell r="D478">
            <v>11.07</v>
          </cell>
          <cell r="E478">
            <v>1.25</v>
          </cell>
          <cell r="I478">
            <v>0.2</v>
          </cell>
          <cell r="J478">
            <v>1</v>
          </cell>
          <cell r="K478">
            <v>1.2</v>
          </cell>
          <cell r="P478">
            <v>4</v>
          </cell>
        </row>
        <row r="479">
          <cell r="B479" t="str">
            <v>XXS</v>
          </cell>
          <cell r="C479">
            <v>2</v>
          </cell>
          <cell r="D479">
            <v>11.07</v>
          </cell>
          <cell r="E479">
            <v>1.25</v>
          </cell>
          <cell r="I479">
            <v>0.2</v>
          </cell>
          <cell r="J479">
            <v>1</v>
          </cell>
          <cell r="K479">
            <v>1.2</v>
          </cell>
          <cell r="P479">
            <v>4</v>
          </cell>
        </row>
        <row r="480">
          <cell r="B480" t="str">
            <v>XXS</v>
          </cell>
          <cell r="C480">
            <v>2</v>
          </cell>
          <cell r="D480">
            <v>11.07</v>
          </cell>
          <cell r="E480">
            <v>1.25</v>
          </cell>
          <cell r="I480">
            <v>0.2</v>
          </cell>
          <cell r="J480">
            <v>1</v>
          </cell>
          <cell r="K480">
            <v>1.2</v>
          </cell>
          <cell r="P480">
            <v>4</v>
          </cell>
        </row>
        <row r="481">
          <cell r="B481" t="str">
            <v>XXS</v>
          </cell>
          <cell r="C481">
            <v>2.5</v>
          </cell>
          <cell r="D481">
            <v>14.02</v>
          </cell>
          <cell r="E481">
            <v>1.25</v>
          </cell>
          <cell r="I481">
            <v>0.25</v>
          </cell>
          <cell r="J481">
            <v>1.7</v>
          </cell>
          <cell r="K481">
            <v>1.95</v>
          </cell>
          <cell r="P481">
            <v>4</v>
          </cell>
        </row>
        <row r="482">
          <cell r="B482" t="str">
            <v>XXS</v>
          </cell>
          <cell r="C482">
            <v>3</v>
          </cell>
          <cell r="D482">
            <v>15.24</v>
          </cell>
          <cell r="E482">
            <v>1.5</v>
          </cell>
          <cell r="I482">
            <v>0.3</v>
          </cell>
          <cell r="J482">
            <v>2.39</v>
          </cell>
          <cell r="K482">
            <v>2.69</v>
          </cell>
          <cell r="P482">
            <v>4</v>
          </cell>
        </row>
        <row r="483">
          <cell r="B483" t="str">
            <v>XXS</v>
          </cell>
          <cell r="C483">
            <v>4</v>
          </cell>
          <cell r="D483">
            <v>17.12</v>
          </cell>
          <cell r="E483">
            <v>1.5</v>
          </cell>
          <cell r="I483">
            <v>0.41</v>
          </cell>
          <cell r="J483">
            <v>4.09</v>
          </cell>
          <cell r="K483">
            <v>4.5</v>
          </cell>
          <cell r="P483">
            <v>4</v>
          </cell>
        </row>
        <row r="484">
          <cell r="B484" t="str">
            <v>XXS</v>
          </cell>
          <cell r="C484">
            <v>5</v>
          </cell>
          <cell r="D484">
            <v>19.05</v>
          </cell>
          <cell r="E484">
            <v>2</v>
          </cell>
          <cell r="I484">
            <v>0.51</v>
          </cell>
          <cell r="J484">
            <v>4.43</v>
          </cell>
          <cell r="K484">
            <v>4.9399999999999995</v>
          </cell>
          <cell r="P484">
            <v>4</v>
          </cell>
        </row>
        <row r="485">
          <cell r="B485" t="str">
            <v>XXS</v>
          </cell>
          <cell r="C485">
            <v>6</v>
          </cell>
          <cell r="D485">
            <v>21.95</v>
          </cell>
          <cell r="E485">
            <v>2</v>
          </cell>
          <cell r="I485">
            <v>0.61</v>
          </cell>
          <cell r="J485">
            <v>8.09</v>
          </cell>
          <cell r="K485">
            <v>8.6999999999999993</v>
          </cell>
          <cell r="P485">
            <v>4</v>
          </cell>
        </row>
        <row r="486">
          <cell r="B486" t="str">
            <v>XXS</v>
          </cell>
          <cell r="C486">
            <v>8</v>
          </cell>
          <cell r="D486">
            <v>22.23</v>
          </cell>
          <cell r="E486">
            <v>2</v>
          </cell>
          <cell r="I486">
            <v>0.81</v>
          </cell>
          <cell r="J486">
            <v>11.49</v>
          </cell>
          <cell r="K486">
            <v>12.3</v>
          </cell>
          <cell r="P486">
            <v>4</v>
          </cell>
        </row>
        <row r="487">
          <cell r="B487" t="str">
            <v>XXS</v>
          </cell>
          <cell r="C487">
            <v>10</v>
          </cell>
          <cell r="D487">
            <v>25.4</v>
          </cell>
          <cell r="E487" t="str">
            <v>N</v>
          </cell>
          <cell r="I487">
            <v>1.01</v>
          </cell>
          <cell r="J487">
            <v>18.489999999999998</v>
          </cell>
          <cell r="K487">
            <v>19.5</v>
          </cell>
          <cell r="P487">
            <v>4</v>
          </cell>
        </row>
        <row r="488">
          <cell r="B488" t="str">
            <v>XXS</v>
          </cell>
          <cell r="C488">
            <v>12</v>
          </cell>
          <cell r="D488">
            <v>25.4</v>
          </cell>
          <cell r="E488" t="str">
            <v>N</v>
          </cell>
          <cell r="I488">
            <v>1.22</v>
          </cell>
          <cell r="J488">
            <v>21.27</v>
          </cell>
          <cell r="K488">
            <v>22.49</v>
          </cell>
          <cell r="P488">
            <v>6</v>
          </cell>
        </row>
        <row r="489">
          <cell r="B489">
            <v>8.73</v>
          </cell>
          <cell r="C489">
            <v>64</v>
          </cell>
          <cell r="D489">
            <v>8.73</v>
          </cell>
          <cell r="E489">
            <v>1</v>
          </cell>
          <cell r="I489">
            <v>6.49</v>
          </cell>
          <cell r="J489">
            <v>20.29</v>
          </cell>
          <cell r="K489">
            <v>26.78</v>
          </cell>
          <cell r="P489">
            <v>21</v>
          </cell>
        </row>
      </sheetData>
      <sheetData sheetId="4"/>
      <sheetData sheetId="5"/>
      <sheetData sheetId="6" refreshError="1"/>
      <sheetData sheetId="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hapLy"/>
      <sheetName val="TongHop"/>
      <sheetName val="ThietBi"/>
      <sheetName val="XayDungMang"/>
      <sheetName val="KinhPhiXayDungMang"/>
      <sheetName val="DaoTao"/>
      <sheetName val="QLDuAn"/>
    </sheetNames>
    <sheetDataSet>
      <sheetData sheetId="0"/>
      <sheetData sheetId="1"/>
      <sheetData sheetId="2" refreshError="1">
        <row r="26">
          <cell r="J26">
            <v>434182000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>
        <row r="2">
          <cell r="J2">
            <v>15890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23"/>
  <sheetViews>
    <sheetView tabSelected="1" zoomScale="70" zoomScaleNormal="70" workbookViewId="0">
      <selection activeCell="B7" sqref="B7"/>
    </sheetView>
  </sheetViews>
  <sheetFormatPr defaultColWidth="9.140625" defaultRowHeight="17.25" x14ac:dyDescent="0.3"/>
  <cols>
    <col min="1" max="1" width="5.5703125" style="1" customWidth="1"/>
    <col min="2" max="2" width="50.85546875" style="1" customWidth="1"/>
    <col min="3" max="3" width="10" style="1" customWidth="1"/>
    <col min="4" max="4" width="9.140625" style="1" customWidth="1"/>
    <col min="5" max="5" width="14.85546875" style="1" customWidth="1"/>
    <col min="6" max="6" width="19.28515625" style="1" customWidth="1"/>
    <col min="7" max="7" width="14.85546875" style="1" customWidth="1"/>
    <col min="8" max="8" width="18.7109375" style="1" customWidth="1"/>
    <col min="9" max="9" width="41.5703125" style="1" customWidth="1"/>
    <col min="10" max="10" width="34.7109375" style="1" customWidth="1"/>
    <col min="11" max="13" width="9.140625" style="1" customWidth="1"/>
    <col min="14" max="14" width="14.140625" style="1" bestFit="1" customWidth="1"/>
    <col min="15" max="15" width="9.140625" style="1" customWidth="1"/>
    <col min="16" max="16384" width="9.140625" style="1"/>
  </cols>
  <sheetData>
    <row r="1" spans="1:14" ht="30" customHeight="1" x14ac:dyDescent="0.3">
      <c r="B1" s="65" t="s">
        <v>5</v>
      </c>
      <c r="C1" s="66"/>
      <c r="D1" s="66"/>
      <c r="E1" s="66"/>
      <c r="F1" s="66"/>
      <c r="G1" s="66"/>
      <c r="H1" s="66"/>
      <c r="I1" s="66"/>
    </row>
    <row r="2" spans="1:14" ht="37.5" customHeight="1" x14ac:dyDescent="0.3">
      <c r="A2" s="23" t="s">
        <v>6</v>
      </c>
      <c r="B2" s="23" t="s">
        <v>7</v>
      </c>
      <c r="C2" s="23" t="s">
        <v>8</v>
      </c>
      <c r="D2" s="23" t="s">
        <v>9</v>
      </c>
      <c r="E2" s="23" t="s">
        <v>10</v>
      </c>
      <c r="F2" s="23" t="s">
        <v>0</v>
      </c>
      <c r="G2" s="23" t="s">
        <v>1</v>
      </c>
      <c r="H2" s="23" t="s">
        <v>11</v>
      </c>
      <c r="I2" s="23" t="s">
        <v>12</v>
      </c>
    </row>
    <row r="3" spans="1:14" ht="18.75" customHeight="1" x14ac:dyDescent="0.3">
      <c r="A3" s="13" t="s">
        <v>2</v>
      </c>
      <c r="B3" s="62" t="s">
        <v>13</v>
      </c>
      <c r="C3" s="63"/>
      <c r="D3" s="64"/>
      <c r="E3" s="22"/>
      <c r="F3" s="22">
        <f>SUM(F5:F7)</f>
        <v>528000000</v>
      </c>
      <c r="G3" s="22">
        <f>SUM(G5:G7)</f>
        <v>35840000</v>
      </c>
      <c r="H3" s="22">
        <f>SUM(H5:H7)</f>
        <v>563840000</v>
      </c>
      <c r="I3" s="9"/>
    </row>
    <row r="4" spans="1:14" ht="36" customHeight="1" x14ac:dyDescent="0.3">
      <c r="A4" s="23">
        <v>1</v>
      </c>
      <c r="B4" s="55" t="s">
        <v>14</v>
      </c>
      <c r="C4" s="56"/>
      <c r="D4" s="5"/>
      <c r="E4" s="57"/>
      <c r="F4" s="4">
        <f>F5+F6</f>
        <v>480000000</v>
      </c>
      <c r="G4" s="4">
        <f>G5+G6</f>
        <v>32000000</v>
      </c>
      <c r="H4" s="4">
        <f>H5+H6</f>
        <v>512000000</v>
      </c>
      <c r="I4" s="3"/>
      <c r="N4" s="2"/>
    </row>
    <row r="5" spans="1:14" ht="54.75" customHeight="1" x14ac:dyDescent="0.3">
      <c r="A5" s="17" t="s">
        <v>15</v>
      </c>
      <c r="B5" s="29" t="s">
        <v>16</v>
      </c>
      <c r="C5" s="21" t="s">
        <v>17</v>
      </c>
      <c r="D5" s="20">
        <v>16</v>
      </c>
      <c r="E5" s="19">
        <v>25000000</v>
      </c>
      <c r="F5" s="18">
        <f>E5*D5</f>
        <v>400000000</v>
      </c>
      <c r="G5" s="18">
        <f>F5*8%</f>
        <v>32000000</v>
      </c>
      <c r="H5" s="18">
        <f t="shared" ref="H5:H11" si="0">F5+G5</f>
        <v>432000000</v>
      </c>
      <c r="I5" s="31" t="s">
        <v>18</v>
      </c>
      <c r="N5" s="2"/>
    </row>
    <row r="6" spans="1:14" ht="60.75" customHeight="1" x14ac:dyDescent="0.3">
      <c r="A6" s="17" t="s">
        <v>19</v>
      </c>
      <c r="B6" s="30" t="s">
        <v>74</v>
      </c>
      <c r="C6" s="16" t="s">
        <v>20</v>
      </c>
      <c r="D6" s="16">
        <v>1</v>
      </c>
      <c r="E6" s="15">
        <f>5000000*D5</f>
        <v>80000000</v>
      </c>
      <c r="F6" s="15">
        <f>E6</f>
        <v>80000000</v>
      </c>
      <c r="G6" s="6">
        <v>0</v>
      </c>
      <c r="H6" s="6">
        <f t="shared" si="0"/>
        <v>80000000</v>
      </c>
      <c r="I6" s="33" t="s">
        <v>21</v>
      </c>
      <c r="N6" s="2"/>
    </row>
    <row r="7" spans="1:14" ht="18.75" customHeight="1" x14ac:dyDescent="0.3">
      <c r="A7" s="5">
        <v>2</v>
      </c>
      <c r="B7" s="8" t="s">
        <v>22</v>
      </c>
      <c r="C7" s="5" t="s">
        <v>23</v>
      </c>
      <c r="D7" s="5">
        <f>D5*2</f>
        <v>32</v>
      </c>
      <c r="E7" s="7">
        <v>1500000</v>
      </c>
      <c r="F7" s="6">
        <f>E7*D7</f>
        <v>48000000</v>
      </c>
      <c r="G7" s="6">
        <f>F7*8%</f>
        <v>3840000</v>
      </c>
      <c r="H7" s="6">
        <f t="shared" si="0"/>
        <v>51840000</v>
      </c>
      <c r="I7" s="3"/>
      <c r="N7" s="2"/>
    </row>
    <row r="8" spans="1:14" ht="18.75" customHeight="1" x14ac:dyDescent="0.3">
      <c r="A8" s="13" t="s">
        <v>3</v>
      </c>
      <c r="B8" s="12" t="s">
        <v>24</v>
      </c>
      <c r="C8" s="11"/>
      <c r="D8" s="11"/>
      <c r="E8" s="10"/>
      <c r="F8" s="10">
        <f>SUM(F9:F11)</f>
        <v>35200000</v>
      </c>
      <c r="G8" s="10">
        <f>SUM(G9:G11)</f>
        <v>3008000</v>
      </c>
      <c r="H8" s="10">
        <f t="shared" si="0"/>
        <v>38208000</v>
      </c>
      <c r="I8" s="10"/>
    </row>
    <row r="9" spans="1:14" ht="18.75" customHeight="1" x14ac:dyDescent="0.3">
      <c r="A9" s="5">
        <v>3</v>
      </c>
      <c r="B9" s="14" t="s">
        <v>25</v>
      </c>
      <c r="C9" s="5" t="s">
        <v>26</v>
      </c>
      <c r="D9" s="5">
        <f>D5</f>
        <v>16</v>
      </c>
      <c r="E9" s="6">
        <v>600000</v>
      </c>
      <c r="F9" s="6">
        <f>E9*D9</f>
        <v>9600000</v>
      </c>
      <c r="G9" s="6">
        <f>F9*10%</f>
        <v>960000</v>
      </c>
      <c r="H9" s="6">
        <f t="shared" si="0"/>
        <v>10560000</v>
      </c>
      <c r="I9" s="31" t="s">
        <v>27</v>
      </c>
      <c r="N9" s="2"/>
    </row>
    <row r="10" spans="1:14" ht="18.75" customHeight="1" x14ac:dyDescent="0.3">
      <c r="A10" s="5">
        <v>4</v>
      </c>
      <c r="B10" s="14" t="s">
        <v>28</v>
      </c>
      <c r="C10" s="5" t="s">
        <v>17</v>
      </c>
      <c r="D10" s="5">
        <f>D9</f>
        <v>16</v>
      </c>
      <c r="E10" s="7">
        <v>900000</v>
      </c>
      <c r="F10" s="6">
        <f>E10*D10</f>
        <v>14400000</v>
      </c>
      <c r="G10" s="6">
        <f>F10*8%</f>
        <v>1152000</v>
      </c>
      <c r="H10" s="6">
        <f t="shared" si="0"/>
        <v>15552000</v>
      </c>
      <c r="I10" s="3"/>
    </row>
    <row r="11" spans="1:14" ht="37.5" customHeight="1" x14ac:dyDescent="0.3">
      <c r="A11" s="5">
        <v>5</v>
      </c>
      <c r="B11" s="14" t="s">
        <v>29</v>
      </c>
      <c r="C11" s="5" t="s">
        <v>17</v>
      </c>
      <c r="D11" s="5">
        <f>D9</f>
        <v>16</v>
      </c>
      <c r="E11" s="7">
        <v>700000</v>
      </c>
      <c r="F11" s="6">
        <f>E11*D11</f>
        <v>11200000</v>
      </c>
      <c r="G11" s="6">
        <f>F11*8%</f>
        <v>896000</v>
      </c>
      <c r="H11" s="6">
        <f t="shared" si="0"/>
        <v>12096000</v>
      </c>
      <c r="I11" s="3"/>
    </row>
    <row r="12" spans="1:14" ht="18.75" customHeight="1" x14ac:dyDescent="0.3">
      <c r="A12" s="13" t="s">
        <v>4</v>
      </c>
      <c r="B12" s="12" t="s">
        <v>30</v>
      </c>
      <c r="C12" s="11"/>
      <c r="D12" s="11"/>
      <c r="E12" s="10"/>
      <c r="F12" s="10">
        <f>F13</f>
        <v>10000000</v>
      </c>
      <c r="G12" s="10">
        <f>SUMPRODUCT(D13,G13)</f>
        <v>800000</v>
      </c>
      <c r="H12" s="10">
        <f>SUM(H13)</f>
        <v>10800000</v>
      </c>
      <c r="I12" s="9"/>
    </row>
    <row r="13" spans="1:14" ht="18.75" customHeight="1" x14ac:dyDescent="0.3">
      <c r="A13" s="5">
        <v>6</v>
      </c>
      <c r="B13" s="8" t="s">
        <v>31</v>
      </c>
      <c r="C13" s="5" t="s">
        <v>32</v>
      </c>
      <c r="D13" s="5">
        <v>1</v>
      </c>
      <c r="E13" s="7">
        <v>10000000</v>
      </c>
      <c r="F13" s="6">
        <f>E13*D13</f>
        <v>10000000</v>
      </c>
      <c r="G13" s="6">
        <f>E13*8%</f>
        <v>800000</v>
      </c>
      <c r="H13" s="6">
        <f>F13+G13</f>
        <v>10800000</v>
      </c>
      <c r="I13" s="3"/>
    </row>
    <row r="14" spans="1:14" ht="18.75" customHeight="1" x14ac:dyDescent="0.3">
      <c r="A14" s="5"/>
      <c r="B14" s="59" t="s">
        <v>33</v>
      </c>
      <c r="C14" s="60"/>
      <c r="D14" s="60"/>
      <c r="E14" s="61"/>
      <c r="F14" s="4">
        <f>SUM(F12,F8,F3)</f>
        <v>573200000</v>
      </c>
      <c r="G14" s="4">
        <f>SUM(G12,G8,G3)</f>
        <v>39648000</v>
      </c>
      <c r="H14" s="4">
        <f>F14+G14</f>
        <v>612848000</v>
      </c>
      <c r="I14" s="3"/>
    </row>
    <row r="15" spans="1:14" x14ac:dyDescent="0.3">
      <c r="B15" s="54"/>
      <c r="H15" s="2"/>
    </row>
    <row r="23" spans="10:10" x14ac:dyDescent="0.3">
      <c r="J23" s="32"/>
    </row>
  </sheetData>
  <mergeCells count="3">
    <mergeCell ref="B14:E14"/>
    <mergeCell ref="B3:D3"/>
    <mergeCell ref="B1:I1"/>
  </mergeCells>
  <pageMargins left="0.70866141732283472" right="0.51181102362204722" top="0.74803149606299213" bottom="0.74803149606299213" header="0.31496062992125978" footer="0.31496062992125978"/>
  <pageSetup paperSize="9" scale="72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G6"/>
  <sheetViews>
    <sheetView workbookViewId="0">
      <selection activeCell="D4" sqref="D4"/>
    </sheetView>
  </sheetViews>
  <sheetFormatPr defaultColWidth="9.140625" defaultRowHeight="15" x14ac:dyDescent="0.25"/>
  <cols>
    <col min="1" max="1" width="9.140625" style="24" customWidth="1"/>
    <col min="2" max="2" width="41" style="24" customWidth="1"/>
    <col min="3" max="3" width="19.85546875" style="24" customWidth="1"/>
    <col min="4" max="4" width="12.85546875" style="24" customWidth="1"/>
    <col min="5" max="5" width="23.5703125" style="24" customWidth="1"/>
    <col min="6" max="6" width="16" style="24" customWidth="1"/>
    <col min="7" max="7" width="19.140625" style="24" customWidth="1"/>
    <col min="8" max="8" width="9.140625" style="24" customWidth="1"/>
    <col min="9" max="16384" width="9.140625" style="24"/>
  </cols>
  <sheetData>
    <row r="1" spans="1:7" ht="22.5" customHeight="1" x14ac:dyDescent="0.3">
      <c r="A1" s="68" t="s">
        <v>73</v>
      </c>
      <c r="B1" s="68"/>
      <c r="C1" s="68"/>
      <c r="D1" s="68"/>
      <c r="E1" s="68"/>
      <c r="F1" s="68"/>
      <c r="G1" s="68"/>
    </row>
    <row r="2" spans="1:7" ht="16.5" customHeight="1" x14ac:dyDescent="0.25">
      <c r="A2" s="28" t="s">
        <v>34</v>
      </c>
      <c r="B2" s="28" t="s">
        <v>35</v>
      </c>
      <c r="C2" s="28" t="s">
        <v>36</v>
      </c>
      <c r="D2" s="28" t="s">
        <v>9</v>
      </c>
      <c r="E2" s="28" t="s">
        <v>0</v>
      </c>
      <c r="F2" s="28" t="s">
        <v>1</v>
      </c>
      <c r="G2" s="28" t="s">
        <v>33</v>
      </c>
    </row>
    <row r="3" spans="1:7" ht="33" customHeight="1" x14ac:dyDescent="0.25">
      <c r="A3" s="27">
        <v>1</v>
      </c>
      <c r="B3" s="58" t="s">
        <v>70</v>
      </c>
      <c r="C3" s="26">
        <v>600000</v>
      </c>
      <c r="D3" s="26">
        <f>'Bảng giá'!D5</f>
        <v>16</v>
      </c>
      <c r="E3" s="26">
        <f>C3*D3</f>
        <v>9600000</v>
      </c>
      <c r="F3" s="26">
        <f>E3*10%</f>
        <v>960000</v>
      </c>
      <c r="G3" s="26">
        <f>F3+E3</f>
        <v>10560000</v>
      </c>
    </row>
    <row r="4" spans="1:7" ht="33" customHeight="1" x14ac:dyDescent="0.25">
      <c r="A4" s="27">
        <v>2</v>
      </c>
      <c r="B4" s="58" t="s">
        <v>71</v>
      </c>
      <c r="C4" s="26">
        <f>1000000*D3</f>
        <v>16000000</v>
      </c>
      <c r="D4" s="26">
        <v>1</v>
      </c>
      <c r="E4" s="26">
        <f>C4*D4</f>
        <v>16000000</v>
      </c>
      <c r="F4" s="26">
        <f>E4*10%</f>
        <v>1600000</v>
      </c>
      <c r="G4" s="26">
        <f>SUM(E4:F4)</f>
        <v>17600000</v>
      </c>
    </row>
    <row r="5" spans="1:7" ht="66" customHeight="1" x14ac:dyDescent="0.25">
      <c r="A5" s="27">
        <v>3</v>
      </c>
      <c r="B5" s="58" t="s">
        <v>72</v>
      </c>
      <c r="C5" s="26">
        <v>1500000</v>
      </c>
      <c r="D5" s="26">
        <f>D3</f>
        <v>16</v>
      </c>
      <c r="E5" s="26">
        <f>C5*D5</f>
        <v>24000000</v>
      </c>
      <c r="F5" s="26">
        <f>E5*8%</f>
        <v>1920000</v>
      </c>
      <c r="G5" s="26">
        <f>SUM(E5:F5)</f>
        <v>25920000</v>
      </c>
    </row>
    <row r="6" spans="1:7" ht="24" customHeight="1" x14ac:dyDescent="0.25">
      <c r="A6" s="67" t="s">
        <v>11</v>
      </c>
      <c r="B6" s="60"/>
      <c r="C6" s="60"/>
      <c r="D6" s="61"/>
      <c r="E6" s="25">
        <f>SUM(E3:E4:E5)</f>
        <v>49600000</v>
      </c>
      <c r="F6" s="25">
        <f>SUM(F3:F4:F5)</f>
        <v>4480000</v>
      </c>
      <c r="G6" s="25">
        <f>SUM(G3:G4:G5)</f>
        <v>54080000</v>
      </c>
    </row>
  </sheetData>
  <mergeCells count="2">
    <mergeCell ref="A6:D6"/>
    <mergeCell ref="A1:G1"/>
  </mergeCells>
  <pageMargins left="0.51181102362204722" right="0.51181102362204722" top="0.74803149606299213" bottom="0.74803149606299213" header="0.31496062992125978" footer="0.31496062992125978"/>
  <pageSetup paperSize="9" scale="96" fitToHeight="0" orientation="landscape" horizontalDpi="200" verticalDpi="2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19"/>
  <sheetViews>
    <sheetView topLeftCell="A6" workbookViewId="0">
      <selection activeCell="G10" sqref="G10"/>
    </sheetView>
  </sheetViews>
  <sheetFormatPr defaultColWidth="14.85546875" defaultRowHeight="16.5" x14ac:dyDescent="0.25"/>
  <cols>
    <col min="1" max="1" width="7.85546875" style="49" customWidth="1"/>
    <col min="2" max="2" width="27.140625" style="49" customWidth="1"/>
    <col min="3" max="3" width="12.5703125" style="50" customWidth="1"/>
    <col min="4" max="4" width="14" style="49" customWidth="1"/>
    <col min="5" max="5" width="15.140625" style="49" customWidth="1"/>
    <col min="6" max="6" width="14.85546875" style="49" customWidth="1"/>
    <col min="7" max="7" width="14.42578125" style="49" customWidth="1"/>
    <col min="8" max="8" width="37" style="48" customWidth="1"/>
    <col min="9" max="11" width="9.140625" style="48" customWidth="1"/>
    <col min="12" max="12" width="22.5703125" style="48" customWidth="1"/>
    <col min="13" max="250" width="9.140625" style="48" customWidth="1"/>
    <col min="251" max="251" width="7.85546875" style="48" customWidth="1"/>
    <col min="252" max="252" width="23.85546875" style="48" customWidth="1"/>
    <col min="253" max="253" width="12.5703125" style="48" customWidth="1"/>
    <col min="254" max="254" width="14" style="48" customWidth="1"/>
    <col min="255" max="255" width="15.140625" style="48" customWidth="1"/>
    <col min="256" max="256" width="14.85546875" style="48" customWidth="1"/>
    <col min="257" max="16384" width="14.85546875" style="48"/>
  </cols>
  <sheetData>
    <row r="1" spans="1:12" ht="31.5" customHeight="1" x14ac:dyDescent="0.25">
      <c r="A1" s="69" t="s">
        <v>37</v>
      </c>
      <c r="B1" s="70"/>
      <c r="C1" s="71"/>
      <c r="D1" s="70"/>
      <c r="E1" s="70"/>
      <c r="F1" s="70"/>
      <c r="G1" s="70"/>
      <c r="H1" s="72"/>
    </row>
    <row r="2" spans="1:12" ht="15" customHeight="1" x14ac:dyDescent="0.25"/>
    <row r="3" spans="1:12" x14ac:dyDescent="0.25">
      <c r="A3" s="73" t="s">
        <v>38</v>
      </c>
      <c r="B3" s="73" t="s">
        <v>39</v>
      </c>
      <c r="C3" s="73" t="s">
        <v>40</v>
      </c>
      <c r="D3" s="75" t="s">
        <v>41</v>
      </c>
      <c r="E3" s="60"/>
      <c r="F3" s="60"/>
      <c r="G3" s="60"/>
      <c r="H3" s="73" t="s">
        <v>12</v>
      </c>
    </row>
    <row r="4" spans="1:12" x14ac:dyDescent="0.25">
      <c r="A4" s="74"/>
      <c r="B4" s="74"/>
      <c r="C4" s="74"/>
      <c r="D4" s="47" t="s">
        <v>42</v>
      </c>
      <c r="E4" s="47" t="s">
        <v>43</v>
      </c>
      <c r="F4" s="47" t="s">
        <v>44</v>
      </c>
      <c r="G4" s="47" t="s">
        <v>45</v>
      </c>
      <c r="H4" s="74"/>
    </row>
    <row r="5" spans="1:12" ht="19.5" customHeight="1" x14ac:dyDescent="0.25">
      <c r="A5" s="37">
        <v>1</v>
      </c>
      <c r="B5" s="42" t="s">
        <v>46</v>
      </c>
      <c r="C5" s="37" t="s">
        <v>47</v>
      </c>
      <c r="D5" s="46">
        <v>2.34</v>
      </c>
      <c r="E5" s="45">
        <v>2.65</v>
      </c>
      <c r="F5" s="45">
        <v>2.96</v>
      </c>
      <c r="G5" s="45">
        <v>3.27</v>
      </c>
      <c r="H5" s="39" t="s">
        <v>48</v>
      </c>
    </row>
    <row r="6" spans="1:12" ht="19.5" customHeight="1" x14ac:dyDescent="0.25">
      <c r="A6" s="37">
        <v>2</v>
      </c>
      <c r="B6" s="42" t="s">
        <v>49</v>
      </c>
      <c r="C6" s="37" t="s">
        <v>50</v>
      </c>
      <c r="D6" s="40">
        <v>0</v>
      </c>
      <c r="E6" s="40">
        <v>0</v>
      </c>
      <c r="F6" s="40">
        <v>0</v>
      </c>
      <c r="G6" s="40">
        <v>0</v>
      </c>
      <c r="H6" s="39"/>
    </row>
    <row r="7" spans="1:12" ht="19.5" customHeight="1" x14ac:dyDescent="0.25">
      <c r="A7" s="37">
        <v>3</v>
      </c>
      <c r="B7" s="42" t="s">
        <v>51</v>
      </c>
      <c r="C7" s="37" t="s">
        <v>52</v>
      </c>
      <c r="D7" s="40">
        <v>2340000</v>
      </c>
      <c r="E7" s="40">
        <v>2340000</v>
      </c>
      <c r="F7" s="40">
        <v>2340000</v>
      </c>
      <c r="G7" s="40">
        <v>2340000</v>
      </c>
      <c r="H7" s="39" t="s">
        <v>53</v>
      </c>
    </row>
    <row r="8" spans="1:12" ht="49.5" customHeight="1" x14ac:dyDescent="0.25">
      <c r="A8" s="37">
        <v>4</v>
      </c>
      <c r="B8" s="42" t="s">
        <v>54</v>
      </c>
      <c r="C8" s="37" t="s">
        <v>55</v>
      </c>
      <c r="D8" s="44">
        <v>0.9</v>
      </c>
      <c r="E8" s="44">
        <f>D8</f>
        <v>0.9</v>
      </c>
      <c r="F8" s="44">
        <f>D8</f>
        <v>0.9</v>
      </c>
      <c r="G8" s="44">
        <f>D8</f>
        <v>0.9</v>
      </c>
      <c r="H8" s="39" t="str">
        <f>IF(D8=G16,H16,IF(D8=G17,H17,IF(D8=G18,H18,H19)))</f>
        <v>Hệ số điều chỉnh tăng thêm tiền lương bằng 0,9 đối với địa bàn thuộc vùng II</v>
      </c>
      <c r="L8" s="53"/>
    </row>
    <row r="9" spans="1:12" ht="66" customHeight="1" x14ac:dyDescent="0.25">
      <c r="A9" s="37">
        <v>5</v>
      </c>
      <c r="B9" s="42" t="s">
        <v>56</v>
      </c>
      <c r="C9" s="41" t="s">
        <v>57</v>
      </c>
      <c r="D9" s="43">
        <v>0.23499999999999999</v>
      </c>
      <c r="E9" s="43">
        <f>D9</f>
        <v>0.23499999999999999</v>
      </c>
      <c r="F9" s="43">
        <f>D9</f>
        <v>0.23499999999999999</v>
      </c>
      <c r="G9" s="43">
        <f>D9</f>
        <v>0.23499999999999999</v>
      </c>
      <c r="H9" s="39" t="s">
        <v>58</v>
      </c>
      <c r="L9" s="52"/>
    </row>
    <row r="10" spans="1:12" ht="33" customHeight="1" x14ac:dyDescent="0.25">
      <c r="A10" s="37">
        <v>6</v>
      </c>
      <c r="B10" s="42" t="s">
        <v>59</v>
      </c>
      <c r="C10" s="41" t="s">
        <v>60</v>
      </c>
      <c r="D10" s="36">
        <v>26</v>
      </c>
      <c r="E10" s="36">
        <v>26</v>
      </c>
      <c r="F10" s="36">
        <v>26</v>
      </c>
      <c r="G10" s="36">
        <v>26</v>
      </c>
      <c r="H10" s="39" t="s">
        <v>48</v>
      </c>
    </row>
    <row r="11" spans="1:12" ht="33" customHeight="1" x14ac:dyDescent="0.25">
      <c r="A11" s="37">
        <v>7</v>
      </c>
      <c r="B11" s="38" t="s">
        <v>61</v>
      </c>
      <c r="C11" s="37" t="s">
        <v>62</v>
      </c>
      <c r="D11" s="40">
        <f>(D5+D6)*D7*(1+D8+D9)/D10</f>
        <v>449630.99999999994</v>
      </c>
      <c r="E11" s="40">
        <f>(E5+E6)*E7*(1+E8+E9)/E10</f>
        <v>509197.49999999994</v>
      </c>
      <c r="F11" s="40">
        <f>(F5+F6)*F7*(1+F8+F9)/F10</f>
        <v>568763.99999999988</v>
      </c>
      <c r="G11" s="40">
        <f>(G5+G6)*G7*(1+G8+G9)/G10</f>
        <v>628330.49999999988</v>
      </c>
      <c r="H11" s="39" t="s">
        <v>48</v>
      </c>
      <c r="I11" s="51"/>
    </row>
    <row r="12" spans="1:12" x14ac:dyDescent="0.25">
      <c r="A12" s="37">
        <v>8</v>
      </c>
      <c r="B12" s="38" t="s">
        <v>63</v>
      </c>
      <c r="C12" s="37" t="s">
        <v>64</v>
      </c>
      <c r="D12" s="36">
        <f>D11/8</f>
        <v>56203.874999999993</v>
      </c>
      <c r="E12" s="36">
        <f>E11/8</f>
        <v>63649.687499999993</v>
      </c>
      <c r="F12" s="36">
        <f>F11/8</f>
        <v>71095.499999999985</v>
      </c>
      <c r="G12" s="36">
        <f>G11/8</f>
        <v>78541.312499999985</v>
      </c>
      <c r="H12" s="35" t="s">
        <v>65</v>
      </c>
    </row>
    <row r="16" spans="1:12" ht="49.5" customHeight="1" x14ac:dyDescent="0.25">
      <c r="G16" s="34">
        <v>1.2</v>
      </c>
      <c r="H16" s="34" t="s">
        <v>66</v>
      </c>
    </row>
    <row r="17" spans="7:8" ht="49.5" customHeight="1" x14ac:dyDescent="0.25">
      <c r="G17" s="34">
        <v>0.9</v>
      </c>
      <c r="H17" s="34" t="s">
        <v>67</v>
      </c>
    </row>
    <row r="18" spans="7:8" ht="49.5" customHeight="1" x14ac:dyDescent="0.25">
      <c r="G18" s="34">
        <v>0.7</v>
      </c>
      <c r="H18" s="34" t="s">
        <v>68</v>
      </c>
    </row>
    <row r="19" spans="7:8" ht="49.5" customHeight="1" x14ac:dyDescent="0.25">
      <c r="G19" s="34">
        <v>0.5</v>
      </c>
      <c r="H19" s="34" t="s">
        <v>69</v>
      </c>
    </row>
  </sheetData>
  <mergeCells count="6">
    <mergeCell ref="A1:H1"/>
    <mergeCell ref="A3:A4"/>
    <mergeCell ref="B3:B4"/>
    <mergeCell ref="C3:C4"/>
    <mergeCell ref="D3:G3"/>
    <mergeCell ref="H3:H4"/>
  </mergeCells>
  <dataValidations count="1">
    <dataValidation type="list" allowBlank="1" showInputMessage="1" showErrorMessage="1" sqref="D8" xr:uid="{00000000-0002-0000-0500-000000000000}">
      <formula1>$G$16:$G$19</formula1>
    </dataValidation>
  </dataValidations>
  <pageMargins left="0.51181102362204722" right="0.51181102362204722" top="0.35433070866141742" bottom="0.35433070866141742" header="0.31496062992125978" footer="0.31496062992125978"/>
  <pageSetup paperSize="9" scale="95" fitToHeight="0" orientation="landscape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Bảng giá</vt:lpstr>
      <vt:lpstr>3. CP vận hàng hàng năm</vt:lpstr>
      <vt:lpstr>4.LươngKS</vt:lpstr>
      <vt:lpstr>'4.LươngKS'!Print_Area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Cuong Nguyen</dc:creator>
  <cp:lastModifiedBy>Lê Thu Trang</cp:lastModifiedBy>
  <cp:lastPrinted>2025-11-12T09:23:40Z</cp:lastPrinted>
  <dcterms:created xsi:type="dcterms:W3CDTF">2021-02-19T02:07:24Z</dcterms:created>
  <dcterms:modified xsi:type="dcterms:W3CDTF">2026-07-31T09:04:59Z</dcterms:modified>
</cp:coreProperties>
</file>
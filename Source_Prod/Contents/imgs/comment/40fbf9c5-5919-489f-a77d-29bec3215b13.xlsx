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92B23BF-01F7-45C6-9C87-26529F68D79E}" xr6:coauthVersionLast="44" xr6:coauthVersionMax="44" xr10:uidLastSave="{00000000-0000-0000-0000-000000000000}"/>
  <bookViews>
    <workbookView xWindow="-98" yWindow="-98" windowWidth="19396" windowHeight="11596" xr2:uid="{00000000-000D-0000-FFFF-FFFF00000000}"/>
  </bookViews>
  <sheets>
    <sheet name="Checklist Phan Cung TC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60" i="1" l="1"/>
  <c r="H46" i="1" l="1"/>
  <c r="H64" i="1"/>
  <c r="H62" i="1"/>
  <c r="H59" i="1"/>
  <c r="H58" i="1"/>
  <c r="H57" i="1"/>
  <c r="H55" i="1"/>
  <c r="H54" i="1"/>
  <c r="H53" i="1"/>
  <c r="H52" i="1"/>
  <c r="H51" i="1"/>
  <c r="H49" i="1"/>
  <c r="H45" i="1"/>
  <c r="H44" i="1"/>
  <c r="H43" i="1"/>
  <c r="H42" i="1"/>
  <c r="H41" i="1"/>
  <c r="H40" i="1"/>
  <c r="H39" i="1"/>
  <c r="H36" i="1"/>
  <c r="H33" i="1"/>
  <c r="H32" i="1"/>
  <c r="H30" i="1"/>
  <c r="H28" i="1"/>
  <c r="H26" i="1"/>
  <c r="H25" i="1"/>
  <c r="H23" i="1"/>
  <c r="H22" i="1"/>
  <c r="H21" i="1"/>
  <c r="H20" i="1"/>
  <c r="H19" i="1"/>
  <c r="H17" i="1"/>
  <c r="H16" i="1"/>
  <c r="H15" i="1"/>
  <c r="H14" i="1"/>
  <c r="H13" i="1"/>
  <c r="H12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<sst xmlns="http://schemas.openxmlformats.org/spreadsheetml/2006/main" count="253" uniqueCount="177">
  <si>
    <t>BẢNG DANH MỤC CHECKLIST PHẦN CỨNG — TRẠM CÔNG DÂN SỐ</t>
  </si>
  <si>
    <t>STT</t>
  </si>
  <si>
    <t>Hạng mục thiết bị</t>
  </si>
  <si>
    <t>Mô tả / Thông số gợi ý</t>
  </si>
  <si>
    <t>ĐVT</t>
  </si>
  <si>
    <t>SL</t>
  </si>
  <si>
    <t>Nhà cung cấp</t>
  </si>
  <si>
    <t>Đơn giá (VNĐ)</t>
  </si>
  <si>
    <t>Thành tiền (VNĐ)</t>
  </si>
  <si>
    <t>Tình trạng</t>
  </si>
  <si>
    <t>Ghi chú</t>
  </si>
  <si>
    <t>A. HỆ THỐNG VỎ NGOÀI (Kết cấu cabin)</t>
  </si>
  <si>
    <t>A1</t>
  </si>
  <si>
    <t>Khung xương cabin</t>
  </si>
  <si>
    <t>Bộ</t>
  </si>
  <si>
    <t>1</t>
  </si>
  <si>
    <t>A2</t>
  </si>
  <si>
    <t>Tấm ốp ngoài</t>
  </si>
  <si>
    <t>A3</t>
  </si>
  <si>
    <t>Mái che + chống thấm</t>
  </si>
  <si>
    <t>Dốc thoát nước, gioăng kín</t>
  </si>
  <si>
    <t>A4</t>
  </si>
  <si>
    <t>Sàn nâng / chân đế</t>
  </si>
  <si>
    <t>Sàn chống trượt, cân bằng mặt nền</t>
  </si>
  <si>
    <t>A5</t>
  </si>
  <si>
    <t>Biển hiệu + logo TCDS</t>
  </si>
  <si>
    <t>Mặt tiền, có chiếu sáng</t>
  </si>
  <si>
    <t>A6</t>
  </si>
  <si>
    <t>Móng / đế định vị</t>
  </si>
  <si>
    <t>Cố định chống lật, chống xê dịch</t>
  </si>
  <si>
    <t>B. HỆ THỐNG ĐIỆN</t>
  </si>
  <si>
    <t>B1</t>
  </si>
  <si>
    <t>Tủ điện phân phối (DB)</t>
  </si>
  <si>
    <t>Aptomat tổng + nhánh</t>
  </si>
  <si>
    <t>Tủ</t>
  </si>
  <si>
    <t>B2</t>
  </si>
  <si>
    <t>Chống sét lan truyền (SPD)</t>
  </si>
  <si>
    <t>Bảo vệ thiết bị điện tử ngoài trời</t>
  </si>
  <si>
    <t>B3</t>
  </si>
  <si>
    <t>Tiếp địa (grounding)</t>
  </si>
  <si>
    <t>Cọc tiếp địa, an toàn</t>
  </si>
  <si>
    <t>Hệ</t>
  </si>
  <si>
    <t>B5</t>
  </si>
  <si>
    <t>Ổn áp</t>
  </si>
  <si>
    <t>Ổn định nguồn cho thiết bị y tế / màn hình</t>
  </si>
  <si>
    <t>B6</t>
  </si>
  <si>
    <t>Công tơ điện riêng</t>
  </si>
  <si>
    <t>Đo điện độc lập cho trạm</t>
  </si>
  <si>
    <t>Cái</t>
  </si>
  <si>
    <t>B7</t>
  </si>
  <si>
    <t>Đi dây âm, gọn, an toàn</t>
  </si>
  <si>
    <t>C. HỆ THỐNG MẠNG</t>
  </si>
  <si>
    <t>C1</t>
  </si>
  <si>
    <t>Modem cáp quang</t>
  </si>
  <si>
    <t>Đường truyền chính</t>
  </si>
  <si>
    <t>C2</t>
  </si>
  <si>
    <t>C3</t>
  </si>
  <si>
    <t>Switch PoE</t>
  </si>
  <si>
    <t>Cấp nguồn camera/AP qua LAN</t>
  </si>
  <si>
    <t>C4</t>
  </si>
  <si>
    <t>Access Point WiFi</t>
  </si>
  <si>
    <t>Mạng nội bộ</t>
  </si>
  <si>
    <t>C5</t>
  </si>
  <si>
    <t>Tủ rack mini</t>
  </si>
  <si>
    <t>Gom thiết bị mạng</t>
  </si>
  <si>
    <t>Dây LAN + patch panel</t>
  </si>
  <si>
    <t>Cat6, bấm gọn</t>
  </si>
  <si>
    <t>D. HỆ THỐNG LÀM MÁT &amp; THÔNG GIÓ</t>
  </si>
  <si>
    <t>D1</t>
  </si>
  <si>
    <t>Máy lạnh</t>
  </si>
  <si>
    <t>Công suất phù hợp cabin ~6,75m²</t>
  </si>
  <si>
    <t>D2</t>
  </si>
  <si>
    <t>Quạt hút / thông gió</t>
  </si>
  <si>
    <t>Tản nhiệt tủ điện + đối lưu</t>
  </si>
  <si>
    <t>E. HỆ THỐNG CHIẾU SÁNG</t>
  </si>
  <si>
    <t>E1</t>
  </si>
  <si>
    <t>Đèn LED trần</t>
  </si>
  <si>
    <t>Chiếu sáng nội thất cabin</t>
  </si>
  <si>
    <t>F. MÀN HÌNH LED QUẢNG CÁO</t>
  </si>
  <si>
    <t>F1</t>
  </si>
  <si>
    <t>Màn hình LED ngoài trời</t>
  </si>
  <si>
    <t>Độ sáng cao, IP65</t>
  </si>
  <si>
    <t>G. HỆ THỐNG CAMERA</t>
  </si>
  <si>
    <t>G1</t>
  </si>
  <si>
    <t>Camera trong cabin y tế</t>
  </si>
  <si>
    <t>Giám sát nội bộ</t>
  </si>
  <si>
    <t>G2</t>
  </si>
  <si>
    <t>Camera kiosk đa tiện ích</t>
  </si>
  <si>
    <t>Giám sát khu kiosk</t>
  </si>
  <si>
    <t>H. TRUYỀN THÔNG / BIỂN CHỈ DẪN</t>
  </si>
  <si>
    <t>H1</t>
  </si>
  <si>
    <t>Hướng dẫn sử dụng + giới thiệu, có đèn</t>
  </si>
  <si>
    <t>I. KIOSK ĐA TIỆN ÍCH</t>
  </si>
  <si>
    <t>I1</t>
  </si>
  <si>
    <t>Thân kiosk + màn hình cảm ứng</t>
  </si>
  <si>
    <t>Màn lớn, cảm ứng</t>
  </si>
  <si>
    <t>I2</t>
  </si>
  <si>
    <t>Đầu đọc CCCD gắn chip</t>
  </si>
  <si>
    <t>I3</t>
  </si>
  <si>
    <t>Máy in nhiệt</t>
  </si>
  <si>
    <t>In giấy / tờ khai / biên nhận</t>
  </si>
  <si>
    <t>I4</t>
  </si>
  <si>
    <t>Xác thực khuôn mặt</t>
  </si>
  <si>
    <t>I5</t>
  </si>
  <si>
    <t>Loa + micro</t>
  </si>
  <si>
    <t>Tương tác giọng nói / đa ngôn ngữ</t>
  </si>
  <si>
    <t>I6</t>
  </si>
  <si>
    <t>POS thanh toán / QR pay</t>
  </si>
  <si>
    <t>Thanh toán dịch vụ</t>
  </si>
  <si>
    <t>I7</t>
  </si>
  <si>
    <t>Nút SOS</t>
  </si>
  <si>
    <t>Gọi hỗ trợ khẩn cấp</t>
  </si>
  <si>
    <t>J1</t>
  </si>
  <si>
    <t>K1</t>
  </si>
  <si>
    <t>K2</t>
  </si>
  <si>
    <t>Đo chiều cao / cân</t>
  </si>
  <si>
    <t>K3</t>
  </si>
  <si>
    <t>Đo huyết áp</t>
  </si>
  <si>
    <t>K4</t>
  </si>
  <si>
    <t>K5</t>
  </si>
  <si>
    <t>Bàn + ghế</t>
  </si>
  <si>
    <t>Bàn thao tác + ghế ngồi đo</t>
  </si>
  <si>
    <t>L. HỆ THỐNG KHOÁ CỬA &amp; RA VÀO</t>
  </si>
  <si>
    <t>L1</t>
  </si>
  <si>
    <t>Dùng để đo/mở cửa; cấp nguồn chung với khoá từ</t>
  </si>
  <si>
    <t>L2</t>
  </si>
  <si>
    <t>L3</t>
  </si>
  <si>
    <t>Nút exit</t>
  </si>
  <si>
    <t>Mở cửa từ bên trong</t>
  </si>
  <si>
    <t>L4</t>
  </si>
  <si>
    <t>Cửa kính + khoá cửa kính</t>
  </si>
  <si>
    <t>Bản lề / khoá đồng bộ</t>
  </si>
  <si>
    <t>M. PHÒNG CHÁY CHỮA CHÁY</t>
  </si>
  <si>
    <t>M1</t>
  </si>
  <si>
    <t>Bình chữa cháy</t>
  </si>
  <si>
    <t>Loại CO₂ phù hợp tủ điện / điện tử</t>
  </si>
  <si>
    <t>Bình</t>
  </si>
  <si>
    <t>N1</t>
  </si>
  <si>
    <t>Đặt tại khu vực sử dụng</t>
  </si>
  <si>
    <t>Chai</t>
  </si>
  <si>
    <t>Địa điểm:   |   Đơn vị: GoTRUST   |   Ngày: ____/____/2026   |   Người khảo sát: ____________</t>
  </si>
  <si>
    <t>Thép hộp mạ kẽm / inox 304; KT 4m×2,25m×3m</t>
  </si>
  <si>
    <t>G3</t>
  </si>
  <si>
    <t>Camera ngoài trời</t>
  </si>
  <si>
    <t>Giám sát cửa ra vào</t>
  </si>
  <si>
    <t>H2</t>
  </si>
  <si>
    <t>Hộp đèn truyền thông Cabin đa tiện ích</t>
  </si>
  <si>
    <t>Hộp đèn HDSD Cabin sức khỏe</t>
  </si>
  <si>
    <t>Thông tin truyền thông</t>
  </si>
  <si>
    <t xml:space="preserve">Cái </t>
  </si>
  <si>
    <t>I8</t>
  </si>
  <si>
    <t>Đọc căn cước công dân</t>
  </si>
  <si>
    <t>I9</t>
  </si>
  <si>
    <t>Máy in a4</t>
  </si>
  <si>
    <t>In giấy tờ</t>
  </si>
  <si>
    <t>Máy scan a3</t>
  </si>
  <si>
    <t>Scan hồ sơ tài liệu</t>
  </si>
  <si>
    <t xml:space="preserve">Bộ </t>
  </si>
  <si>
    <t xml:space="preserve">Màn hình cảm ứng du lịch </t>
  </si>
  <si>
    <t>J. MÀN HÌNH DU LỊCH SỐ 55IN</t>
  </si>
  <si>
    <t>Đo các chỉ số cơ thể , tỉ lệ cơ bắp , tỉ lệ mỡ v,v,v</t>
  </si>
  <si>
    <t>Đo chiều cao cân nặng tỉ lệ BMI</t>
  </si>
  <si>
    <t>Do huyết áp , nhịp tim</t>
  </si>
  <si>
    <t>Màn hình 22</t>
  </si>
  <si>
    <t>Xem chỉ số đo , tương tác tư vấn bác sĩ</t>
  </si>
  <si>
    <t>Bản đồ/điểm đến đa ngôn ngữ</t>
  </si>
  <si>
    <t>Alu chống thấm, chống UV</t>
  </si>
  <si>
    <t xml:space="preserve">Cái  </t>
  </si>
  <si>
    <t>Camera</t>
  </si>
  <si>
    <t xml:space="preserve">Cân + đo thành phần cơ thể </t>
  </si>
  <si>
    <t>Dây nguồn + ổ cắm</t>
  </si>
  <si>
    <t>Thiết bị nhận diện khuôn mặt Faceid</t>
  </si>
  <si>
    <t>Khoá từ</t>
  </si>
  <si>
    <t>Mở cửa cabin y tế khi xác minh khuôn mặt</t>
  </si>
  <si>
    <t>N. TIỆN ÍCH &amp; VẬT TƯ TIÊU HAO</t>
  </si>
  <si>
    <t>Nước rửa tay khô , vật tư vệ sinh trạm</t>
  </si>
  <si>
    <t>K. THIẾT BỊ CABIN Y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</si>
</sst>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0F2A43"/>
      <name val="Calibri"/>
    </font>
    <font>
      <b/>
      <sz val="10"/>
      <color rgb="FFFFFFFF"/>
      <name val="Calibri"/>
    </font>
    <font>
      <b/>
      <sz val="11"/>
      <color rgb="FF0F2A43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2A43"/>
      </patternFill>
    </fill>
    <fill>
      <patternFill patternType="solid">
        <fgColor rgb="FFE8F4FB"/>
      </patternFill>
    </fill>
    <fill>
      <patternFill patternType="solid">
        <fgColor rgb="FF149DD6"/>
      </patternFill>
    </fill>
    <fill>
      <patternFill patternType="solid">
        <fgColor rgb="FFF6FBF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7D6E2"/>
      </left>
      <right style="thin">
        <color rgb="FFC7D6E2"/>
      </right>
      <top style="thin">
        <color rgb="FFC7D6E2"/>
      </top>
      <bottom style="thin">
        <color rgb="FFC7D6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/>
    </xf>
    <xf numFmtId="0" fontId="0" fillId="6" borderId="0" xfId="0" applyFill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showGridLines="0" tabSelected="1" workbookViewId="0">
      <pane ySplit="3" topLeftCell="A47" activePane="bottomLeft" state="frozen"/>
      <selection pane="bottomLeft" activeCell="B52" sqref="B52"/>
    </sheetView>
  </sheetViews>
  <sheetFormatPr defaultRowHeight="14.25" x14ac:dyDescent="0.45"/>
  <cols>
    <col min="1" max="1" width="6" customWidth="1"/>
    <col min="2" max="2" width="30" customWidth="1"/>
    <col min="3" max="3" width="42" customWidth="1"/>
    <col min="4" max="4" width="7" customWidth="1"/>
    <col min="5" max="5" width="6" customWidth="1"/>
    <col min="6" max="6" width="18" customWidth="1"/>
    <col min="7" max="7" width="15" customWidth="1"/>
    <col min="8" max="8" width="16" customWidth="1"/>
    <col min="9" max="9" width="14" customWidth="1"/>
    <col min="10" max="10" width="30" customWidth="1"/>
  </cols>
  <sheetData>
    <row r="1" spans="1:10" ht="26" customHeight="1" x14ac:dyDescent="0.45">
      <c r="A1" s="16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0" customHeight="1" x14ac:dyDescent="0.45">
      <c r="A2" s="12" t="s">
        <v>140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0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2.05" customHeight="1" x14ac:dyDescent="0.45">
      <c r="A4" s="14" t="s">
        <v>11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x14ac:dyDescent="0.45">
      <c r="A5" s="2" t="s">
        <v>12</v>
      </c>
      <c r="B5" s="3" t="s">
        <v>13</v>
      </c>
      <c r="C5" s="3" t="s">
        <v>141</v>
      </c>
      <c r="D5" s="2" t="s">
        <v>14</v>
      </c>
      <c r="E5" s="2" t="s">
        <v>15</v>
      </c>
      <c r="F5" s="3"/>
      <c r="G5" s="4"/>
      <c r="H5" s="4" t="str">
        <f t="shared" ref="H5:H10" si="0">IF(AND(ISNUMBER(E5),ISNUMBER(G5)),E5*G5,"")</f>
        <v/>
      </c>
      <c r="I5" s="2"/>
      <c r="J5" s="3"/>
    </row>
    <row r="6" spans="1:10" x14ac:dyDescent="0.45">
      <c r="A6" s="5" t="s">
        <v>16</v>
      </c>
      <c r="B6" s="6" t="s">
        <v>17</v>
      </c>
      <c r="C6" s="6" t="s">
        <v>166</v>
      </c>
      <c r="D6" s="5" t="s">
        <v>14</v>
      </c>
      <c r="E6" s="5">
        <v>1</v>
      </c>
      <c r="F6" s="6"/>
      <c r="G6" s="7"/>
      <c r="H6" s="7" t="str">
        <f t="shared" si="0"/>
        <v/>
      </c>
      <c r="I6" s="5"/>
      <c r="J6" s="6"/>
    </row>
    <row r="7" spans="1:10" x14ac:dyDescent="0.45">
      <c r="A7" s="2" t="s">
        <v>18</v>
      </c>
      <c r="B7" s="3" t="s">
        <v>19</v>
      </c>
      <c r="C7" s="3" t="s">
        <v>20</v>
      </c>
      <c r="D7" s="2" t="s">
        <v>14</v>
      </c>
      <c r="E7" s="2" t="s">
        <v>15</v>
      </c>
      <c r="F7" s="3"/>
      <c r="G7" s="4"/>
      <c r="H7" s="4" t="str">
        <f t="shared" si="0"/>
        <v/>
      </c>
      <c r="I7" s="2"/>
      <c r="J7" s="3"/>
    </row>
    <row r="8" spans="1:10" x14ac:dyDescent="0.45">
      <c r="A8" s="5" t="s">
        <v>21</v>
      </c>
      <c r="B8" s="6" t="s">
        <v>22</v>
      </c>
      <c r="C8" s="6" t="s">
        <v>23</v>
      </c>
      <c r="D8" s="5" t="s">
        <v>14</v>
      </c>
      <c r="E8" s="5" t="s">
        <v>15</v>
      </c>
      <c r="F8" s="6"/>
      <c r="G8" s="7"/>
      <c r="H8" s="7" t="str">
        <f t="shared" si="0"/>
        <v/>
      </c>
      <c r="I8" s="5"/>
      <c r="J8" s="6"/>
    </row>
    <row r="9" spans="1:10" x14ac:dyDescent="0.45">
      <c r="A9" s="2" t="s">
        <v>24</v>
      </c>
      <c r="B9" s="3" t="s">
        <v>25</v>
      </c>
      <c r="C9" s="3" t="s">
        <v>26</v>
      </c>
      <c r="D9" s="2" t="s">
        <v>14</v>
      </c>
      <c r="E9" s="2" t="s">
        <v>15</v>
      </c>
      <c r="F9" s="3"/>
      <c r="G9" s="4"/>
      <c r="H9" s="4" t="str">
        <f t="shared" si="0"/>
        <v/>
      </c>
      <c r="I9" s="2"/>
      <c r="J9" s="3"/>
    </row>
    <row r="10" spans="1:10" x14ac:dyDescent="0.45">
      <c r="A10" s="5" t="s">
        <v>27</v>
      </c>
      <c r="B10" s="6" t="s">
        <v>28</v>
      </c>
      <c r="C10" s="6" t="s">
        <v>29</v>
      </c>
      <c r="D10" s="5" t="s">
        <v>14</v>
      </c>
      <c r="E10" s="5" t="s">
        <v>15</v>
      </c>
      <c r="F10" s="6"/>
      <c r="G10" s="7"/>
      <c r="H10" s="7" t="str">
        <f t="shared" si="0"/>
        <v/>
      </c>
      <c r="I10" s="5"/>
      <c r="J10" s="6"/>
    </row>
    <row r="11" spans="1:10" ht="22.05" customHeight="1" x14ac:dyDescent="0.45">
      <c r="A11" s="14" t="s">
        <v>30</v>
      </c>
      <c r="B11" s="15"/>
      <c r="C11" s="15"/>
      <c r="D11" s="15"/>
      <c r="E11" s="15"/>
      <c r="F11" s="15"/>
      <c r="G11" s="15"/>
      <c r="H11" s="15"/>
      <c r="I11" s="15"/>
      <c r="J11" s="15"/>
    </row>
    <row r="12" spans="1:10" x14ac:dyDescent="0.45">
      <c r="A12" s="2" t="s">
        <v>31</v>
      </c>
      <c r="B12" s="3" t="s">
        <v>32</v>
      </c>
      <c r="C12" s="3" t="s">
        <v>33</v>
      </c>
      <c r="D12" s="2" t="s">
        <v>34</v>
      </c>
      <c r="E12" s="2" t="s">
        <v>15</v>
      </c>
      <c r="F12" s="3"/>
      <c r="G12" s="4"/>
      <c r="H12" s="4" t="str">
        <f t="shared" ref="H12:H17" si="1">IF(AND(ISNUMBER(E12),ISNUMBER(G12)),E12*G12,"")</f>
        <v/>
      </c>
      <c r="I12" s="2"/>
      <c r="J12" s="3"/>
    </row>
    <row r="13" spans="1:10" x14ac:dyDescent="0.45">
      <c r="A13" s="5" t="s">
        <v>35</v>
      </c>
      <c r="B13" s="6" t="s">
        <v>36</v>
      </c>
      <c r="C13" s="6" t="s">
        <v>37</v>
      </c>
      <c r="D13" s="5" t="s">
        <v>14</v>
      </c>
      <c r="E13" s="5" t="s">
        <v>15</v>
      </c>
      <c r="F13" s="6"/>
      <c r="G13" s="7"/>
      <c r="H13" s="7" t="str">
        <f t="shared" si="1"/>
        <v/>
      </c>
      <c r="I13" s="5"/>
      <c r="J13" s="6"/>
    </row>
    <row r="14" spans="1:10" x14ac:dyDescent="0.45">
      <c r="A14" s="2" t="s">
        <v>38</v>
      </c>
      <c r="B14" s="3" t="s">
        <v>39</v>
      </c>
      <c r="C14" s="3" t="s">
        <v>40</v>
      </c>
      <c r="D14" s="2" t="s">
        <v>41</v>
      </c>
      <c r="E14" s="2" t="s">
        <v>15</v>
      </c>
      <c r="F14" s="3"/>
      <c r="G14" s="4"/>
      <c r="H14" s="4" t="str">
        <f t="shared" si="1"/>
        <v/>
      </c>
      <c r="I14" s="2"/>
      <c r="J14" s="3"/>
    </row>
    <row r="15" spans="1:10" x14ac:dyDescent="0.45">
      <c r="A15" s="2" t="s">
        <v>42</v>
      </c>
      <c r="B15" s="3" t="s">
        <v>43</v>
      </c>
      <c r="C15" s="3" t="s">
        <v>44</v>
      </c>
      <c r="D15" s="2" t="s">
        <v>14</v>
      </c>
      <c r="E15" s="2" t="s">
        <v>15</v>
      </c>
      <c r="F15" s="3"/>
      <c r="G15" s="4"/>
      <c r="H15" s="4" t="str">
        <f t="shared" si="1"/>
        <v/>
      </c>
      <c r="I15" s="2"/>
      <c r="J15" s="3"/>
    </row>
    <row r="16" spans="1:10" x14ac:dyDescent="0.45">
      <c r="A16" s="5" t="s">
        <v>45</v>
      </c>
      <c r="B16" s="6" t="s">
        <v>46</v>
      </c>
      <c r="C16" s="6" t="s">
        <v>47</v>
      </c>
      <c r="D16" s="5" t="s">
        <v>48</v>
      </c>
      <c r="E16" s="5" t="s">
        <v>15</v>
      </c>
      <c r="F16" s="6"/>
      <c r="G16" s="7"/>
      <c r="H16" s="7" t="str">
        <f t="shared" si="1"/>
        <v/>
      </c>
      <c r="I16" s="5"/>
      <c r="J16" s="6"/>
    </row>
    <row r="17" spans="1:10" x14ac:dyDescent="0.45">
      <c r="A17" s="2" t="s">
        <v>49</v>
      </c>
      <c r="B17" s="3" t="s">
        <v>170</v>
      </c>
      <c r="C17" s="3" t="s">
        <v>50</v>
      </c>
      <c r="D17" s="2" t="s">
        <v>41</v>
      </c>
      <c r="E17" s="2" t="s">
        <v>15</v>
      </c>
      <c r="F17" s="3"/>
      <c r="G17" s="4"/>
      <c r="H17" s="4" t="str">
        <f t="shared" si="1"/>
        <v/>
      </c>
      <c r="I17" s="2"/>
      <c r="J17" s="3"/>
    </row>
    <row r="18" spans="1:10" ht="22.05" customHeight="1" x14ac:dyDescent="0.45">
      <c r="A18" s="14" t="s">
        <v>51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45">
      <c r="A19" s="2" t="s">
        <v>52</v>
      </c>
      <c r="B19" s="3" t="s">
        <v>53</v>
      </c>
      <c r="C19" s="3" t="s">
        <v>54</v>
      </c>
      <c r="D19" s="2" t="s">
        <v>48</v>
      </c>
      <c r="E19" s="2" t="s">
        <v>15</v>
      </c>
      <c r="F19" s="3"/>
      <c r="G19" s="4"/>
      <c r="H19" s="4" t="str">
        <f t="shared" ref="H19:H23" si="2">IF(AND(ISNUMBER(E19),ISNUMBER(G19)),E19*G19,"")</f>
        <v/>
      </c>
      <c r="I19" s="2"/>
      <c r="J19" s="3"/>
    </row>
    <row r="20" spans="1:10" x14ac:dyDescent="0.45">
      <c r="A20" s="2" t="s">
        <v>55</v>
      </c>
      <c r="B20" s="3" t="s">
        <v>57</v>
      </c>
      <c r="C20" s="3" t="s">
        <v>58</v>
      </c>
      <c r="D20" s="2" t="s">
        <v>48</v>
      </c>
      <c r="E20" s="2" t="s">
        <v>15</v>
      </c>
      <c r="F20" s="3"/>
      <c r="G20" s="4"/>
      <c r="H20" s="4" t="str">
        <f t="shared" si="2"/>
        <v/>
      </c>
      <c r="I20" s="2"/>
      <c r="J20" s="3"/>
    </row>
    <row r="21" spans="1:10" x14ac:dyDescent="0.45">
      <c r="A21" s="5" t="s">
        <v>56</v>
      </c>
      <c r="B21" s="6" t="s">
        <v>60</v>
      </c>
      <c r="C21" s="6" t="s">
        <v>61</v>
      </c>
      <c r="D21" s="5" t="s">
        <v>48</v>
      </c>
      <c r="E21" s="5" t="s">
        <v>15</v>
      </c>
      <c r="F21" s="6"/>
      <c r="G21" s="7"/>
      <c r="H21" s="7" t="str">
        <f t="shared" si="2"/>
        <v/>
      </c>
      <c r="I21" s="5"/>
      <c r="J21" s="6"/>
    </row>
    <row r="22" spans="1:10" x14ac:dyDescent="0.45">
      <c r="A22" s="2" t="s">
        <v>59</v>
      </c>
      <c r="B22" s="3" t="s">
        <v>63</v>
      </c>
      <c r="C22" s="3" t="s">
        <v>64</v>
      </c>
      <c r="D22" s="2" t="s">
        <v>48</v>
      </c>
      <c r="E22" s="2" t="s">
        <v>15</v>
      </c>
      <c r="F22" s="3"/>
      <c r="G22" s="4"/>
      <c r="H22" s="4" t="str">
        <f t="shared" si="2"/>
        <v/>
      </c>
      <c r="I22" s="2"/>
      <c r="J22" s="3"/>
    </row>
    <row r="23" spans="1:10" x14ac:dyDescent="0.45">
      <c r="A23" s="5" t="s">
        <v>62</v>
      </c>
      <c r="B23" s="6" t="s">
        <v>65</v>
      </c>
      <c r="C23" s="6" t="s">
        <v>66</v>
      </c>
      <c r="D23" s="5" t="s">
        <v>41</v>
      </c>
      <c r="E23" s="5" t="s">
        <v>15</v>
      </c>
      <c r="F23" s="6"/>
      <c r="G23" s="7"/>
      <c r="H23" s="7" t="str">
        <f t="shared" si="2"/>
        <v/>
      </c>
      <c r="I23" s="5"/>
      <c r="J23" s="6"/>
    </row>
    <row r="24" spans="1:10" ht="22.05" customHeight="1" x14ac:dyDescent="0.45">
      <c r="A24" s="14" t="s">
        <v>67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x14ac:dyDescent="0.45">
      <c r="A25" s="2" t="s">
        <v>68</v>
      </c>
      <c r="B25" s="3" t="s">
        <v>69</v>
      </c>
      <c r="C25" s="3" t="s">
        <v>70</v>
      </c>
      <c r="D25" s="2" t="s">
        <v>14</v>
      </c>
      <c r="E25" s="2" t="s">
        <v>15</v>
      </c>
      <c r="F25" s="3"/>
      <c r="G25" s="4"/>
      <c r="H25" s="4" t="str">
        <f>IF(AND(ISNUMBER(E25),ISNUMBER(G25)),E25*G25,"")</f>
        <v/>
      </c>
      <c r="I25" s="2"/>
      <c r="J25" s="3"/>
    </row>
    <row r="26" spans="1:10" x14ac:dyDescent="0.45">
      <c r="A26" s="5" t="s">
        <v>71</v>
      </c>
      <c r="B26" s="6" t="s">
        <v>72</v>
      </c>
      <c r="C26" s="6" t="s">
        <v>73</v>
      </c>
      <c r="D26" s="5" t="s">
        <v>48</v>
      </c>
      <c r="E26" s="5">
        <v>3</v>
      </c>
      <c r="F26" s="6"/>
      <c r="G26" s="7"/>
      <c r="H26" s="7" t="str">
        <f>IF(AND(ISNUMBER(E26),ISNUMBER(G26)),E26*G26,"")</f>
        <v/>
      </c>
      <c r="I26" s="5"/>
      <c r="J26" s="6"/>
    </row>
    <row r="27" spans="1:10" ht="22.05" customHeight="1" x14ac:dyDescent="0.45">
      <c r="A27" s="14" t="s">
        <v>74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x14ac:dyDescent="0.45">
      <c r="A28" s="2" t="s">
        <v>75</v>
      </c>
      <c r="B28" s="3" t="s">
        <v>76</v>
      </c>
      <c r="C28" s="3" t="s">
        <v>77</v>
      </c>
      <c r="D28" s="2" t="s">
        <v>167</v>
      </c>
      <c r="E28" s="2">
        <v>4</v>
      </c>
      <c r="F28" s="3"/>
      <c r="G28" s="4"/>
      <c r="H28" s="4" t="str">
        <f>IF(AND(ISNUMBER(E28),ISNUMBER(G28)),E28*G28,"")</f>
        <v/>
      </c>
      <c r="I28" s="2"/>
      <c r="J28" s="3"/>
    </row>
    <row r="29" spans="1:10" ht="22.05" customHeight="1" x14ac:dyDescent="0.45">
      <c r="A29" s="14" t="s">
        <v>78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x14ac:dyDescent="0.45">
      <c r="A30" s="2" t="s">
        <v>79</v>
      </c>
      <c r="B30" s="3" t="s">
        <v>80</v>
      </c>
      <c r="C30" s="3" t="s">
        <v>81</v>
      </c>
      <c r="D30" s="2" t="s">
        <v>14</v>
      </c>
      <c r="E30" s="2" t="s">
        <v>15</v>
      </c>
      <c r="F30" s="3"/>
      <c r="G30" s="4"/>
      <c r="H30" s="4" t="str">
        <f>IF(AND(ISNUMBER(E30),ISNUMBER(G30)),E30*G30,"")</f>
        <v/>
      </c>
      <c r="I30" s="2"/>
      <c r="J30" s="3"/>
    </row>
    <row r="31" spans="1:10" ht="22.05" customHeight="1" x14ac:dyDescent="0.45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x14ac:dyDescent="0.45">
      <c r="A32" s="2" t="s">
        <v>83</v>
      </c>
      <c r="B32" s="3" t="s">
        <v>84</v>
      </c>
      <c r="C32" s="3" t="s">
        <v>85</v>
      </c>
      <c r="D32" s="2" t="s">
        <v>48</v>
      </c>
      <c r="E32" s="2" t="s">
        <v>15</v>
      </c>
      <c r="F32" s="3"/>
      <c r="G32" s="4"/>
      <c r="H32" s="4" t="str">
        <f>IF(AND(ISNUMBER(E32),ISNUMBER(G32)),E32*G32,"")</f>
        <v/>
      </c>
      <c r="I32" s="2"/>
      <c r="J32" s="3"/>
    </row>
    <row r="33" spans="1:10" x14ac:dyDescent="0.45">
      <c r="A33" s="5" t="s">
        <v>86</v>
      </c>
      <c r="B33" s="6" t="s">
        <v>87</v>
      </c>
      <c r="C33" s="6" t="s">
        <v>88</v>
      </c>
      <c r="D33" s="5" t="s">
        <v>48</v>
      </c>
      <c r="E33" s="5" t="s">
        <v>15</v>
      </c>
      <c r="F33" s="6"/>
      <c r="G33" s="7"/>
      <c r="H33" s="7" t="str">
        <f>IF(AND(ISNUMBER(E33),ISNUMBER(G33)),E33*G33,"")</f>
        <v/>
      </c>
      <c r="I33" s="5"/>
      <c r="J33" s="6"/>
    </row>
    <row r="34" spans="1:10" s="11" customFormat="1" x14ac:dyDescent="0.45">
      <c r="A34" s="8" t="s">
        <v>142</v>
      </c>
      <c r="B34" s="9" t="s">
        <v>143</v>
      </c>
      <c r="C34" s="9" t="s">
        <v>144</v>
      </c>
      <c r="D34" s="8" t="s">
        <v>48</v>
      </c>
      <c r="E34" s="8">
        <v>1</v>
      </c>
      <c r="F34" s="9"/>
      <c r="G34" s="10"/>
      <c r="H34" s="10"/>
      <c r="I34" s="8"/>
      <c r="J34" s="9"/>
    </row>
    <row r="35" spans="1:10" ht="22.05" customHeight="1" x14ac:dyDescent="0.45">
      <c r="A35" s="14" t="s">
        <v>89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45">
      <c r="A36" s="2" t="s">
        <v>90</v>
      </c>
      <c r="B36" s="3" t="s">
        <v>147</v>
      </c>
      <c r="C36" s="3" t="s">
        <v>91</v>
      </c>
      <c r="D36" s="2" t="s">
        <v>48</v>
      </c>
      <c r="E36" s="2">
        <v>3</v>
      </c>
      <c r="F36" s="3"/>
      <c r="G36" s="4"/>
      <c r="H36" s="4" t="str">
        <f>IF(AND(ISNUMBER(E36),ISNUMBER(G36)),E36*G36,"")</f>
        <v/>
      </c>
      <c r="I36" s="2"/>
      <c r="J36" s="3"/>
    </row>
    <row r="37" spans="1:10" x14ac:dyDescent="0.45">
      <c r="A37" s="5" t="s">
        <v>145</v>
      </c>
      <c r="B37" s="6" t="s">
        <v>146</v>
      </c>
      <c r="C37" s="6" t="s">
        <v>148</v>
      </c>
      <c r="D37" s="5" t="s">
        <v>149</v>
      </c>
      <c r="E37" s="5">
        <v>1</v>
      </c>
      <c r="F37" s="6"/>
      <c r="G37" s="6"/>
      <c r="H37" s="6"/>
      <c r="I37" s="6"/>
      <c r="J37" s="6"/>
    </row>
    <row r="38" spans="1:10" ht="22.05" customHeight="1" x14ac:dyDescent="0.45">
      <c r="A38" s="14" t="s">
        <v>92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45">
      <c r="A39" s="2" t="s">
        <v>93</v>
      </c>
      <c r="B39" s="3" t="s">
        <v>94</v>
      </c>
      <c r="C39" s="3" t="s">
        <v>95</v>
      </c>
      <c r="D39" s="2" t="s">
        <v>14</v>
      </c>
      <c r="E39" s="2" t="s">
        <v>15</v>
      </c>
      <c r="F39" s="3"/>
      <c r="G39" s="4"/>
      <c r="H39" s="4" t="str">
        <f t="shared" ref="H39:H45" si="3">IF(AND(ISNUMBER(E39),ISNUMBER(G39)),E39*G39,"")</f>
        <v/>
      </c>
      <c r="I39" s="2"/>
      <c r="J39" s="3"/>
    </row>
    <row r="40" spans="1:10" x14ac:dyDescent="0.45">
      <c r="A40" s="5" t="s">
        <v>96</v>
      </c>
      <c r="B40" s="6" t="s">
        <v>97</v>
      </c>
      <c r="C40" s="6" t="s">
        <v>151</v>
      </c>
      <c r="D40" s="5" t="s">
        <v>48</v>
      </c>
      <c r="E40" s="5" t="s">
        <v>15</v>
      </c>
      <c r="F40" s="6"/>
      <c r="G40" s="7"/>
      <c r="H40" s="7" t="str">
        <f t="shared" si="3"/>
        <v/>
      </c>
      <c r="I40" s="5"/>
      <c r="J40" s="6"/>
    </row>
    <row r="41" spans="1:10" x14ac:dyDescent="0.45">
      <c r="A41" s="2" t="s">
        <v>98</v>
      </c>
      <c r="B41" s="3" t="s">
        <v>99</v>
      </c>
      <c r="C41" s="3" t="s">
        <v>100</v>
      </c>
      <c r="D41" s="2" t="s">
        <v>48</v>
      </c>
      <c r="E41" s="2" t="s">
        <v>15</v>
      </c>
      <c r="F41" s="3"/>
      <c r="G41" s="4"/>
      <c r="H41" s="4" t="str">
        <f t="shared" si="3"/>
        <v/>
      </c>
      <c r="I41" s="2"/>
      <c r="J41" s="3"/>
    </row>
    <row r="42" spans="1:10" x14ac:dyDescent="0.45">
      <c r="A42" s="5" t="s">
        <v>101</v>
      </c>
      <c r="B42" s="6" t="s">
        <v>168</v>
      </c>
      <c r="C42" s="6" t="s">
        <v>102</v>
      </c>
      <c r="D42" s="5" t="s">
        <v>14</v>
      </c>
      <c r="E42" s="5" t="s">
        <v>15</v>
      </c>
      <c r="F42" s="6"/>
      <c r="G42" s="7"/>
      <c r="H42" s="7" t="str">
        <f t="shared" si="3"/>
        <v/>
      </c>
      <c r="I42" s="5"/>
      <c r="J42" s="6"/>
    </row>
    <row r="43" spans="1:10" x14ac:dyDescent="0.45">
      <c r="A43" s="2" t="s">
        <v>103</v>
      </c>
      <c r="B43" s="3" t="s">
        <v>104</v>
      </c>
      <c r="C43" s="3" t="s">
        <v>105</v>
      </c>
      <c r="D43" s="2" t="s">
        <v>14</v>
      </c>
      <c r="E43" s="2" t="s">
        <v>15</v>
      </c>
      <c r="F43" s="3"/>
      <c r="G43" s="4"/>
      <c r="H43" s="4" t="str">
        <f t="shared" si="3"/>
        <v/>
      </c>
      <c r="I43" s="2"/>
      <c r="J43" s="3"/>
    </row>
    <row r="44" spans="1:10" x14ac:dyDescent="0.45">
      <c r="A44" s="5" t="s">
        <v>106</v>
      </c>
      <c r="B44" s="6" t="s">
        <v>107</v>
      </c>
      <c r="C44" s="6" t="s">
        <v>108</v>
      </c>
      <c r="D44" s="5" t="s">
        <v>14</v>
      </c>
      <c r="E44" s="5" t="s">
        <v>15</v>
      </c>
      <c r="F44" s="6"/>
      <c r="G44" s="7"/>
      <c r="H44" s="7" t="str">
        <f t="shared" si="3"/>
        <v/>
      </c>
      <c r="I44" s="5"/>
      <c r="J44" s="6"/>
    </row>
    <row r="45" spans="1:10" x14ac:dyDescent="0.45">
      <c r="A45" s="2" t="s">
        <v>109</v>
      </c>
      <c r="B45" s="3" t="s">
        <v>110</v>
      </c>
      <c r="C45" s="3" t="s">
        <v>111</v>
      </c>
      <c r="D45" s="2" t="s">
        <v>48</v>
      </c>
      <c r="E45" s="2" t="s">
        <v>15</v>
      </c>
      <c r="F45" s="3"/>
      <c r="G45" s="4"/>
      <c r="H45" s="4" t="str">
        <f t="shared" si="3"/>
        <v/>
      </c>
      <c r="I45" s="2"/>
      <c r="J45" s="3"/>
    </row>
    <row r="46" spans="1:10" x14ac:dyDescent="0.45">
      <c r="A46" s="5" t="s">
        <v>150</v>
      </c>
      <c r="B46" s="6" t="s">
        <v>153</v>
      </c>
      <c r="C46" s="6" t="s">
        <v>154</v>
      </c>
      <c r="D46" s="5" t="s">
        <v>14</v>
      </c>
      <c r="E46" s="5" t="s">
        <v>15</v>
      </c>
      <c r="F46" s="6"/>
      <c r="G46" s="7"/>
      <c r="H46" s="7" t="str">
        <f t="shared" ref="H46" si="4">IF(AND(ISNUMBER(E46),ISNUMBER(G46)),E46*G46,"")</f>
        <v/>
      </c>
      <c r="I46" s="5"/>
      <c r="J46" s="6"/>
    </row>
    <row r="47" spans="1:10" x14ac:dyDescent="0.45">
      <c r="A47" s="2" t="s">
        <v>152</v>
      </c>
      <c r="B47" s="3" t="s">
        <v>155</v>
      </c>
      <c r="C47" s="3" t="s">
        <v>156</v>
      </c>
      <c r="D47" s="2" t="s">
        <v>157</v>
      </c>
      <c r="E47" s="2">
        <v>1</v>
      </c>
      <c r="F47" s="3"/>
      <c r="G47" s="4"/>
      <c r="H47" s="4"/>
      <c r="I47" s="2"/>
      <c r="J47" s="3"/>
    </row>
    <row r="48" spans="1:10" ht="22.05" customHeight="1" x14ac:dyDescent="0.45">
      <c r="A48" s="14" t="s">
        <v>159</v>
      </c>
      <c r="B48" s="15"/>
      <c r="C48" s="15"/>
      <c r="D48" s="15"/>
      <c r="E48" s="15"/>
      <c r="F48" s="15"/>
      <c r="G48" s="15"/>
      <c r="H48" s="15"/>
      <c r="I48" s="15"/>
      <c r="J48" s="15"/>
    </row>
    <row r="49" spans="1:10" x14ac:dyDescent="0.45">
      <c r="A49" s="2" t="s">
        <v>112</v>
      </c>
      <c r="B49" s="3" t="s">
        <v>158</v>
      </c>
      <c r="C49" s="3" t="s">
        <v>165</v>
      </c>
      <c r="D49" s="2" t="s">
        <v>14</v>
      </c>
      <c r="E49" s="2" t="s">
        <v>15</v>
      </c>
      <c r="F49" s="3"/>
      <c r="G49" s="4"/>
      <c r="H49" s="4" t="str">
        <f>IF(AND(ISNUMBER(E49),ISNUMBER(G49)),E49*G49,"")</f>
        <v/>
      </c>
      <c r="I49" s="2"/>
      <c r="J49" s="3"/>
    </row>
    <row r="50" spans="1:10" ht="22.05" customHeight="1" x14ac:dyDescent="0.45">
      <c r="A50" s="14" t="s">
        <v>176</v>
      </c>
      <c r="B50" s="15"/>
      <c r="C50" s="15"/>
      <c r="D50" s="15"/>
      <c r="E50" s="15"/>
      <c r="F50" s="15"/>
      <c r="G50" s="15"/>
      <c r="H50" s="15"/>
      <c r="I50" s="15"/>
      <c r="J50" s="15"/>
    </row>
    <row r="51" spans="1:10" x14ac:dyDescent="0.45">
      <c r="A51" s="2" t="s">
        <v>113</v>
      </c>
      <c r="B51" s="3" t="s">
        <v>169</v>
      </c>
      <c r="C51" s="3" t="s">
        <v>160</v>
      </c>
      <c r="D51" s="2" t="s">
        <v>14</v>
      </c>
      <c r="E51" s="2" t="s">
        <v>15</v>
      </c>
      <c r="F51" s="3"/>
      <c r="G51" s="4"/>
      <c r="H51" s="4" t="str">
        <f>IF(AND(ISNUMBER(E51),ISNUMBER(G51)),E51*G51,"")</f>
        <v/>
      </c>
      <c r="I51" s="2"/>
      <c r="J51" s="3"/>
    </row>
    <row r="52" spans="1:10" x14ac:dyDescent="0.45">
      <c r="A52" s="5" t="s">
        <v>114</v>
      </c>
      <c r="B52" s="6" t="s">
        <v>115</v>
      </c>
      <c r="C52" s="6" t="s">
        <v>161</v>
      </c>
      <c r="D52" s="5" t="s">
        <v>14</v>
      </c>
      <c r="E52" s="5" t="s">
        <v>15</v>
      </c>
      <c r="F52" s="6"/>
      <c r="G52" s="7"/>
      <c r="H52" s="7" t="str">
        <f>IF(AND(ISNUMBER(E52),ISNUMBER(G52)),E52*G52,"")</f>
        <v/>
      </c>
      <c r="I52" s="5"/>
      <c r="J52" s="6"/>
    </row>
    <row r="53" spans="1:10" x14ac:dyDescent="0.45">
      <c r="A53" s="2" t="s">
        <v>116</v>
      </c>
      <c r="B53" s="3" t="s">
        <v>117</v>
      </c>
      <c r="C53" s="3" t="s">
        <v>162</v>
      </c>
      <c r="D53" s="2" t="s">
        <v>14</v>
      </c>
      <c r="E53" s="2" t="s">
        <v>15</v>
      </c>
      <c r="F53" s="3"/>
      <c r="G53" s="4"/>
      <c r="H53" s="4" t="str">
        <f>IF(AND(ISNUMBER(E53),ISNUMBER(G53)),E53*G53,"")</f>
        <v/>
      </c>
      <c r="I53" s="2"/>
      <c r="J53" s="3"/>
    </row>
    <row r="54" spans="1:10" x14ac:dyDescent="0.45">
      <c r="A54" s="5" t="s">
        <v>118</v>
      </c>
      <c r="B54" s="6" t="s">
        <v>163</v>
      </c>
      <c r="C54" s="6" t="s">
        <v>164</v>
      </c>
      <c r="D54" s="5" t="s">
        <v>14</v>
      </c>
      <c r="E54" s="5" t="s">
        <v>15</v>
      </c>
      <c r="F54" s="6"/>
      <c r="G54" s="7"/>
      <c r="H54" s="7" t="str">
        <f>IF(AND(ISNUMBER(E54),ISNUMBER(G54)),E54*G54,"")</f>
        <v/>
      </c>
      <c r="I54" s="5"/>
      <c r="J54" s="6"/>
    </row>
    <row r="55" spans="1:10" x14ac:dyDescent="0.45">
      <c r="A55" s="2" t="s">
        <v>119</v>
      </c>
      <c r="B55" s="3" t="s">
        <v>120</v>
      </c>
      <c r="C55" s="3" t="s">
        <v>121</v>
      </c>
      <c r="D55" s="2" t="s">
        <v>14</v>
      </c>
      <c r="E55" s="2" t="s">
        <v>15</v>
      </c>
      <c r="F55" s="3"/>
      <c r="G55" s="4"/>
      <c r="H55" s="4" t="str">
        <f>IF(AND(ISNUMBER(E55),ISNUMBER(G55)),E55*G55,"")</f>
        <v/>
      </c>
      <c r="I55" s="2"/>
      <c r="J55" s="3"/>
    </row>
    <row r="56" spans="1:10" ht="22.05" customHeight="1" x14ac:dyDescent="0.45">
      <c r="A56" s="14" t="s">
        <v>122</v>
      </c>
      <c r="B56" s="15"/>
      <c r="C56" s="15"/>
      <c r="D56" s="15"/>
      <c r="E56" s="15"/>
      <c r="F56" s="15"/>
      <c r="G56" s="15"/>
      <c r="H56" s="15"/>
      <c r="I56" s="15"/>
      <c r="J56" s="15"/>
    </row>
    <row r="57" spans="1:10" x14ac:dyDescent="0.45">
      <c r="A57" s="2" t="s">
        <v>123</v>
      </c>
      <c r="B57" s="3" t="s">
        <v>171</v>
      </c>
      <c r="C57" s="3" t="s">
        <v>124</v>
      </c>
      <c r="D57" s="2" t="s">
        <v>14</v>
      </c>
      <c r="E57" s="2" t="s">
        <v>15</v>
      </c>
      <c r="F57" s="3"/>
      <c r="G57" s="4"/>
      <c r="H57" s="4" t="str">
        <f>IF(AND(ISNUMBER(E57),ISNUMBER(G57)),E57*G57,"")</f>
        <v/>
      </c>
      <c r="I57" s="2"/>
      <c r="J57" s="3"/>
    </row>
    <row r="58" spans="1:10" x14ac:dyDescent="0.45">
      <c r="A58" s="5" t="s">
        <v>125</v>
      </c>
      <c r="B58" s="6" t="s">
        <v>172</v>
      </c>
      <c r="C58" s="6" t="s">
        <v>173</v>
      </c>
      <c r="D58" s="5" t="s">
        <v>48</v>
      </c>
      <c r="E58" s="5" t="s">
        <v>15</v>
      </c>
      <c r="F58" s="6"/>
      <c r="G58" s="7"/>
      <c r="H58" s="7" t="str">
        <f>IF(AND(ISNUMBER(E58),ISNUMBER(G58)),E58*G58,"")</f>
        <v/>
      </c>
      <c r="I58" s="5"/>
      <c r="J58" s="6"/>
    </row>
    <row r="59" spans="1:10" x14ac:dyDescent="0.45">
      <c r="A59" s="2" t="s">
        <v>126</v>
      </c>
      <c r="B59" s="3" t="s">
        <v>127</v>
      </c>
      <c r="C59" s="3" t="s">
        <v>128</v>
      </c>
      <c r="D59" s="2" t="s">
        <v>48</v>
      </c>
      <c r="E59" s="2" t="s">
        <v>15</v>
      </c>
      <c r="F59" s="3"/>
      <c r="G59" s="4"/>
      <c r="H59" s="4" t="str">
        <f>IF(AND(ISNUMBER(E59),ISNUMBER(G59)),E59*G59,"")</f>
        <v/>
      </c>
      <c r="I59" s="2"/>
      <c r="J59" s="3"/>
    </row>
    <row r="60" spans="1:10" x14ac:dyDescent="0.45">
      <c r="A60" s="5" t="s">
        <v>129</v>
      </c>
      <c r="B60" s="6" t="s">
        <v>130</v>
      </c>
      <c r="C60" s="6" t="s">
        <v>131</v>
      </c>
      <c r="D60" s="5" t="s">
        <v>14</v>
      </c>
      <c r="E60" s="5" t="s">
        <v>15</v>
      </c>
      <c r="F60" s="6"/>
      <c r="G60" s="7"/>
      <c r="H60" s="7" t="str">
        <f>IF(AND(ISNUMBER(E60),ISNUMBER(G60)),E60*G60,"")</f>
        <v/>
      </c>
      <c r="I60" s="5"/>
      <c r="J60" s="6"/>
    </row>
    <row r="61" spans="1:10" ht="22.05" customHeight="1" x14ac:dyDescent="0.45">
      <c r="A61" s="14" t="s">
        <v>132</v>
      </c>
      <c r="B61" s="15"/>
      <c r="C61" s="15"/>
      <c r="D61" s="15"/>
      <c r="E61" s="15"/>
      <c r="F61" s="15"/>
      <c r="G61" s="15"/>
      <c r="H61" s="15"/>
      <c r="I61" s="15"/>
      <c r="J61" s="15"/>
    </row>
    <row r="62" spans="1:10" x14ac:dyDescent="0.45">
      <c r="A62" s="2" t="s">
        <v>133</v>
      </c>
      <c r="B62" s="3" t="s">
        <v>134</v>
      </c>
      <c r="C62" s="3" t="s">
        <v>135</v>
      </c>
      <c r="D62" s="2" t="s">
        <v>136</v>
      </c>
      <c r="E62" s="2" t="s">
        <v>15</v>
      </c>
      <c r="F62" s="3"/>
      <c r="G62" s="4"/>
      <c r="H62" s="4" t="str">
        <f>IF(AND(ISNUMBER(E62),ISNUMBER(G62)),E62*G62,"")</f>
        <v/>
      </c>
      <c r="I62" s="2"/>
      <c r="J62" s="3"/>
    </row>
    <row r="63" spans="1:10" ht="22.05" customHeight="1" x14ac:dyDescent="0.45">
      <c r="A63" s="14" t="s">
        <v>174</v>
      </c>
      <c r="B63" s="15"/>
      <c r="C63" s="15"/>
      <c r="D63" s="15"/>
      <c r="E63" s="15"/>
      <c r="F63" s="15"/>
      <c r="G63" s="15"/>
      <c r="H63" s="15"/>
      <c r="I63" s="15"/>
      <c r="J63" s="15"/>
    </row>
    <row r="64" spans="1:10" x14ac:dyDescent="0.45">
      <c r="A64" s="2" t="s">
        <v>137</v>
      </c>
      <c r="B64" s="3" t="s">
        <v>175</v>
      </c>
      <c r="C64" s="3" t="s">
        <v>138</v>
      </c>
      <c r="D64" s="2" t="s">
        <v>139</v>
      </c>
      <c r="E64" s="2">
        <v>1</v>
      </c>
      <c r="F64" s="3"/>
      <c r="G64" s="4"/>
      <c r="H64" s="4" t="str">
        <f>IF(AND(ISNUMBER(E64),ISNUMBER(G64)),E64*G64,"")</f>
        <v/>
      </c>
      <c r="I64" s="2"/>
      <c r="J64" s="3"/>
    </row>
  </sheetData>
  <mergeCells count="16">
    <mergeCell ref="A1:J1"/>
    <mergeCell ref="A31:J31"/>
    <mergeCell ref="A56:J56"/>
    <mergeCell ref="A35:J35"/>
    <mergeCell ref="A29:J29"/>
    <mergeCell ref="A27:J27"/>
    <mergeCell ref="A4:J4"/>
    <mergeCell ref="A48:J48"/>
    <mergeCell ref="A24:J24"/>
    <mergeCell ref="A2:J2"/>
    <mergeCell ref="A63:J63"/>
    <mergeCell ref="A50:J50"/>
    <mergeCell ref="A38:J38"/>
    <mergeCell ref="A61:J61"/>
    <mergeCell ref="A18:J18"/>
    <mergeCell ref="A11:J11"/>
  </mergeCells>
  <dataValidations count="1">
    <dataValidation type="list" allowBlank="1" sqref="I4:I36 I38:I64" xr:uid="{00000000-0002-0000-0000-000000000000}">
      <formula1>"Chưa có,Đã đặt,Đã lắp,Đã nghiệm thu"</formula1>
    </dataValidation>
  </dataValidation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Phan Cung TCDS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2026-06-10T04:22:07Z</dcterms:created>
  <dcterms:modified xsi:type="dcterms:W3CDTF">2026-07-24T10:25:23Z</dcterms:modified>
</cp:coreProperties>
</file>
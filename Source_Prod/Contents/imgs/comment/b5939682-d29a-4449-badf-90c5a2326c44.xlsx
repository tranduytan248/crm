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vIE9zgM8Ee56ZxmbMzYDZPW0wgARAnEh\T2026\VNPT Khanh Hoa\So Cong Thuong\"/>
    </mc:Choice>
  </mc:AlternateContent>
  <xr:revisionPtr revIDLastSave="0" documentId="8_{E6990E7A-DBAE-4B01-B702-2B6E5E365757}" xr6:coauthVersionLast="47" xr6:coauthVersionMax="47" xr10:uidLastSave="{00000000-0000-0000-0000-000000000000}"/>
  <bookViews>
    <workbookView xWindow="28680" yWindow="-135" windowWidth="29040" windowHeight="15720" tabRatio="896" activeTab="1" xr2:uid="{00000000-000D-0000-FFFF-FFFF00000000}"/>
  </bookViews>
  <sheets>
    <sheet name="A.TONG-DU-TOAN" sheetId="34" r:id="rId1"/>
    <sheet name="B. CHI TIET TDT " sheetId="51" r:id="rId2"/>
    <sheet name="1. CP TV (BG)" sheetId="53" r:id="rId3"/>
  </sheets>
  <externalReferences>
    <externalReference r:id="rId4"/>
  </externalReferences>
  <definedNames>
    <definedName name="____________________________a1" localSheetId="2" hidden="1">{"'Sheet1'!$L$16"}</definedName>
    <definedName name="____________________________a1" hidden="1">{"'Sheet1'!$L$16"}</definedName>
    <definedName name="_____________________a1" localSheetId="2" hidden="1">{"'Sheet1'!$L$16"}</definedName>
    <definedName name="_____________________a1" hidden="1">{"'Sheet1'!$L$16"}</definedName>
    <definedName name="____________________a1" localSheetId="2" hidden="1">{"'Sheet1'!$L$16"}</definedName>
    <definedName name="____________________a1" hidden="1">{"'Sheet1'!$L$16"}</definedName>
    <definedName name="____________________Goi8" localSheetId="2" hidden="1">{"'Sheet1'!$L$16"}</definedName>
    <definedName name="____________________Goi8" hidden="1">{"'Sheet1'!$L$16"}</definedName>
    <definedName name="___________________a1" localSheetId="2" hidden="1">{"'Sheet1'!$L$16"}</definedName>
    <definedName name="___________________a1" hidden="1">{"'Sheet1'!$L$16"}</definedName>
    <definedName name="___________________Goi8" localSheetId="2" hidden="1">{"'Sheet1'!$L$16"}</definedName>
    <definedName name="___________________Goi8" hidden="1">{"'Sheet1'!$L$16"}</definedName>
    <definedName name="___________________SCL4" localSheetId="2" hidden="1">{"'Sheet1'!$L$16"}</definedName>
    <definedName name="___________________SCL4" hidden="1">{"'Sheet1'!$L$16"}</definedName>
    <definedName name="__________________a1" localSheetId="2" hidden="1">{"'Sheet1'!$L$16"}</definedName>
    <definedName name="__________________a1" hidden="1">{"'Sheet1'!$L$16"}</definedName>
    <definedName name="__________________Goi8" localSheetId="2" hidden="1">{"'Sheet1'!$L$16"}</definedName>
    <definedName name="__________________Goi8" hidden="1">{"'Sheet1'!$L$16"}</definedName>
    <definedName name="__________________SCL4" localSheetId="2" hidden="1">{"'Sheet1'!$L$16"}</definedName>
    <definedName name="__________________SCL4" hidden="1">{"'Sheet1'!$L$16"}</definedName>
    <definedName name="_________________a1" localSheetId="2" hidden="1">{"'Sheet1'!$L$16"}</definedName>
    <definedName name="_________________a1" hidden="1">{"'Sheet1'!$L$16"}</definedName>
    <definedName name="_________________Goi8" localSheetId="2" hidden="1">{"'Sheet1'!$L$16"}</definedName>
    <definedName name="_________________Goi8" hidden="1">{"'Sheet1'!$L$16"}</definedName>
    <definedName name="_________________SCL4" localSheetId="2" hidden="1">{"'Sheet1'!$L$16"}</definedName>
    <definedName name="_________________SCL4" hidden="1">{"'Sheet1'!$L$16"}</definedName>
    <definedName name="________________a1" localSheetId="2" hidden="1">{"'Sheet1'!$L$16"}</definedName>
    <definedName name="________________a1" hidden="1">{"'Sheet1'!$L$16"}</definedName>
    <definedName name="________________Goi8" localSheetId="2" hidden="1">{"'Sheet1'!$L$16"}</definedName>
    <definedName name="________________Goi8" hidden="1">{"'Sheet1'!$L$16"}</definedName>
    <definedName name="________________SCL4" localSheetId="2" hidden="1">{"'Sheet1'!$L$16"}</definedName>
    <definedName name="________________SCL4" hidden="1">{"'Sheet1'!$L$16"}</definedName>
    <definedName name="_______________a1" localSheetId="2" hidden="1">{"'Sheet1'!$L$16"}</definedName>
    <definedName name="_______________a1" hidden="1">{"'Sheet1'!$L$16"}</definedName>
    <definedName name="_______________Goi8" localSheetId="2" hidden="1">{"'Sheet1'!$L$16"}</definedName>
    <definedName name="_______________Goi8" hidden="1">{"'Sheet1'!$L$16"}</definedName>
    <definedName name="_______________SCL4" localSheetId="2" hidden="1">{"'Sheet1'!$L$16"}</definedName>
    <definedName name="_______________SCL4" hidden="1">{"'Sheet1'!$L$16"}</definedName>
    <definedName name="______________a1" localSheetId="2" hidden="1">{"'Sheet1'!$L$16"}</definedName>
    <definedName name="______________a1" hidden="1">{"'Sheet1'!$L$16"}</definedName>
    <definedName name="______________Goi8" localSheetId="2" hidden="1">{"'Sheet1'!$L$16"}</definedName>
    <definedName name="______________Goi8" hidden="1">{"'Sheet1'!$L$16"}</definedName>
    <definedName name="______________SCL4" localSheetId="2" hidden="1">{"'Sheet1'!$L$16"}</definedName>
    <definedName name="______________SCL4" hidden="1">{"'Sheet1'!$L$16"}</definedName>
    <definedName name="_____________a1" localSheetId="2" hidden="1">{"'Sheet1'!$L$16"}</definedName>
    <definedName name="_____________a1" hidden="1">{"'Sheet1'!$L$16"}</definedName>
    <definedName name="_____________Goi8" localSheetId="2" hidden="1">{"'Sheet1'!$L$16"}</definedName>
    <definedName name="_____________Goi8" hidden="1">{"'Sheet1'!$L$16"}</definedName>
    <definedName name="_____________SCL4" localSheetId="2" hidden="1">{"'Sheet1'!$L$16"}</definedName>
    <definedName name="_____________SCL4" hidden="1">{"'Sheet1'!$L$16"}</definedName>
    <definedName name="____________a1" localSheetId="2" hidden="1">{"'Sheet1'!$L$16"}</definedName>
    <definedName name="____________a1" hidden="1">{"'Sheet1'!$L$16"}</definedName>
    <definedName name="____________Goi8" localSheetId="2" hidden="1">{"'Sheet1'!$L$16"}</definedName>
    <definedName name="____________Goi8" hidden="1">{"'Sheet1'!$L$16"}</definedName>
    <definedName name="____________SCL4" localSheetId="2" hidden="1">{"'Sheet1'!$L$16"}</definedName>
    <definedName name="____________SCL4" hidden="1">{"'Sheet1'!$L$16"}</definedName>
    <definedName name="___________a1" localSheetId="2" hidden="1">{"'Sheet1'!$L$16"}</definedName>
    <definedName name="___________a1" hidden="1">{"'Sheet1'!$L$16"}</definedName>
    <definedName name="___________Goi8" localSheetId="2" hidden="1">{"'Sheet1'!$L$16"}</definedName>
    <definedName name="___________Goi8" hidden="1">{"'Sheet1'!$L$16"}</definedName>
    <definedName name="___________SCL4" localSheetId="2" hidden="1">{"'Sheet1'!$L$16"}</definedName>
    <definedName name="___________SCL4" hidden="1">{"'Sheet1'!$L$16"}</definedName>
    <definedName name="__________a1" localSheetId="2" hidden="1">{"'Sheet1'!$L$16"}</definedName>
    <definedName name="__________a1" hidden="1">{"'Sheet1'!$L$16"}</definedName>
    <definedName name="__________Goi8" localSheetId="2" hidden="1">{"'Sheet1'!$L$16"}</definedName>
    <definedName name="__________Goi8" hidden="1">{"'Sheet1'!$L$16"}</definedName>
    <definedName name="__________pd10" localSheetId="2" hidden="1">{"'Summary'!$A$1:$J$46"}</definedName>
    <definedName name="__________pd10" hidden="1">{"'Summary'!$A$1:$J$46"}</definedName>
    <definedName name="__________PD11" localSheetId="2" hidden="1">{"'Summary'!$A$1:$J$46"}</definedName>
    <definedName name="__________PD11" hidden="1">{"'Summary'!$A$1:$J$46"}</definedName>
    <definedName name="__________SCL4" localSheetId="2" hidden="1">{"'Sheet1'!$L$16"}</definedName>
    <definedName name="__________SCL4" hidden="1">{"'Sheet1'!$L$16"}</definedName>
    <definedName name="__________SD30" localSheetId="2" hidden="1">{"'Summary'!$A$1:$J$46"}</definedName>
    <definedName name="__________SD30" hidden="1">{"'Summary'!$A$1:$J$46"}</definedName>
    <definedName name="_________a1" localSheetId="2" hidden="1">{"'Sheet1'!$L$16"}</definedName>
    <definedName name="_________a1" hidden="1">{"'Sheet1'!$L$16"}</definedName>
    <definedName name="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Goi8" localSheetId="2" hidden="1">{"'Sheet1'!$L$16"}</definedName>
    <definedName name="_________Goi8" hidden="1">{"'Sheet1'!$L$16"}</definedName>
    <definedName name="_________pd10" localSheetId="2" hidden="1">{"'Summary'!$A$1:$J$46"}</definedName>
    <definedName name="_________pd10" hidden="1">{"'Summary'!$A$1:$J$46"}</definedName>
    <definedName name="_________PD11" localSheetId="2" hidden="1">{"'Summary'!$A$1:$J$46"}</definedName>
    <definedName name="_________PD11" hidden="1">{"'Summary'!$A$1:$J$46"}</definedName>
    <definedName name="_________SCL4" localSheetId="2" hidden="1">{"'Sheet1'!$L$16"}</definedName>
    <definedName name="_________SCL4" hidden="1">{"'Sheet1'!$L$16"}</definedName>
    <definedName name="_________SD30" localSheetId="2" hidden="1">{"'Summary'!$A$1:$J$46"}</definedName>
    <definedName name="_________SD30" hidden="1">{"'Summary'!$A$1:$J$46"}</definedName>
    <definedName name="_________tt3" localSheetId="2" hidden="1">{"'Sheet1'!$L$16"}</definedName>
    <definedName name="_________tt3" hidden="1">{"'Sheet1'!$L$16"}</definedName>
    <definedName name="________a1" localSheetId="2" hidden="1">{"'Sheet1'!$L$16"}</definedName>
    <definedName name="________a1" hidden="1">{"'Sheet1'!$L$16"}</definedName>
    <definedName name="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CN1" localSheetId="2" hidden="1">{"'Sheet1'!$L$16"}</definedName>
    <definedName name="________CN1" hidden="1">{"'Sheet1'!$L$16"}</definedName>
    <definedName name="________Goi8" localSheetId="2" hidden="1">{"'Sheet1'!$L$16"}</definedName>
    <definedName name="________Goi8" hidden="1">{"'Sheet1'!$L$16"}</definedName>
    <definedName name="________ld2" localSheetId="2" hidden="1">{"'Sheet1'!$L$16"}</definedName>
    <definedName name="________ld2" hidden="1">{"'Sheet1'!$L$16"}</definedName>
    <definedName name="________pd10" localSheetId="2" hidden="1">{"'Summary'!$A$1:$J$46"}</definedName>
    <definedName name="________pd10" hidden="1">{"'Summary'!$A$1:$J$46"}</definedName>
    <definedName name="________PD11" localSheetId="2" hidden="1">{"'Summary'!$A$1:$J$46"}</definedName>
    <definedName name="________PD11" hidden="1">{"'Summary'!$A$1:$J$46"}</definedName>
    <definedName name="________SCL4" localSheetId="2" hidden="1">{"'Sheet1'!$L$16"}</definedName>
    <definedName name="________SCL4" hidden="1">{"'Sheet1'!$L$16"}</definedName>
    <definedName name="________SD30" localSheetId="2" hidden="1">{"'Summary'!$A$1:$J$46"}</definedName>
    <definedName name="________SD30" hidden="1">{"'Summary'!$A$1:$J$46"}</definedName>
    <definedName name="________tt3" localSheetId="2" hidden="1">{"'Sheet1'!$L$16"}</definedName>
    <definedName name="________tt3" hidden="1">{"'Sheet1'!$L$16"}</definedName>
    <definedName name="_______a1" localSheetId="2" hidden="1">{"'Sheet1'!$L$16"}</definedName>
    <definedName name="_______a1" hidden="1">{"'Sheet1'!$L$16"}</definedName>
    <definedName name="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BG12" localSheetId="2" hidden="1">{"'Sheet1'!$L$16"}</definedName>
    <definedName name="_______BG12" hidden="1">{"'Sheet1'!$L$16"}</definedName>
    <definedName name="_______Goi8" localSheetId="2" hidden="1">{"'Sheet1'!$L$16"}</definedName>
    <definedName name="_______Goi8" hidden="1">{"'Sheet1'!$L$16"}</definedName>
    <definedName name="_______key2" hidden="1">#REF!</definedName>
    <definedName name="_______ld2" localSheetId="2" hidden="1">{"'Sheet1'!$L$16"}</definedName>
    <definedName name="_______ld2" hidden="1">{"'Sheet1'!$L$16"}</definedName>
    <definedName name="_______SCL4" localSheetId="2" hidden="1">{"'Sheet1'!$L$16"}</definedName>
    <definedName name="_______SCL4" hidden="1">{"'Sheet1'!$L$16"}</definedName>
    <definedName name="_______tt3" localSheetId="2" hidden="1">{"'Sheet1'!$L$16"}</definedName>
    <definedName name="_______tt3" hidden="1">{"'Sheet1'!$L$16"}</definedName>
    <definedName name="______a1" localSheetId="2" hidden="1">{"'Sheet1'!$L$16"}</definedName>
    <definedName name="______a1" hidden="1">{"'Sheet1'!$L$16"}</definedName>
    <definedName name="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CN1" localSheetId="2" hidden="1">{"'Sheet1'!$L$16"}</definedName>
    <definedName name="______CN1" hidden="1">{"'Sheet1'!$L$16"}</definedName>
    <definedName name="______Goi8" localSheetId="2" hidden="1">{"'Sheet1'!$L$16"}</definedName>
    <definedName name="______Goi8" hidden="1">{"'Sheet1'!$L$16"}</definedName>
    <definedName name="______ld2" localSheetId="2" hidden="1">{"'Sheet1'!$L$16"}</definedName>
    <definedName name="______ld2" hidden="1">{"'Sheet1'!$L$16"}</definedName>
    <definedName name="______SCL4" localSheetId="2" hidden="1">{"'Sheet1'!$L$16"}</definedName>
    <definedName name="______SCL4" hidden="1">{"'Sheet1'!$L$16"}</definedName>
    <definedName name="______tt3" localSheetId="2" hidden="1">{"'Sheet1'!$L$16"}</definedName>
    <definedName name="______tt3" hidden="1">{"'Sheet1'!$L$16"}</definedName>
    <definedName name="______xlfn.BAHTTEXT" hidden="1">#NAME?</definedName>
    <definedName name="_____a1" localSheetId="2" hidden="1">{"'Sheet1'!$L$16"}</definedName>
    <definedName name="_____a1" hidden="1">{"'Sheet1'!$L$16"}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BG12" localSheetId="2" hidden="1">{"'Sheet1'!$L$16"}</definedName>
    <definedName name="_____BG12" hidden="1">{"'Sheet1'!$L$16"}</definedName>
    <definedName name="_____CN1" localSheetId="2" hidden="1">{"'Sheet1'!$L$16"}</definedName>
    <definedName name="_____CN1" hidden="1">{"'Sheet1'!$L$16"}</definedName>
    <definedName name="_____Goi8" localSheetId="2" hidden="1">{"'Sheet1'!$L$16"}</definedName>
    <definedName name="_____Goi8" hidden="1">{"'Sheet1'!$L$16"}</definedName>
    <definedName name="_____key2" hidden="1">#REF!</definedName>
    <definedName name="_____PA3" localSheetId="2" hidden="1">{"'Sheet1'!$L$16"}</definedName>
    <definedName name="_____PA3" hidden="1">{"'Sheet1'!$L$16"}</definedName>
    <definedName name="_____SCL4" localSheetId="2" hidden="1">{"'Sheet1'!$L$16"}</definedName>
    <definedName name="_____SCL4" hidden="1">{"'Sheet1'!$L$16"}</definedName>
    <definedName name="_____tt3" localSheetId="2" hidden="1">{"'Sheet1'!$L$16"}</definedName>
    <definedName name="_____tt3" hidden="1">{"'Sheet1'!$L$16"}</definedName>
    <definedName name="_____xlfn.BAHTTEXT" hidden="1">#NAME?</definedName>
    <definedName name="____a1" localSheetId="2" hidden="1">{"'Sheet1'!$L$16"}</definedName>
    <definedName name="____a1" hidden="1">{"'Sheet1'!$L$16"}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localSheetId="2" hidden="1">{"'Sheet1'!$L$16"}</definedName>
    <definedName name="____a2" hidden="1">{"'Sheet1'!$L$16"}</definedName>
    <definedName name="____a3" localSheetId="2" hidden="1">{"'Sheet1'!$L$16"}</definedName>
    <definedName name="____a3" hidden="1">{"'Sheet1'!$L$16"}</definedName>
    <definedName name="____BG12" localSheetId="2" hidden="1">{"'Sheet1'!$L$16"}</definedName>
    <definedName name="____BG12" hidden="1">{"'Sheet1'!$L$16"}</definedName>
    <definedName name="____d1500" localSheetId="2" hidden="1">{"'Sheet1'!$L$16"}</definedName>
    <definedName name="____d1500" hidden="1">{"'Sheet1'!$L$16"}</definedName>
    <definedName name="____Goi8" localSheetId="2" hidden="1">{"'Sheet1'!$L$16"}</definedName>
    <definedName name="____Goi8" hidden="1">{"'Sheet1'!$L$16"}</definedName>
    <definedName name="____h1" localSheetId="2" hidden="1">{"'Sheet1'!$L$16"}</definedName>
    <definedName name="____h1" hidden="1">{"'Sheet1'!$L$16"}</definedName>
    <definedName name="____huy1" localSheetId="2" hidden="1">{"'Sheet1'!$L$16"}</definedName>
    <definedName name="____huy1" hidden="1">{"'Sheet1'!$L$16"}</definedName>
    <definedName name="____Lan1" localSheetId="2" hidden="1">{"'Sheet1'!$L$16"}</definedName>
    <definedName name="____Lan1" hidden="1">{"'Sheet1'!$L$16"}</definedName>
    <definedName name="____LAN3" localSheetId="2" hidden="1">{"'Sheet1'!$L$16"}</definedName>
    <definedName name="____LAN3" hidden="1">{"'Sheet1'!$L$16"}</definedName>
    <definedName name="____ld2" localSheetId="2" hidden="1">{"'Sheet1'!$L$16"}</definedName>
    <definedName name="____ld2" hidden="1">{"'Sheet1'!$L$16"}</definedName>
    <definedName name="____NSO2" localSheetId="2" hidden="1">{"'Sheet1'!$L$16"}</definedName>
    <definedName name="____NSO2" hidden="1">{"'Sheet1'!$L$16"}</definedName>
    <definedName name="____PA3" localSheetId="2" hidden="1">{"'Sheet1'!$L$16"}</definedName>
    <definedName name="____PA3" hidden="1">{"'Sheet1'!$L$16"}</definedName>
    <definedName name="____pd10" localSheetId="2" hidden="1">{"'Summary'!$A$1:$J$46"}</definedName>
    <definedName name="____pd10" hidden="1">{"'Summary'!$A$1:$J$46"}</definedName>
    <definedName name="____PD11" localSheetId="2" hidden="1">{"'Summary'!$A$1:$J$46"}</definedName>
    <definedName name="____PD11" hidden="1">{"'Summary'!$A$1:$J$46"}</definedName>
    <definedName name="____pd12" localSheetId="2" hidden="1">{"'Summary'!$A$1:$J$46"}</definedName>
    <definedName name="____pd12" hidden="1">{"'Summary'!$A$1:$J$46"}</definedName>
    <definedName name="____pd9" localSheetId="2" hidden="1">{"'Summary'!$A$1:$J$46"}</definedName>
    <definedName name="____pd9" hidden="1">{"'Summary'!$A$1:$J$46"}</definedName>
    <definedName name="____SCL4" localSheetId="2" hidden="1">{"'Sheet1'!$L$16"}</definedName>
    <definedName name="____SCL4" hidden="1">{"'Sheet1'!$L$16"}</definedName>
    <definedName name="____SD30" localSheetId="2" hidden="1">{"'Summary'!$A$1:$J$46"}</definedName>
    <definedName name="____SD30" hidden="1">{"'Summary'!$A$1:$J$46"}</definedName>
    <definedName name="____sd31" localSheetId="2" hidden="1">{"'Summary'!$A$1:$J$46"}</definedName>
    <definedName name="____sd31" hidden="1">{"'Summary'!$A$1:$J$46"}</definedName>
    <definedName name="____td1" localSheetId="2" hidden="1">{"'Sheet1'!$L$16"}</definedName>
    <definedName name="____td1" hidden="1">{"'Sheet1'!$L$16"}</definedName>
    <definedName name="____TM2" localSheetId="2" hidden="1">{"'Sheet1'!$L$16"}</definedName>
    <definedName name="____TM2" hidden="1">{"'Sheet1'!$L$16"}</definedName>
    <definedName name="____tt3" localSheetId="2" hidden="1">{"'Sheet1'!$L$16"}</definedName>
    <definedName name="____tt3" hidden="1">{"'Sheet1'!$L$16"}</definedName>
    <definedName name="____xlfn.BAHTTEXT" hidden="1">#NAME?</definedName>
    <definedName name="___4__123Graph_Aｸﾞﾗﾌ_2" hidden="1">#REF!</definedName>
    <definedName name="___a1" localSheetId="2" hidden="1">{"'Sheet1'!$L$16"}</definedName>
    <definedName name="___a1" hidden="1">{"'Sheet1'!$L$16"}</definedName>
    <definedName name="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localSheetId="2" hidden="1">{"'Sheet1'!$L$16"}</definedName>
    <definedName name="___a2" hidden="1">{"'Sheet1'!$L$16"}</definedName>
    <definedName name="___a3" localSheetId="2" hidden="1">{"'Sheet1'!$L$16"}</definedName>
    <definedName name="___a3" hidden="1">{"'Sheet1'!$L$16"}</definedName>
    <definedName name="___CN1" localSheetId="2" hidden="1">{"'Sheet1'!$L$16"}</definedName>
    <definedName name="___CN1" hidden="1">{"'Sheet1'!$L$16"}</definedName>
    <definedName name="___d1500" localSheetId="2" hidden="1">{"'Sheet1'!$L$16"}</definedName>
    <definedName name="___d1500" hidden="1">{"'Sheet1'!$L$16"}</definedName>
    <definedName name="___Goi8" localSheetId="2" hidden="1">{"'Sheet1'!$L$16"}</definedName>
    <definedName name="___Goi8" hidden="1">{"'Sheet1'!$L$16"}</definedName>
    <definedName name="___h1" localSheetId="2" hidden="1">{"'Sheet1'!$L$16"}</definedName>
    <definedName name="___h1" hidden="1">{"'Sheet1'!$L$16"}</definedName>
    <definedName name="___key2" hidden="1">#REF!</definedName>
    <definedName name="___Lan1" localSheetId="2" hidden="1">{"'Sheet1'!$L$16"}</definedName>
    <definedName name="___Lan1" hidden="1">{"'Sheet1'!$L$16"}</definedName>
    <definedName name="___LAN3" localSheetId="2" hidden="1">{"'Sheet1'!$L$16"}</definedName>
    <definedName name="___LAN3" hidden="1">{"'Sheet1'!$L$16"}</definedName>
    <definedName name="___ld2" localSheetId="2" hidden="1">{"'Sheet1'!$L$16"}</definedName>
    <definedName name="___ld2" hidden="1">{"'Sheet1'!$L$16"}</definedName>
    <definedName name="___NK5" localSheetId="2" hidden="1">{"'Sheet1'!$L$16"}</definedName>
    <definedName name="___NK5" hidden="1">{"'Sheet1'!$L$16"}</definedName>
    <definedName name="___NSO2" localSheetId="2" hidden="1">{"'Sheet1'!$L$16"}</definedName>
    <definedName name="___NSO2" hidden="1">{"'Sheet1'!$L$16"}</definedName>
    <definedName name="___PA3" localSheetId="2" hidden="1">{"'Sheet1'!$L$16"}</definedName>
    <definedName name="___PA3" hidden="1">{"'Sheet1'!$L$16"}</definedName>
    <definedName name="___pd10" localSheetId="2" hidden="1">{"'Summary'!$A$1:$J$46"}</definedName>
    <definedName name="___pd10" hidden="1">{"'Summary'!$A$1:$J$46"}</definedName>
    <definedName name="___PD11" localSheetId="2" hidden="1">{"'Summary'!$A$1:$J$46"}</definedName>
    <definedName name="___PD11" hidden="1">{"'Summary'!$A$1:$J$46"}</definedName>
    <definedName name="___SCL4" localSheetId="2" hidden="1">{"'Sheet1'!$L$16"}</definedName>
    <definedName name="___SCL4" hidden="1">{"'Sheet1'!$L$16"}</definedName>
    <definedName name="___SD30" localSheetId="2" hidden="1">{"'Summary'!$A$1:$J$46"}</definedName>
    <definedName name="___SD30" hidden="1">{"'Summary'!$A$1:$J$46"}</definedName>
    <definedName name="___td1" localSheetId="2" hidden="1">{"'Sheet1'!$L$16"}</definedName>
    <definedName name="___td1" hidden="1">{"'Sheet1'!$L$16"}</definedName>
    <definedName name="___TK211" localSheetId="2" hidden="1">{"'Sheet1'!$L$16"}</definedName>
    <definedName name="___TK211" hidden="1">{"'Sheet1'!$L$16"}</definedName>
    <definedName name="___TM2" localSheetId="2" hidden="1">{"'Sheet1'!$L$16"}</definedName>
    <definedName name="___TM2" hidden="1">{"'Sheet1'!$L$16"}</definedName>
    <definedName name="___tt3" localSheetId="2" hidden="1">{"'Sheet1'!$L$16"}</definedName>
    <definedName name="___tt3" hidden="1">{"'Sheet1'!$L$16"}</definedName>
    <definedName name="___xlfn.BAHTTEXT" hidden="1">#NAME?</definedName>
    <definedName name="__1__123Graph_Aｸﾞﾗﾌ_1" hidden="1">#REF!</definedName>
    <definedName name="__10__123Graph_Xｸﾞﾗﾌ_5" hidden="1">#REF!</definedName>
    <definedName name="__11__123Graph_Xｸﾞﾗﾌ_1" hidden="1">#REF!</definedName>
    <definedName name="__12__123Graph_Xｸﾞﾗﾌ_2" hidden="1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3__123Graph_Xｸﾞﾗﾌ_3" hidden="1">#REF!</definedName>
    <definedName name="__14__123Graph_Xｸﾞﾗﾌ_4" hidden="1">#REF!</definedName>
    <definedName name="__15__123Graph_Xｸﾞﾗﾌ_5" hidden="1">#REF!</definedName>
    <definedName name="__2__123Graph_Aｸﾞﾗﾌ_2" hidden="1">#REF!</definedName>
    <definedName name="__3__123Graph_Aｸﾞﾗﾌ_1" hidden="1">#REF!</definedName>
    <definedName name="__3__123Graph_Aｸﾞﾗﾌ_3" hidden="1">#REF!</definedName>
    <definedName name="__4__123Graph_Aｸﾞﾗﾌ_2" hidden="1">#REF!</definedName>
    <definedName name="__4__123Graph_Aｸﾞﾗﾌ_4" hidden="1">#REF!</definedName>
    <definedName name="__5__123Graph_Aｸﾞﾗﾌ_3" hidden="1">#REF!</definedName>
    <definedName name="__5__123Graph_Aｸﾞﾗﾌ_5" hidden="1">#REF!</definedName>
    <definedName name="__6__123Graph_Aｸﾞﾗﾌ_4" hidden="1">#REF!</definedName>
    <definedName name="__6__123Graph_Xｸﾞﾗﾌ_1" hidden="1">#REF!</definedName>
    <definedName name="__7__123Graph_Aｸﾞﾗﾌ_5" hidden="1">#REF!</definedName>
    <definedName name="__7__123Graph_Xｸﾞﾗﾌ_2" hidden="1">#REF!</definedName>
    <definedName name="__8__123Graph_Xｸﾞﾗﾌ_3" hidden="1">#REF!</definedName>
    <definedName name="__9__123Graph_Xｸﾞﾗﾌ_4" hidden="1">#REF!</definedName>
    <definedName name="__a1" localSheetId="2" hidden="1">{"'Sheet1'!$L$16"}</definedName>
    <definedName name="__a1" hidden="1">{"'Sheet1'!$L$16"}</definedName>
    <definedName name="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localSheetId="2" hidden="1">{"'Sheet1'!$L$16"}</definedName>
    <definedName name="__a2" hidden="1">{"'Sheet1'!$L$16"}</definedName>
    <definedName name="__a3" localSheetId="2" hidden="1">{"'Sheet1'!$L$16"}</definedName>
    <definedName name="__a3" hidden="1">{"'Sheet1'!$L$16"}</definedName>
    <definedName name="__BG12" localSheetId="2" hidden="1">{"'Sheet1'!$L$16"}</definedName>
    <definedName name="__BG12" hidden="1">{"'Sheet1'!$L$16"}</definedName>
    <definedName name="__BIA4" localSheetId="2" hidden="1">{"'Sheet1'!$L$16"}</definedName>
    <definedName name="__BIA4" hidden="1">{"'Sheet1'!$L$16"}</definedName>
    <definedName name="__CN1" localSheetId="2" hidden="1">{"'Sheet1'!$L$16"}</definedName>
    <definedName name="__CN1" hidden="1">{"'Sheet1'!$L$16"}</definedName>
    <definedName name="__d1500" localSheetId="2" hidden="1">{"'Sheet1'!$L$16"}</definedName>
    <definedName name="__d1500" hidden="1">{"'Sheet1'!$L$16"}</definedName>
    <definedName name="__fff2" localSheetId="2" hidden="1">{"'Sheet1'!$L$16"}</definedName>
    <definedName name="__fff2" hidden="1">{"'Sheet1'!$L$16"}</definedName>
    <definedName name="__Goi8" localSheetId="2" hidden="1">{"'Sheet1'!$L$16"}</definedName>
    <definedName name="__Goi8" hidden="1">{"'Sheet1'!$L$16"}</definedName>
    <definedName name="__h1" localSheetId="2" hidden="1">{"'Sheet1'!$L$16"}</definedName>
    <definedName name="__h1" hidden="1">{"'Sheet1'!$L$16"}</definedName>
    <definedName name="__hu1" localSheetId="2" hidden="1">{"'Sheet1'!$L$16"}</definedName>
    <definedName name="__hu1" hidden="1">{"'Sheet1'!$L$16"}</definedName>
    <definedName name="__hu2" localSheetId="2" hidden="1">{"'Sheet1'!$L$16"}</definedName>
    <definedName name="__hu2" hidden="1">{"'Sheet1'!$L$16"}</definedName>
    <definedName name="__hu5" localSheetId="2" hidden="1">{"'Sheet1'!$L$16"}</definedName>
    <definedName name="__hu5" hidden="1">{"'Sheet1'!$L$16"}</definedName>
    <definedName name="__hu6" localSheetId="2" hidden="1">{"'Sheet1'!$L$16"}</definedName>
    <definedName name="__hu6" hidden="1">{"'Sheet1'!$L$16"}</definedName>
    <definedName name="__IntlFixup" hidden="1">TRUE</definedName>
    <definedName name="__key2" hidden="1">#REF!</definedName>
    <definedName name="__Lan1" localSheetId="2" hidden="1">{"'Sheet1'!$L$16"}</definedName>
    <definedName name="__Lan1" hidden="1">{"'Sheet1'!$L$16"}</definedName>
    <definedName name="__LAN3" localSheetId="2" hidden="1">{"'Sheet1'!$L$16"}</definedName>
    <definedName name="__LAN3" hidden="1">{"'Sheet1'!$L$16"}</definedName>
    <definedName name="__ld2" localSheetId="2" hidden="1">{"'Sheet1'!$L$16"}</definedName>
    <definedName name="__ld2" hidden="1">{"'Sheet1'!$L$16"}</definedName>
    <definedName name="__MCC3" localSheetId="2" hidden="1">{#N/A,#N/A,FALSE,"CCTV"}</definedName>
    <definedName name="__MCC3" hidden="1">{#N/A,#N/A,FALSE,"CCTV"}</definedName>
    <definedName name="__NB29" localSheetId="2" hidden="1">{"'Sheet1'!$L$16"}</definedName>
    <definedName name="__NB29" hidden="1">{"'Sheet1'!$L$16"}</definedName>
    <definedName name="__NSO2" localSheetId="2" hidden="1">{"'Sheet1'!$L$16"}</definedName>
    <definedName name="__NSO2" hidden="1">{"'Sheet1'!$L$16"}</definedName>
    <definedName name="__p01" localSheetId="2" hidden="1">{"'Sheet1'!$L$16"}</definedName>
    <definedName name="__p01" hidden="1">{"'Sheet1'!$L$16"}</definedName>
    <definedName name="__PA3" localSheetId="2" hidden="1">{"'Sheet1'!$L$16"}</definedName>
    <definedName name="__PA3" hidden="1">{"'Sheet1'!$L$16"}</definedName>
    <definedName name="__pd10" localSheetId="2" hidden="1">{"'Summary'!$A$1:$J$46"}</definedName>
    <definedName name="__pd10" hidden="1">{"'Summary'!$A$1:$J$46"}</definedName>
    <definedName name="__PD11" localSheetId="2" hidden="1">{"'Summary'!$A$1:$J$46"}</definedName>
    <definedName name="__PD11" hidden="1">{"'Summary'!$A$1:$J$46"}</definedName>
    <definedName name="__PPP3" localSheetId="2" hidden="1">{#N/A,#N/A,FALSE,"特殊室（ＢＱ表）"}</definedName>
    <definedName name="__PPP3" hidden="1">{#N/A,#N/A,FALSE,"特殊室（ＢＱ表）"}</definedName>
    <definedName name="__PPP33" localSheetId="2" hidden="1">{#N/A,#N/A,FALSE,"特殊室（ＢＱ表）"}</definedName>
    <definedName name="__PPP33" hidden="1">{#N/A,#N/A,FALSE,"特殊室（ＢＱ表）"}</definedName>
    <definedName name="__ppp34" localSheetId="2" hidden="1">{#N/A,#N/A,FALSE,"特殊室（ＢＱ表）"}</definedName>
    <definedName name="__ppp34" hidden="1">{#N/A,#N/A,FALSE,"特殊室（ＢＱ表）"}</definedName>
    <definedName name="__ppp3444" localSheetId="2" hidden="1">{#N/A,#N/A,FALSE,"特殊室（ＢＱ表）"}</definedName>
    <definedName name="__ppp3444" hidden="1">{#N/A,#N/A,FALSE,"特殊室（ＢＱ表）"}</definedName>
    <definedName name="__SCL4" localSheetId="2" hidden="1">{"'Sheet1'!$L$16"}</definedName>
    <definedName name="__SCL4" hidden="1">{"'Sheet1'!$L$16"}</definedName>
    <definedName name="__SD30" localSheetId="2" hidden="1">{"'Summary'!$A$1:$J$46"}</definedName>
    <definedName name="__SD30" hidden="1">{"'Summary'!$A$1:$J$46"}</definedName>
    <definedName name="__T12" localSheetId="2" hidden="1">{"'Sheet1'!$L$16"}</definedName>
    <definedName name="__T12" hidden="1">{"'Sheet1'!$L$16"}</definedName>
    <definedName name="__td1" localSheetId="2" hidden="1">{"'Sheet1'!$L$16"}</definedName>
    <definedName name="__td1" hidden="1">{"'Sheet1'!$L$16"}</definedName>
    <definedName name="__TK211" localSheetId="2" hidden="1">{"'Sheet1'!$L$16"}</definedName>
    <definedName name="__TK211" hidden="1">{"'Sheet1'!$L$16"}</definedName>
    <definedName name="__TM2" localSheetId="2" hidden="1">{"'Sheet1'!$L$16"}</definedName>
    <definedName name="__TM2" hidden="1">{"'Sheet1'!$L$16"}</definedName>
    <definedName name="__tt3" localSheetId="2" hidden="1">{"'Sheet1'!$L$16"}</definedName>
    <definedName name="__tt3" hidden="1">{"'Sheet1'!$L$16"}</definedName>
    <definedName name="__xlcn.WorksheetConnection_App_totalC3J41" hidden="1">#REF!</definedName>
    <definedName name="__xlfn.BAHTTEXT" hidden="1">#NAME?</definedName>
    <definedName name="_1__123Graph_Aｸﾞﾗﾌ_1" hidden="1">#REF!</definedName>
    <definedName name="_10__123Graph_Aｸﾞﾗﾌ_5" hidden="1">#REF!</definedName>
    <definedName name="_10__123Graph_Xｸﾞﾗﾌ_5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Xｸﾞﾗﾌ_1" hidden="1">#REF!</definedName>
    <definedName name="_112__123Graph_Xｸﾞﾗﾌ_5" hidden="1">#REF!</definedName>
    <definedName name="_116__123Graph_Xｸﾞﾗﾌ_1" hidden="1">#REF!</definedName>
    <definedName name="_12__123Graph_A????_2" hidden="1">#REF!</definedName>
    <definedName name="_12__123Graph_Xｸﾞﾗﾌ_1" hidden="1">#REF!</definedName>
    <definedName name="_12__123Graph_Xｸﾞﾗﾌ_2" hidden="1">#REF!</definedName>
    <definedName name="_124__123Graph_Xｸﾞﾗﾌ_2" hidden="1">#REF!</definedName>
    <definedName name="_13__123Graph_Xｸﾞﾗﾌ_3" hidden="1">#REF!</definedName>
    <definedName name="_132__123Graph_Xｸﾞﾗﾌ_3" hidden="1">#REF!</definedName>
    <definedName name="_14__123Graph_Xｸﾞﾗﾌ_2" hidden="1">#REF!</definedName>
    <definedName name="_14__123Graph_Xｸﾞﾗﾌ_4" hidden="1">#REF!</definedName>
    <definedName name="_140__123Graph_Xｸﾞﾗﾌ_4" hidden="1">#REF!</definedName>
    <definedName name="_148__123Graph_Xｸﾞﾗﾌ_5" hidden="1">#REF!</definedName>
    <definedName name="_15__123Graph_Xｸﾞﾗﾌ_5" hidden="1">#REF!</definedName>
    <definedName name="_16__123Graph_Xｸﾞﾗﾌ_3" hidden="1">#REF!</definedName>
    <definedName name="_17__123Graph_A????_1" hidden="1">#REF!</definedName>
    <definedName name="_17__123Graph_A????_3" hidden="1">#REF!</definedName>
    <definedName name="_18__123Graph_Xｸﾞﾗﾌ_4" hidden="1">#REF!</definedName>
    <definedName name="_1P3_" localSheetId="2" hidden="1">{#N/A,#N/A,FALSE,"特殊室（ＢＱ表）"}</definedName>
    <definedName name="_1P3_" hidden="1">{#N/A,#N/A,FALSE,"特殊室（ＢＱ表）"}</definedName>
    <definedName name="_2__123Graph_Aｸﾞﾗﾌ_1" hidden="1">#REF!</definedName>
    <definedName name="_2__123Graph_Aｸﾞﾗﾌ_2" hidden="1">#REF!</definedName>
    <definedName name="_20__123Graph_Xｸﾞﾗﾌ_5" hidden="1">#REF!</definedName>
    <definedName name="_21__123Graph_A????_2" hidden="1">#REF!</definedName>
    <definedName name="_22__123Graph_A????_4" hidden="1">#REF!</definedName>
    <definedName name="_23__123Graph_A????_1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ｸﾞﾗﾌ_1" hidden="1">#REF!</definedName>
    <definedName name="_3__123Graph_Aｸﾞﾗﾌ_3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ｸﾞﾗﾌ_2" hidden="1">#REF!</definedName>
    <definedName name="_4__123Graph_Aｸﾞﾗﾌ_4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ｸﾞﾗﾌ_3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ｸﾞﾗﾌ_3" hidden="1">#REF!</definedName>
    <definedName name="_6__123Graph_Aｸﾞﾗﾌ_4" hidden="1">#REF!</definedName>
    <definedName name="_6__123Graph_Xｸﾞﾗﾌ_1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ｸﾞﾗﾌ_5" hidden="1">#REF!</definedName>
    <definedName name="_7__123Graph_Xｸﾞﾗﾌ_2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ｸﾞﾗﾌ_4" hidden="1">#REF!</definedName>
    <definedName name="_8__123Graph_Xｸﾞﾗﾌ_3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8__123Graph_X????_3" hidden="1">#REF!</definedName>
    <definedName name="_98__123Graph_Xｸﾞﾗﾌ_4" hidden="1">#REF!</definedName>
    <definedName name="_a1" localSheetId="2" hidden="1">{"'Sheet1'!$L$16"}</definedName>
    <definedName name="_a1" hidden="1">{"'Sheet1'!$L$16"}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localSheetId="2" hidden="1">{"'Sheet1'!$L$16"}</definedName>
    <definedName name="_a2" hidden="1">{"'Sheet1'!$L$16"}</definedName>
    <definedName name="_a3" localSheetId="2" hidden="1">{"'Sheet1'!$L$16"}</definedName>
    <definedName name="_a3" hidden="1">{"'Sheet1'!$L$16"}</definedName>
    <definedName name="_A4" localSheetId="2" hidden="1">{"'Sheet1'!$L$16"}</definedName>
    <definedName name="_A4" hidden="1">{"'Sheet1'!$L$16"}</definedName>
    <definedName name="_b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b129" hidden="1">{"Offgrid",#N/A,FALSE,"OFFGRID";"Region",#N/A,FALSE,"REGION";"Offgrid -2",#N/A,FALSE,"OFFGRID";"WTP",#N/A,FALSE,"WTP";"WTP -2",#N/A,FALSE,"WTP";"Project",#N/A,FALSE,"PROJECT";"Summary -2",#N/A,FALSE,"SUMMARY"}</definedName>
    <definedName name="_BG12" localSheetId="2" hidden="1">{"'Sheet1'!$L$16"}</definedName>
    <definedName name="_BG12" hidden="1">{"'Sheet1'!$L$16"}</definedName>
    <definedName name="_BIA4" localSheetId="2" hidden="1">{"'Sheet1'!$L$16"}</definedName>
    <definedName name="_BIA4" hidden="1">{"'Sheet1'!$L$16"}</definedName>
    <definedName name="_Builtin155" hidden="1">#N/A</definedName>
    <definedName name="_CN1" localSheetId="2" hidden="1">{"'Sheet1'!$L$16"}</definedName>
    <definedName name="_CN1" hidden="1">{"'Sheet1'!$L$16"}</definedName>
    <definedName name="_d1500" localSheetId="2" hidden="1">{"'Sheet1'!$L$16"}</definedName>
    <definedName name="_d1500" hidden="1">{"'Sheet1'!$L$16"}</definedName>
    <definedName name="_F1" localSheetId="2" hidden="1">{"'Sheet1'!$L$16"}</definedName>
    <definedName name="_F1" hidden="1">{"'Sheet1'!$L$16"}</definedName>
    <definedName name="_f5" localSheetId="2" hidden="1">{"'Sheet1'!$L$16"}</definedName>
    <definedName name="_f5" hidden="1">{"'Sheet1'!$L$16"}</definedName>
    <definedName name="_Fill" hidden="1">#REF!</definedName>
    <definedName name="_Fill1" hidden="1">#REF!</definedName>
    <definedName name="_FillB" hidden="1">#REF!</definedName>
    <definedName name="_FillVal" hidden="1">#REF!</definedName>
    <definedName name="_xlnm._FilterDatabase" hidden="1">#REF!</definedName>
    <definedName name="_Goi8" localSheetId="2" hidden="1">{"'Sheet1'!$L$16"}</definedName>
    <definedName name="_Goi8" hidden="1">{"'Sheet1'!$L$16"}</definedName>
    <definedName name="_h1" localSheetId="2" hidden="1">{"'Sheet1'!$L$16"}</definedName>
    <definedName name="_h1" hidden="1">{"'Sheet1'!$L$16"}</definedName>
    <definedName name="_hu1" localSheetId="2" hidden="1">{"'Sheet1'!$L$16"}</definedName>
    <definedName name="_hu1" hidden="1">{"'Sheet1'!$L$16"}</definedName>
    <definedName name="_hu2" localSheetId="2" hidden="1">{"'Sheet1'!$L$16"}</definedName>
    <definedName name="_hu2" hidden="1">{"'Sheet1'!$L$16"}</definedName>
    <definedName name="_hu5" localSheetId="2" hidden="1">{"'Sheet1'!$L$16"}</definedName>
    <definedName name="_hu5" hidden="1">{"'Sheet1'!$L$16"}</definedName>
    <definedName name="_hu6" localSheetId="2" hidden="1">{"'Sheet1'!$L$16"}</definedName>
    <definedName name="_hu6" hidden="1">{"'Sheet1'!$L$16"}</definedName>
    <definedName name="_hu7" localSheetId="2" hidden="1">{"'Sheet1'!$L$16"}</definedName>
    <definedName name="_hu7" hidden="1">{"'Sheet1'!$L$16"}</definedName>
    <definedName name="_huy1" localSheetId="2" hidden="1">{"'Sheet1'!$L$16"}</definedName>
    <definedName name="_huy1" hidden="1">{"'Sheet1'!$L$16"}</definedName>
    <definedName name="_Key1" hidden="1">#REF!</definedName>
    <definedName name="_Key2" hidden="1">#REF!</definedName>
    <definedName name="_key3" hidden="1">#REF!</definedName>
    <definedName name="_Lan1" localSheetId="2" hidden="1">{"'Sheet1'!$L$16"}</definedName>
    <definedName name="_Lan1" hidden="1">{"'Sheet1'!$L$16"}</definedName>
    <definedName name="_Lan2" localSheetId="2" hidden="1">{"'Sheet1'!$L$16"}</definedName>
    <definedName name="_Lan2" hidden="1">{"'Sheet1'!$L$16"}</definedName>
    <definedName name="_LAN3" localSheetId="2" hidden="1">{"'Sheet1'!$L$16"}</definedName>
    <definedName name="_LAN3" hidden="1">{"'Sheet1'!$L$16"}</definedName>
    <definedName name="_ld2" localSheetId="2" hidden="1">{"'Sheet1'!$L$16"}</definedName>
    <definedName name="_ld2" hidden="1">{"'Sheet1'!$L$16"}</definedName>
    <definedName name="_lk2" localSheetId="2" hidden="1">{"'Sheet1'!$L$16"}</definedName>
    <definedName name="_lk2" hidden="1">{"'Sheet1'!$L$16"}</definedName>
    <definedName name="_m1233" localSheetId="2" hidden="1">{"'Sheet1'!$L$16"}</definedName>
    <definedName name="_m1233" hidden="1">{"'Sheet1'!$L$16"}</definedName>
    <definedName name="_M2" localSheetId="2" hidden="1">{"'Sheet1'!$L$16"}</definedName>
    <definedName name="_M2" hidden="1">{"'Sheet1'!$L$16"}</definedName>
    <definedName name="_MatInverse_In" hidden="1">#REF!</definedName>
    <definedName name="_MCC3" localSheetId="2" hidden="1">{#N/A,#N/A,FALSE,"CCTV"}</definedName>
    <definedName name="_MCC3" hidden="1">{#N/A,#N/A,FALSE,"CCTV"}</definedName>
    <definedName name="_NB29" localSheetId="2" hidden="1">{"'Sheet1'!$L$16"}</definedName>
    <definedName name="_NB29" hidden="1">{"'Sheet1'!$L$16"}</definedName>
    <definedName name="_NK5" localSheetId="2" hidden="1">{"'Sheet1'!$L$16"}</definedName>
    <definedName name="_NK5" hidden="1">{"'Sheet1'!$L$16"}</definedName>
    <definedName name="_NSO2" localSheetId="2" hidden="1">{"'Sheet1'!$L$16"}</definedName>
    <definedName name="_NSO2" hidden="1">{"'Sheet1'!$L$16"}</definedName>
    <definedName name="_NSO3" localSheetId="2" hidden="1">{"'Sheet1'!$L$16"}</definedName>
    <definedName name="_NSO3" hidden="1">{"'Sheet1'!$L$16"}</definedName>
    <definedName name="_Order1" hidden="1">255</definedName>
    <definedName name="_Order2" hidden="1">255</definedName>
    <definedName name="_p01" localSheetId="2" hidden="1">{"'Sheet1'!$L$16"}</definedName>
    <definedName name="_p01" hidden="1">{"'Sheet1'!$L$16"}</definedName>
    <definedName name="_P3" localSheetId="2" hidden="1">{#N/A,#N/A,FALSE,"特殊室（ＢＱ表）"}</definedName>
    <definedName name="_P3" hidden="1">{#N/A,#N/A,FALSE,"特殊室（ＢＱ表）"}</definedName>
    <definedName name="_PA3" localSheetId="2" hidden="1">{"'Sheet1'!$L$16"}</definedName>
    <definedName name="_PA3" hidden="1">{"'Sheet1'!$L$16"}</definedName>
    <definedName name="_pa4" localSheetId="2" hidden="1">{"'Sheet1'!$L$16"}</definedName>
    <definedName name="_pa4" hidden="1">{"'Sheet1'!$L$16"}</definedName>
    <definedName name="_Parse_Out" hidden="1">#REF!</definedName>
    <definedName name="_pd10" localSheetId="2" hidden="1">{"'Summary'!$A$1:$J$46"}</definedName>
    <definedName name="_pd10" hidden="1">{"'Summary'!$A$1:$J$46"}</definedName>
    <definedName name="_PD11" localSheetId="2" hidden="1">{"'Summary'!$A$1:$J$46"}</definedName>
    <definedName name="_PD11" hidden="1">{"'Summary'!$A$1:$J$46"}</definedName>
    <definedName name="_pd12" localSheetId="2" hidden="1">{"'Summary'!$A$1:$J$46"}</definedName>
    <definedName name="_pd12" hidden="1">{"'Summary'!$A$1:$J$46"}</definedName>
    <definedName name="_pd9" localSheetId="2" hidden="1">{"'Summary'!$A$1:$J$46"}</definedName>
    <definedName name="_pd9" hidden="1">{"'Summary'!$A$1:$J$46"}</definedName>
    <definedName name="_PPP3" localSheetId="2" hidden="1">{#N/A,#N/A,FALSE,"特殊室（ＢＱ表）"}</definedName>
    <definedName name="_PPP3" hidden="1">{#N/A,#N/A,FALSE,"特殊室（ＢＱ表）"}</definedName>
    <definedName name="_PPP33" localSheetId="2" hidden="1">{#N/A,#N/A,FALSE,"特殊室（ＢＱ表）"}</definedName>
    <definedName name="_PPP33" hidden="1">{#N/A,#N/A,FALSE,"特殊室（ＢＱ表）"}</definedName>
    <definedName name="_ppp34" localSheetId="2" hidden="1">{#N/A,#N/A,FALSE,"特殊室（ＢＱ表）"}</definedName>
    <definedName name="_ppp34" hidden="1">{#N/A,#N/A,FALSE,"特殊室（ＢＱ表）"}</definedName>
    <definedName name="_ppp3444" localSheetId="2" hidden="1">{#N/A,#N/A,FALSE,"特殊室（ＢＱ表）"}</definedName>
    <definedName name="_ppp3444" hidden="1">{#N/A,#N/A,FALSE,"特殊室（ＢＱ表）"}</definedName>
    <definedName name="_QLO7" hidden="1">#REF!</definedName>
    <definedName name="_Regression_Int" hidden="1">1</definedName>
    <definedName name="_SCL4" localSheetId="2" hidden="1">{"'Sheet1'!$L$16"}</definedName>
    <definedName name="_SCL4" hidden="1">{"'Sheet1'!$L$16"}</definedName>
    <definedName name="_SD30" localSheetId="2" hidden="1">{"'Summary'!$A$1:$J$46"}</definedName>
    <definedName name="_SD30" hidden="1">{"'Summary'!$A$1:$J$46"}</definedName>
    <definedName name="_sd31" localSheetId="2" hidden="1">{"'Summary'!$A$1:$J$46"}</definedName>
    <definedName name="_sd31" hidden="1">{"'Summary'!$A$1:$J$46"}</definedName>
    <definedName name="_Sort" hidden="1">#REF!</definedName>
    <definedName name="_sORT2" hidden="1">#REF!</definedName>
    <definedName name="_Sortmoi" hidden="1">#REF!</definedName>
    <definedName name="_T01" hidden="1">#REF!</definedName>
    <definedName name="_T10" localSheetId="2" hidden="1">{"'Sheet1'!$L$16"}</definedName>
    <definedName name="_T10" hidden="1">{"'Sheet1'!$L$16"}</definedName>
    <definedName name="_T12" localSheetId="2" hidden="1">{"'Sheet1'!$L$16"}</definedName>
    <definedName name="_T12" hidden="1">{"'Sheet1'!$L$16"}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d1" localSheetId="2" hidden="1">{"'Sheet1'!$L$16"}</definedName>
    <definedName name="_td1" hidden="1">{"'Sheet1'!$L$16"}</definedName>
    <definedName name="_TM2" localSheetId="2" hidden="1">{"'Sheet1'!$L$16"}</definedName>
    <definedName name="_TM2" hidden="1">{"'Sheet1'!$L$16"}</definedName>
    <definedName name="_tt3" localSheetId="2" hidden="1">{"'Sheet1'!$L$16"}</definedName>
    <definedName name="_tt3" hidden="1">{"'Sheet1'!$L$16"}</definedName>
    <definedName name="_v5" localSheetId="2" hidden="1">{"'Sheet1'!$L$16"}</definedName>
    <definedName name="_v5" hidden="1">{"'Sheet1'!$L$16"}</definedName>
    <definedName name="¸df" hidden="1">#REF!</definedName>
    <definedName name="â" localSheetId="2" hidden="1">{"'Sheet1'!$L$16"}</definedName>
    <definedName name="â" hidden="1">{"'Sheet1'!$L$16"}</definedName>
    <definedName name="ằ" localSheetId="2" hidden="1">{"'Sheet1'!$L$16"}</definedName>
    <definedName name="ằ" hidden="1">{"'Sheet1'!$L$16"}</definedName>
    <definedName name="A_SORT" hidden="1">#REF!</definedName>
    <definedName name="a129_xoa" localSheetId="2" hidden="1">{"Offgrid",#N/A,FALSE,"OFFGRID";"Region",#N/A,FALSE,"REGION";"Offgrid -2",#N/A,FALSE,"OFFGRID";"WTP",#N/A,FALSE,"WTP";"WTP -2",#N/A,FALSE,"WTP";"Project",#N/A,FALSE,"PROJECT";"Summary -2",#N/A,FALSE,"SUMMARY"}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localSheetId="2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2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localSheetId="2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localSheetId="2" hidden="1">{"'Sheet1'!$L$16"}</definedName>
    <definedName name="a1moi" hidden="1">{"'Sheet1'!$L$16"}</definedName>
    <definedName name="AAAA" localSheetId="2" hidden="1">{#N/A,#N/A,FALSE,"Chi tiÆt"}</definedName>
    <definedName name="AAAA" hidden="1">{#N/A,#N/A,FALSE,"Chi tiÆt"}</definedName>
    <definedName name="aaaaaa" localSheetId="2" hidden="1">{"Offgrid",#N/A,FALSE,"OFFGRID";"Region",#N/A,FALSE,"REGION";"Offgrid -2",#N/A,FALSE,"OFFGRID";"WTP",#N/A,FALSE,"WTP";"WTP -2",#N/A,FALSE,"WTP";"Project",#N/A,FALSE,"PROJECT";"Summary -2",#N/A,FALSE,"SUMMARY"}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localSheetId="2" hidden="1">{"'Sheet1'!$L$16"}</definedName>
    <definedName name="aaaaaaaaa" hidden="1">{"'Sheet1'!$L$16"}</definedName>
    <definedName name="aaaaaaaaaaaa" localSheetId="2" hidden="1">{#N/A,#N/A,FALSE,"Main"}</definedName>
    <definedName name="aaaaaaaaaaaa" hidden="1">{#N/A,#N/A,FALSE,"Main"}</definedName>
    <definedName name="aavavavav" localSheetId="2" hidden="1">{#N/A,#N/A,FALSE,"Chi tiÆt"}</definedName>
    <definedName name="aavavavav" hidden="1">{#N/A,#N/A,FALSE,"Chi tiÆt"}</definedName>
    <definedName name="ABAB" localSheetId="2" hidden="1">{#N/A,#N/A,FALSE,"CCTV"}</definedName>
    <definedName name="ABAB" hidden="1">{#N/A,#N/A,FALSE,"CCTV"}</definedName>
    <definedName name="abc" hidden="1">#REF!</definedName>
    <definedName name="abcbakca" localSheetId="2" hidden="1">{"'Sheet1'!$L$16"}</definedName>
    <definedName name="abcbakca" hidden="1">{"'Sheet1'!$L$16"}</definedName>
    <definedName name="Access_Button" hidden="1">"InstallationToolData_Sheet1_List1"</definedName>
    <definedName name="AccessDatabase" hidden="1">"C:\My Documents\HAU\Danhsach\List Cpn.mdb"</definedName>
    <definedName name="ACMV" localSheetId="2" hidden="1">{"'Sheet1'!$L$16"}</definedName>
    <definedName name="ACMV" hidden="1">{"'Sheet1'!$L$16"}</definedName>
    <definedName name="adadada" localSheetId="2" hidden="1">{0,0,0,0;0,0,0,0;0,0,0,0;0,0,0,0;0,0,0,0;0,0,0,0;0,0,0,0}</definedName>
    <definedName name="adadada" hidden="1">{0,0,0,0;0,0,0,0;0,0,0,0;0,0,0,0;0,0,0,0;0,0,0,0;0,0,0,0}</definedName>
    <definedName name="ÁDAS" hidden="1">#REF!</definedName>
    <definedName name="ÁDASDFASFA" localSheetId="2" hidden="1">{"'Sheet1'!$L$16"}</definedName>
    <definedName name="ÁDASDFASFA" hidden="1">{"'Sheet1'!$L$16"}</definedName>
    <definedName name="adc" localSheetId="2" hidden="1">{#N/A,#N/A,FALSE,"CCTV"}</definedName>
    <definedName name="adc" hidden="1">{#N/A,#N/A,FALSE,"CCTV"}</definedName>
    <definedName name="ádfad" localSheetId="2" hidden="1">{"Offgrid",#N/A,FALSE,"OFFGRID";"Region",#N/A,FALSE,"REGION";"Offgrid -2",#N/A,FALSE,"OFFGRID";"WTP",#N/A,FALSE,"WTP";"WTP -2",#N/A,FALSE,"WTP";"Project",#N/A,FALSE,"PROJECT";"Summary -2",#N/A,FALSE,"SUMMARY"}</definedName>
    <definedName name="ádfad" hidden="1">{"Offgrid",#N/A,FALSE,"OFFGRID";"Region",#N/A,FALSE,"REGION";"Offgrid -2",#N/A,FALSE,"OFFGRID";"WTP",#N/A,FALSE,"WTP";"WTP -2",#N/A,FALSE,"WTP";"Project",#N/A,FALSE,"PROJECT";"Summary -2",#N/A,FALSE,"SUMMARY"}</definedName>
    <definedName name="adfdghfgjghkhjkjhljkl" localSheetId="2" hidden="1">{"'Sheet1'!$L$16"}</definedName>
    <definedName name="adfdghfgjghkhjkjhljkl" hidden="1">{"'Sheet1'!$L$16"}</definedName>
    <definedName name="adfgdfhgdf" hidden="1">#REF!</definedName>
    <definedName name="adfgfgdfg" hidden="1">#REF!</definedName>
    <definedName name="ấdfsdfasdfsd" localSheetId="2" hidden="1">{"'Sheet1'!$L$16"}</definedName>
    <definedName name="ấdfsdfasdfsd" hidden="1">{"'Sheet1'!$L$16"}</definedName>
    <definedName name="adsadsa" localSheetId="2" hidden="1">{#N/A,#N/A,TRUE,"CS&amp;SS(AG)";#N/A,#N/A,TRUE,"CS(UG)";#N/A,#N/A,TRUE,"CSCL(UG)";#N/A,#N/A,TRUE,"KYNAR";#N/A,#N/A,TRUE,"ALLOY904";#N/A,#N/A,TRUE,"TITANIUM";#N/A,#N/A,TRUE,"STMTRACE"}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âDXAdaD" hidden="1">#REF!</definedName>
    <definedName name="aegwhg.gk" localSheetId="2" hidden="1">{"Offgrid",#N/A,FALSE,"OFFGRID";"Region",#N/A,FALSE,"REGION";"Offgrid -2",#N/A,FALSE,"OFFGRID";"WTP",#N/A,FALSE,"WTP";"WTP -2",#N/A,FALSE,"WTP";"Project",#N/A,FALSE,"PROJECT";"Summary -2",#N/A,FALSE,"SUMMARY"}</definedName>
    <definedName name="aegwhg.gk" hidden="1">{"Offgrid",#N/A,FALSE,"OFFGRID";"Region",#N/A,FALSE,"REGION";"Offgrid -2",#N/A,FALSE,"OFFGRID";"WTP",#N/A,FALSE,"WTP";"WTP -2",#N/A,FALSE,"WTP";"Project",#N/A,FALSE,"PROJECT";"Summary -2",#N/A,FALSE,"SUMMARY"}</definedName>
    <definedName name="aesde" localSheetId="2" hidden="1">{#N/A,#N/A,FALSE,"CCTV"}</definedName>
    <definedName name="aesde" hidden="1">{#N/A,#N/A,FALSE,"CCTV"}</definedName>
    <definedName name="aetg.hgrs" localSheetId="2" hidden="1">{"Offgrid",#N/A,FALSE,"OFFGRID";"Region",#N/A,FALSE,"REGION";"Offgrid -2",#N/A,FALSE,"OFFGRID";"WTP",#N/A,FALSE,"WTP";"WTP -2",#N/A,FALSE,"WTP";"Project",#N/A,FALSE,"PROJECT";"Summary -2",#N/A,FALSE,"SUMMARY"}</definedName>
    <definedName name="aetg.hgrs" hidden="1">{"Offgrid",#N/A,FALSE,"OFFGRID";"Region",#N/A,FALSE,"REGION";"Offgrid -2",#N/A,FALSE,"OFFGRID";"WTP",#N/A,FALSE,"WTP";"WTP -2",#N/A,FALSE,"WTP";"Project",#N/A,FALSE,"PROJECT";"Summary -2",#N/A,FALSE,"SUMMARY"}</definedName>
    <definedName name="âétggâgqgêágghe" localSheetId="2" hidden="1">{#N/A,#N/A,FALSE,"Chi tiÆt"}</definedName>
    <definedName name="âétggâgqgêágghe" hidden="1">{#N/A,#N/A,FALSE,"Chi tiÆt"}</definedName>
    <definedName name="âfA" localSheetId="2" hidden="1">{"'Sheet1'!$L$16"}</definedName>
    <definedName name="âfA" hidden="1">{"'Sheet1'!$L$16"}</definedName>
    <definedName name="afasfsagfas" localSheetId="2" hidden="1">{#N/A,#N/A,FALSE,"Chi tiÆt"}</definedName>
    <definedName name="afasfsagfas" hidden="1">{#N/A,#N/A,FALSE,"Chi tiÆt"}</definedName>
    <definedName name="AFSAf" localSheetId="2" hidden="1">{#N/A,#N/A,TRUE,"Perm";#N/A,#N/A,TRUE,"Architecture"}</definedName>
    <definedName name="AFSAf" hidden="1">{#N/A,#N/A,TRUE,"Perm";#N/A,#N/A,TRUE,"Architecture"}</definedName>
    <definedName name="ăg" localSheetId="2" hidden="1">{"'Sheet1'!$L$16"}</definedName>
    <definedName name="ăg" hidden="1">{"'Sheet1'!$L$16"}</definedName>
    <definedName name="àgdfgfdgdf" hidden="1">#REF!</definedName>
    <definedName name="àgfdgfdf" hidden="1">#REF!</definedName>
    <definedName name="ẩgg" localSheetId="2" hidden="1">{"'Sheet1'!$L$16"}</definedName>
    <definedName name="ẩgg" hidden="1">{"'Sheet1'!$L$16"}</definedName>
    <definedName name="ầgga" localSheetId="2" hidden="1">{"'Sheet1'!$L$16"}</definedName>
    <definedName name="ầgga" hidden="1">{"'Sheet1'!$L$16"}</definedName>
    <definedName name="amoi" localSheetId="2" hidden="1">{"'Sheet1'!$L$16"}</definedName>
    <definedName name="amoi" hidden="1">{"'Sheet1'!$L$16"}</definedName>
    <definedName name="anhm" localSheetId="2" hidden="1">{#N/A,#N/A,FALSE,"Sheet1"}</definedName>
    <definedName name="anhm" hidden="1">{#N/A,#N/A,FALSE,"Sheet1"}</definedName>
    <definedName name="anhmo" localSheetId="2" hidden="1">{"'Sheet1'!$L$16"}</definedName>
    <definedName name="anhmo" hidden="1">{"'Sheet1'!$L$16"}</definedName>
    <definedName name="anscount" hidden="1">2</definedName>
    <definedName name="Antoan" localSheetId="2" hidden="1">{"'Sheet1'!$L$16"}</definedName>
    <definedName name="Antoan" hidden="1">{"'Sheet1'!$L$16"}</definedName>
    <definedName name="aqaaaaa" localSheetId="2" hidden="1">{#N/A,#N/A,TRUE,"Perm";#N/A,#N/A,TRUE,"Architecture"}</definedName>
    <definedName name="aqaaaaa" hidden="1">{#N/A,#N/A,TRUE,"Perm";#N/A,#N/A,TRUE,"Architecture"}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f" localSheetId="2" hidden="1">{#N/A,#N/A,FALSE,"Main"}</definedName>
    <definedName name="asdf" hidden="1">{#N/A,#N/A,FALSE,"Main"}</definedName>
    <definedName name="asdfa" hidden="1">#REF!</definedName>
    <definedName name="asdffgggh" localSheetId="2" hidden="1">{"'Sheet1'!$L$16"}</definedName>
    <definedName name="asdffgggh" hidden="1">{"'Sheet1'!$L$16"}</definedName>
    <definedName name="asf" localSheetId="2" hidden="1">{"'Sheet1'!$L$16"}</definedName>
    <definedName name="asf" hidden="1">{"'Sheet1'!$L$16"}</definedName>
    <definedName name="ASFa" localSheetId="2" hidden="1">{#N/A,#N/A,TRUE,"Perm";#N/A,#N/A,TRUE,"Architecture"}</definedName>
    <definedName name="ASFa" hidden="1">{#N/A,#N/A,TRUE,"Perm";#N/A,#N/A,TRUE,"Architecture"}</definedName>
    <definedName name="asss" localSheetId="2" hidden="1">{"'Sheet1'!$L$16"}</definedName>
    <definedName name="asss" hidden="1">{"'Sheet1'!$L$16"}</definedName>
    <definedName name="asssss" localSheetId="2" hidden="1">{"'Sheet1'!$L$16"}</definedName>
    <definedName name="asssss" hidden="1">{"'Sheet1'!$L$16"}</definedName>
    <definedName name="ATGT" localSheetId="2" hidden="1">{"'Sheet1'!$L$16"}</definedName>
    <definedName name="ATGT" hidden="1">{"'Sheet1'!$L$16"}</definedName>
    <definedName name="AU" localSheetId="2" hidden="1">{"'Sheet1'!$L$16"}</definedName>
    <definedName name="AU" hidden="1">{"'Sheet1'!$L$16"}</definedName>
    <definedName name="avađsf" localSheetId="2" hidden="1">{0,#N/A,FALSE,0;0,#N/A,FALSE,0;0,#N/A,FALSE,0;0,#N/A,FALSE,0;0,#N/A,FALSE,0;0,#N/A,FALSE,0;0,#N/A,FALSE,0}</definedName>
    <definedName name="avađsf" hidden="1">{0,#N/A,FALSE,0;0,#N/A,FALSE,0;0,#N/A,FALSE,0;0,#N/A,FALSE,0;0,#N/A,FALSE,0;0,#N/A,FALSE,0;0,#N/A,FALSE,0}</definedName>
    <definedName name="avavgveqvaq" localSheetId="2" hidden="1">{"Offgrid",#N/A,FALSE,"OFFGRID";"Region",#N/A,FALSE,"REGION";"Offgrid -2",#N/A,FALSE,"OFFGRID";"WTP",#N/A,FALSE,"WTP";"WTP -2",#N/A,FALSE,"WTP";"Project",#N/A,FALSE,"PROJECT";"Summary -2",#N/A,FALSE,"SUMMARY"}</definedName>
    <definedName name="avavgveqvaq" hidden="1">{"Offgrid",#N/A,FALSE,"OFFGRID";"Region",#N/A,FALSE,"REGION";"Offgrid -2",#N/A,FALSE,"OFFGRID";"WTP",#N/A,FALSE,"WTP";"WTP -2",#N/A,FALSE,"WTP";"Project",#N/A,FALSE,"PROJECT";"Summary -2",#N/A,FALSE,"SUMMARY"}</definedName>
    <definedName name="b14b" localSheetId="2" hidden="1">{"'Sheet1'!$L$16"}</definedName>
    <definedName name="b14b" hidden="1">{"'Sheet1'!$L$16"}</definedName>
    <definedName name="b14b1" localSheetId="2" hidden="1">{"'Sheet1'!$L$16"}</definedName>
    <definedName name="b14b1" hidden="1">{"'Sheet1'!$L$16"}</definedName>
    <definedName name="Bang7_THKL_HCM" localSheetId="2" hidden="1">{"'Sheet1'!$L$16"}</definedName>
    <definedName name="Bang7_THKL_HCM" hidden="1">{"'Sheet1'!$L$16"}</definedName>
    <definedName name="banQL" localSheetId="2" hidden="1">{"'Sheet1'!$L$16"}</definedName>
    <definedName name="banQL" hidden="1">{"'Sheet1'!$L$16"}</definedName>
    <definedName name="Bao" localSheetId="2" hidden="1">{#N/A,#N/A,FALSE,"Chi tiÆt"}</definedName>
    <definedName name="Bao" hidden="1">{#N/A,#N/A,FALSE,"Chi tiÆt"}</definedName>
    <definedName name="bb" localSheetId="2" hidden="1">{#N/A,#N/A,TRUE,"Config1";#N/A,#N/A,TRUE,"Config2";#N/A,#N/A,TRUE,"Config3";#N/A,#N/A,TRUE,"Config4";#N/A,#N/A,TRUE,"Config5";#N/A,#N/A,TRUE,"Config6";#N/A,#N/A,TRUE,"Config7"}</definedName>
    <definedName name="bb" hidden="1">{#N/A,#N/A,TRUE,"Config1";#N/A,#N/A,TRUE,"Config2";#N/A,#N/A,TRUE,"Config3";#N/A,#N/A,TRUE,"Config4";#N/A,#N/A,TRUE,"Config5";#N/A,#N/A,TRUE,"Config6";#N/A,#N/A,TRUE,"Config7"}</definedName>
    <definedName name="bbb" localSheetId="2" hidden="1">{"'Sheet1'!$L$16"}</definedName>
    <definedName name="bbb" hidden="1">{"'Sheet1'!$L$16"}</definedName>
    <definedName name="bbbb" localSheetId="2" hidden="1">{"Offgrid",#N/A,FALSE,"OFFGRID";"Region",#N/A,FALSE,"REGION";"Offgrid -2",#N/A,FALSE,"OFFGRID";"WTP",#N/A,FALSE,"WTP";"WTP -2",#N/A,FALSE,"WTP";"Project",#N/A,FALSE,"PROJECT";"Summary -2",#N/A,FALSE,"SUMMARY"}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BBBG" localSheetId="2" hidden="1">{"'Sheet1'!$L$16"}</definedName>
    <definedName name="BBBG" hidden="1">{"'Sheet1'!$L$16"}</definedName>
    <definedName name="bg" localSheetId="2" hidden="1">{"'Sheet1'!$L$16"}</definedName>
    <definedName name="bg" hidden="1">{"'Sheet1'!$L$16"}</definedName>
    <definedName name="BG_Del" hidden="1">15</definedName>
    <definedName name="BG_Ins" hidden="1">4</definedName>
    <definedName name="BG_Mod" hidden="1">6</definedName>
    <definedName name="bghui" localSheetId="2" hidden="1">{"'Sheet1'!$L$16"}</definedName>
    <definedName name="bghui" hidden="1">{"'Sheet1'!$L$16"}</definedName>
    <definedName name="Bgiang" localSheetId="2" hidden="1">{"'Sheet1'!$L$16"}</definedName>
    <definedName name="Bgiang" hidden="1">{"'Sheet1'!$L$16"}</definedName>
    <definedName name="BHXH" localSheetId="2" hidden="1">{"'Sheet1'!$L$16"}</definedName>
    <definedName name="BHXH" hidden="1">{"'Sheet1'!$L$16"}</definedName>
    <definedName name="BIGC" localSheetId="2" hidden="1">{#N/A,#N/A,TRUE,"Str.";#N/A,#N/A,TRUE,"Steel &amp; Roof";#N/A,#N/A,TRUE,"Arc.";#N/A,#N/A,TRUE,"Preliminary";#N/A,#N/A,TRUE,"Sum_Prelim"}</definedName>
    <definedName name="BIGC" hidden="1">{#N/A,#N/A,TRUE,"Str.";#N/A,#N/A,TRUE,"Steel &amp; Roof";#N/A,#N/A,TRUE,"Arc.";#N/A,#N/A,TRUE,"Preliminary";#N/A,#N/A,TRUE,"Sum_Prelim"}</definedName>
    <definedName name="BMS" localSheetId="2" hidden="1">{"'Sheet1'!$L$16"}</definedName>
    <definedName name="BMS" hidden="1">{"'Sheet1'!$L$16"}</definedName>
    <definedName name="bosung" localSheetId="2" hidden="1">{"'Sheet1'!$L$16"}</definedName>
    <definedName name="bosung" hidden="1">{"'Sheet1'!$L$16"}</definedName>
    <definedName name="BTH" localSheetId="2" hidden="1">{"'Sheet1'!$L$16"}</definedName>
    <definedName name="BTH" hidden="1">{"'Sheet1'!$L$16"}</definedName>
    <definedName name="btl" localSheetId="2" hidden="1">{"'Sheet1'!$L$16"}</definedName>
    <definedName name="btl" hidden="1">{"'Sheet1'!$L$16"}</definedName>
    <definedName name="Cable" localSheetId="2" hidden="1">{"'Sheet1'!$L$16"}</definedName>
    <definedName name="Cable" hidden="1">{"'Sheet1'!$L$16"}</definedName>
    <definedName name="Cable2" localSheetId="2" hidden="1">{"'Sheet1'!$L$16"}</definedName>
    <definedName name="Cable2" hidden="1">{"'Sheet1'!$L$16"}</definedName>
    <definedName name="CALBE" localSheetId="2" hidden="1">{"'Sheet1'!$L$16"}</definedName>
    <definedName name="CALBE" hidden="1">{"'Sheet1'!$L$16"}</definedName>
    <definedName name="cald" localSheetId="2" hidden="1">{#N/A,#N/A,FALSE,"CCTV"}</definedName>
    <definedName name="cald" hidden="1">{#N/A,#N/A,FALSE,"CCTV"}</definedName>
    <definedName name="came" localSheetId="2" hidden="1">{"'Sheet1'!$L$16"}</definedName>
    <definedName name="came" hidden="1">{"'Sheet1'!$L$16"}</definedName>
    <definedName name="CANON" localSheetId="2" hidden="1">{"'Sheet1'!$L$16"}</definedName>
    <definedName name="CANON" hidden="1">{"'Sheet1'!$L$16"}</definedName>
    <definedName name="CARL" localSheetId="2" hidden="1">{#N/A,#N/A,FALSE,"CCTV"}</definedName>
    <definedName name="CARL" hidden="1">{#N/A,#N/A,FALSE,"CCTV"}</definedName>
    <definedName name="CARL1" localSheetId="2" hidden="1">{#N/A,#N/A,FALSE,"CCTV"}</definedName>
    <definedName name="CARL1" hidden="1">{#N/A,#N/A,FALSE,"CCTV"}</definedName>
    <definedName name="CARL2" localSheetId="2" hidden="1">{#N/A,#N/A,FALSE,"CCTV"}</definedName>
    <definedName name="CARL2" hidden="1">{#N/A,#N/A,FALSE,"CCTV"}</definedName>
    <definedName name="cbnnbn" localSheetId="2" hidden="1">{"'Sheet1'!$L$16"}</definedName>
    <definedName name="cbnnbn" hidden="1">{"'Sheet1'!$L$16"}</definedName>
    <definedName name="ccc" localSheetId="2" hidden="1">{"'Sheet1'!$L$16"}</definedName>
    <definedName name="ccc" hidden="1">{"'Sheet1'!$L$16"}</definedName>
    <definedName name="CF1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g" localSheetId="2" hidden="1">{"'Sheet1'!$L$16"}</definedName>
    <definedName name="cg" hidden="1">{"'Sheet1'!$L$16"}</definedName>
    <definedName name="chietchai2" localSheetId="2" hidden="1">{"'Sheet1'!$L$16"}</definedName>
    <definedName name="chietchai2" hidden="1">{"'Sheet1'!$L$16"}</definedName>
    <definedName name="chilk" localSheetId="2" hidden="1">{"'Sheet1'!$L$16"}</definedName>
    <definedName name="chilk" hidden="1">{"'Sheet1'!$L$16"}</definedName>
    <definedName name="chitiet3" localSheetId="2" hidden="1">{"'Sheet1'!$L$16"}</definedName>
    <definedName name="chitiet3" hidden="1">{"'Sheet1'!$L$16"}</definedName>
    <definedName name="chitietbgiang2" localSheetId="2" hidden="1">{"'Sheet1'!$L$16"}</definedName>
    <definedName name="chitietbgiang2" hidden="1">{"'Sheet1'!$L$16"}</definedName>
    <definedName name="chl" localSheetId="2" hidden="1">{"'Sheet1'!$L$16"}</definedName>
    <definedName name="chl" hidden="1">{"'Sheet1'!$L$16"}</definedName>
    <definedName name="chuyen" localSheetId="2" hidden="1">{"'Sheet1'!$L$16"}</definedName>
    <definedName name="chuyen" hidden="1">{"'Sheet1'!$L$16"}</definedName>
    <definedName name="ci" localSheetId="2" hidden="1">{"'Sheet1'!$L$16"}</definedName>
    <definedName name="ci" hidden="1">{"'Sheet1'!$L$16"}</definedName>
    <definedName name="cm" localSheetId="2" hidden="1">{"'Sheet1'!$L$16"}</definedName>
    <definedName name="cm" hidden="1">{"'Sheet1'!$L$16"}</definedName>
    <definedName name="Code" hidden="1">#REF!</definedName>
    <definedName name="column" hidden="1">#REF!</definedName>
    <definedName name="congGT" localSheetId="2" hidden="1">{"'Sheet1'!$L$16"}</definedName>
    <definedName name="congGT" hidden="1">{"'Sheet1'!$L$16"}</definedName>
    <definedName name="CONGPA1" localSheetId="2" hidden="1">{"'Sheet1'!$L$16"}</definedName>
    <definedName name="CONGPA1" hidden="1">{"'Sheet1'!$L$16"}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otycap" localSheetId="2" hidden="1">{"'Sheet1'!$L$16"}</definedName>
    <definedName name="cotycap" hidden="1">{"'Sheet1'!$L$16"}</definedName>
    <definedName name="CP" hidden="1">#REF!</definedName>
    <definedName name="CPM" localSheetId="2" hidden="1">{#N/A,#N/A,FALSE,"Chi tiÆt"}</definedName>
    <definedName name="CPM" hidden="1">{#N/A,#N/A,FALSE,"Chi tiÆt"}</definedName>
    <definedName name="ctbbt" localSheetId="2" hidden="1">{"'Sheet1'!$L$16"}</definedName>
    <definedName name="ctbbt" hidden="1">{"'Sheet1'!$L$16"}</definedName>
    <definedName name="CTCT1" localSheetId="2" hidden="1">{"'Sheet1'!$L$16"}</definedName>
    <definedName name="CTCT1" hidden="1">{"'Sheet1'!$L$16"}</definedName>
    <definedName name="ctieu" localSheetId="2" hidden="1">{"'Sheet1'!$L$16"}</definedName>
    <definedName name="ctieu" hidden="1">{"'Sheet1'!$L$16"}</definedName>
    <definedName name="CTsu" localSheetId="2" hidden="1">{"'Sheet1'!$L$16"}</definedName>
    <definedName name="CTsu" hidden="1">{"'Sheet1'!$L$16"}</definedName>
    <definedName name="cung" localSheetId="2" hidden="1">{"'Sheet1'!$L$16"}</definedName>
    <definedName name="cung" hidden="1">{"'Sheet1'!$L$16"}</definedName>
    <definedName name="d" localSheetId="2" hidden="1">{"'Sheet1'!$L$16"}</definedName>
    <definedName name="d" hidden="1">{"'Sheet1'!$L$16"}</definedName>
    <definedName name="đ" hidden="1">#REF!</definedName>
    <definedName name="DAD" localSheetId="2" hidden="1">{#N/A,#N/A,FALSE,"Chi tiÆt"}</definedName>
    <definedName name="DAD" hidden="1">{#N/A,#N/A,FALSE,"Chi tiÆt"}</definedName>
    <definedName name="dads" localSheetId="2" hidden="1">{"'Sheet1'!$L$16"}</definedName>
    <definedName name="dads" hidden="1">{"'Sheet1'!$L$16"}</definedName>
    <definedName name="daDSD" localSheetId="2" hidden="1">{"'Sheet1'!$L$16"}</definedName>
    <definedName name="daDSD" hidden="1">{"'Sheet1'!$L$16"}</definedName>
    <definedName name="daf" localSheetId="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a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ao" localSheetId="2" hidden="1">{"'Sheet1'!$L$16"}</definedName>
    <definedName name="dao" hidden="1">{"'Sheet1'!$L$16"}</definedName>
    <definedName name="daodapong" localSheetId="2" hidden="1">{"'Sheet1'!$L$16"}</definedName>
    <definedName name="daodapong" hidden="1">{"'Sheet1'!$L$16"}</definedName>
    <definedName name="dase" localSheetId="2" hidden="1">{#N/A,#N/A,FALSE,"CCTV"}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utu" localSheetId="2" hidden="1">{"'Sheet1'!$L$16"}</definedName>
    <definedName name="Dautu" hidden="1">{"'Sheet1'!$L$16"}</definedName>
    <definedName name="dbdjsjs" hidden="1">#REF!</definedName>
    <definedName name="ddamlot" localSheetId="2" hidden="1">{"'Sheet1'!$L$16"}</definedName>
    <definedName name="ddamlot" hidden="1">{"'Sheet1'!$L$16"}</definedName>
    <definedName name="ddc" localSheetId="2" hidden="1">{"'Sheet1'!$L$16"}</definedName>
    <definedName name="ddc" hidden="1">{"'Sheet1'!$L$16"}</definedName>
    <definedName name="ddd" localSheetId="2" hidden="1">{"'Sheet1'!$L$16"}</definedName>
    <definedName name="ddd" hidden="1">{"'Sheet1'!$L$16"}</definedName>
    <definedName name="dddd" localSheetId="2" hidden="1">{"'Sheet1'!$L$16"}</definedName>
    <definedName name="dddd" hidden="1">{"'Sheet1'!$L$16"}</definedName>
    <definedName name="dddddd" localSheetId="2" hidden="1">{"Offgrid",#N/A,FALSE,"OFFGRID";"Region",#N/A,FALSE,"REGION";"Offgrid -2",#N/A,FALSE,"OFFGRID";"WTP",#N/A,FALSE,"WTP";"WTP -2",#N/A,FALSE,"WTP";"Project",#N/A,FALSE,"PROJECT";"Summary -2",#N/A,FALSE,"SUMMARY"}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e" hidden="1">#REF!</definedName>
    <definedName name="dec" localSheetId="2" hidden="1">{"Offgrid",#N/A,FALSE,"OFFGRID";"Region",#N/A,FALSE,"REGION";"Offgrid -2",#N/A,FALSE,"OFFGRID";"WTP",#N/A,FALSE,"WTP";"WTP -2",#N/A,FALSE,"WTP";"Project",#N/A,FALSE,"PROJECT";"Summary -2",#N/A,FALSE,"SUMMARY"}</definedName>
    <definedName name="dec" hidden="1">{"Offgrid",#N/A,FALSE,"OFFGRID";"Region",#N/A,FALSE,"REGION";"Offgrid -2",#N/A,FALSE,"OFFGRID";"WTP",#N/A,FALSE,"WTP";"WTP -2",#N/A,FALSE,"WTP";"Project",#N/A,FALSE,"PROJECT";"Summary -2",#N/A,FALSE,"SUMMARY"}</definedName>
    <definedName name="deedfsd" localSheetId="2" hidden="1">{"'Sheet1'!$L$16"}</definedName>
    <definedName name="deedfsd" hidden="1">{"'Sheet1'!$L$16"}</definedName>
    <definedName name="DenDK" localSheetId="2" hidden="1">{"'Sheet1'!$L$16"}</definedName>
    <definedName name="DenDK" hidden="1">{"'Sheet1'!$L$16"}</definedName>
    <definedName name="deviation" localSheetId="2" hidden="1">{#N/A,#N/A,FALSE,"CCTV"}</definedName>
    <definedName name="deviation" hidden="1">{#N/A,#N/A,FALSE,"CCTV"}</definedName>
    <definedName name="DFADF" localSheetId="2" hidden="1">{"'Sheet1'!$L$16"}</definedName>
    <definedName name="DFADF" hidden="1">{"'Sheet1'!$L$16"}</definedName>
    <definedName name="dfadsfsdf" localSheetId="2" hidden="1">{"'Sheet1'!$L$16"}</definedName>
    <definedName name="dfadsfsdf" hidden="1">{"'Sheet1'!$L$16"}</definedName>
    <definedName name="dfasdfsdfsdf" localSheetId="2" hidden="1">{"'Sheet1'!$L$16"}</definedName>
    <definedName name="dfasdfsdfsdf" hidden="1">{"'Sheet1'!$L$16"}</definedName>
    <definedName name="đfbgdgă" localSheetId="2" hidden="1">{"Offgrid",#N/A,FALSE,"OFFGRID";"Region",#N/A,FALSE,"REGION";"Offgrid -2",#N/A,FALSE,"OFFGRID";"WTP",#N/A,FALSE,"WTP";"WTP -2",#N/A,FALSE,"WTP";"Project",#N/A,FALSE,"PROJECT";"Summary -2",#N/A,FALSE,"SUMMARY"}</definedName>
    <definedName name="đfbgdgă" hidden="1">{"Offgrid",#N/A,FALSE,"OFFGRID";"Region",#N/A,FALSE,"REGION";"Offgrid -2",#N/A,FALSE,"OFFGRID";"WTP",#N/A,FALSE,"WTP";"WTP -2",#N/A,FALSE,"WTP";"Project",#N/A,FALSE,"PROJECT";"Summary -2",#N/A,FALSE,"SUMMARY"}</definedName>
    <definedName name="dfdfd" localSheetId="2" hidden="1">{"'Sheet1'!$L$16"}</definedName>
    <definedName name="dfdfd" hidden="1">{"'Sheet1'!$L$16"}</definedName>
    <definedName name="đfdfd" hidden="1">#REF!</definedName>
    <definedName name="DFDFGE" localSheetId="2" hidden="1">{#N/A,#N/A,FALSE,"Chi tiÆt"}</definedName>
    <definedName name="DFDFGE" hidden="1">{#N/A,#N/A,FALSE,"Chi tiÆt"}</definedName>
    <definedName name="dfdsfdsf" hidden="1">#REF!</definedName>
    <definedName name="dffe" localSheetId="2" hidden="1">{#N/A,#N/A,FALSE,"Main"}</definedName>
    <definedName name="dffe" hidden="1">{#N/A,#N/A,FALSE,"Main"}</definedName>
    <definedName name="dfgdfg" localSheetId="2" hidden="1">{"Offgrid",#N/A,FALSE,"OFFGRID";"Region",#N/A,FALSE,"REGION";"Offgrid -2",#N/A,FALSE,"OFFGRID";"WTP",#N/A,FALSE,"WTP";"WTP -2",#N/A,FALSE,"WTP";"Project",#N/A,FALSE,"PROJECT";"Summary -2",#N/A,FALSE,"SUMMARY"}</definedName>
    <definedName name="dfgdfg" hidden="1">{"Offgrid",#N/A,FALSE,"OFFGRID";"Region",#N/A,FALSE,"REGION";"Offgrid -2",#N/A,FALSE,"OFFGRID";"WTP",#N/A,FALSE,"WTP";"WTP -2",#N/A,FALSE,"WTP";"Project",#N/A,FALSE,"PROJECT";"Summary -2",#N/A,FALSE,"SUMMARY"}</definedName>
    <definedName name="dfggg" localSheetId="2" hidden="1">{"'Sheet1'!$L$16"}</definedName>
    <definedName name="dfggg" hidden="1">{"'Sheet1'!$L$16"}</definedName>
    <definedName name="dfgh" localSheetId="2" hidden="1">{#N/A,#N/A,FALSE,"Chi tiÆt"}</definedName>
    <definedName name="dfgh" hidden="1">{#N/A,#N/A,FALSE,"Chi tiÆt"}</definedName>
    <definedName name="dfgmsdkg" hidden="1">#REF!</definedName>
    <definedName name="dfgzxdf" localSheetId="2" hidden="1">{0,#N/A,FALSE,0;0,#N/A,FALSE,0;0,#N/A,FALSE,0;0,#N/A,FALSE,0;0,#N/A,FALSE,0;0,#N/A,FALSE,0;0,#N/A,FALSE,0}</definedName>
    <definedName name="dfgzxdf" hidden="1">{0,#N/A,FALSE,0;0,#N/A,FALSE,0;0,#N/A,FALSE,0;0,#N/A,FALSE,0;0,#N/A,FALSE,0;0,#N/A,FALSE,0;0,#N/A,FALSE,0}</definedName>
    <definedName name="dfh" localSheetId="2" hidden="1">{"'Sheet1'!$L$16"}</definedName>
    <definedName name="dfh" hidden="1">{"'Sheet1'!$L$16"}</definedName>
    <definedName name="dfhp" localSheetId="2" hidden="1">{"'Sheet1'!$L$16"}</definedName>
    <definedName name="dfhp" hidden="1">{"'Sheet1'!$L$16"}</definedName>
    <definedName name="đfnfndfn" localSheetId="2" hidden="1">{#N/A,#N/A,FALSE,"Chi tiÆt"}</definedName>
    <definedName name="đfnfndfn" hidden="1">{#N/A,#N/A,FALSE,"Chi tiÆt"}</definedName>
    <definedName name="DFSDF" localSheetId="2" hidden="1">{"'Sheet1'!$L$16"}</definedName>
    <definedName name="DFSDF" hidden="1">{"'Sheet1'!$L$16"}</definedName>
    <definedName name="dfsfsd" localSheetId="2" hidden="1">{"'Sheet1'!$L$16"}</definedName>
    <definedName name="dfsfsd" hidden="1">{"'Sheet1'!$L$16"}</definedName>
    <definedName name="dfsgfdshgffg" localSheetId="2" hidden="1">{"'Sheet1'!$L$16"}</definedName>
    <definedName name="dfsgfdshgffg" hidden="1">{"'Sheet1'!$L$16"}</definedName>
    <definedName name="dgdagkadfkg" hidden="1">#REF!</definedName>
    <definedName name="dgdfgdfgf" hidden="1">#REF!</definedName>
    <definedName name="dgfdf" localSheetId="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gf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gsdfgdfag" hidden="1">#REF!</definedName>
    <definedName name="đhf" localSheetId="2" hidden="1">{"'Sheet1'!$L$16"}</definedName>
    <definedName name="đhf" hidden="1">{"'Sheet1'!$L$16"}</definedName>
    <definedName name="dhtdh" localSheetId="2" hidden="1">{"Offgrid",#N/A,FALSE,"OFFGRID";"Region",#N/A,FALSE,"REGION";"Offgrid -2",#N/A,FALSE,"OFFGRID";"WTP",#N/A,FALSE,"WTP";"WTP -2",#N/A,FALSE,"WTP";"Project",#N/A,FALSE,"PROJECT";"Summary -2",#N/A,FALSE,"SUMMARY"}</definedName>
    <definedName name="dhtdh" hidden="1">{"Offgrid",#N/A,FALSE,"OFFGRID";"Region",#N/A,FALSE,"REGION";"Offgrid -2",#N/A,FALSE,"OFFGRID";"WTP",#N/A,FALSE,"WTP";"WTP -2",#N/A,FALSE,"WTP";"Project",#N/A,FALSE,"PROJECT";"Summary -2",#N/A,FALSE,"SUMMARY"}</definedName>
    <definedName name="dien" localSheetId="2" hidden="1">{"'Sheet1'!$L$16"}</definedName>
    <definedName name="dien" hidden="1">{"'Sheet1'!$L$16"}</definedName>
    <definedName name="direct1" hidden="1">#REF!</definedName>
    <definedName name="Discount" hidden="1">#REF!</definedName>
    <definedName name="display_area_2" hidden="1">#REF!</definedName>
    <definedName name="dj" localSheetId="2" hidden="1">{"'Sheet1'!$L$16"}</definedName>
    <definedName name="dj" hidden="1">{"'Sheet1'!$L$16"}</definedName>
    <definedName name="DN1_CT5" localSheetId="2" hidden="1">{"'Sheet1'!$L$16"}</definedName>
    <definedName name="DN1_CT5" hidden="1">{"'Sheet1'!$L$16"}</definedName>
    <definedName name="DSADSADSA" hidden="1">#REF!</definedName>
    <definedName name="dsafddsdf" localSheetId="2" hidden="1">{"'Sheet1'!$L$16"}</definedName>
    <definedName name="dsafddsdf" hidden="1">{"'Sheet1'!$L$16"}</definedName>
    <definedName name="dsfg" localSheetId="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fg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fsdfsd" hidden="1">#REF!</definedName>
    <definedName name="dsg" localSheetId="2" hidden="1">{"'Sheet1'!$L$16"}</definedName>
    <definedName name="dsg" hidden="1">{"'Sheet1'!$L$16"}</definedName>
    <definedName name="dsgsw.sgrs.grsg_.sg" localSheetId="2" hidden="1">{#N/A,#N/A,FALSE,"Chi tiÆt"}</definedName>
    <definedName name="dsgsw.sgrs.grsg_.sg" hidden="1">{#N/A,#N/A,FALSE,"Chi tiÆt"}</definedName>
    <definedName name="DTKT3" localSheetId="2" hidden="1">{"'Sheet1'!$L$16"}</definedName>
    <definedName name="DTKT3" hidden="1">{"'Sheet1'!$L$16"}</definedName>
    <definedName name="DTMG_vumua" localSheetId="2" hidden="1">{#N/A,#N/A,FALSE,"Chi tiÆt"}</definedName>
    <definedName name="DTMG_vumua" hidden="1">{#N/A,#N/A,FALSE,"Chi tiÆt"}</definedName>
    <definedName name="DTTK" localSheetId="2" hidden="1">{"'Sheet1'!$L$16"}</definedName>
    <definedName name="DTTK" hidden="1">{"'Sheet1'!$L$16"}</definedName>
    <definedName name="DTTVGM163" localSheetId="2" hidden="1">{"'Sheet1'!$L$16"}</definedName>
    <definedName name="DTTVGM163" hidden="1">{"'Sheet1'!$L$16"}</definedName>
    <definedName name="Du" hidden="1">#REF!</definedName>
    <definedName name="duc" localSheetId="2" hidden="1">{"'Sheet1'!$L$16"}</definedName>
    <definedName name="duc" hidden="1">{"'Sheet1'!$L$16"}</definedName>
    <definedName name="DUCT" localSheetId="2" hidden="1">{#N/A,#N/A,FALSE,"Sheet1"}</definedName>
    <definedName name="DUCT" hidden="1">{#N/A,#N/A,FALSE,"Sheet1"}</definedName>
    <definedName name="Duongnaco" localSheetId="2" hidden="1">{"'Sheet1'!$L$16"}</definedName>
    <definedName name="Duongnaco" hidden="1">{"'Sheet1'!$L$16"}</definedName>
    <definedName name="dutoanc2" localSheetId="2" hidden="1">{"'Sheet1'!$L$16"}</definedName>
    <definedName name="dutoanc2" hidden="1">{"'Sheet1'!$L$16"}</definedName>
    <definedName name="DWPRICE" hidden="1">#REF!</definedName>
    <definedName name="ED" localSheetId="2" hidden="1">{#N/A,#N/A,FALSE,"CCTV"}</definedName>
    <definedName name="ED" hidden="1">{#N/A,#N/A,FALSE,"CCTV"}</definedName>
    <definedName name="EEPE" localSheetId="2" hidden="1">{"'Summary'!$A$1:$J$46"}</definedName>
    <definedName name="EEPE" hidden="1">{"'Summary'!$A$1:$J$46"}</definedName>
    <definedName name="EEQ" localSheetId="2" hidden="1">{"'Summary'!$A$1:$J$46"}</definedName>
    <definedName name="EEQ" hidden="1">{"'Summary'!$A$1:$J$46"}</definedName>
    <definedName name="egw" localSheetId="2" hidden="1">{"Offgrid",#N/A,FALSE,"OFFGRID";"Region",#N/A,FALSE,"REGION";"Offgrid -2",#N/A,FALSE,"OFFGRID";"WTP",#N/A,FALSE,"WTP";"WTP -2",#N/A,FALSE,"WTP";"Project",#N/A,FALSE,"PROJECT";"Summary -2",#N/A,FALSE,"SUMMARY"}</definedName>
    <definedName name="egw" hidden="1">{"Offgrid",#N/A,FALSE,"OFFGRID";"Region",#N/A,FALSE,"REGION";"Offgrid -2",#N/A,FALSE,"OFFGRID";"WTP",#N/A,FALSE,"WTP";"WTP -2",#N/A,FALSE,"WTP";"Project",#N/A,FALSE,"PROJECT";"Summary -2",#N/A,FALSE,"SUMMARY"}</definedName>
    <definedName name="eheh" localSheetId="2" hidden="1">{"Offgrid",#N/A,FALSE,"OFFGRID";"Region",#N/A,FALSE,"REGION";"Offgrid -2",#N/A,FALSE,"OFFGRID";"WTP",#N/A,FALSE,"WTP";"WTP -2",#N/A,FALSE,"WTP";"Project",#N/A,FALSE,"PROJECT";"Summary -2",#N/A,FALSE,"SUMMARY"}</definedName>
    <definedName name="eheh" hidden="1">{"Offgrid",#N/A,FALSE,"OFFGRID";"Region",#N/A,FALSE,"REGION";"Offgrid -2",#N/A,FALSE,"OFFGRID";"WTP",#N/A,FALSE,"WTP";"WTP -2",#N/A,FALSE,"WTP";"Project",#N/A,FALSE,"PROJECT";"Summary -2",#N/A,FALSE,"SUMMARY"}</definedName>
    <definedName name="ELLEN1" localSheetId="2" hidden="1">{#N/A,#N/A,FALSE,"CCTV"}</definedName>
    <definedName name="ELLEN1" hidden="1">{#N/A,#N/A,FALSE,"CCTV"}</definedName>
    <definedName name="ELLEN10" localSheetId="2" hidden="1">{#N/A,#N/A,FALSE,"CCTV"}</definedName>
    <definedName name="ELLEN10" hidden="1">{#N/A,#N/A,FALSE,"CCTV"}</definedName>
    <definedName name="ELLEN11" localSheetId="2" hidden="1">{#N/A,#N/A,FALSE,"CCTV"}</definedName>
    <definedName name="ELLEN11" hidden="1">{#N/A,#N/A,FALSE,"CCTV"}</definedName>
    <definedName name="ELLEN12" localSheetId="2" hidden="1">{#N/A,#N/A,FALSE,"CCTV"}</definedName>
    <definedName name="ELLEN12" hidden="1">{#N/A,#N/A,FALSE,"CCTV"}</definedName>
    <definedName name="ELLEN13" localSheetId="2" hidden="1">{#N/A,#N/A,FALSE,"CCTV"}</definedName>
    <definedName name="ELLEN13" hidden="1">{#N/A,#N/A,FALSE,"CCTV"}</definedName>
    <definedName name="ELLEN14" localSheetId="2" hidden="1">{#N/A,#N/A,FALSE,"CCTV"}</definedName>
    <definedName name="ELLEN14" hidden="1">{#N/A,#N/A,FALSE,"CCTV"}</definedName>
    <definedName name="ELLEN15" localSheetId="2" hidden="1">{#N/A,#N/A,FALSE,"CCTV"}</definedName>
    <definedName name="ELLEN15" hidden="1">{#N/A,#N/A,FALSE,"CCTV"}</definedName>
    <definedName name="ELLEN16" localSheetId="2" hidden="1">{#N/A,#N/A,FALSE,"CCTV"}</definedName>
    <definedName name="ELLEN16" hidden="1">{#N/A,#N/A,FALSE,"CCTV"}</definedName>
    <definedName name="ELLEN17" localSheetId="2" hidden="1">{#N/A,#N/A,FALSE,"CCTV"}</definedName>
    <definedName name="ELLEN17" hidden="1">{#N/A,#N/A,FALSE,"CCTV"}</definedName>
    <definedName name="ELLEN18" localSheetId="2" hidden="1">{#N/A,#N/A,FALSE,"CCTV"}</definedName>
    <definedName name="ELLEN18" hidden="1">{#N/A,#N/A,FALSE,"CCTV"}</definedName>
    <definedName name="ELLEN19" localSheetId="2" hidden="1">{#N/A,#N/A,FALSE,"CCTV"}</definedName>
    <definedName name="ELLEN19" hidden="1">{#N/A,#N/A,FALSE,"CCTV"}</definedName>
    <definedName name="ELLEN2" localSheetId="2" hidden="1">{#N/A,#N/A,FALSE,"CCTV"}</definedName>
    <definedName name="ELLEN2" hidden="1">{#N/A,#N/A,FALSE,"CCTV"}</definedName>
    <definedName name="ELLEN3" localSheetId="2" hidden="1">{#N/A,#N/A,FALSE,"CCTV"}</definedName>
    <definedName name="ELLEN3" hidden="1">{#N/A,#N/A,FALSE,"CCTV"}</definedName>
    <definedName name="ELLEN4" localSheetId="2" hidden="1">{#N/A,#N/A,FALSE,"CCTV"}</definedName>
    <definedName name="ELLEN4" hidden="1">{#N/A,#N/A,FALSE,"CCTV"}</definedName>
    <definedName name="ELLEN5" localSheetId="2" hidden="1">{#N/A,#N/A,FALSE,"CCTV"}</definedName>
    <definedName name="ELLEN5" hidden="1">{#N/A,#N/A,FALSE,"CCTV"}</definedName>
    <definedName name="ELLEN6" localSheetId="2" hidden="1">{#N/A,#N/A,FALSE,"CCTV"}</definedName>
    <definedName name="ELLEN6" hidden="1">{#N/A,#N/A,FALSE,"CCTV"}</definedName>
    <definedName name="ELLEN7" localSheetId="2" hidden="1">{#N/A,#N/A,FALSE,"CCTV"}</definedName>
    <definedName name="ELLEN7" hidden="1">{#N/A,#N/A,FALSE,"CCTV"}</definedName>
    <definedName name="ELLEN8" localSheetId="2" hidden="1">{#N/A,#N/A,FALSE,"CCTV"}</definedName>
    <definedName name="ELLEN8" hidden="1">{#N/A,#N/A,FALSE,"CCTV"}</definedName>
    <definedName name="ELLEN9" localSheetId="2" hidden="1">{#N/A,#N/A,FALSE,"CCTV"}</definedName>
    <definedName name="ELLEN9" hidden="1">{#N/A,#N/A,FALSE,"CCTV"}</definedName>
    <definedName name="er" localSheetId="2" hidden="1">{0,0,0,0;0,0,0,0;0,0,0,0;0,0,0,0;0,0,0,0;0,0,0,0;0,0,0,0}</definedName>
    <definedName name="er" hidden="1">{0,0,0,0;0,0,0,0;0,0,0,0;0,0,0,0;0,0,0,0;0,0,0,0;0,0,0,0}</definedName>
    <definedName name="esgtew" localSheetId="2" hidden="1">{#N/A,#N/A,FALSE,"Chi tiÆt"}</definedName>
    <definedName name="esgtew" hidden="1">{#N/A,#N/A,FALSE,"Chi tiÆt"}</definedName>
    <definedName name="etethtehbdex" localSheetId="2" hidden="1">{#N/A,#N/A,FALSE,"Chi tiÆt"}</definedName>
    <definedName name="etethtehbdex" hidden="1">{#N/A,#N/A,FALSE,"Chi tiÆt"}</definedName>
    <definedName name="êthtêt" localSheetId="2" hidden="1">{"Offgrid",#N/A,FALSE,"OFFGRID";"Region",#N/A,FALSE,"REGION";"Offgrid -2",#N/A,FALSE,"OFFGRID";"WTP",#N/A,FALSE,"WTP";"WTP -2",#N/A,FALSE,"WTP";"Project",#N/A,FALSE,"PROJECT";"Summary -2",#N/A,FALSE,"SUMMARY"}</definedName>
    <definedName name="êthtêt" hidden="1">{"Offgrid",#N/A,FALSE,"OFFGRID";"Region",#N/A,FALSE,"REGION";"Offgrid -2",#N/A,FALSE,"OFFGRID";"WTP",#N/A,FALSE,"WTP";"WTP -2",#N/A,FALSE,"WTP";"Project",#N/A,FALSE,"PROJECT";"Summary -2",#N/A,FALSE,"SUMMARY"}</definedName>
    <definedName name="etqgsg_đhs" localSheetId="2" hidden="1">{"'Sheet1'!$L$16"}</definedName>
    <definedName name="etqgsg_đhs" hidden="1">{"'Sheet1'!$L$16"}</definedName>
    <definedName name="etrw45.đ" localSheetId="2" hidden="1">{"Offgrid",#N/A,FALSE,"OFFGRID";"Region",#N/A,FALSE,"REGION";"Offgrid -2",#N/A,FALSE,"OFFGRID";"WTP",#N/A,FALSE,"WTP";"WTP -2",#N/A,FALSE,"WTP";"Project",#N/A,FALSE,"PROJECT";"Summary -2",#N/A,FALSE,"SUMMARY"}</definedName>
    <definedName name="etrw45.đ" hidden="1">{"Offgrid",#N/A,FALSE,"OFFGRID";"Region",#N/A,FALSE,"REGION";"Offgrid -2",#N/A,FALSE,"OFFGRID";"WTP",#N/A,FALSE,"WTP";"WTP -2",#N/A,FALSE,"WTP";"Project",#N/A,FALSE,"PROJECT";"Summary -2",#N/A,FALSE,"SUMMARY"}</definedName>
    <definedName name="EW" localSheetId="2" hidden="1">{"'Summary'!$A$1:$J$46"}</definedName>
    <definedName name="EW" hidden="1">{"'Summary'!$A$1:$J$46"}</definedName>
    <definedName name="ewf" hidden="1">#REF!</definedName>
    <definedName name="ExactAddinConnection" hidden="1">"003"</definedName>
    <definedName name="ExactAddinConnection.002" hidden="1">"CPNT01;003;mengtalekk;1"</definedName>
    <definedName name="ExactAddinConnection.003" hidden="1">"CPNT01;006;mengtalekk;1"</definedName>
    <definedName name="ExactAddinReports" hidden="1">2</definedName>
    <definedName name="eygswgq" localSheetId="2" hidden="1">{#N/A,#N/A,FALSE,"Chi tiÆt"}</definedName>
    <definedName name="eygswgq" hidden="1">{#N/A,#N/A,FALSE,"Chi tiÆt"}</definedName>
    <definedName name="êyh" localSheetId="2" hidden="1">{"Offgrid",#N/A,FALSE,"OFFGRID";"Region",#N/A,FALSE,"REGION";"Offgrid -2",#N/A,FALSE,"OFFGRID";"WTP",#N/A,FALSE,"WTP";"WTP -2",#N/A,FALSE,"WTP";"Project",#N/A,FALSE,"PROJECT";"Summary -2",#N/A,FALSE,"SUMMARY"}</definedName>
    <definedName name="êyh" hidden="1">{"Offgrid",#N/A,FALSE,"OFFGRID";"Region",#N/A,FALSE,"REGION";"Offgrid -2",#N/A,FALSE,"OFFGRID";"WTP",#N/A,FALSE,"WTP";"WTP -2",#N/A,FALSE,"WTP";"Project",#N/A,FALSE,"PROJECT";"Summary -2",#N/A,FALSE,"SUMMARY"}</definedName>
    <definedName name="f" localSheetId="2" hidden="1">{"'Sheet1'!$L$16"}</definedName>
    <definedName name="f" hidden="1">{"'Sheet1'!$L$16"}</definedName>
    <definedName name="fáaafafaf" localSheetId="2" hidden="1">{"'Sheet1'!$L$16"}</definedName>
    <definedName name="fáaafafaf" hidden="1">{"'Sheet1'!$L$16"}</definedName>
    <definedName name="fasdfsdfsdfsdf" localSheetId="2" hidden="1">{"'Sheet1'!$L$16"}</definedName>
    <definedName name="fasdfsdfsdfsdf" hidden="1">{"'Sheet1'!$L$16"}</definedName>
    <definedName name="fasfaga" localSheetId="2" hidden="1">{"'Sheet1'!$L$16"}</definedName>
    <definedName name="fasfaga" hidden="1">{"'Sheet1'!$L$16"}</definedName>
    <definedName name="fasfsadfs" localSheetId="2" hidden="1">{"'Sheet1'!$L$16"}</definedName>
    <definedName name="fasfsadfs" hidden="1">{"'Sheet1'!$L$16"}</definedName>
    <definedName name="Fauzi" localSheetId="2" hidden="1">{#N/A,#N/A,TRUE,"Perm";#N/A,#N/A,TRUE,"Architecture"}</definedName>
    <definedName name="Fauzi" hidden="1">{#N/A,#N/A,TRUE,"Perm";#N/A,#N/A,TRUE,"Architecture"}</definedName>
    <definedName name="fÇ" localSheetId="2" hidden="1">{"'Sheet1'!$L$16"}</definedName>
    <definedName name="fÇ" hidden="1">{"'Sheet1'!$L$16"}</definedName>
    <definedName name="FC_TOTAL" hidden="1">#REF!</definedName>
    <definedName name="FC5_total" hidden="1">#REF!</definedName>
    <definedName name="FC6_total" hidden="1">#REF!</definedName>
    <definedName name="FCode" hidden="1">#REF!</definedName>
    <definedName name="FDED" hidden="1">#REF!</definedName>
    <definedName name="fdf" localSheetId="2" hidden="1">{"'Sheet1'!$L$16"}</definedName>
    <definedName name="fdf" hidden="1">{"'Sheet1'!$L$16"}</definedName>
    <definedName name="fdg" localSheetId="2" hidden="1">{"'Sheet1'!$L$16"}</definedName>
    <definedName name="fdg" hidden="1">{"'Sheet1'!$L$16"}</definedName>
    <definedName name="fdgdfgdfg" hidden="1">#REF!</definedName>
    <definedName name="fdgfg" localSheetId="2" hidden="1">{"'Sheet1'!$L$16"}</definedName>
    <definedName name="fdgfg" hidden="1">{"'Sheet1'!$L$16"}</definedName>
    <definedName name="fđhbfbd" localSheetId="2" hidden="1">{#N/A,#N/A,FALSE,"Chi tiÆt"}</definedName>
    <definedName name="fđhbfbd" hidden="1">{#N/A,#N/A,FALSE,"Chi tiÆt"}</definedName>
    <definedName name="fđhh" localSheetId="2" hidden="1">{"'Sheet1'!$L$16"}</definedName>
    <definedName name="fđhh" hidden="1">{"'Sheet1'!$L$16"}</definedName>
    <definedName name="fds" localSheetId="2" hidden="1">{"'Sheet1'!$L$16"}</definedName>
    <definedName name="fds" hidden="1">{"'Sheet1'!$L$16"}</definedName>
    <definedName name="fdsf" localSheetId="2" hidden="1">{"'Sheet1'!$L$16"}</definedName>
    <definedName name="fdsf" hidden="1">{"'Sheet1'!$L$16"}</definedName>
    <definedName name="fdsfsdfd" localSheetId="2" hidden="1">{"'Sheet1'!$L$16"}</definedName>
    <definedName name="fdsfsdfd" hidden="1">{"'Sheet1'!$L$16"}</definedName>
    <definedName name="ff" hidden="1">#REF!</definedName>
    <definedName name="ffas" localSheetId="2" hidden="1">{"'Sheet1'!$L$16"}</definedName>
    <definedName name="ffas" hidden="1">{"'Sheet1'!$L$16"}</definedName>
    <definedName name="fff" localSheetId="2" hidden="1">{"'Sheet1'!$L$16"}</definedName>
    <definedName name="fff" hidden="1">{"'Sheet1'!$L$16"}</definedName>
    <definedName name="FFFF" hidden="1">"C:\2689\Q\??\00q3961????PTA3??\MyHTML.htm"</definedName>
    <definedName name="fffffffffffffff" localSheetId="2" hidden="1">{"'Sheet1'!$L$16"}</definedName>
    <definedName name="fffffffffffffff" hidden="1">{"'Sheet1'!$L$16"}</definedName>
    <definedName name="fg" localSheetId="2" hidden="1">{"'Sheet1'!$L$16"}</definedName>
    <definedName name="fg" hidden="1">{"'Sheet1'!$L$16"}</definedName>
    <definedName name="fgafdfdg" hidden="1">#REF!</definedName>
    <definedName name="fgdfagfdf" hidden="1">#REF!</definedName>
    <definedName name="fgdfgddfgfd" hidden="1">#REF!</definedName>
    <definedName name="fgdfgfgfd" hidden="1">#REF!</definedName>
    <definedName name="fgfdaghffg" hidden="1">#REF!</definedName>
    <definedName name="fgff" localSheetId="2" hidden="1">{#N/A,#N/A,TRUE,"SUM";#N/A,#N/A,TRUE,"EE";#N/A,#N/A,TRUE,"AC";#N/A,#N/A,TRUE,"SN"}</definedName>
    <definedName name="fgff" hidden="1">{#N/A,#N/A,TRUE,"SUM";#N/A,#N/A,TRUE,"EE";#N/A,#N/A,TRUE,"AC";#N/A,#N/A,TRUE,"SN"}</definedName>
    <definedName name="fghdfhdfg" hidden="1">#REF!</definedName>
    <definedName name="fgkjmgky.yulyu." localSheetId="2" hidden="1">{"Offgrid",#N/A,FALSE,"OFFGRID";"Region",#N/A,FALSE,"REGION";"Offgrid -2",#N/A,FALSE,"OFFGRID";"WTP",#N/A,FALSE,"WTP";"WTP -2",#N/A,FALSE,"WTP";"Project",#N/A,FALSE,"PROJECT";"Summary -2",#N/A,FALSE,"SUMMARY"}</definedName>
    <definedName name="fgkjmgky.yulyu." hidden="1">{"Offgrid",#N/A,FALSE,"OFFGRID";"Region",#N/A,FALSE,"REGION";"Offgrid -2",#N/A,FALSE,"OFFGRID";"WTP",#N/A,FALSE,"WTP";"WTP -2",#N/A,FALSE,"WTP";"Project",#N/A,FALSE,"PROJECT";"Summary -2",#N/A,FALSE,"SUMMARY"}</definedName>
    <definedName name="fgn" localSheetId="2" hidden="1">{"'Sheet1'!$L$16"}</definedName>
    <definedName name="fgn" hidden="1">{"'Sheet1'!$L$16"}</definedName>
    <definedName name="fgnfgn" localSheetId="2" hidden="1">{"Offgrid",#N/A,FALSE,"OFFGRID";"Region",#N/A,FALSE,"REGION";"Offgrid -2",#N/A,FALSE,"OFFGRID";"WTP",#N/A,FALSE,"WTP";"WTP -2",#N/A,FALSE,"WTP";"Project",#N/A,FALSE,"PROJECT";"Summary -2",#N/A,FALSE,"SUMMARY"}</definedName>
    <definedName name="fgnfgn" hidden="1">{"Offgrid",#N/A,FALSE,"OFFGRID";"Region",#N/A,FALSE,"REGION";"Offgrid -2",#N/A,FALSE,"OFFGRID";"WTP",#N/A,FALSE,"WTP";"WTP -2",#N/A,FALSE,"WTP";"Project",#N/A,FALSE,"PROJECT";"Summary -2",#N/A,FALSE,"SUMMARY"}</definedName>
    <definedName name="fhfgfsdgfd" hidden="1">#REF!</definedName>
    <definedName name="fhgadfhadf" hidden="1">#REF!</definedName>
    <definedName name="fhlkdkgl" hidden="1">#REF!</definedName>
    <definedName name="fhsdgfdff" hidden="1">#REF!</definedName>
    <definedName name="fhtđhêhd" localSheetId="2" hidden="1">{"Offgrid",#N/A,FALSE,"OFFGRID";"Region",#N/A,FALSE,"REGION";"Offgrid -2",#N/A,FALSE,"OFFGRID";"WTP",#N/A,FALSE,"WTP";"WTP -2",#N/A,FALSE,"WTP";"Project",#N/A,FALSE,"PROJECT";"Summary -2",#N/A,FALSE,"SUMMARY"}</definedName>
    <definedName name="fhtđhêhd" hidden="1">{"Offgrid",#N/A,FALSE,"OFFGRID";"Region",#N/A,FALSE,"REGION";"Offgrid -2",#N/A,FALSE,"OFFGRID";"WTP",#N/A,FALSE,"WTP";"WTP -2",#N/A,FALSE,"WTP";"Project",#N/A,FALSE,"PROJECT";"Summary -2",#N/A,FALSE,"SUMMARY"}</definedName>
    <definedName name="FiLL" hidden="1">#REF!</definedName>
    <definedName name="fill2" hidden="1">#REF!</definedName>
    <definedName name="FILLL" hidden="1">#REF!</definedName>
    <definedName name="FOR" localSheetId="2" hidden="1">{#N/A,#N/A,FALSE,"CCTV"}</definedName>
    <definedName name="FOR" hidden="1">{#N/A,#N/A,FALSE,"CCTV"}</definedName>
    <definedName name="FORMAT" localSheetId="2" hidden="1">{#N/A,#N/A,FALSE,"CCTV"}</definedName>
    <definedName name="FORMAT" hidden="1">{#N/A,#N/A,FALSE,"CCTV"}</definedName>
    <definedName name="FRFRFR" localSheetId="2" hidden="1">{"'Sheet1'!$L$16"}</definedName>
    <definedName name="FRFRFR" hidden="1">{"'Sheet1'!$L$16"}</definedName>
    <definedName name="fsdfdsf" localSheetId="2" hidden="1">{"'Sheet1'!$L$16"}</definedName>
    <definedName name="fsdfdsf" hidden="1">{"'Sheet1'!$L$16"}</definedName>
    <definedName name="FUCK" hidden="1">#REF!</definedName>
    <definedName name="G" hidden="1">#REF!</definedName>
    <definedName name="gbb" localSheetId="2" hidden="1">{"'Sheet1'!$L$16"}</definedName>
    <definedName name="gbb" hidden="1">{"'Sheet1'!$L$16"}</definedName>
    <definedName name="gdfgdfgdf" localSheetId="2" hidden="1">{"'Sheet1'!$L$16"}</definedName>
    <definedName name="gdfgdfgdf" hidden="1">{"'Sheet1'!$L$16"}</definedName>
    <definedName name="gdg" localSheetId="2" hidden="1">{"'Sheet1'!$L$16"}</definedName>
    <definedName name="gdg" hidden="1">{"'Sheet1'!$L$16"}</definedName>
    <definedName name="ge" localSheetId="2" hidden="1">{"'Sheet1'!$L$16"}</definedName>
    <definedName name="ge" hidden="1">{"'Sheet1'!$L$16"}</definedName>
    <definedName name="gee" localSheetId="2" hidden="1">{"'Sheet1'!$L$16"}</definedName>
    <definedName name="gee" hidden="1">{"'Sheet1'!$L$16"}</definedName>
    <definedName name="gfdghf" localSheetId="2" hidden="1">{"Offgrid",#N/A,FALSE,"OFFGRID";"Region",#N/A,FALSE,"REGION";"Offgrid -2",#N/A,FALSE,"OFFGRID";"WTP",#N/A,FALSE,"WTP";"WTP -2",#N/A,FALSE,"WTP";"Project",#N/A,FALSE,"PROJECT";"Summary -2",#N/A,FALSE,"SUMMARY"}</definedName>
    <definedName name="gfdghf" hidden="1">{"Offgrid",#N/A,FALSE,"OFFGRID";"Region",#N/A,FALSE,"REGION";"Offgrid -2",#N/A,FALSE,"OFFGRID";"WTP",#N/A,FALSE,"WTP";"WTP -2",#N/A,FALSE,"WTP";"Project",#N/A,FALSE,"PROJECT";"Summary -2",#N/A,FALSE,"SUMMARY"}</definedName>
    <definedName name="gfg" localSheetId="2" hidden="1">{"'Sheet1'!$L$16"}</definedName>
    <definedName name="gfg" hidden="1">{"'Sheet1'!$L$16"}</definedName>
    <definedName name="gfh" localSheetId="2" hidden="1">{"'Sheet1'!$L$16"}</definedName>
    <definedName name="gfh" hidden="1">{"'Sheet1'!$L$16"}</definedName>
    <definedName name="gfhgadfkgkadf" hidden="1">#REF!</definedName>
    <definedName name="gg" hidden="1">#REF!</definedName>
    <definedName name="ggaq" localSheetId="2" hidden="1">{"Offgrid",#N/A,FALSE,"OFFGRID";"Region",#N/A,FALSE,"REGION";"Offgrid -2",#N/A,FALSE,"OFFGRID";"WTP",#N/A,FALSE,"WTP";"WTP -2",#N/A,FALSE,"WTP";"Project",#N/A,FALSE,"PROJECT";"Summary -2",#N/A,FALSE,"SUMMARY"}</definedName>
    <definedName name="ggaq" hidden="1">{"Offgrid",#N/A,FALSE,"OFFGRID";"Region",#N/A,FALSE,"REGION";"Offgrid -2",#N/A,FALSE,"OFFGRID";"WTP",#N/A,FALSE,"WTP";"WTP -2",#N/A,FALSE,"WTP";"Project",#N/A,FALSE,"PROJECT";"Summary -2",#N/A,FALSE,"SUMMARY"}</definedName>
    <definedName name="ggg" localSheetId="2" hidden="1">{#N/A,#N/A,FALSE,"Chi tiÆt"}</definedName>
    <definedName name="ggg" hidden="1">{#N/A,#N/A,FALSE,"Chi tiÆt"}</definedName>
    <definedName name="gggg" localSheetId="2" hidden="1">{"'Sheet1'!$L$16"}</definedName>
    <definedName name="gggg" hidden="1">{"'Sheet1'!$L$16"}</definedName>
    <definedName name="gghh" localSheetId="2" hidden="1">{"'Sheet1'!$L$16"}</definedName>
    <definedName name="gghh" hidden="1">{"'Sheet1'!$L$16"}</definedName>
    <definedName name="gghjgh" hidden="1">#REF!</definedName>
    <definedName name="ggsf" hidden="1">#REF!</definedName>
    <definedName name="gh" localSheetId="2" hidden="1">{"'Sheet1'!$L$16"}</definedName>
    <definedName name="gh" hidden="1">{"'Sheet1'!$L$16"}</definedName>
    <definedName name="ghàdgfadgdf" hidden="1">#REF!</definedName>
    <definedName name="ghhjd" localSheetId="2" hidden="1">{"'Sheet1'!$L$16"}</definedName>
    <definedName name="ghhjd" hidden="1">{"'Sheet1'!$L$16"}</definedName>
    <definedName name="ghj" localSheetId="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jhi" localSheetId="2" hidden="1">{"'Sheet1'!$L$16"}</definedName>
    <definedName name="gjhi" hidden="1">{"'Sheet1'!$L$16"}</definedName>
    <definedName name="gjrđjsjs" localSheetId="2" hidden="1">{"'Sheet1'!$L$16"}</definedName>
    <definedName name="gjrđjsjs" hidden="1">{"'Sheet1'!$L$16"}</definedName>
    <definedName name="gjv" localSheetId="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RAND" hidden="1">#REF!</definedName>
    <definedName name="gteyhưez" localSheetId="2" hidden="1">{"'Sheet1'!$L$16"}</definedName>
    <definedName name="gteyhưez" hidden="1">{"'Sheet1'!$L$16"}</definedName>
    <definedName name="GTOTAL" localSheetId="2" hidden="1">{"'Sheet1'!$L$16"}</definedName>
    <definedName name="GTOTAL" hidden="1">{"'Sheet1'!$L$16"}</definedName>
    <definedName name="gui" localSheetId="2" hidden="1">{#N/A,#N/A,TRUE,"Config1";#N/A,#N/A,TRUE,"Config2";#N/A,#N/A,TRUE,"Config3";#N/A,#N/A,TRUE,"Config4";#N/A,#N/A,TRUE,"Config5";#N/A,#N/A,TRUE,"Config6";#N/A,#N/A,TRUE,"Config7"}</definedName>
    <definedName name="gui" hidden="1">{#N/A,#N/A,TRUE,"Config1";#N/A,#N/A,TRUE,"Config2";#N/A,#N/A,TRUE,"Config3";#N/A,#N/A,TRUE,"Config4";#N/A,#N/A,TRUE,"Config5";#N/A,#N/A,TRUE,"Config6";#N/A,#N/A,TRUE,"Config7"}</definedName>
    <definedName name="GUUIUI" localSheetId="2" hidden="1">{"'Sheet1'!$L$16"}</definedName>
    <definedName name="GUUIUI" hidden="1">{"'Sheet1'!$L$16"}</definedName>
    <definedName name="gwf" localSheetId="2" hidden="1">{#N/A,#N/A,FALSE,"Chi tiÆt"}</definedName>
    <definedName name="gwf" hidden="1">{#N/A,#N/A,FALSE,"Chi tiÆt"}</definedName>
    <definedName name="h" localSheetId="2" hidden="1">{"'Sheet1'!$L$16"}</definedName>
    <definedName name="h" hidden="1">{"'Sheet1'!$L$16"}</definedName>
    <definedName name="h_xoa" localSheetId="2" hidden="1">{"'Sheet1'!$L$16"}</definedName>
    <definedName name="h_xoa" hidden="1">{"'Sheet1'!$L$16"}</definedName>
    <definedName name="h_xoa2" localSheetId="2" hidden="1">{"'Sheet1'!$L$16"}</definedName>
    <definedName name="h_xoa2" hidden="1">{"'Sheet1'!$L$16"}</definedName>
    <definedName name="hai" localSheetId="2" hidden="1">{"'Sheet1'!$L$16"}</definedName>
    <definedName name="hai" hidden="1">{"'Sheet1'!$L$16"}</definedName>
    <definedName name="han" hidden="1">#REF!</definedName>
    <definedName name="hanh" localSheetId="2" hidden="1">{"'Sheet1'!$L$16"}</definedName>
    <definedName name="hanh" hidden="1">{"'Sheet1'!$L$16"}</definedName>
    <definedName name="HCNA" localSheetId="2" hidden="1">{"'Sheet1'!$L$16"}</definedName>
    <definedName name="HCNA" hidden="1">{"'Sheet1'!$L$16"}</definedName>
    <definedName name="hdfgdgdg" hidden="1">#REF!</definedName>
    <definedName name="hdfn" localSheetId="2" hidden="1">{#N/A,#N/A,FALSE,"Chi tiÆt"}</definedName>
    <definedName name="hdfn" hidden="1">{#N/A,#N/A,FALSE,"Chi tiÆt"}</definedName>
    <definedName name="hdyt" localSheetId="2" hidden="1">{"'Sheet1'!$L$16"}</definedName>
    <definedName name="hdyt" hidden="1">{"'Sheet1'!$L$16"}</definedName>
    <definedName name="heđbe" localSheetId="2" hidden="1">{"Offgrid",#N/A,FALSE,"OFFGRID";"Region",#N/A,FALSE,"REGION";"Offgrid -2",#N/A,FALSE,"OFFGRID";"WTP",#N/A,FALSE,"WTP";"WTP -2",#N/A,FALSE,"WTP";"Project",#N/A,FALSE,"PROJECT";"Summary -2",#N/A,FALSE,"SUMMARY"}</definedName>
    <definedName name="heđbe" hidden="1">{"Offgrid",#N/A,FALSE,"OFFGRID";"Region",#N/A,FALSE,"REGION";"Offgrid -2",#N/A,FALSE,"OFFGRID";"WTP",#N/A,FALSE,"WTP";"WTP -2",#N/A,FALSE,"WTP";"Project",#N/A,FALSE,"PROJECT";"Summary -2",#N/A,FALSE,"SUMMARY"}</definedName>
    <definedName name="hee_opjg" localSheetId="2" hidden="1">{"'Sheet1'!$L$16"}</definedName>
    <definedName name="hee_opjg" hidden="1">{"'Sheet1'!$L$16"}</definedName>
    <definedName name="hethongthoatnuocngoainha" hidden="1">#REF!</definedName>
    <definedName name="hẻy" localSheetId="2" hidden="1">{"'Sheet1'!$L$16"}</definedName>
    <definedName name="hẻy" hidden="1">{"'Sheet1'!$L$16"}</definedName>
    <definedName name="hfgsdf" localSheetId="2" hidden="1">{"'Sheet1'!$L$16"}</definedName>
    <definedName name="hfgsdf" hidden="1">{"'Sheet1'!$L$16"}</definedName>
    <definedName name="hgadgag" localSheetId="2" hidden="1">{"Offgrid",#N/A,FALSE,"OFFGRID";"Region",#N/A,FALSE,"REGION";"Offgrid -2",#N/A,FALSE,"OFFGRID";"WTP",#N/A,FALSE,"WTP";"WTP -2",#N/A,FALSE,"WTP";"Project",#N/A,FALSE,"PROJECT";"Summary -2",#N/A,FALSE,"SUMMARY"}</definedName>
    <definedName name="hgadgag" hidden="1">{"Offgrid",#N/A,FALSE,"OFFGRID";"Region",#N/A,FALSE,"REGION";"Offgrid -2",#N/A,FALSE,"OFFGRID";"WTP",#N/A,FALSE,"WTP";"WTP -2",#N/A,FALSE,"WTP";"Project",#N/A,FALSE,"PROJECT";"Summary -2",#N/A,FALSE,"SUMMARY"}</definedName>
    <definedName name="hgh" hidden="1">#REF!</definedName>
    <definedName name="hgre_zdfhgfd" localSheetId="2" hidden="1">{"'Sheet1'!$L$16"}</definedName>
    <definedName name="hgre_zdfhgfd" hidden="1">{"'Sheet1'!$L$16"}</definedName>
    <definedName name="hgrf" localSheetId="2" hidden="1">{"'Sheet1'!$L$16"}</definedName>
    <definedName name="hgrf" hidden="1">{"'Sheet1'!$L$16"}</definedName>
    <definedName name="hhb" localSheetId="2" hidden="1">{"'Sheet1'!$L$16"}</definedName>
    <definedName name="hhb" hidden="1">{"'Sheet1'!$L$16"}</definedName>
    <definedName name="HHHHHHH" localSheetId="2" hidden="1">{"'Sheet1'!$L$16"}</definedName>
    <definedName name="HHHHHHH" hidden="1">{"'Sheet1'!$L$16"}</definedName>
    <definedName name="hhhhhu" localSheetId="2" hidden="1">{"'Sheet1'!$L$16"}</definedName>
    <definedName name="hhhhhu" hidden="1">{"'Sheet1'!$L$16"}</definedName>
    <definedName name="hhhthrh" localSheetId="2" hidden="1">{#N/A,#N/A,FALSE,"Chi tiÆt"}</definedName>
    <definedName name="hhhthrh" hidden="1">{#N/A,#N/A,FALSE,"Chi tiÆt"}</definedName>
    <definedName name="HiddenRows" hidden="1">#REF!</definedName>
    <definedName name="hj" localSheetId="2" hidden="1">{#N/A,#N/A,FALSE,"Chi tiÆt"}</definedName>
    <definedName name="hj" hidden="1">{#N/A,#N/A,FALSE,"Chi tiÆt"}</definedName>
    <definedName name="hjhj" localSheetId="2" hidden="1">{"'Sheet1'!$L$16"}</definedName>
    <definedName name="hjhj" hidden="1">{"'Sheet1'!$L$16"}</definedName>
    <definedName name="hjjkl" localSheetId="2" hidden="1">{"'Sheet1'!$L$16"}</definedName>
    <definedName name="hjjkl" hidden="1">{"'Sheet1'!$L$16"}</definedName>
    <definedName name="hjti" hidden="1">#REF!</definedName>
    <definedName name="hju" localSheetId="2" hidden="1">{"'Sheet1'!$L$16"}</definedName>
    <definedName name="hju" hidden="1">{"'Sheet1'!$L$16"}</definedName>
    <definedName name="hoa" localSheetId="2" hidden="1">{"'Sheet1'!$L$16"}</definedName>
    <definedName name="hoa" hidden="1">{"'Sheet1'!$L$16"}</definedName>
    <definedName name="hrhe" localSheetId="2" hidden="1">{"Offgrid",#N/A,FALSE,"OFFGRID";"Region",#N/A,FALSE,"REGION";"Offgrid -2",#N/A,FALSE,"OFFGRID";"WTP",#N/A,FALSE,"WTP";"WTP -2",#N/A,FALSE,"WTP";"Project",#N/A,FALSE,"PROJECT";"Summary -2",#N/A,FALSE,"SUMMARY"}</definedName>
    <definedName name="hrhe" hidden="1">{"Offgrid",#N/A,FALSE,"OFFGRID";"Region",#N/A,FALSE,"REGION";"Offgrid -2",#N/A,FALSE,"OFFGRID";"WTP",#N/A,FALSE,"WTP";"WTP -2",#N/A,FALSE,"WTP";"Project",#N/A,FALSE,"PROJECT";"Summary -2",#N/A,FALSE,"SUMMARY"}</definedName>
    <definedName name="hsgbhtgrư" localSheetId="2" hidden="1">{#N/A,#N/A,FALSE,"Chi tiÆt"}</definedName>
    <definedName name="hsgbhtgrư" hidden="1">{#N/A,#N/A,FALSE,"Chi tiÆt"}</definedName>
    <definedName name="ht" localSheetId="2" hidden="1">{"'Sheet1'!$L$16"}</definedName>
    <definedName name="ht" hidden="1">{"'Sheet1'!$L$16"}</definedName>
    <definedName name="htjhtjftj" localSheetId="2" hidden="1">{#N/A,#N/A,FALSE,"Chi tiÆt"}</definedName>
    <definedName name="htjhtjftj" hidden="1">{#N/A,#N/A,FALSE,"Chi tiÆt"}</definedName>
    <definedName name="htlm" localSheetId="2" hidden="1">{"'Sheet1'!$L$16"}</definedName>
    <definedName name="htlm" hidden="1">{"'Sheet1'!$L$16"}</definedName>
    <definedName name="HTML_CodePage" hidden="1">950</definedName>
    <definedName name="HTML_Control" localSheetId="2" hidden="1">{"'Sheet1'!$L$16"}</definedName>
    <definedName name="HTML_Control" hidden="1">{"'Sheet1'!$L$16"}</definedName>
    <definedName name="html_control_xoa2" localSheetId="2" hidden="1">{"'Sheet1'!$L$16"}</definedName>
    <definedName name="html_control_xoa2" hidden="1">{"'Sheet1'!$L$16"}</definedName>
    <definedName name="HTML_Control1" localSheetId="2" hidden="1">{"'Sheet1'!$L$16"}</definedName>
    <definedName name="HTML_Control1" hidden="1">{"'Sheet1'!$L$16"}</definedName>
    <definedName name="HTML_Control2" localSheetId="2" hidden="1">{"'Sheet1'!$L$16"}</definedName>
    <definedName name="HTML_Control2" hidden="1">{"'Sheet1'!$L$16"}</definedName>
    <definedName name="HTMl_Control3" localSheetId="2" hidden="1">{"'Sheet1'!$L$16"}</definedName>
    <definedName name="HTMl_Control3" hidden="1">{"'Sheet1'!$L$16"}</definedName>
    <definedName name="HTML_Control4" localSheetId="2" hidden="1">{"'Sheet1'!$L$16"}</definedName>
    <definedName name="HTML_Control4" hidden="1">{"'Sheet1'!$L$16"}</definedName>
    <definedName name="HTML_Controlmoi" localSheetId="2" hidden="1">{"'Sheet1'!$L$16"}</definedName>
    <definedName name="HTML_Controlmoi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moi" localSheetId="2" hidden="1">{"'Sheet1'!$L$16"}</definedName>
    <definedName name="HTMLmoi" hidden="1">{"'Sheet1'!$L$16"}</definedName>
    <definedName name="HTNL" localSheetId="2" hidden="1">{"'Sheet1'!$L$16"}</definedName>
    <definedName name="HTNL" hidden="1">{"'Sheet1'!$L$16"}</definedName>
    <definedName name="htriu4" localSheetId="2" hidden="1">{#N/A,#N/A,FALSE,"Chi tiÆt"}</definedName>
    <definedName name="htriu4" hidden="1">{#N/A,#N/A,FALSE,"Chi tiÆt"}</definedName>
    <definedName name="hu" localSheetId="2" hidden="1">{"'Sheet1'!$L$16"}</definedName>
    <definedName name="hu" hidden="1">{"'Sheet1'!$L$16"}</definedName>
    <definedName name="hui" localSheetId="2" hidden="1">{"'Sheet1'!$L$16"}</definedName>
    <definedName name="hui" hidden="1">{"'Sheet1'!$L$16"}</definedName>
    <definedName name="hung5" localSheetId="2" hidden="1">{"'Sheet1'!$L$16"}</definedName>
    <definedName name="hung5" hidden="1">{"'Sheet1'!$L$16"}</definedName>
    <definedName name="huong" localSheetId="2" hidden="1">{"'Sheet1'!$L$16"}</definedName>
    <definedName name="huong" hidden="1">{"'Sheet1'!$L$16"}</definedName>
    <definedName name="huy" localSheetId="2" hidden="1">{"'Sheet1'!$L$16"}</definedName>
    <definedName name="huy" hidden="1">{"'Sheet1'!$L$16"}</definedName>
    <definedName name="huy_xoa" localSheetId="2" hidden="1">{"'Sheet1'!$L$16"}</definedName>
    <definedName name="huy_xoa" hidden="1">{"'Sheet1'!$L$16"}</definedName>
    <definedName name="huy_xoa2" localSheetId="2" hidden="1">{"'Sheet1'!$L$16"}</definedName>
    <definedName name="huy_xoa2" hidden="1">{"'Sheet1'!$L$16"}</definedName>
    <definedName name="huy1moi" localSheetId="2" hidden="1">{"'Sheet1'!$L$16"}</definedName>
    <definedName name="huy1moi" hidden="1">{"'Sheet1'!$L$16"}</definedName>
    <definedName name="huyen" localSheetId="2" hidden="1">{"'Sheet1'!$L$16"}</definedName>
    <definedName name="huyen" hidden="1">{"'Sheet1'!$L$16"}</definedName>
    <definedName name="huymoi" localSheetId="2" hidden="1">{"'Sheet1'!$L$16"}</definedName>
    <definedName name="huymoi" hidden="1">{"'Sheet1'!$L$16"}</definedName>
    <definedName name="HUYØ" localSheetId="2" hidden="1">{"'Sheet1'!$L$16"}</definedName>
    <definedName name="HUYØ" hidden="1">{"'Sheet1'!$L$16"}</definedName>
    <definedName name="HY" localSheetId="2" hidden="1">{"'Sheet1'!$L$16"}</definedName>
    <definedName name="HY" hidden="1">{"'Sheet1'!$L$16"}</definedName>
    <definedName name="in" localSheetId="2" hidden="1">{"'Sheet1'!$L$16"}</definedName>
    <definedName name="in" hidden="1">{"'Sheet1'!$L$16"}</definedName>
    <definedName name="INDIRECT_COST" hidden="1">#REF!</definedName>
    <definedName name="IQ" localSheetId="2" hidden="1">{"'Summary'!$A$1:$J$46"}</definedName>
    <definedName name="IQ" hidden="1">{"'Summary'!$A$1:$J$46"}</definedName>
    <definedName name="ịth" localSheetId="2" hidden="1">{"'Sheet1'!$L$16"}</definedName>
    <definedName name="ịth" hidden="1">{"'Sheet1'!$L$16"}</definedName>
    <definedName name="jhakjhskjd" localSheetId="2" hidden="1">{0,0,0,0;0,0,TRUE,0;0,#N/A,FALSE,0;0,#N/A,FALSE,0;0,#N/A,FALSE,0;0,#N/A,FALSE,0;0,#N/A,FALSE,0}</definedName>
    <definedName name="jhakjhskjd" hidden="1">{0,0,0,0;0,0,TRUE,0;0,#N/A,FALSE,0;0,#N/A,FALSE,0;0,#N/A,FALSE,0;0,#N/A,FALSE,0;0,#N/A,FALSE,0}</definedName>
    <definedName name="jhgj" localSheetId="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hkjh" localSheetId="2" hidden="1">{"'Sheet1'!$L$16"}</definedName>
    <definedName name="jhhkjh" hidden="1">{"'Sheet1'!$L$16"}</definedName>
    <definedName name="jjjjj" localSheetId="2" hidden="1">{"'Sheet1'!$L$16"}</definedName>
    <definedName name="jjjjj" hidden="1">{"'Sheet1'!$L$16"}</definedName>
    <definedName name="jkh" localSheetId="2" hidden="1">{"'Sheet1'!$L$16"}</definedName>
    <definedName name="jkh" hidden="1">{"'Sheet1'!$L$16"}</definedName>
    <definedName name="jkjk" localSheetId="2" hidden="1">{"'Sheet1'!$L$16"}</definedName>
    <definedName name="jkjk" hidden="1">{"'Sheet1'!$L$16"}</definedName>
    <definedName name="JY" localSheetId="2" hidden="1">{"'Sheet1'!$L$16"}</definedName>
    <definedName name="JY" hidden="1">{"'Sheet1'!$L$16"}</definedName>
    <definedName name="jýỵy" localSheetId="2" hidden="1">{"'Sheet1'!$L$16"}</definedName>
    <definedName name="jýỵy" hidden="1">{"'Sheet1'!$L$16"}</definedName>
    <definedName name="k" localSheetId="2" hidden="1">{"'Sheet1'!$L$16"}</definedName>
    <definedName name="k" hidden="1">{"'Sheet1'!$L$16"}</definedName>
    <definedName name="k_xoa" localSheetId="2" hidden="1">{"Offgrid",#N/A,FALSE,"OFFGRID";"Region",#N/A,FALSE,"REGION";"Offgrid -2",#N/A,FALSE,"OFFGRID";"WTP",#N/A,FALSE,"WTP";"WTP -2",#N/A,FALSE,"WTP";"Project",#N/A,FALSE,"PROJECT";"Summary -2",#N/A,FALSE,"SUMMARY"}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localSheetId="2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CThep" localSheetId="2" hidden="1">{"'Sheet1'!$L$16"}</definedName>
    <definedName name="KCThep" hidden="1">{"'Sheet1'!$L$16"}</definedName>
    <definedName name="KDCNThonmoi20_00" localSheetId="2" hidden="1">{"'Sheet1'!$L$16"}</definedName>
    <definedName name="KDCNThonmoi20_00" hidden="1">{"'Sheet1'!$L$16"}</definedName>
    <definedName name="kdkk" localSheetId="2" hidden="1">{"'Sheet1'!$L$16"}</definedName>
    <definedName name="kdkk" hidden="1">{"'Sheet1'!$L$16"}</definedName>
    <definedName name="kgh" localSheetId="2" hidden="1">{"'Sheet1'!$L$16"}</definedName>
    <definedName name="kgh" hidden="1">{"'Sheet1'!$L$16"}</definedName>
    <definedName name="khanh" hidden="1">#REF!</definedName>
    <definedName name="khongtruotgia" localSheetId="2" hidden="1">{"'Sheet1'!$L$16"}</definedName>
    <definedName name="khongtruotgia" hidden="1">{"'Sheet1'!$L$16"}</definedName>
    <definedName name="KHSX" localSheetId="2" hidden="1">{"'Sheet1'!$L$16"}</definedName>
    <definedName name="KHSX" hidden="1">{"'Sheet1'!$L$16"}</definedName>
    <definedName name="kjjhhg" localSheetId="2" hidden="1">{"'Sheet1'!$L$16"}</definedName>
    <definedName name="kjjhhg" hidden="1">{"'Sheet1'!$L$16"}</definedName>
    <definedName name="kkk" localSheetId="2" hidden="1">{#N/A,#N/A,FALSE,"特殊室（ＢＱ表）"}</definedName>
    <definedName name="kkk" hidden="1">{#N/A,#N/A,FALSE,"特殊室（ＢＱ表）"}</definedName>
    <definedName name="kkkk" localSheetId="2" hidden="1">{"'Sheet1'!$L$16"}</definedName>
    <definedName name="kkkk" hidden="1">{"'Sheet1'!$L$16"}</definedName>
    <definedName name="Klassy" localSheetId="2" hidden="1">{"'Sheet1'!$L$16"}</definedName>
    <definedName name="Klassy" hidden="1">{"'Sheet1'!$L$16"}</definedName>
    <definedName name="klhkl" localSheetId="2" hidden="1">{#N/A,#N/A,FALSE,"CCTV"}</definedName>
    <definedName name="klhkl" hidden="1">{#N/A,#N/A,FALSE,"CCTV"}</definedName>
    <definedName name="KNDAT_CHUA_SU_DUNG" hidden="1">#REF!</definedName>
    <definedName name="ksbn" localSheetId="2" hidden="1">{"'Sheet1'!$L$16"}</definedName>
    <definedName name="ksbn" hidden="1">{"'Sheet1'!$L$16"}</definedName>
    <definedName name="KSDA" localSheetId="2" hidden="1">{"'Sheet1'!$L$16"}</definedName>
    <definedName name="KSDA" hidden="1">{"'Sheet1'!$L$16"}</definedName>
    <definedName name="kshn" localSheetId="2" hidden="1">{"'Sheet1'!$L$16"}</definedName>
    <definedName name="kshn" hidden="1">{"'Sheet1'!$L$16"}</definedName>
    <definedName name="ksls" localSheetId="2" hidden="1">{"'Sheet1'!$L$16"}</definedName>
    <definedName name="ksls" hidden="1">{"'Sheet1'!$L$16"}</definedName>
    <definedName name="kt" localSheetId="2" hidden="1">{"'Sheet1'!$L$16"}</definedName>
    <definedName name="kt" hidden="1">{"'Sheet1'!$L$16"}</definedName>
    <definedName name="ktdk0" localSheetId="2" hidden="1">{#N/A,#N/A,FALSE,"Chi tiÆt"}</definedName>
    <definedName name="ktdk0" hidden="1">{#N/A,#N/A,FALSE,"Chi tiÆt"}</definedName>
    <definedName name="lai" localSheetId="2" hidden="1">{"'Sheet1'!$L$16"}</definedName>
    <definedName name="lai" hidden="1">{"'Sheet1'!$L$16"}</definedName>
    <definedName name="lam" localSheetId="2" hidden="1">{"'Sheet1'!$L$16"}</definedName>
    <definedName name="lam" hidden="1">{"'Sheet1'!$L$16"}</definedName>
    <definedName name="lan" localSheetId="2" hidden="1">{#N/A,#N/A,TRUE,"BT M200 da 10x20"}</definedName>
    <definedName name="lan" hidden="1">{#N/A,#N/A,TRUE,"BT M200 da 10x20"}</definedName>
    <definedName name="langson" localSheetId="2" hidden="1">{"'Sheet1'!$L$16"}</definedName>
    <definedName name="langson" hidden="1">{"'Sheet1'!$L$16"}</definedName>
    <definedName name="latxay" localSheetId="2" hidden="1">{"'Sheet1'!$L$16"}</definedName>
    <definedName name="latxay" hidden="1">{"'Sheet1'!$L$16"}</definedName>
    <definedName name="LC_TOTAL" hidden="1">#REF!</definedName>
    <definedName name="LC5_total" hidden="1">#REF!</definedName>
    <definedName name="LC6_total" hidden="1">#REF!</definedName>
    <definedName name="LEEEE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ghag" hidden="1">#REF!</definedName>
    <definedName name="limcount" hidden="1">2</definedName>
    <definedName name="LIN" localSheetId="2" hidden="1">{"'Sheet1'!$L$16"}</definedName>
    <definedName name="LIN" hidden="1">{"'Sheet1'!$L$16"}</definedName>
    <definedName name="lkhg" hidden="1">#REF!</definedName>
    <definedName name="LLEE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l" localSheetId="2" hidden="1">{#N/A,#N/A,FALSE,"特殊室（ＢＱ表）"}</definedName>
    <definedName name="lll" hidden="1">{#N/A,#N/A,FALSE,"特殊室（ＢＱ表）"}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N" localSheetId="2" hidden="1">{"'Sheet1'!$L$16"}</definedName>
    <definedName name="LON" hidden="1">{"'Sheet1'!$L$16"}</definedName>
    <definedName name="LTKD" localSheetId="2" hidden="1">{"'Sheet1'!$L$16"}</definedName>
    <definedName name="LTKD" hidden="1">{"'Sheet1'!$L$16"}</definedName>
    <definedName name="luan" localSheetId="2" hidden="1">{"'Sheet1'!$L$16"}</definedName>
    <definedName name="luan" hidden="1">{"'Sheet1'!$L$16"}</definedName>
    <definedName name="M10." localSheetId="2" hidden="1">{"'Sheet1'!$L$16"}</definedName>
    <definedName name="M10." hidden="1">{"'Sheet1'!$L$16"}</definedName>
    <definedName name="matbang" localSheetId="2" hidden="1">{"'Sheet1'!$L$16"}</definedName>
    <definedName name="matbang" hidden="1">{"'Sheet1'!$L$16"}</definedName>
    <definedName name="MAU" localSheetId="2" hidden="1">{"'Sheet1'!$L$16"}</definedName>
    <definedName name="MAU" hidden="1">{"'Sheet1'!$L$16"}</definedName>
    <definedName name="mccb" localSheetId="2" hidden="1">{#N/A,#N/A,FALSE,"CCTV"}</definedName>
    <definedName name="mccb" hidden="1">{#N/A,#N/A,FALSE,"CCTV"}</definedName>
    <definedName name="MCCO" localSheetId="2" hidden="1">{#N/A,#N/A,FALSE,"CCTV"}</definedName>
    <definedName name="MCCO" hidden="1">{#N/A,#N/A,FALSE,"CCTV"}</definedName>
    <definedName name="MCCO10" localSheetId="2" hidden="1">{#N/A,#N/A,FALSE,"CCTV"}</definedName>
    <definedName name="MCCO10" hidden="1">{#N/A,#N/A,FALSE,"CCTV"}</definedName>
    <definedName name="MCCO11" localSheetId="2" hidden="1">{#N/A,#N/A,FALSE,"CCTV"}</definedName>
    <definedName name="MCCO11" hidden="1">{#N/A,#N/A,FALSE,"CCTV"}</definedName>
    <definedName name="MCCO12" localSheetId="2" hidden="1">{#N/A,#N/A,FALSE,"CCTV"}</definedName>
    <definedName name="MCCO12" hidden="1">{#N/A,#N/A,FALSE,"CCTV"}</definedName>
    <definedName name="MCCO13" localSheetId="2" hidden="1">{#N/A,#N/A,FALSE,"CCTV"}</definedName>
    <definedName name="MCCO13" hidden="1">{#N/A,#N/A,FALSE,"CCTV"}</definedName>
    <definedName name="MCCO3" localSheetId="2" hidden="1">{#N/A,#N/A,FALSE,"CCTV"}</definedName>
    <definedName name="MCCO3" hidden="1">{#N/A,#N/A,FALSE,"CCTV"}</definedName>
    <definedName name="MCCO4" localSheetId="2" hidden="1">{#N/A,#N/A,FALSE,"CCTV"}</definedName>
    <definedName name="MCCO4" hidden="1">{#N/A,#N/A,FALSE,"CCTV"}</definedName>
    <definedName name="MCCO5" localSheetId="2" hidden="1">{#N/A,#N/A,FALSE,"CCTV"}</definedName>
    <definedName name="MCCO5" hidden="1">{#N/A,#N/A,FALSE,"CCTV"}</definedName>
    <definedName name="MCCO6" localSheetId="2" hidden="1">{#N/A,#N/A,FALSE,"CCTV"}</definedName>
    <definedName name="MCCO6" hidden="1">{#N/A,#N/A,FALSE,"CCTV"}</definedName>
    <definedName name="MCCO7" localSheetId="2" hidden="1">{#N/A,#N/A,FALSE,"CCTV"}</definedName>
    <definedName name="MCCO7" hidden="1">{#N/A,#N/A,FALSE,"CCTV"}</definedName>
    <definedName name="MCCO8" localSheetId="2" hidden="1">{#N/A,#N/A,FALSE,"CCTV"}</definedName>
    <definedName name="MCCO8" hidden="1">{#N/A,#N/A,FALSE,"CCTV"}</definedName>
    <definedName name="MCCO9" localSheetId="2" hidden="1">{#N/A,#N/A,FALSE,"CCTV"}</definedName>
    <definedName name="MCCO9" hidden="1">{#N/A,#N/A,FALSE,"CCTV"}</definedName>
    <definedName name="MCCOÙ" localSheetId="2" hidden="1">{#N/A,#N/A,FALSE,"CCTV"}</definedName>
    <definedName name="MCCOÙ" hidden="1">{#N/A,#N/A,FALSE,"CCTV"}</definedName>
    <definedName name="MĐ3" localSheetId="2" hidden="1">{"'Sheet1'!$L$16"}</definedName>
    <definedName name="MĐ3" hidden="1">{"'Sheet1'!$L$16"}</definedName>
    <definedName name="mo" localSheetId="2" hidden="1">{"'Sheet1'!$L$16"}</definedName>
    <definedName name="mo" hidden="1">{"'Sheet1'!$L$16"}</definedName>
    <definedName name="moi" localSheetId="2" hidden="1">{"'Sheet1'!$L$16"}</definedName>
    <definedName name="moi" hidden="1">{"'Sheet1'!$L$16"}</definedName>
    <definedName name="mrn.inv._.budget" localSheetId="2" hidden="1">{"invbud-1",#N/A,FALSE,"A";"invbud-1CW",#N/A,FALSE,"A";"Desinvesteringen",#N/A,FALSE,"C"}</definedName>
    <definedName name="mrn.inv._.budget" hidden="1">{"invbud-1",#N/A,FALSE,"A";"invbud-1CW",#N/A,FALSE,"A";"Desinvesteringen",#N/A,FALSE,"C"}</definedName>
    <definedName name="MSC_SA_Transit" localSheetId="2" hidden="1">{#N/A,#N/A,TRUE,"Perm";#N/A,#N/A,TRUE,"Architecture"}</definedName>
    <definedName name="MSC_SA_Transit" hidden="1">{#N/A,#N/A,TRUE,"Perm";#N/A,#N/A,TRUE,"Architecture"}</definedName>
    <definedName name="mvac" localSheetId="2" hidden="1">{"'Sheet1'!$L$16"}</definedName>
    <definedName name="mvac" hidden="1">{"'Sheet1'!$L$16"}</definedName>
    <definedName name="n" localSheetId="2" hidden="1">{"'Sheet1'!$L$16"}</definedName>
    <definedName name="n" hidden="1">{"'Sheet1'!$L$16"}</definedName>
    <definedName name="nam" localSheetId="2" hidden="1">{"'Sheet1'!$L$16"}</definedName>
    <definedName name="nam" hidden="1">{"'Sheet1'!$L$16"}</definedName>
    <definedName name="Ne" localSheetId="2" hidden="1">{"'Sheet1'!$L$16"}</definedName>
    <definedName name="Ne" hidden="1">{"'Sheet1'!$L$16"}</definedName>
    <definedName name="New" hidden="1">#REF!</definedName>
    <definedName name="NEWNAME" localSheetId="2" hidden="1">{#N/A,#N/A,FALSE,"CCTV"}</definedName>
    <definedName name="NEWNAME" hidden="1">{#N/A,#N/A,FALSE,"CCTV"}</definedName>
    <definedName name="nga" localSheetId="2" hidden="1">{"COST",#N/A,FALSE,"SYNTHESE";"MARGIN",#N/A,FALSE,"SYNTHESE";"LOT_COM",#N/A,FALSE,"SYNTHESE"}</definedName>
    <definedName name="nga" hidden="1">{"COST",#N/A,FALSE,"SYNTHESE";"MARGIN",#N/A,FALSE,"SYNTHESE";"LOT_COM",#N/A,FALSE,"SYNTHESE"}</definedName>
    <definedName name="ngay23" localSheetId="2" hidden="1">{"'Sheet1'!$L$16"}</definedName>
    <definedName name="ngay23" hidden="1">{"'Sheet1'!$L$16"}</definedName>
    <definedName name="ngu" localSheetId="2" hidden="1">{"'Sheet1'!$L$16"}</definedName>
    <definedName name="ngu" hidden="1">{"'Sheet1'!$L$16"}</definedName>
    <definedName name="nguyet" localSheetId="2" hidden="1">{"'Sheet1'!$L$16"}</definedName>
    <definedName name="nguyet" hidden="1">{"'Sheet1'!$L$16"}</definedName>
    <definedName name="nham" localSheetId="2" hidden="1">{0,#VALUE!,0,0;0,#VALUE!,0,#VALUE!;0,0,0,0;#NULL!,0,0,0;0,0,TRUE,0;0,#N/A,FALSE,0;0,#N/A,FALSE,0}</definedName>
    <definedName name="nham" hidden="1">{0,#VALUE!,0,0;0,#VALUE!,0,#VALUE!;0,0,0,0;#NULL!,0,0,0;0,0,TRUE,0;0,#N/A,FALSE,0;0,#N/A,FALSE,0}</definedName>
    <definedName name="nharac" localSheetId="2" hidden="1">{#N/A,#N/A,FALSE,"Chi tiÆt"}</definedName>
    <definedName name="nharac" hidden="1">{#N/A,#N/A,FALSE,"Chi tiÆt"}</definedName>
    <definedName name="nhjyeru" localSheetId="2" hidden="1">{"'Sheet1'!$L$16"}</definedName>
    <definedName name="nhjyeru" hidden="1">{"'Sheet1'!$L$16"}</definedName>
    <definedName name="nnn" localSheetId="2" hidden="1">{"'Sheet1'!$L$16"}</definedName>
    <definedName name="nnn" hidden="1">{"'Sheet1'!$L$16"}</definedName>
    <definedName name="NTNB4" localSheetId="2" hidden="1">{"'Sheet1'!$L$16"}</definedName>
    <definedName name="NTNB4" hidden="1">{"'Sheet1'!$L$16"}</definedName>
    <definedName name="NUOCHKHOAN" localSheetId="2" hidden="1">{"'Sheet1'!$L$16"}</definedName>
    <definedName name="NUOCHKHOAN" hidden="1">{"'Sheet1'!$L$16"}</definedName>
    <definedName name="NUOCHKHOANMOI" localSheetId="2" hidden="1">{"'Sheet1'!$L$16"}</definedName>
    <definedName name="NUOCHKHOANMOI" hidden="1">{"'Sheet1'!$L$16"}</definedName>
    <definedName name="o" localSheetId="2" hidden="1">{"'Sheet1'!$L$16"}</definedName>
    <definedName name="o" hidden="1">{"'Sheet1'!$L$16"}</definedName>
    <definedName name="oa" hidden="1">#REF!</definedName>
    <definedName name="OC" localSheetId="2" hidden="1">{"'Sheet1'!$L$16"}</definedName>
    <definedName name="OC" hidden="1">{"'Sheet1'!$L$16"}</definedName>
    <definedName name="OrderTable" hidden="1">#REF!</definedName>
    <definedName name="PAIII_" localSheetId="2" hidden="1">{"'Sheet1'!$L$16"}</definedName>
    <definedName name="PAIII_" hidden="1">{"'Sheet1'!$L$16"}</definedName>
    <definedName name="PDO" localSheetId="2" hidden="1">{"'Summary'!$A$1:$J$46"}</definedName>
    <definedName name="PDO" hidden="1">{"'Summary'!$A$1:$J$46"}</definedName>
    <definedName name="pdq" localSheetId="2" hidden="1">{"'Summary'!$A$1:$J$46"}</definedName>
    <definedName name="pdq" hidden="1">{"'Summary'!$A$1:$J$46"}</definedName>
    <definedName name="pe" localSheetId="2" hidden="1">{"'Sheet1'!$L$16"}</definedName>
    <definedName name="pe" hidden="1">{"'Sheet1'!$L$16"}</definedName>
    <definedName name="phai" localSheetId="2" hidden="1">{"'Sheet1'!$L$16"}</definedName>
    <definedName name="phai" hidden="1">{"'Sheet1'!$L$16"}</definedName>
    <definedName name="phantich3" localSheetId="2" hidden="1">{"'Sheet1'!$L$16"}</definedName>
    <definedName name="phantich3" hidden="1">{"'Sheet1'!$L$16"}</definedName>
    <definedName name="phñto2" localSheetId="2" hidden="1">{"'Sheet1'!$L$16"}</definedName>
    <definedName name="phñto2" hidden="1">{"'Sheet1'!$L$16"}</definedName>
    <definedName name="Phukien2" localSheetId="2" hidden="1">{"'Sheet1'!$L$16"}</definedName>
    <definedName name="Phukien2" hidden="1">{"'Sheet1'!$L$16"}</definedName>
    <definedName name="phuluc" localSheetId="2" hidden="1">{"'Sheet1'!$L$16"}</definedName>
    <definedName name="phuluc" hidden="1">{"'Sheet1'!$L$16"}</definedName>
    <definedName name="phuluc2" localSheetId="2" hidden="1">{"'Sheet1'!$L$16"}</definedName>
    <definedName name="phuluc2" hidden="1">{"'Sheet1'!$L$16"}</definedName>
    <definedName name="phuong" localSheetId="2" hidden="1">{"'Sheet1'!$L$16"}</definedName>
    <definedName name="phuong" hidden="1">{"'Sheet1'!$L$16"}</definedName>
    <definedName name="Pipe" localSheetId="2" hidden="1">{#N/A,#N/A,FALSE,"CCTV"}</definedName>
    <definedName name="Pipe" hidden="1">{#N/A,#N/A,FALSE,"CCTV"}</definedName>
    <definedName name="PL" localSheetId="2" hidden="1">{"'Sheet1'!$L$16"}</definedName>
    <definedName name="PL" hidden="1">{"'Sheet1'!$L$16"}</definedName>
    <definedName name="PL04TSQD" localSheetId="2" hidden="1">{"'Sheet1'!$L$16"}</definedName>
    <definedName name="PL04TSQD" hidden="1">{"'Sheet1'!$L$16"}</definedName>
    <definedName name="PlucBcaoTD" localSheetId="2" hidden="1">{"'Sheet1'!$L$16"}</definedName>
    <definedName name="PlucBcaoTD" hidden="1">{"'Sheet1'!$L$16"}</definedName>
    <definedName name="PMS" localSheetId="2" hidden="1">{"'Sheet1'!$L$16"}</definedName>
    <definedName name="PMS" hidden="1">{"'Sheet1'!$L$16"}</definedName>
    <definedName name="Port1" localSheetId="2" hidden="1">{#N/A,#N/A,FALSE,"特殊室（ＢＱ表）"}</definedName>
    <definedName name="Port1" hidden="1">{#N/A,#N/A,FALSE,"特殊室（ＢＱ表）"}</definedName>
    <definedName name="port11" localSheetId="2" hidden="1">{#N/A,#N/A,FALSE,"特殊室（ＢＱ表）"}</definedName>
    <definedName name="port11" hidden="1">{#N/A,#N/A,FALSE,"特殊室（ＢＱ表）"}</definedName>
    <definedName name="pp" localSheetId="2" hidden="1">{#N/A,#N/A,FALSE,"OUTPUT SHEET "}</definedName>
    <definedName name="pp" hidden="1">{#N/A,#N/A,FALSE,"OUTPUT SHEET "}</definedName>
    <definedName name="ｐｐｐｐ" localSheetId="2" hidden="1">{"'Sheet1'!$L$16"}</definedName>
    <definedName name="ｐｐｐｐ" hidden="1">{"'Sheet1'!$L$16"}</definedName>
    <definedName name="ProdForm" hidden="1">#REF!</definedName>
    <definedName name="Product" hidden="1">#REF!</definedName>
    <definedName name="PRODUCTION" localSheetId="2" hidden="1">{"'Sheet1'!$L$16"}</definedName>
    <definedName name="PRODUCTION" hidden="1">{"'Sheet1'!$L$16"}</definedName>
    <definedName name="pthu" localSheetId="2" hidden="1">{"'Sheet1'!$L$16"}</definedName>
    <definedName name="pthu" hidden="1">{"'Sheet1'!$L$16"}</definedName>
    <definedName name="ptich3" localSheetId="2" hidden="1">{"'Sheet1'!$L$16"}</definedName>
    <definedName name="ptich3" hidden="1">{"'Sheet1'!$L$16"}</definedName>
    <definedName name="PUBLIC" localSheetId="2" hidden="1">{"'Sheet1'!$L$16"}</definedName>
    <definedName name="PUBLIC" hidden="1">{"'Sheet1'!$L$16"}</definedName>
    <definedName name="qd10_gt" localSheetId="2" hidden="1">{"'Sheet1'!$L$16"}</definedName>
    <definedName name="qd10_gt" hidden="1">{"'Sheet1'!$L$16"}</definedName>
    <definedName name="qềqg" localSheetId="2" hidden="1">{"'Sheet1'!$L$16"}</definedName>
    <definedName name="qềqg" hidden="1">{"'Sheet1'!$L$16"}</definedName>
    <definedName name="QQQ" localSheetId="2" hidden="1">{"'Sheet1'!$L$16"}</definedName>
    <definedName name="QQQ" hidden="1">{"'Sheet1'!$L$16"}</definedName>
    <definedName name="qừq" localSheetId="2" hidden="1">{#N/A,#N/A,FALSE,"Chi tiÆt"}</definedName>
    <definedName name="qừq" hidden="1">{#N/A,#N/A,FALSE,"Chi tiÆt"}</definedName>
    <definedName name="quy" localSheetId="2" hidden="1">{"'Sheet1'!$L$16"}</definedName>
    <definedName name="quy" hidden="1">{"'Sheet1'!$L$16"}</definedName>
    <definedName name="QWE" localSheetId="2" hidden="1">{"'Sheet1'!$L$16"}</definedName>
    <definedName name="QWE" hidden="1">{"'Sheet1'!$L$16"}</definedName>
    <definedName name="qwwqe" localSheetId="2" hidden="1">{"'Sheet1'!$L$16"}</definedName>
    <definedName name="qwwqe" hidden="1">{"'Sheet1'!$L$16"}</definedName>
    <definedName name="Ranhxay" localSheetId="2" hidden="1">{"'Sheet1'!$L$16"}</definedName>
    <definedName name="Ranhxay" hidden="1">{"'Sheet1'!$L$16"}</definedName>
    <definedName name="RCArea" hidden="1">#REF!</definedName>
    <definedName name="rdrdd" localSheetId="2" hidden="1">{#N/A,#N/A,FALSE,"Chi tiÆt"}</definedName>
    <definedName name="rdrdd" hidden="1">{#N/A,#N/A,FALSE,"Chi tiÆt"}</definedName>
    <definedName name="report1" localSheetId="2" hidden="1">{#N/A,#N/A,FALSE,"特殊室（ＢＱ表）"}</definedName>
    <definedName name="report1" hidden="1">{#N/A,#N/A,FALSE,"特殊室（ＢＱ表）"}</definedName>
    <definedName name="report2" localSheetId="2" hidden="1">{#N/A,#N/A,FALSE,"特殊室（ＢＱ表）"}</definedName>
    <definedName name="report2" hidden="1">{#N/A,#N/A,FALSE,"特殊室（ＢＱ表）"}</definedName>
    <definedName name="Result21" localSheetId="2" hidden="1">{"'Sheet1'!$L$16"}</definedName>
    <definedName name="Result21" hidden="1">{"'Sheet1'!$L$16"}</definedName>
    <definedName name="rgdf" localSheetId="2" hidden="1">{"'Sheet1'!$L$16"}</definedName>
    <definedName name="rgdf" hidden="1">{"'Sheet1'!$L$16"}</definedName>
    <definedName name="rgwergfwe" localSheetId="2" hidden="1">{"'Sheet1'!$L$16"}</definedName>
    <definedName name="rgwergfwe" hidden="1">{"'Sheet1'!$L$16"}</definedName>
    <definedName name="RH" localSheetId="2" hidden="1">{"'Sheet1'!$L$16"}</definedName>
    <definedName name="RH" hidden="1">{"'Sheet1'!$L$16"}</definedName>
    <definedName name="rhgrs" localSheetId="2" hidden="1">{"'Sheet1'!$L$16"}</definedName>
    <definedName name="rhgrs" hidden="1">{"'Sheet1'!$L$16"}</definedName>
    <definedName name="RHODIA" localSheetId="2" hidden="1">{"'DocTypeCode'!$A$142:$A$226"}</definedName>
    <definedName name="RHODIA" hidden="1">{"'DocTypeCode'!$A$142:$A$226"}</definedName>
    <definedName name="rhrewhehe" localSheetId="2" hidden="1">{#N/A,#N/A,FALSE,"Chi tiÆt"}</definedName>
    <definedName name="rhrewhehe" hidden="1">{#N/A,#N/A,FALSE,"Chi tiÆt"}</definedName>
    <definedName name="rjf" localSheetId="2" hidden="1">{"Offgrid",#N/A,FALSE,"OFFGRID";"Region",#N/A,FALSE,"REGION";"Offgrid -2",#N/A,FALSE,"OFFGRID";"WTP",#N/A,FALSE,"WTP";"WTP -2",#N/A,FALSE,"WTP";"Project",#N/A,FALSE,"PROJECT";"Summary -2",#N/A,FALSE,"SUMMARY"}</definedName>
    <definedName name="rjf" hidden="1">{"Offgrid",#N/A,FALSE,"OFFGRID";"Region",#N/A,FALSE,"REGION";"Offgrid -2",#N/A,FALSE,"OFFGRID";"WTP",#N/A,FALSE,"WTP";"WTP -2",#N/A,FALSE,"WTP";"Project",#N/A,FALSE,"PROJECT";"Summary -2",#N/A,FALSE,"SUMMARY"}</definedName>
    <definedName name="rkd" localSheetId="2" hidden="1">{#N/A,#N/A,FALSE,"CCTV"}</definedName>
    <definedName name="rkd" hidden="1">{#N/A,#N/A,FALSE,"CCTV"}</definedName>
    <definedName name="row" hidden="1">#REF!</definedName>
    <definedName name="RPLA" localSheetId="2" hidden="1">{"'Sheet1'!$L$16"}</definedName>
    <definedName name="RPLA" hidden="1">{"'Sheet1'!$L$16"}</definedName>
    <definedName name="rr" localSheetId="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rrr" localSheetId="2" hidden="1">{"'Sheet1'!$L$16"}</definedName>
    <definedName name="rrr" hidden="1">{"'Sheet1'!$L$16"}</definedName>
    <definedName name="rthttr" localSheetId="2" hidden="1">{"'Sheet1'!$L$16"}</definedName>
    <definedName name="rthttr" hidden="1">{"'Sheet1'!$L$16"}</definedName>
    <definedName name="rtyrtyt" hidden="1">#REF!</definedName>
    <definedName name="rtytry" hidden="1">#REF!</definedName>
    <definedName name="rweqrwe" localSheetId="2" hidden="1">{"'Sheet1'!$L$16"}</definedName>
    <definedName name="rweqrwe" hidden="1">{"'Sheet1'!$L$16"}</definedName>
    <definedName name="ryhtrd" localSheetId="2" hidden="1">{#N/A,#N/A,FALSE,"Chi tiÆt"}</definedName>
    <definedName name="ryhtrd" hidden="1">{#N/A,#N/A,FALSE,"Chi tiÆt"}</definedName>
    <definedName name="s" localSheetId="2" hidden="1">{"'Sheet1'!$L$16"}</definedName>
    <definedName name="s" hidden="1">{"'Sheet1'!$L$16"}</definedName>
    <definedName name="sad" localSheetId="2" hidden="1">{"'Sheet1'!$L$16"}</definedName>
    <definedName name="sad" hidden="1">{"'Sheet1'!$L$16"}</definedName>
    <definedName name="sagawa" hidden="1">#REF!</definedName>
    <definedName name="SAPBEXrevision" hidden="1">7</definedName>
    <definedName name="SAPBEXsysID" hidden="1">"P57"</definedName>
    <definedName name="SAPBEXwbID" hidden="1">"3JX5BV41R2KVEX9FV6LB6ZNYC"</definedName>
    <definedName name="sas" localSheetId="2" hidden="1">{"'Sheet1'!$L$16"}</definedName>
    <definedName name="sas" hidden="1">{"'Sheet1'!$L$16"}</definedName>
    <definedName name="SD" localSheetId="2" hidden="1">{"'ELEC'!$A$2:$H$216","'ELEC'!$C$2:$D$2"}</definedName>
    <definedName name="SD" hidden="1">{"'ELEC'!$A$2:$H$216","'ELEC'!$C$2:$D$2"}</definedName>
    <definedName name="sd¸d" localSheetId="2" hidden="1">{"'Sheet1'!$L$16"}</definedName>
    <definedName name="sd¸d" hidden="1">{"'Sheet1'!$L$16"}</definedName>
    <definedName name="sdcsd" localSheetId="2" hidden="1">{"'Sheet1'!$L$16"}</definedName>
    <definedName name="sdcsd" hidden="1">{"'Sheet1'!$L$16"}</definedName>
    <definedName name="sdd" localSheetId="2" hidden="1">{"'Sheet1'!$L$16"}</definedName>
    <definedName name="sdd" hidden="1">{"'Sheet1'!$L$16"}</definedName>
    <definedName name="sdf" localSheetId="2" hidden="1">{"'Sheet1'!$L$16"}</definedName>
    <definedName name="sdf" hidden="1">{"'Sheet1'!$L$16"}</definedName>
    <definedName name="sdfda" localSheetId="2" hidden="1">{"'Sheet1'!$L$16"}</definedName>
    <definedName name="sdfda" hidden="1">{"'Sheet1'!$L$16"}</definedName>
    <definedName name="SDFSDFS" localSheetId="2" hidden="1">{"'Sheet1'!$L$16"}</definedName>
    <definedName name="SDFSDFS" hidden="1">{"'Sheet1'!$L$16"}</definedName>
    <definedName name="sdfsdfsd" localSheetId="2" hidden="1">{"'Sheet1'!$L$16"}</definedName>
    <definedName name="sdfsdfsd" hidden="1">{"'Sheet1'!$L$16"}</definedName>
    <definedName name="SDG" localSheetId="2" hidden="1">{"'Sheet1'!$L$16"}</definedName>
    <definedName name="SDG" hidden="1">{"'Sheet1'!$L$16"}</definedName>
    <definedName name="sdgf" localSheetId="2" hidden="1">{"COST",#N/A,FALSE,"SYNTHESE";"MARGIN",#N/A,FALSE,"SYNTHESE";"LOT_COM",#N/A,FALSE,"SYNTHESE"}</definedName>
    <definedName name="sdgf" hidden="1">{"COST",#N/A,FALSE,"SYNTHESE";"MARGIN",#N/A,FALSE,"SYNTHESE";"LOT_COM",#N/A,FALSE,"SYNTHESE"}</definedName>
    <definedName name="sds" localSheetId="2" hidden="1">{"'Sheet1'!$L$16"}</definedName>
    <definedName name="sds" hidden="1">{"'Sheet1'!$L$16"}</definedName>
    <definedName name="sdsdwdwdd" hidden="1">#REF!</definedName>
    <definedName name="sdz" localSheetId="2" hidden="1">{"'Sheet1'!$L$16"}</definedName>
    <definedName name="sdz" hidden="1">{"'Sheet1'!$L$16"}</definedName>
    <definedName name="seet2" localSheetId="2" hidden="1">{"'Sheet1'!$L$16"}</definedName>
    <definedName name="seet2" hidden="1">{"'Sheet1'!$L$16"}</definedName>
    <definedName name="sencount" hidden="1">2</definedName>
    <definedName name="sfaFsF" localSheetId="2" hidden="1">{#N/A,#N/A,TRUE,"Perm";#N/A,#N/A,TRUE,"Architecture"}</definedName>
    <definedName name="sfaFsF" hidden="1">{#N/A,#N/A,TRUE,"Perm";#N/A,#N/A,TRUE,"Architecture"}</definedName>
    <definedName name="sfAFSsaf" localSheetId="2" hidden="1">{#N/A,#N/A,FALSE,"Main"}</definedName>
    <definedName name="sfAFSsaf" hidden="1">{#N/A,#N/A,FALSE,"Main"}</definedName>
    <definedName name="sfcas" localSheetId="2" hidden="1">{#N/A,#N/A,TRUE,"Perm";#N/A,#N/A,TRUE,"Architecture"}</definedName>
    <definedName name="sfcas" hidden="1">{#N/A,#N/A,TRUE,"Perm";#N/A,#N/A,TRUE,"Architecture"}</definedName>
    <definedName name="sfd" localSheetId="2" hidden="1">{"'Sheet1'!$L$16"}</definedName>
    <definedName name="sfd" hidden="1">{"'Sheet1'!$L$16"}</definedName>
    <definedName name="sff" localSheetId="2" hidden="1">{"'Sheet1'!$L$16"}</definedName>
    <definedName name="sff" hidden="1">{"'Sheet1'!$L$16"}</definedName>
    <definedName name="sfsd" localSheetId="2" hidden="1">{"'Sheet1'!$L$16"}</definedName>
    <definedName name="sfsd" hidden="1">{"'Sheet1'!$L$16"}</definedName>
    <definedName name="SGG" localSheetId="2" hidden="1">{"'Sheet1'!$L$16"}</definedName>
    <definedName name="SGG" hidden="1">{"'Sheet1'!$L$16"}</definedName>
    <definedName name="sgjyti" localSheetId="2" hidden="1">{"'Sheet1'!$L$16"}</definedName>
    <definedName name="sgjyti" hidden="1">{"'Sheet1'!$L$16"}</definedName>
    <definedName name="sgsr" localSheetId="2" hidden="1">{"'Sheet1'!$L$16"}</definedName>
    <definedName name="sgsr" hidden="1">{"'Sheet1'!$L$16"}</definedName>
    <definedName name="sheet1" localSheetId="2" hidden="1">{#N/A,#N/A,FALSE,"CCTV"}</definedName>
    <definedName name="sheet1" hidden="1">{#N/A,#N/A,FALSE,"CCTV"}</definedName>
    <definedName name="sheet2" localSheetId="2" hidden="1">{"'Sheet1'!$L$16"}</definedName>
    <definedName name="sheet2" hidden="1">{"'Sheet1'!$L$16"}</definedName>
    <definedName name="sheet3" localSheetId="2" hidden="1">{#N/A,#N/A,FALSE,"Sheet1"}</definedName>
    <definedName name="sheet3" hidden="1">{#N/A,#N/A,FALSE,"Sheet1"}</definedName>
    <definedName name="shsrhtr" localSheetId="2" hidden="1">{"'Sheet1'!$L$16"}</definedName>
    <definedName name="shsrhtr" hidden="1">{"'Sheet1'!$L$16"}</definedName>
    <definedName name="SITE_EXPENSE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231184</definedName>
    <definedName name="Spample" localSheetId="2" hidden="1">{"'Sheet1'!$L$16"}</definedName>
    <definedName name="Spample" hidden="1">{"'Sheet1'!$L$16"}</definedName>
    <definedName name="SpecialPrice" hidden="1">#REF!</definedName>
    <definedName name="ssd" localSheetId="2" hidden="1">{"Offgrid",#N/A,FALSE,"OFFGRID";"Region",#N/A,FALSE,"REGION";"Offgrid -2",#N/A,FALSE,"OFFGRID";"WTP",#N/A,FALSE,"WTP";"WTP -2",#N/A,FALSE,"WTP";"Project",#N/A,FALSE,"PROJECT";"Summary -2",#N/A,FALSE,"SUMMARY"}</definedName>
    <definedName name="ssd" hidden="1">{"Offgrid",#N/A,FALSE,"OFFGRID";"Region",#N/A,FALSE,"REGION";"Offgrid -2",#N/A,FALSE,"OFFGRID";"WTP",#N/A,FALSE,"WTP";"WTP -2",#N/A,FALSE,"WTP";"Project",#N/A,FALSE,"PROJECT";"Summary -2",#N/A,FALSE,"SUMMARY"}</definedName>
    <definedName name="sss" localSheetId="2" hidden="1">{"'Sheet1'!$L$16"}</definedName>
    <definedName name="sss" hidden="1">{"'Sheet1'!$L$16"}</definedName>
    <definedName name="sssd" localSheetId="2" hidden="1">{#N/A,#N/A,FALSE,"Chi tiÆt"}</definedName>
    <definedName name="sssd" hidden="1">{#N/A,#N/A,FALSE,"Chi tiÆt"}</definedName>
    <definedName name="ssssfd" hidden="1">#REF!</definedName>
    <definedName name="ssssssss" localSheetId="2" hidden="1">{"Offgrid",#N/A,FALSE,"OFFGRID";"Region",#N/A,FALSE,"REGION";"Offgrid -2",#N/A,FALSE,"OFFGRID";"WTP",#N/A,FALSE,"WTP";"WTP -2",#N/A,FALSE,"WTP";"Project",#N/A,FALSE,"PROJECT";"Summary -2",#N/A,FALSE,"SUMMARY"}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ubbase" localSheetId="2" hidden="1">{"'Sheet1'!$L$16"}</definedName>
    <definedName name="Subbase" hidden="1">{"'Sheet1'!$L$16"}</definedName>
    <definedName name="SUM_DRAINAGE" hidden="1">#REF!</definedName>
    <definedName name="SUM_GI" hidden="1">#REF!</definedName>
    <definedName name="SUM_LIGHTING" hidden="1">#REF!</definedName>
    <definedName name="SUM_PAVEMENT" hidden="1">#REF!</definedName>
    <definedName name="SUM_TRAFFIC" hidden="1">#REF!</definedName>
    <definedName name="T.3" localSheetId="2" hidden="1">{"'Sheet1'!$L$16"}</definedName>
    <definedName name="T.3" hidden="1">{"'Sheet1'!$L$16"}</definedName>
    <definedName name="tan" localSheetId="2" hidden="1">{"'Sheet1'!$L$16"}</definedName>
    <definedName name="tan" hidden="1">{"'Sheet1'!$L$16"}</definedName>
    <definedName name="tbimoi" localSheetId="2" hidden="1">{"Offgrid",#N/A,FALSE,"OFFGRID";"Region",#N/A,FALSE,"REGION";"Offgrid -2",#N/A,FALSE,"OFFGRID";"WTP",#N/A,FALSE,"WTP";"WTP -2",#N/A,FALSE,"WTP";"Project",#N/A,FALSE,"PROJECT";"Summary -2",#N/A,FALSE,"SUMMARY"}</definedName>
    <definedName name="tbimoi" hidden="1">{"Offgrid",#N/A,FALSE,"OFFGRID";"Region",#N/A,FALSE,"REGION";"Offgrid -2",#N/A,FALSE,"OFFGRID";"WTP",#N/A,FALSE,"WTP";"WTP -2",#N/A,FALSE,"WTP";"Project",#N/A,FALSE,"PROJECT";"Summary -2",#N/A,FALSE,"SUMMARY"}</definedName>
    <definedName name="tbl_ProdInfo" hidden="1">#REF!</definedName>
    <definedName name="tchi" localSheetId="2" hidden="1">{"'Sheet1'!$L$16"}</definedName>
    <definedName name="tchi" hidden="1">{"'Sheet1'!$L$16"}</definedName>
    <definedName name="tem" localSheetId="2" hidden="1">{"'Sheet1'!$L$16"}</definedName>
    <definedName name="tem" hidden="1">{"'Sheet1'!$L$16"}</definedName>
    <definedName name="TenTan_1" localSheetId="2" hidden="1">{"'Sheet1'!$L$16"}</definedName>
    <definedName name="TenTan_1" hidden="1">{"'Sheet1'!$L$16"}</definedName>
    <definedName name="tet" localSheetId="2" hidden="1">{0,#NULL!,0,FALSE;0,0,0,0;0,0,0,7.29290327383173E-304;0,0,0,0;0,0,0,0;0,0,0,0;0,0,0,0}</definedName>
    <definedName name="tet" hidden="1">{0,#NULL!,0,FALSE;0,0,0,0;0,0,0,7.29290327383173E-304;0,0,0,0;0,0,0,0;0,0,0,0;0,0,0,0}</definedName>
    <definedName name="TextRefCopyRangeCount" hidden="1">11</definedName>
    <definedName name="TGNH" localSheetId="2" hidden="1">{"'Sheet1'!$L$16"}</definedName>
    <definedName name="TGNH" hidden="1">{"'Sheet1'!$L$16"}</definedName>
    <definedName name="tgrr" localSheetId="2" hidden="1">{"'Sheet1'!$L$16"}</definedName>
    <definedName name="tgrr" hidden="1">{"'Sheet1'!$L$16"}</definedName>
    <definedName name="tgưgz" localSheetId="2" hidden="1">{"'Sheet1'!$L$16"}</definedName>
    <definedName name="tgưgz" hidden="1">{"'Sheet1'!$L$16"}</definedName>
    <definedName name="TH" localSheetId="2" hidden="1">{#N/A,#N/A,FALSE,"Chi tiÆt"}</definedName>
    <definedName name="TH" hidden="1">{#N/A,#N/A,FALSE,"Chi tiÆt"}</definedName>
    <definedName name="tha" localSheetId="2" hidden="1">{"'Sheet1'!$L$16"}</definedName>
    <definedName name="tha" hidden="1">{"'Sheet1'!$L$16"}</definedName>
    <definedName name="THAN" localSheetId="2" hidden="1">{"'Sheet1'!$L$16"}</definedName>
    <definedName name="THAN" hidden="1">{"'Sheet1'!$L$16"}</definedName>
    <definedName name="Thang" localSheetId="2" hidden="1">{"'Sheet1'!$L$16"}</definedName>
    <definedName name="Thang" hidden="1">{"'Sheet1'!$L$16"}</definedName>
    <definedName name="Thang1" localSheetId="2" hidden="1">{"'Sheet1'!$L$16"}</definedName>
    <definedName name="Thang1" hidden="1">{"'Sheet1'!$L$16"}</definedName>
    <definedName name="thang10" localSheetId="2" hidden="1">{"'Sheet1'!$L$16"}</definedName>
    <definedName name="thang10" hidden="1">{"'Sheet1'!$L$16"}</definedName>
    <definedName name="THANH" localSheetId="2" hidden="1">{"'Sheet1'!$L$16"}</definedName>
    <definedName name="THANH" hidden="1">{"'Sheet1'!$L$16"}</definedName>
    <definedName name="thao" localSheetId="2" hidden="1">{"'Sheet1'!$L$16"}</definedName>
    <definedName name="thao" hidden="1">{"'Sheet1'!$L$16"}</definedName>
    <definedName name="TheodoiBCTCT" localSheetId="2" hidden="1">{"'Sheet1'!$L$16"}</definedName>
    <definedName name="TheodoiBCTCT" hidden="1">{"'Sheet1'!$L$16"}</definedName>
    <definedName name="THHD" localSheetId="2" hidden="1">{"'Sheet1'!$L$16"}</definedName>
    <definedName name="THHD" hidden="1">{"'Sheet1'!$L$16"}</definedName>
    <definedName name="THHVT" localSheetId="2" hidden="1">{"'Sheet1'!$L$16"}</definedName>
    <definedName name="THHVT" hidden="1">{"'Sheet1'!$L$16"}</definedName>
    <definedName name="thkl2" localSheetId="2" hidden="1">{"'Sheet1'!$L$16"}</definedName>
    <definedName name="thkl2" hidden="1">{"'Sheet1'!$L$16"}</definedName>
    <definedName name="thkl3" localSheetId="2" hidden="1">{"'Sheet1'!$L$16"}</definedName>
    <definedName name="thkl3" hidden="1">{"'Sheet1'!$L$16"}</definedName>
    <definedName name="THKLDD" localSheetId="2" hidden="1">{"'Sheet1'!$L$16"}</definedName>
    <definedName name="THKLDD" hidden="1">{"'Sheet1'!$L$16"}</definedName>
    <definedName name="thkp1" localSheetId="2" hidden="1">{"'Sheet1'!$L$16"}</definedName>
    <definedName name="thkp1" hidden="1">{"'Sheet1'!$L$16"}</definedName>
    <definedName name="THKP7YT" localSheetId="2" hidden="1">{"'Sheet1'!$L$16"}</definedName>
    <definedName name="THKP7YT" hidden="1">{"'Sheet1'!$L$16"}</definedName>
    <definedName name="THLeloi" localSheetId="2" hidden="1">{"'Sheet1'!$L$16"}</definedName>
    <definedName name="THLeloi" hidden="1">{"'Sheet1'!$L$16"}</definedName>
    <definedName name="thng" localSheetId="2" hidden="1">{#N/A,#N/A,FALSE,"Chi tiÆt"}</definedName>
    <definedName name="thng" hidden="1">{#N/A,#N/A,FALSE,"Chi tiÆt"}</definedName>
    <definedName name="THNgHue" localSheetId="2" hidden="1">{"'Sheet1'!$L$16"}</definedName>
    <definedName name="THNgHue" hidden="1">{"'Sheet1'!$L$16"}</definedName>
    <definedName name="THNgThHoc" localSheetId="2" hidden="1">{"'Sheet1'!$L$16"}</definedName>
    <definedName name="THNgThHoc" hidden="1">{"'Sheet1'!$L$16"}</definedName>
    <definedName name="Thop" localSheetId="2" hidden="1">{#N/A,#N/A,FALSE,"Chi tiÆt"}</definedName>
    <definedName name="Thop" hidden="1">{#N/A,#N/A,FALSE,"Chi tiÆt"}</definedName>
    <definedName name="THQuiCapChan" localSheetId="2" hidden="1">{"'Sheet1'!$L$16"}</definedName>
    <definedName name="THQuiCapChan" hidden="1">{"'Sheet1'!$L$16"}</definedName>
    <definedName name="thQuicaple" localSheetId="2" hidden="1">{"'Sheet1'!$L$16"}</definedName>
    <definedName name="thQuicaple" hidden="1">{"'Sheet1'!$L$16"}</definedName>
    <definedName name="THTranPhu" localSheetId="2" hidden="1">{"'Sheet1'!$L$16"}</definedName>
    <definedName name="THTranPhu" hidden="1">{"'Sheet1'!$L$16"}</definedName>
    <definedName name="thu" localSheetId="2" hidden="1">{"'Sheet1'!$L$16"}</definedName>
    <definedName name="thu" hidden="1">{"'Sheet1'!$L$16"}</definedName>
    <definedName name="thuy" localSheetId="2" hidden="1">{"'Sheet1'!$L$16"}</definedName>
    <definedName name="thuy" hidden="1">{"'Sheet1'!$L$16"}</definedName>
    <definedName name="thvlmoi" localSheetId="2" hidden="1">{"'Sheet1'!$L$16"}</definedName>
    <definedName name="thvlmoi" hidden="1">{"'Sheet1'!$L$16"}</definedName>
    <definedName name="thvlmoimoi" localSheetId="2" hidden="1">{"'Sheet1'!$L$16"}</definedName>
    <definedName name="thvlmoimoi" hidden="1">{"'Sheet1'!$L$16"}</definedName>
    <definedName name="tjhtrjntrsjnsr" localSheetId="2" hidden="1">{"'Sheet1'!$L$16"}</definedName>
    <definedName name="tjhtrjntrsjnsr" hidden="1">{"'Sheet1'!$L$16"}</definedName>
    <definedName name="tjhủn" localSheetId="2" hidden="1">{"Offgrid",#N/A,FALSE,"OFFGRID";"Region",#N/A,FALSE,"REGION";"Offgrid -2",#N/A,FALSE,"OFFGRID";"WTP",#N/A,FALSE,"WTP";"WTP -2",#N/A,FALSE,"WTP";"Project",#N/A,FALSE,"PROJECT";"Summary -2",#N/A,FALSE,"SUMMARY"}</definedName>
    <definedName name="tjhủn" hidden="1">{"Offgrid",#N/A,FALSE,"OFFGRID";"Region",#N/A,FALSE,"REGION";"Offgrid -2",#N/A,FALSE,"OFFGRID";"WTP",#N/A,FALSE,"WTP";"WTP -2",#N/A,FALSE,"WTP";"Project",#N/A,FALSE,"PROJECT";"Summary -2",#N/A,FALSE,"SUMMARY"}</definedName>
    <definedName name="tjjrj" localSheetId="2" hidden="1">{#N/A,#N/A,FALSE,"Chi tiÆt"}</definedName>
    <definedName name="tjjrj" hidden="1">{#N/A,#N/A,FALSE,"Chi tiÆt"}</definedName>
    <definedName name="TL" localSheetId="2" hidden="1">{#N/A,#N/A,FALSE,"Chi tiÆt"}</definedName>
    <definedName name="TL" hidden="1">{#N/A,#N/A,FALSE,"Chi tiÆt"}</definedName>
    <definedName name="tlc" localSheetId="2" hidden="1">{"'Sheet1'!$L$16"}</definedName>
    <definedName name="tlc" hidden="1">{"'Sheet1'!$L$16"}</definedName>
    <definedName name="TLP" localSheetId="2" hidden="1">{#N/A,#N/A,FALSE,"Chi tiÆt"}</definedName>
    <definedName name="TLP" hidden="1">{#N/A,#N/A,FALSE,"Chi tiÆt"}</definedName>
    <definedName name="TLPMG" localSheetId="2" hidden="1">{"'Sheet1'!$L$16"}</definedName>
    <definedName name="TLPMG" hidden="1">{"'Sheet1'!$L$16"}</definedName>
    <definedName name="trrh" localSheetId="2" hidden="1">{"'Sheet1'!$L$16"}</definedName>
    <definedName name="trrh" hidden="1">{"'Sheet1'!$L$16"}</definedName>
    <definedName name="trt" localSheetId="2" hidden="1">{#N/A,#N/A,TRUE,"Perm";#N/A,#N/A,TRUE,"Architecture"}</definedName>
    <definedName name="trt" hidden="1">{#N/A,#N/A,TRUE,"Perm";#N/A,#N/A,TRUE,"Architecture"}</definedName>
    <definedName name="truc" localSheetId="2" hidden="1">{"'Sheet1'!$L$16"}</definedName>
    <definedName name="truc" hidden="1">{"'Sheet1'!$L$16"}</definedName>
    <definedName name="TRUNGNGUYEN" localSheetId="2" hidden="1">{#N/A,#N/A,FALSE,"Chi tiÆt"}</definedName>
    <definedName name="TRUNGNGUYEN" hidden="1">{#N/A,#N/A,FALSE,"Chi tiÆt"}</definedName>
    <definedName name="Truong" localSheetId="2" hidden="1">{#N/A,#N/A,FALSE,"Chi tiÆt"}</definedName>
    <definedName name="Truong" hidden="1">{#N/A,#N/A,FALSE,"Chi tiÆt"}</definedName>
    <definedName name="TT1.1" hidden="1">#REF!</definedName>
    <definedName name="TT1.2" hidden="1">#REF!</definedName>
    <definedName name="TT1.3" hidden="1">#REF!</definedName>
    <definedName name="TT1.4" hidden="1">#REF!</definedName>
    <definedName name="TT1.5" hidden="1">#REF!</definedName>
    <definedName name="TT1.6" hidden="1">#REF!</definedName>
    <definedName name="TT1.7" hidden="1">#REF!</definedName>
    <definedName name="TT1.8" hidden="1">#REF!</definedName>
    <definedName name="TT1.9" hidden="1">#REF!</definedName>
    <definedName name="tttt" localSheetId="2" hidden="1">{"'Sheet1'!$L$16"}</definedName>
    <definedName name="tttt" hidden="1">{"'Sheet1'!$L$16"}</definedName>
    <definedName name="TU." hidden="1">#REF!</definedName>
    <definedName name="tuan03" localSheetId="2" hidden="1">{"'Sheet1'!$L$16"}</definedName>
    <definedName name="tuan03" hidden="1">{"'Sheet1'!$L$16"}</definedName>
    <definedName name="TUANKHANHTUYET45" localSheetId="2" hidden="1">{0}</definedName>
    <definedName name="TUANKHANHTUYET45" hidden="1">{0}</definedName>
    <definedName name="tuyen" localSheetId="2" hidden="1">{"'Sheet1'!$L$16"}</definedName>
    <definedName name="tuyen" hidden="1">{"'Sheet1'!$L$16"}</definedName>
    <definedName name="tuyennhanh" localSheetId="2" hidden="1">{"'Sheet1'!$L$16"}</definedName>
    <definedName name="tuyennhanh" hidden="1">{"'Sheet1'!$L$16"}</definedName>
    <definedName name="tuyet" localSheetId="2" hidden="1">{"'Sheet1'!$L$16"}</definedName>
    <definedName name="tuyet" hidden="1">{"'Sheet1'!$L$16"}</definedName>
    <definedName name="tuynen" localSheetId="2" hidden="1">{"'Sheet1'!$L$16"}</definedName>
    <definedName name="tuynen" hidden="1">{"'Sheet1'!$L$16"}</definedName>
    <definedName name="TYERT" localSheetId="2" hidden="1">{#N/A,#N/A,FALSE,"Chi tiÆt"}</definedName>
    <definedName name="TYERT" hidden="1">{#N/A,#N/A,FALSE,"Chi tiÆt"}</definedName>
    <definedName name="uassw_sh" localSheetId="2" hidden="1">{"'Sheet1'!$L$16"}</definedName>
    <definedName name="uassw_sh" hidden="1">{"'Sheet1'!$L$16"}</definedName>
    <definedName name="Ud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ủnt" localSheetId="2" hidden="1">{"'Sheet1'!$L$16"}</definedName>
    <definedName name="ủnt" hidden="1">{"'Sheet1'!$L$16"}</definedName>
    <definedName name="uta" localSheetId="2" hidden="1">{#N/A,#N/A,TRUE,"Perm";#N/A,#N/A,TRUE,"Architecture"}</definedName>
    <definedName name="uta" hidden="1">{#N/A,#N/A,TRUE,"Perm";#N/A,#N/A,TRUE,"Architecture"}</definedName>
    <definedName name="uuu" localSheetId="2" hidden="1">{"'Sheet1'!$L$16"}</definedName>
    <definedName name="uuu" hidden="1">{"'Sheet1'!$L$16"}</definedName>
    <definedName name="Uy" hidden="1">#REF!</definedName>
    <definedName name="uyen" localSheetId="2" hidden="1">{#N/A,#N/A,TRUE,"BT M200 da 10x20"}</definedName>
    <definedName name="uyen" hidden="1">{#N/A,#N/A,TRUE,"BT M200 da 10x20"}</definedName>
    <definedName name="ủytỉt" localSheetId="2" hidden="1">{"'Sheet1'!$L$16"}</definedName>
    <definedName name="ủytỉt" hidden="1">{"'Sheet1'!$L$16"}</definedName>
    <definedName name="uytjhtdjtj" localSheetId="2" hidden="1">{"'Sheet1'!$L$16"}</definedName>
    <definedName name="uytjhtdjtj" hidden="1">{"'Sheet1'!$L$16"}</definedName>
    <definedName name="V8.Refresh" localSheetId="2" hidden="1">{"NGUYEN QUI THIEP - Personal View",#N/A,FALSE,"XDCB.HT.FUR."}</definedName>
    <definedName name="V8.Refresh" hidden="1">{"NGUYEN QUI THIEP - Personal View",#N/A,FALSE,"XDCB.HT.FUR."}</definedName>
    <definedName name="van" localSheetId="2" hidden="1">{#N/A,#N/A,FALSE,"Chi tiÆt"}</definedName>
    <definedName name="van" hidden="1">{#N/A,#N/A,FALSE,"Chi tiÆt"}</definedName>
    <definedName name="VATM" localSheetId="2" hidden="1">{"'Sheet1'!$L$16"}</definedName>
    <definedName name="VATM" hidden="1">{"'Sheet1'!$L$16"}</definedName>
    <definedName name="vcbo1" localSheetId="2" hidden="1">{"'Sheet1'!$L$16"}</definedName>
    <definedName name="vcbo1" hidden="1">{"'Sheet1'!$L$16"}</definedName>
    <definedName name="vcoto" localSheetId="2" hidden="1">{"'Sheet1'!$L$16"}</definedName>
    <definedName name="vcoto" hidden="1">{"'Sheet1'!$L$16"}</definedName>
    <definedName name="Viet" localSheetId="2" hidden="1">{"'Sheet1'!$L$16"}</definedName>
    <definedName name="Viet" hidden="1">{"'Sheet1'!$L$16"}</definedName>
    <definedName name="vlct" localSheetId="2" hidden="1">{"'Sheet1'!$L$16"}</definedName>
    <definedName name="vlct" hidden="1">{"'Sheet1'!$L$16"}</definedName>
    <definedName name="VTuphu" localSheetId="2" hidden="1">{"'Sheet1'!$L$16"}</definedName>
    <definedName name="VTuphu" hidden="1">{"'Sheet1'!$L$16"}</definedName>
    <definedName name="VUNGTB" localSheetId="2" hidden="1">{"'Sheet1'!$L$16"}</definedName>
    <definedName name="VUNGTB" hidden="1">{"'Sheet1'!$L$16"}</definedName>
    <definedName name="vvv" localSheetId="2" hidden="1">{"'Sheet1'!$L$16"}</definedName>
    <definedName name="vvv" hidden="1">{"'Sheet1'!$L$16"}</definedName>
    <definedName name="VVVVVV" localSheetId="2" hidden="1">{"'Sheet1'!$L$16"}</definedName>
    <definedName name="VVVVVV" hidden="1">{"'Sheet1'!$L$16"}</definedName>
    <definedName name="vvvvvvv" localSheetId="2" hidden="1">{#N/A,#N/A,FALSE,"Chi tiÆt"}</definedName>
    <definedName name="vvvvvvv" hidden="1">{#N/A,#N/A,FALSE,"Chi tiÆt"}</definedName>
    <definedName name="waa" localSheetId="2" hidden="1">{#N/A,#N/A,FALSE,"Chi tiÆt"}</definedName>
    <definedName name="waa" hidden="1">{#N/A,#N/A,FALSE,"Chi tiÆt"}</definedName>
    <definedName name="wefwgfwegf" localSheetId="2" hidden="1">{"'Sheet1'!$L$16"}</definedName>
    <definedName name="wefwgfwegf" hidden="1">{"'Sheet1'!$L$16"}</definedName>
    <definedName name="werwer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localSheetId="2" hidden="1">{"'Sheet1'!$L$16"}</definedName>
    <definedName name="wgyw" hidden="1">{"'Sheet1'!$L$16"}</definedName>
    <definedName name="wis" hidden="1">#REF!</definedName>
    <definedName name="wjsr" hidden="1">#REF!</definedName>
    <definedName name="WQ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Q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Q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RITE" localSheetId="2" hidden="1">{#N/A,#N/A,FALSE,"CCTV"}</definedName>
    <definedName name="WRITE" hidden="1">{#N/A,#N/A,FALSE,"CCTV"}</definedName>
    <definedName name="WRN" localSheetId="2" hidden="1">{#N/A,#N/A,FALSE,"CCTV"}</definedName>
    <definedName name="WRN" hidden="1">{#N/A,#N/A,FALSE,"CCTV"}</definedName>
    <definedName name="wrn.97년._.사업계획._.및._.예산지침." localSheetId="2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A." localSheetId="2" hidden="1">{#N/A,#N/A,TRUE,"SUM";#N/A,#N/A,TRUE,"EE";#N/A,#N/A,TRUE,"AC";#N/A,#N/A,TRUE,"SN"}</definedName>
    <definedName name="wrn.A." hidden="1">{#N/A,#N/A,TRUE,"SUM";#N/A,#N/A,TRUE,"EE";#N/A,#N/A,TRUE,"AC";#N/A,#N/A,TRUE,"SN"}</definedName>
    <definedName name="wrn.aaa." localSheetId="2" hidden="1">{#N/A,#N/A,FALSE,"Sheet1";#N/A,#N/A,FALSE,"Sheet1";#N/A,#N/A,FALSE,"Sheet1"}</definedName>
    <definedName name="wrn.aaa." hidden="1">{#N/A,#N/A,FALSE,"Sheet1";#N/A,#N/A,FALSE,"Sheet1";#N/A,#N/A,FALSE,"Sheet1"}</definedName>
    <definedName name="wrn.Bang._.ke._.nhan._.hang." localSheetId="2" hidden="1">{#N/A,#N/A,FALSE,"Ke khai NH"}</definedName>
    <definedName name="wrn.Bang._.ke._.nhan._.hang." hidden="1">{#N/A,#N/A,FALSE,"Ke khai NH"}</definedName>
    <definedName name="wrn.BAOCAO." localSheetId="2" hidden="1">{#N/A,#N/A,FALSE,"sum";#N/A,#N/A,FALSE,"MARTV";#N/A,#N/A,FALSE,"APRTV"}</definedName>
    <definedName name="wrn.BAOCAO." hidden="1">{#N/A,#N/A,FALSE,"sum";#N/A,#N/A,FALSE,"MARTV";#N/A,#N/A,FALSE,"APRTV"}</definedName>
    <definedName name="wrn.BIDSUM." localSheetId="2" hidden="1">{#N/A,#N/A,TRUE,"SUMMARY";#N/A,#N/A,TRUE,"ISBL";#N/A,#N/A,TRUE,"OSBL";#N/A,#N/A,TRUE,"OFFSITE";#N/A,#N/A,TRUE,"STEAM"}</definedName>
    <definedName name="wrn.BIDSUM." hidden="1">{#N/A,#N/A,TRUE,"SUMMARY";#N/A,#N/A,TRUE,"ISBL";#N/A,#N/A,TRUE,"OSBL";#N/A,#N/A,TRUE,"OFFSITE";#N/A,#N/A,TRUE,"STEAM"}</definedName>
    <definedName name="wrn.BILLS._.OF._.QUANTITY." localSheetId="2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M." localSheetId="2" hidden="1">{#N/A,#N/A,FALSE,"CCTV"}</definedName>
    <definedName name="wrn.BM." hidden="1">{#N/A,#N/A,FALSE,"CCTV"}</definedName>
    <definedName name="wrn.BSS." localSheetId="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_.Plan." localSheetId="2" hidden="1">{#N/A,#N/A,TRUE,"Sheet1"}</definedName>
    <definedName name="wrn.Budget._.Plan." hidden="1">{#N/A,#N/A,TRUE,"Sheet1"}</definedName>
    <definedName name="wrn.Che._.do._.duoc._.huong." localSheetId="2" hidden="1">{#N/A,#N/A,FALSE,"BN (2)"}</definedName>
    <definedName name="wrn.Che._.do._.duoc._.huong." hidden="1">{#N/A,#N/A,FALSE,"BN (2)"}</definedName>
    <definedName name="wrn.chi._.tiÆt." localSheetId="2" hidden="1">{#N/A,#N/A,FALSE,"Chi tiÆt"}</definedName>
    <definedName name="wrn.chi._.tiÆt." hidden="1">{#N/A,#N/A,FALSE,"Chi tiÆt"}</definedName>
    <definedName name="wrn.cong." localSheetId="2" hidden="1">{#N/A,#N/A,FALSE,"Sheet1"}</definedName>
    <definedName name="wrn.cong." hidden="1">{#N/A,#N/A,FALSE,"Sheet1"}</definedName>
    <definedName name="wrn.CustomerVersion1." localSheetId="2" hidden="1">{#N/A,#N/A,TRUE,"Perm";#N/A,#N/A,TRUE,"Architecture"}</definedName>
    <definedName name="wrn.CustomerVersion1." hidden="1">{#N/A,#N/A,TRUE,"Perm";#N/A,#N/A,TRUE,"Architecture"}</definedName>
    <definedName name="wrn.DEV_SYNTHESE." localSheetId="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IRLABR." localSheetId="2" hidden="1">{#N/A,#N/A,TRUE,"CS&amp;SS(AG)";#N/A,#N/A,TRUE,"CS(UG)";#N/A,#N/A,TRUE,"CSCL(UG)";#N/A,#N/A,TRUE,"KYNAR";#N/A,#N/A,TRUE,"ALLOY904";#N/A,#N/A,TRUE,"TITANIUM";#N/A,#N/A,TRUE,"STMTRACE"}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Giáy._.bao._.no." localSheetId="2" hidden="1">{#N/A,#N/A,FALSE,"BN"}</definedName>
    <definedName name="wrn.Giáy._.bao._.no." hidden="1">{#N/A,#N/A,FALSE,"BN"}</definedName>
    <definedName name="wrn.INDIRCOS." localSheetId="2" hidden="1">{#N/A,#N/A,TRUE,"FIELDOFF";#N/A,#N/A,TRUE,"SCAFF";#N/A,#N/A,TRUE,"CONSTEQP";#N/A,#N/A,TRUE,"FUELUBE";#N/A,#N/A,TRUE,"CONSUME";#N/A,#N/A,TRUE,"FIELDEXP";#N/A,#N/A,TRUE,"MANPLAN";#N/A,#N/A,TRUE,"EQPLAN"}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Inputsheet_ProjectInput." localSheetId="2" hidden="1">{"ProjectInput",#N/A,FALSE,"INPUT-AREA"}</definedName>
    <definedName name="wrn.Inputsheet_ProjectInput." hidden="1">{"ProjectInput",#N/A,FALSE,"INPUT-AREA"}</definedName>
    <definedName name="wrn.INSTALLATION." localSheetId="2" hidden="1">{#N/A,#N/A,FALSE,"Sheet1"}</definedName>
    <definedName name="wrn.INSTALLATION." hidden="1">{#N/A,#N/A,FALSE,"Sheet1"}</definedName>
    <definedName name="wrn.inv._.budget." localSheetId="2" hidden="1">{"invbud-1",#N/A,FALSE,"A";"invbud-1CW",#N/A,FALSE,"A";"Desinvesteringen",#N/A,FALSE,"C"}</definedName>
    <definedName name="wrn.inv._.budget." hidden="1">{"invbud-1",#N/A,FALSE,"A";"invbud-1CW",#N/A,FALSE,"A";"Desinvesteringen",#N/A,FALSE,"C"}</definedName>
    <definedName name="wrn.mai._.khanh." localSheetId="2" hidden="1">{"NGUYEN QUI THIEP - Personal View",#N/A,FALSE,"XDCB.HT.FUR."}</definedName>
    <definedName name="wrn.mai._.khanh." hidden="1">{"NGUYEN QUI THIEP - Personal View",#N/A,FALSE,"XDCB.HT.FUR."}</definedName>
    <definedName name="wrn.Monthly._.Statement." localSheetId="2" hidden="1">{#N/A,#N/A,FALSE,"Tabelle2";#N/A,#N/A,FALSE,"Tabelle1"}</definedName>
    <definedName name="wrn.Monthly._.Statement." hidden="1">{#N/A,#N/A,FALSE,"Tabelle2";#N/A,#N/A,FALSE,"Tabelle1"}</definedName>
    <definedName name="wrn.Print._.Output." localSheetId="2" hidden="1">{#N/A,#N/A,FALSE,"OUTPUT SHEET "}</definedName>
    <definedName name="wrn.Print._.Output." hidden="1">{#N/A,#N/A,FALSE,"OUTPUT SHEET "}</definedName>
    <definedName name="wrn.re_xoa2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localSheetId="2" hidden="1">{#N/A,#N/A,FALSE,"特殊室（ＢＱ表）"}</definedName>
    <definedName name="wrn.report1." hidden="1">{#N/A,#N/A,FALSE,"特殊室（ＢＱ表）"}</definedName>
    <definedName name="wrn.vd." localSheetId="2" hidden="1">{#N/A,#N/A,TRUE,"BT M200 da 10x20"}</definedName>
    <definedName name="wrn.vd." hidden="1">{#N/A,#N/A,TRUE,"BT M200 da 10x20"}</definedName>
    <definedName name="wrn.Work._.Report." localSheetId="2" hidden="1">{"accomplishment",#N/A,FALSE,"Summary Week 3"}</definedName>
    <definedName name="wrn.Work._.Report." hidden="1">{"accomplishment",#N/A,FALSE,"Summary Week 3"}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교육청." localSheetId="2" hidden="1">{#N/A,#N/A,FALSE,"전력간선"}</definedName>
    <definedName name="wrn.교육청." hidden="1">{#N/A,#N/A,FALSE,"전력간선"}</definedName>
    <definedName name="wrn.교육청.1" localSheetId="2" hidden="1">{#N/A,#N/A,FALSE,"전력간선"}</definedName>
    <definedName name="wrn.교육청.1" hidden="1">{#N/A,#N/A,FALSE,"전력간선"}</definedName>
    <definedName name="wrn.구조2." localSheetId="2" hidden="1">{#N/A,#N/A,FALSE,"구조2"}</definedName>
    <definedName name="wrn.구조2." hidden="1">{#N/A,#N/A,FALSE,"구조2"}</definedName>
    <definedName name="wrn.배수1." localSheetId="2" hidden="1">{#N/A,#N/A,FALSE,"배수1"}</definedName>
    <definedName name="wrn.배수1." hidden="1">{#N/A,#N/A,FALSE,"배수1"}</definedName>
    <definedName name="wrn.배수2." localSheetId="2" hidden="1">{#N/A,#N/A,FALSE,"배수2"}</definedName>
    <definedName name="wrn.배수2." hidden="1">{#N/A,#N/A,FALSE,"배수2"}</definedName>
    <definedName name="wrn.변경예산." localSheetId="2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2" hidden="1">{#N/A,#N/A,FALSE,"부대1"}</definedName>
    <definedName name="wrn.부대1." hidden="1">{#N/A,#N/A,FALSE,"부대1"}</definedName>
    <definedName name="wrn.부대2." localSheetId="2" hidden="1">{#N/A,#N/A,FALSE,"부대2"}</definedName>
    <definedName name="wrn.부대2." hidden="1">{#N/A,#N/A,FALSE,"부대2"}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2" hidden="1">{#N/A,#N/A,FALSE,"속도"}</definedName>
    <definedName name="wrn.속도." hidden="1">{#N/A,#N/A,FALSE,"속도"}</definedName>
    <definedName name="wrn.손익보고.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이정표." localSheetId="2" hidden="1">{#N/A,#N/A,FALSE,"이정표"}</definedName>
    <definedName name="wrn.이정표." hidden="1">{#N/A,#N/A,FALSE,"이정표"}</definedName>
    <definedName name="wrn.철골집계표._.5칸." localSheetId="2" hidden="1">{#N/A,#N/A,FALSE,"Sheet1"}</definedName>
    <definedName name="wrn.철골집계표._.5칸." hidden="1">{#N/A,#N/A,FALSE,"Sheet1"}</definedName>
    <definedName name="wrn.토공1." localSheetId="2" hidden="1">{#N/A,#N/A,FALSE,"구조1"}</definedName>
    <definedName name="wrn.토공1." hidden="1">{#N/A,#N/A,FALSE,"구조1"}</definedName>
    <definedName name="wrn.토공2." localSheetId="2" hidden="1">{#N/A,#N/A,FALSE,"토공2"}</definedName>
    <definedName name="wrn.토공2." hidden="1">{#N/A,#N/A,FALSE,"토공2"}</definedName>
    <definedName name="wrn.포장1." localSheetId="2" hidden="1">{#N/A,#N/A,FALSE,"포장1";#N/A,#N/A,FALSE,"포장1"}</definedName>
    <definedName name="wrn.포장1." hidden="1">{#N/A,#N/A,FALSE,"포장1";#N/A,#N/A,FALSE,"포장1"}</definedName>
    <definedName name="wrn.포장2." localSheetId="2" hidden="1">{#N/A,#N/A,FALSE,"포장2"}</definedName>
    <definedName name="wrn.포장2." hidden="1">{#N/A,#N/A,FALSE,"포장2"}</definedName>
    <definedName name="wrn.표지." localSheetId="2" hidden="1">{#N/A,#N/A,FALSE,"표지"}</definedName>
    <definedName name="wrn.표지." hidden="1">{#N/A,#N/A,FALSE,"표지"}</definedName>
    <definedName name="wrn_xoa2" localSheetId="2" hidden="1">{#N/A,#N/A,FALSE,"Chi tiÆt"}</definedName>
    <definedName name="wrn_xoa2" hidden="1">{#N/A,#N/A,FALSE,"Chi tiÆt"}</definedName>
    <definedName name="WrnBSS" localSheetId="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ww" localSheetId="2" hidden="1">{"Offgrid",#N/A,FALSE,"OFFGRID";"Region",#N/A,FALSE,"REGION";"Offgrid -2",#N/A,FALSE,"OFFGRID";"WTP",#N/A,FALSE,"WTP";"WTP -2",#N/A,FALSE,"WTP";"Project",#N/A,FALSE,"PROJECT";"Summary -2",#N/A,FALSE,"SUMMARY"}</definedName>
    <definedName name="wrww" hidden="1">{"Offgrid",#N/A,FALSE,"OFFGRID";"Region",#N/A,FALSE,"REGION";"Offgrid -2",#N/A,FALSE,"OFFGRID";"WTP",#N/A,FALSE,"WTP";"WTP -2",#N/A,FALSE,"WTP";"Project",#N/A,FALSE,"PROJECT";"Summary -2",#N/A,FALSE,"SUMMARY"}</definedName>
    <definedName name="wsetg" localSheetId="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setg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vu.박경희." localSheetId="2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localSheetId="2" hidden="1">{#N/A,#N/A,FALSE,"Main"}</definedName>
    <definedName name="ww" hidden="1">{#N/A,#N/A,FALSE,"Main"}</definedName>
    <definedName name="wwhh" localSheetId="2" hidden="1">{#N/A,#N/A,FALSE,"Chi tiÆt"}</definedName>
    <definedName name="wwhh" hidden="1">{#N/A,#N/A,FALSE,"Chi tiÆt"}</definedName>
    <definedName name="wwhwhwrh" localSheetId="2" hidden="1">{"'Sheet1'!$L$16"}</definedName>
    <definedName name="wwhwhwrh" hidden="1">{"'Sheet1'!$L$16"}</definedName>
    <definedName name="WWW" localSheetId="2" hidden="1">{"'Sheet1'!$L$16"}</definedName>
    <definedName name="WWW" hidden="1">{"'Sheet1'!$L$16"}</definedName>
    <definedName name="wwwwwww" localSheetId="2" hidden="1">{"Offgrid",#N/A,FALSE,"OFFGRID";"Region",#N/A,FALSE,"REGION";"Offgrid -2",#N/A,FALSE,"OFFGRID";"WTP",#N/A,FALSE,"WTP";"WTP -2",#N/A,FALSE,"WTP";"Project",#N/A,FALSE,"PROJECT";"Summary -2",#N/A,FALSE,"SUMMARY"}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XAY" localSheetId="2" hidden="1">{"'Sheet1'!$L$16"}</definedName>
    <definedName name="XAY" hidden="1">{"'Sheet1'!$L$16"}</definedName>
    <definedName name="XDKT" localSheetId="2" hidden="1">{"NGUYEN QUI THIEP - Personal View",#N/A,FALSE,"XDCB.HT.FUR."}</definedName>
    <definedName name="XDKT" hidden="1">{"NGUYEN QUI THIEP - Personal View",#N/A,FALSE,"XDCB.HT.FUR."}</definedName>
    <definedName name="xls" localSheetId="2" hidden="1">{"'Sheet1'!$L$16"}</definedName>
    <definedName name="xls" hidden="1">{"'Sheet1'!$L$16"}</definedName>
    <definedName name="xlttbninh" localSheetId="2" hidden="1">{"'Sheet1'!$L$16"}</definedName>
    <definedName name="xlttbninh" hidden="1">{"'Sheet1'!$L$16"}</definedName>
    <definedName name="xoa1" localSheetId="2" hidden="1">{"'Sheet1'!$L$16"}</definedName>
    <definedName name="xoa1" hidden="1">{"'Sheet1'!$L$16"}</definedName>
    <definedName name="xoa2" localSheetId="2" hidden="1">{#N/A,#N/A,FALSE,"Chi tiÆt"}</definedName>
    <definedName name="xoa2" hidden="1">{#N/A,#N/A,FALSE,"Chi tiÆt"}</definedName>
    <definedName name="xoa3" localSheetId="2" hidden="1">{"Offgrid",#N/A,FALSE,"OFFGRID";"Region",#N/A,FALSE,"REGION";"Offgrid -2",#N/A,FALSE,"OFFGRID";"WTP",#N/A,FALSE,"WTP";"WTP -2",#N/A,FALSE,"WTP";"Project",#N/A,FALSE,"PROJECT";"Summary -2",#N/A,FALSE,"SUMMARY"}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2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RefColumnsCount" hidden="1">5</definedName>
    <definedName name="XRefCopyRangeCount" hidden="1">6</definedName>
    <definedName name="XRefPasteRangeCount" hidden="1">5</definedName>
    <definedName name="xvxcvxc" localSheetId="2" hidden="1">{"'Sheet1'!$L$16"}</definedName>
    <definedName name="xvxcvxc" hidden="1">{"'Sheet1'!$L$16"}</definedName>
    <definedName name="xxx" localSheetId="2" hidden="1">{"'Sheet1'!$L$16"}</definedName>
    <definedName name="xxx" hidden="1">{"'Sheet1'!$L$16"}</definedName>
    <definedName name="XXXAAAA" localSheetId="2" hidden="1">{"'Sheet1'!$L$16"}</definedName>
    <definedName name="XXXAAAA" hidden="1">{"'Sheet1'!$L$16"}</definedName>
    <definedName name="xz" localSheetId="2" hidden="1">{"'Sheet1'!$L$16"}</definedName>
    <definedName name="xz" hidden="1">{"'Sheet1'!$L$16"}</definedName>
    <definedName name="xzfa" localSheetId="2" hidden="1">{"'Sheet1'!$L$16"}</definedName>
    <definedName name="xzfa" hidden="1">{"'Sheet1'!$L$16"}</definedName>
    <definedName name="ỵ" localSheetId="2" hidden="1">{"'Sheet1'!$L$16"}</definedName>
    <definedName name="ỵ" hidden="1">{"'Sheet1'!$L$16"}</definedName>
    <definedName name="Yd" hidden="1">#REF!</definedName>
    <definedName name="ỳdhgg" localSheetId="2" hidden="1">{"'Sheet1'!$L$16"}</definedName>
    <definedName name="ỳdhgg" hidden="1">{"'Sheet1'!$L$16"}</definedName>
    <definedName name="YJJ" localSheetId="2" hidden="1">{"'Sheet1'!$L$16"}</definedName>
    <definedName name="YJJ" hidden="1">{"'Sheet1'!$L$16"}</definedName>
    <definedName name="ykukuykkf" localSheetId="2" hidden="1">{"'Sheet1'!$L$16"}</definedName>
    <definedName name="ykukuykkf" hidden="1">{"'Sheet1'!$L$16"}</definedName>
    <definedName name="Yu" hidden="1">#REF!</definedName>
    <definedName name="ỵu" localSheetId="2" hidden="1">{"'Sheet1'!$L$16"}</definedName>
    <definedName name="ỵu" hidden="1">{"'Sheet1'!$L$16"}</definedName>
    <definedName name="yyjy_ukyu" localSheetId="2" hidden="1">{"'Sheet1'!$L$16"}</definedName>
    <definedName name="yyjy_ukyu" hidden="1">{"'Sheet1'!$L$16"}</definedName>
    <definedName name="yyyyyyyyyyyyyy" localSheetId="2" hidden="1">{"'Sheet1'!$L$16"}</definedName>
    <definedName name="yyyyyyy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B6D82DE0_6701_11DA_9820_00304F1E4471_.wvu.Cols" hidden="1">#REF!</definedName>
    <definedName name="zDT_End" hidden="1">#REF!</definedName>
    <definedName name="zxx" localSheetId="2" hidden="1">{"'Sheet1'!$L$16"}</definedName>
    <definedName name="zxx" hidden="1">{"'Sheet1'!$L$16"}</definedName>
    <definedName name="ZXzX" localSheetId="2" hidden="1">{"'Sheet1'!$L$16"}</definedName>
    <definedName name="ZXzX" hidden="1">{"'Sheet1'!$L$16"}</definedName>
    <definedName name="견적" localSheetId="2" hidden="1">{#N/A,#N/A,FALSE,"CCTV"}</definedName>
    <definedName name="견적" hidden="1">{#N/A,#N/A,FALSE,"CCTV"}</definedName>
    <definedName name="견적2" localSheetId="2" hidden="1">{#N/A,#N/A,FALSE,"CCTV"}</definedName>
    <definedName name="견적2" hidden="1">{#N/A,#N/A,FALSE,"CCTV"}</definedName>
    <definedName name="견적SHEET" localSheetId="2" hidden="1">{#N/A,#N/A,FALSE,"CCTV"}</definedName>
    <definedName name="견적SHEET" hidden="1">{#N/A,#N/A,FALSE,"CCTV"}</definedName>
    <definedName name="공" localSheetId="2" hidden="1">{#N/A,#N/A,FALSE,"Sheet1"}</definedName>
    <definedName name="공" hidden="1">{#N/A,#N/A,FALSE,"Sheet1"}</definedName>
    <definedName name="공사비" localSheetId="2" hidden="1">{#N/A,#N/A,FALSE,"전력간선"}</definedName>
    <definedName name="공사비" hidden="1">{#N/A,#N/A,FALSE,"전력간선"}</definedName>
    <definedName name="기계주차" localSheetId="2" hidden="1">{#N/A,#N/A,FALSE,"CCTV"}</definedName>
    <definedName name="기계주차" hidden="1">{#N/A,#N/A,FALSE,"CCTV"}</definedName>
    <definedName name="ㄴㄷㄹ" localSheetId="2" hidden="1">{#N/A,#N/A,FALSE,"Sheet1"}</definedName>
    <definedName name="ㄴㄷㄹ" hidden="1">{#N/A,#N/A,FALSE,"Sheet1"}</definedName>
    <definedName name="ㄷㄳ" localSheetId="2" hidden="1">{#N/A,#N/A,FALSE,"Sheet1"}</definedName>
    <definedName name="ㄷㄳ" hidden="1">{#N/A,#N/A,FALSE,"Sheet1"}</definedName>
    <definedName name="단ㄱ" localSheetId="2" hidden="1">{#N/A,#N/A,FALSE,"전력간선"}</definedName>
    <definedName name="단ㄱ" hidden="1">{#N/A,#N/A,FALSE,"전력간선"}</definedName>
    <definedName name="ㄹㄹㄹ" hidden="1">#REF!</definedName>
    <definedName name="래그" localSheetId="2" hidden="1">{#N/A,#N/A,FALSE,"CCTV"}</definedName>
    <definedName name="래그" hidden="1">{#N/A,#N/A,FALSE,"CCTV"}</definedName>
    <definedName name="ㅁㄴㄹ" localSheetId="2" hidden="1">{#N/A,#N/A,FALSE,"전력간선"}</definedName>
    <definedName name="ㅁㄴㄹ" hidden="1">{#N/A,#N/A,FALSE,"전력간선"}</definedName>
    <definedName name="ㅁㄻ" localSheetId="2" hidden="1">{#N/A,#N/A,FALSE,"Sheet1"}</definedName>
    <definedName name="ㅁㄻ" hidden="1">{#N/A,#N/A,FALSE,"Sheet1"}</definedName>
    <definedName name="ㅁㅁㅁㅁㅁㅁ" hidden="1">#REF!</definedName>
    <definedName name="ㅁㅎㅁ" localSheetId="2" hidden="1">{#N/A,#N/A,FALSE,"Sheet1"}</definedName>
    <definedName name="ㅁㅎㅁ" hidden="1">{#N/A,#N/A,FALSE,"Sheet1"}</definedName>
    <definedName name="ㅂㅂ" localSheetId="2" hidden="1">{#N/A,#N/A,FALSE,"표지"}</definedName>
    <definedName name="ㅂㅂ" hidden="1">{#N/A,#N/A,FALSE,"표지"}</definedName>
    <definedName name="ㅂㅈ" localSheetId="2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바붕" localSheetId="2" hidden="1">{#N/A,#N/A,FALSE,"전력간선"}</definedName>
    <definedName name="바붕" hidden="1">{#N/A,#N/A,FALSE,"전력간선"}</definedName>
    <definedName name="배기덕트공사" localSheetId="2" hidden="1">{#N/A,#N/A,FALSE,"CCTV"}</definedName>
    <definedName name="배기덕트공사" hidden="1">{#N/A,#N/A,FALSE,"CCTV"}</definedName>
    <definedName name="부대원본" localSheetId="2" hidden="1">{#N/A,#N/A,FALSE,"토공2"}</definedName>
    <definedName name="부대원본" hidden="1">{#N/A,#N/A,FALSE,"토공2"}</definedName>
    <definedName name="샘풀카피" localSheetId="2" hidden="1">{#N/A,#N/A,FALSE,"CCTV"}</definedName>
    <definedName name="샘풀카피" hidden="1">{#N/A,#N/A,FALSE,"CCTV"}</definedName>
    <definedName name="샘플카피2" localSheetId="2" hidden="1">{#N/A,#N/A,FALSE,"CCTV"}</definedName>
    <definedName name="샘플카피2" hidden="1">{#N/A,#N/A,FALSE,"CCTV"}</definedName>
    <definedName name="샘플카피3" localSheetId="2" hidden="1">{#N/A,#N/A,FALSE,"CCTV"}</definedName>
    <definedName name="샘플카피3" hidden="1">{#N/A,#N/A,FALSE,"CCTV"}</definedName>
    <definedName name="ㅇㄴㄹ" localSheetId="2" hidden="1">{#N/A,#N/A,FALSE,"Sheet1"}</definedName>
    <definedName name="ㅇㄴㄹ" hidden="1">{#N/A,#N/A,FALSE,"Sheet1"}</definedName>
    <definedName name="ㅇㄴㄿ" localSheetId="2" hidden="1">{#N/A,#N/A,FALSE,"CCTV"}</definedName>
    <definedName name="ㅇㄴㄿ" hidden="1">{#N/A,#N/A,FALSE,"CCTV"}</definedName>
    <definedName name="ㅇㄹㄹ" hidden="1">#REF!</definedName>
    <definedName name="아싸" localSheetId="2" hidden="1">{#N/A,#N/A,FALSE,"CCTV"}</definedName>
    <definedName name="아싸" hidden="1">{#N/A,#N/A,FALSE,"CCTV"}</definedName>
    <definedName name="업체" hidden="1">#REF!</definedName>
    <definedName name="이릉" hidden="1">#REF!</definedName>
    <definedName name="자재단가근거" hidden="1">#REF!</definedName>
    <definedName name="전기산출" hidden="1">#REF!</definedName>
    <definedName name="전기산출내역" hidden="1">#REF!</definedName>
    <definedName name="철근량" localSheetId="2" hidden="1">{#N/A,#N/A,FALSE,"전력간선"}</definedName>
    <definedName name="철근량" hidden="1">{#N/A,#N/A,FALSE,"전력간선"}</definedName>
    <definedName name="총공사비2" localSheetId="2" hidden="1">{#N/A,#N/A,FALSE,"전력간선"}</definedName>
    <definedName name="총공사비2" hidden="1">{#N/A,#N/A,FALSE,"전력간선"}</definedName>
    <definedName name="켐온건축" localSheetId="2" hidden="1">{#N/A,#N/A,FALSE,"CCTV"}</definedName>
    <definedName name="켐온건축" hidden="1">{#N/A,#N/A,FALSE,"CCTV"}</definedName>
    <definedName name="토목" localSheetId="2" hidden="1">{#N/A,#N/A,FALSE,"CCTV"}</definedName>
    <definedName name="토목" hidden="1">{#N/A,#N/A,FALSE,"CCTV"}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4" l="1"/>
  <c r="D6" i="34"/>
  <c r="F18" i="53" l="1"/>
  <c r="G14" i="51" s="1"/>
  <c r="F17" i="53"/>
  <c r="G12" i="51" s="1"/>
  <c r="F16" i="53"/>
  <c r="G10" i="51" s="1"/>
  <c r="B3" i="53"/>
  <c r="H12" i="51" l="1"/>
  <c r="I12" i="51" s="1"/>
  <c r="E6" i="53"/>
  <c r="G25" i="51" s="1"/>
  <c r="B6" i="53"/>
  <c r="E5" i="53"/>
  <c r="G18" i="51" s="1"/>
  <c r="H18" i="51" s="1"/>
  <c r="B5" i="53"/>
  <c r="B4" i="53"/>
  <c r="I18" i="51" l="1"/>
  <c r="E4" i="53"/>
  <c r="G17" i="51" l="1"/>
  <c r="H17" i="51" s="1"/>
  <c r="I17" i="51" s="1"/>
  <c r="E3" i="53"/>
  <c r="D7" i="53"/>
  <c r="E7" i="53" l="1"/>
  <c r="G15" i="51"/>
  <c r="C7" i="53"/>
  <c r="I14" i="51" l="1"/>
  <c r="I10" i="51"/>
  <c r="G9" i="51" l="1"/>
  <c r="G13" i="51"/>
  <c r="G11" i="51"/>
  <c r="G8" i="51" l="1"/>
  <c r="G7" i="51" l="1"/>
  <c r="E24" i="51" l="1"/>
  <c r="G24" i="51" s="1"/>
  <c r="H22" i="51"/>
  <c r="H11" i="51" l="1"/>
  <c r="H13" i="51"/>
  <c r="H9" i="51" l="1"/>
  <c r="H8" i="51" s="1"/>
  <c r="H7" i="51" l="1"/>
  <c r="I9" i="51" l="1"/>
  <c r="I11" i="51"/>
  <c r="I13" i="51"/>
  <c r="I8" i="51" l="1"/>
  <c r="I7" i="51" l="1"/>
  <c r="D5" i="34" s="1"/>
  <c r="H24" i="51" l="1"/>
  <c r="I24" i="51" s="1"/>
  <c r="H25" i="51" l="1"/>
  <c r="I25" i="51" s="1"/>
  <c r="I22" i="51" l="1"/>
  <c r="H15" i="51" l="1"/>
  <c r="I15" i="51" s="1"/>
  <c r="G16" i="51" l="1"/>
  <c r="I16" i="51" l="1"/>
  <c r="H16" i="51"/>
  <c r="G23" i="51" l="1"/>
  <c r="I23" i="51" l="1"/>
  <c r="D8" i="34" s="1"/>
  <c r="H23" i="51"/>
  <c r="I34" i="51" l="1"/>
  <c r="I30" i="51"/>
  <c r="I31" i="51" l="1"/>
  <c r="D26" i="51" s="1"/>
  <c r="E26" i="51"/>
  <c r="G26" i="51" l="1"/>
  <c r="H26" i="51" l="1"/>
  <c r="H27" i="51" s="1"/>
  <c r="G27" i="51"/>
  <c r="I26" i="51" l="1"/>
  <c r="I27" i="51" l="1"/>
  <c r="I35" i="51" s="1"/>
  <c r="D9" i="34"/>
  <c r="D10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26" authorId="0" shapeId="0" xr:uid="{DFC79D29-1718-4AB0-A0B5-6F48BA63C8EE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Hệ số dự phòng tối đa 5%</t>
        </r>
      </text>
    </comment>
  </commentList>
</comments>
</file>

<file path=xl/sharedStrings.xml><?xml version="1.0" encoding="utf-8"?>
<sst xmlns="http://schemas.openxmlformats.org/spreadsheetml/2006/main" count="104" uniqueCount="80">
  <si>
    <t>Ghi chú</t>
  </si>
  <si>
    <t>I</t>
  </si>
  <si>
    <t>II</t>
  </si>
  <si>
    <t>III</t>
  </si>
  <si>
    <t>IV</t>
  </si>
  <si>
    <t>V</t>
  </si>
  <si>
    <t>STT</t>
  </si>
  <si>
    <t>Hạng mục phần mềm nội bộ, cơ sở dữ liệu</t>
  </si>
  <si>
    <t>Chi phí trước thuế</t>
  </si>
  <si>
    <t>Thuế VAT</t>
  </si>
  <si>
    <t>Chi phí sau thuế</t>
  </si>
  <si>
    <t>Căn cứ</t>
  </si>
  <si>
    <t>[1]</t>
  </si>
  <si>
    <t>[2]</t>
  </si>
  <si>
    <t>[3]</t>
  </si>
  <si>
    <t>[4]</t>
  </si>
  <si>
    <t>[5]</t>
  </si>
  <si>
    <t>[6]</t>
  </si>
  <si>
    <t>[7]</t>
  </si>
  <si>
    <t>Tổng mức đầu tư</t>
  </si>
  <si>
    <t>Chi phí quản lý dự án</t>
  </si>
  <si>
    <t>Chi phí tư vấn</t>
  </si>
  <si>
    <t>Chi phí dự phòng</t>
  </si>
  <si>
    <t>TỔNG CỘNG</t>
  </si>
  <si>
    <t>TỔNG HỢP DỰ TOÁN</t>
  </si>
  <si>
    <t>Danh mục chi phí</t>
  </si>
  <si>
    <t>Giá trị sau thuế</t>
  </si>
  <si>
    <t>Chi phí khác</t>
  </si>
  <si>
    <t>2.1</t>
  </si>
  <si>
    <t>2.2</t>
  </si>
  <si>
    <t>Ký hiệu</t>
  </si>
  <si>
    <t xml:space="preserve"> Chi phí dự phòng</t>
  </si>
  <si>
    <t>2.3</t>
  </si>
  <si>
    <t>Dự án: …………………</t>
  </si>
  <si>
    <t>Đào tạo, chuyển giao công nghệ phần mềm nội bộ, CSDL</t>
  </si>
  <si>
    <t>Thẩm tra Báo cáo kinh tế - kỹ thuật</t>
  </si>
  <si>
    <r>
      <t>G</t>
    </r>
    <r>
      <rPr>
        <b/>
        <vertAlign val="subscript"/>
        <sz val="12"/>
        <color theme="1"/>
        <rFont val="Times New Roman"/>
        <family val="1"/>
      </rPr>
      <t>TB</t>
    </r>
  </si>
  <si>
    <r>
      <t>G</t>
    </r>
    <r>
      <rPr>
        <b/>
        <vertAlign val="subscript"/>
        <sz val="12"/>
        <color theme="1"/>
        <rFont val="Times New Roman"/>
        <family val="1"/>
      </rPr>
      <t>PM</t>
    </r>
  </si>
  <si>
    <r>
      <t>G</t>
    </r>
    <r>
      <rPr>
        <b/>
        <vertAlign val="subscript"/>
        <sz val="12"/>
        <color theme="1"/>
        <rFont val="Times New Roman"/>
        <family val="1"/>
      </rPr>
      <t>QLDA</t>
    </r>
  </si>
  <si>
    <r>
      <t>G</t>
    </r>
    <r>
      <rPr>
        <b/>
        <vertAlign val="subscript"/>
        <sz val="12"/>
        <color theme="1"/>
        <rFont val="Times New Roman"/>
        <family val="1"/>
      </rPr>
      <t>TV</t>
    </r>
  </si>
  <si>
    <r>
      <t>G</t>
    </r>
    <r>
      <rPr>
        <b/>
        <vertAlign val="subscript"/>
        <sz val="12"/>
        <color theme="1"/>
        <rFont val="Times New Roman"/>
        <family val="1"/>
      </rPr>
      <t>K</t>
    </r>
  </si>
  <si>
    <t>BẢNG CHI TIẾT DỰ TOÁN</t>
  </si>
  <si>
    <t>Chi phí đào tạo, chuyển giao công nghệ</t>
  </si>
  <si>
    <t>Chi phí Thẩm định giá</t>
  </si>
  <si>
    <t>Số hóa, nhập dữ liệu</t>
  </si>
  <si>
    <t>Giá trị tính định mức</t>
  </si>
  <si>
    <t>Phần mềm nội bộ</t>
  </si>
  <si>
    <t>Chi phí kiểm thử độc lập</t>
  </si>
  <si>
    <t>Định mức</t>
  </si>
  <si>
    <t>TMĐT</t>
  </si>
  <si>
    <t>Giá trị được phê duyệt trong CTĐT</t>
  </si>
  <si>
    <t>(Gxl+Gtb+Gqlda+Gtv+Gk)</t>
  </si>
  <si>
    <t>Chi phí trang thiết bị</t>
  </si>
  <si>
    <t>Chi phí tư vấn đầu tư ƯDCNTT</t>
  </si>
  <si>
    <r>
      <t>G</t>
    </r>
    <r>
      <rPr>
        <b/>
        <vertAlign val="subscript"/>
        <sz val="12"/>
        <color theme="1"/>
        <rFont val="Times New Roman"/>
        <family val="1"/>
      </rPr>
      <t>TMĐT</t>
    </r>
  </si>
  <si>
    <t>Gói thầu chính</t>
  </si>
  <si>
    <t>4.1</t>
  </si>
  <si>
    <r>
      <t>G</t>
    </r>
    <r>
      <rPr>
        <vertAlign val="subscript"/>
        <sz val="12"/>
        <color theme="1"/>
        <rFont val="Times New Roman"/>
        <family val="1"/>
      </rPr>
      <t>PMNB</t>
    </r>
  </si>
  <si>
    <r>
      <t>G</t>
    </r>
    <r>
      <rPr>
        <vertAlign val="subscript"/>
        <sz val="12"/>
        <color theme="1"/>
        <rFont val="Times New Roman"/>
        <family val="1"/>
      </rPr>
      <t>ĐTPM,CSDL</t>
    </r>
  </si>
  <si>
    <r>
      <t>G</t>
    </r>
    <r>
      <rPr>
        <vertAlign val="subscript"/>
        <sz val="12"/>
        <color theme="1"/>
        <rFont val="Times New Roman"/>
        <family val="1"/>
      </rPr>
      <t>TV1</t>
    </r>
  </si>
  <si>
    <r>
      <t>G</t>
    </r>
    <r>
      <rPr>
        <vertAlign val="subscript"/>
        <sz val="12"/>
        <color theme="1"/>
        <rFont val="Times New Roman"/>
        <family val="1"/>
      </rPr>
      <t>TV2</t>
    </r>
  </si>
  <si>
    <r>
      <t>G</t>
    </r>
    <r>
      <rPr>
        <vertAlign val="subscript"/>
        <sz val="12"/>
        <color theme="1"/>
        <rFont val="Times New Roman"/>
        <family val="1"/>
      </rPr>
      <t>KT</t>
    </r>
  </si>
  <si>
    <r>
      <t>= (Gtb + Gqlda + Gtv + Gk) x K</t>
    </r>
    <r>
      <rPr>
        <b/>
        <vertAlign val="subscript"/>
        <sz val="12"/>
        <color theme="1"/>
        <rFont val="Times New Roman"/>
        <family val="1"/>
      </rPr>
      <t>DP</t>
    </r>
  </si>
  <si>
    <t>Chuẩn hóa, tạo lập và chuyển đổi cơ sở dữ liệu</t>
  </si>
  <si>
    <t>Kdp</t>
  </si>
  <si>
    <t>Giá trị sau thuế theo báo giá của các đơn vị tư vấn</t>
  </si>
  <si>
    <t>Giá trị sau thuế thấp nhất lựa chọn lập dự toán</t>
  </si>
  <si>
    <t>Đơn vị 1</t>
  </si>
  <si>
    <t>Đơn vị 2</t>
  </si>
  <si>
    <t>Đơn vị 3</t>
  </si>
  <si>
    <t>Ghi chú:</t>
  </si>
  <si>
    <t>Lập Báo cáo kinh tế - kỹ thuật</t>
  </si>
  <si>
    <t>- Đơn vị 1: Công ty TNHH Tư vấn Đầu tư TFC Việt Nam</t>
  </si>
  <si>
    <t>- Đơn vị 2: Công ty Cổ phần Phát triển Viễn thông</t>
  </si>
  <si>
    <t>Xây dựng HTTT dữ liệu ngành Công Thương</t>
  </si>
  <si>
    <t>Chuẩn hóa, tạo lập và chuyển đổi CSDL</t>
  </si>
  <si>
    <t>Đào tạo HDSD</t>
  </si>
  <si>
    <t>Xây dựng hệ thống thông tin dữ liệu ngành công thương</t>
  </si>
  <si>
    <t>Báo giá, căn cứ theo điểm a, khoản 4 Điều 16 Nghị định 224/2026/NĐ-CP ngày 24/6/2026 của Chính phủ
Khoản 3, Điều 4 Thông tư 39/2026/TT-BKHCN ngày 01/7/2026 của Bộ Khoa học và Công nghệ</t>
  </si>
  <si>
    <t>Tối đa 10% theo quy định tại khoản 5, Điều 5 của Thông tư 39/2026/TT-BKHCN ngày 01/7/2026 của Bộ Khoa học và Công nghệ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</si>
</sst>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£&quot;#,##0;[Red]\-&quot;£&quot;#,##0"/>
    <numFmt numFmtId="167" formatCode="_-&quot;£&quot;* #,##0_-;\-&quot;£&quot;* #,##0_-;_-&quot;£&quot;* &quot;-&quot;_-;_-@_-"/>
    <numFmt numFmtId="168" formatCode="_-&quot;£&quot;* #,##0.00_-;\-&quot;£&quot;* #,##0.00_-;_-&quot;£&quot;* &quot;-&quot;??_-;_-@_-"/>
    <numFmt numFmtId="169" formatCode="_-* #,##0.00\ _₫_-;\-* #,##0.00\ _₫_-;_-* &quot;-&quot;??\ _₫_-;_-@_-"/>
    <numFmt numFmtId="170" formatCode="_(* #,##0_);_(* \(#,##0\);_(* &quot;-&quot;??_);_(@_)"/>
    <numFmt numFmtId="171" formatCode="_-* #,##0_-;\-* #,##0_-;_-* &quot;-&quot;??_-;_-@_-"/>
    <numFmt numFmtId="172" formatCode="#,##0;[Red]#,##0"/>
    <numFmt numFmtId="173" formatCode="_ \$* #,##0.00_ ;_ \$* \-#,##0.00_ ;_ \$* \-??_ ;_ @_ "/>
    <numFmt numFmtId="174" formatCode="0.000"/>
    <numFmt numFmtId="175" formatCode="&quot;US$&quot;#,##0_);\(&quot;US$&quot;#,##0\)"/>
    <numFmt numFmtId="176" formatCode="mmmm\ d\,\ yyyy"/>
    <numFmt numFmtId="177" formatCode="0.00000"/>
    <numFmt numFmtId="178" formatCode="_-* #,##0\ _F_-;\-* #,##0\ _F_-;_-* &quot;-&quot;\ _F_-;_-@_-"/>
    <numFmt numFmtId="179" formatCode="_-* #,##0.00\ _F_-;\-* #,##0.00\ _F_-;_-* &quot;-&quot;??\ _F_-;_-@_-"/>
    <numFmt numFmtId="180" formatCode="_-* #,##0.00\ &quot;F&quot;_-;\-* #,##0.00\ &quot;F&quot;_-;_-* &quot;-&quot;??\ &quot;F&quot;_-;_-@_-"/>
    <numFmt numFmtId="181" formatCode="&quot;?&quot;#,##0;&quot;?&quot;\-#,##0"/>
    <numFmt numFmtId="182" formatCode="00.000"/>
    <numFmt numFmtId="183" formatCode="_ &quot;\&quot;* #,##0_ ;_ &quot;\&quot;* \-#,##0_ ;_ &quot;\&quot;* &quot;-&quot;_ ;_ @_ "/>
    <numFmt numFmtId="184" formatCode="_ * #,##0_ ;_ * \-#,##0_ ;_ * &quot;-&quot;_ ;_ @_ "/>
    <numFmt numFmtId="185" formatCode="_ * #,##0.00_ ;_ * \-#,##0.00_ ;_ * &quot;-&quot;??_ ;_ @_ "/>
    <numFmt numFmtId="186" formatCode="#,##0;\-#,##0;\-"/>
    <numFmt numFmtId="187" formatCode="#,##0.00;\-#,##0.00;\-"/>
    <numFmt numFmtId="188" formatCode="#,##0%;\-#,##0%;&quot;- &quot;"/>
    <numFmt numFmtId="189" formatCode="#,##0.0%;\-#,##0.0%;&quot;- &quot;"/>
    <numFmt numFmtId="190" formatCode="#,##0.00%;\-#,##0.00%;&quot;- &quot;"/>
    <numFmt numFmtId="191" formatCode="#,##0.0;\-#,##0.0;\-"/>
    <numFmt numFmtId="192" formatCode="&quot;C&quot;#,##0.00_);\(&quot;C&quot;#,##0.00\)"/>
    <numFmt numFmtId="193" formatCode="\$#,##0\ ;\(\$#,##0\)"/>
    <numFmt numFmtId="194" formatCode="&quot;C&quot;#,##0_);\(&quot;C&quot;#,##0\)"/>
    <numFmt numFmtId="195" formatCode="&quot;C&quot;#,##0_);[Red]\(&quot;C&quot;#,##0\)"/>
    <numFmt numFmtId="196" formatCode="_-&quot;VND&quot;* #,##0_-;\-&quot;VND&quot;* #,##0_-;_-&quot;VND&quot;* &quot;-&quot;_-;_-@_-"/>
    <numFmt numFmtId="197" formatCode="_(&quot;Rp&quot;* #,##0.00_);_(&quot;Rp&quot;* \(#,##0.00\);_(&quot;Rp&quot;* &quot;-&quot;??_);_(@_)"/>
    <numFmt numFmtId="198" formatCode="#,##0.00\ &quot;FB&quot;;[Red]\-#,##0.00\ &quot;FB&quot;"/>
    <numFmt numFmtId="199" formatCode="_-* #,##0\ _₫_-;\-* #,##0\ _₫_-;_-* &quot;-&quot;\ _₫_-;_-@_-"/>
    <numFmt numFmtId="200" formatCode="#,##0\ &quot;$&quot;;\-#,##0\ &quot;$&quot;"/>
    <numFmt numFmtId="201" formatCode="&quot;$&quot;#,##0;\-&quot;$&quot;#,##0"/>
    <numFmt numFmtId="202" formatCode="_-* #,##0\ _F_B_-;\-* #,##0\ _F_B_-;_-* &quot;-&quot;\ _F_B_-;_-@_-"/>
    <numFmt numFmtId="203" formatCode="#,##0\ &quot;$&quot;_);\(#,##0\ &quot;$&quot;\)"/>
    <numFmt numFmtId="204" formatCode="&quot;\&quot;#,##0;[Red]\-&quot;\&quot;#,##0"/>
    <numFmt numFmtId="205" formatCode="&quot;\&quot;#,##0.00;\-&quot;\&quot;#,##0.00"/>
    <numFmt numFmtId="206" formatCode="0.00_)"/>
    <numFmt numFmtId="207" formatCode="0%;\(0%\)"/>
    <numFmt numFmtId="208" formatCode="#,##0.00\ &quot;F&quot;;[Red]\-#,##0.00\ &quot;F&quot;"/>
    <numFmt numFmtId="209" formatCode="#,##0.00\ \ "/>
    <numFmt numFmtId="210" formatCode="_ * #,##0_)\ _$_ ;_ * \(#,##0\)\ _$_ ;_ * &quot;-&quot;_)\ _$_ ;_ @_ "/>
    <numFmt numFmtId="211" formatCode="&quot;$&quot;#,##0;[Red]\-&quot;$&quot;#,##0"/>
    <numFmt numFmtId="212" formatCode="yyyy&quot;³â&quot;\ m&quot;¿ù&quot;\ d&quot;ÀÏ&quot;"/>
    <numFmt numFmtId="213" formatCode="_-* #,##0\ &quot;F&quot;_-;\-* #,##0\ &quot;F&quot;_-;_-* &quot;-&quot;\ &quot;F&quot;_-;_-@_-"/>
    <numFmt numFmtId="214" formatCode="#,##0\ &quot;F&quot;;[Red]\-#,##0\ &quot;F&quot;"/>
    <numFmt numFmtId="215" formatCode="#,##0.00\ &quot;F&quot;;\-#,##0.00\ &quot;F&quot;"/>
    <numFmt numFmtId="216" formatCode="#,##0\ &quot;VNĐ&quot;"/>
    <numFmt numFmtId="217" formatCode="&quot;￥&quot;#,##0;&quot;￥&quot;\-#,##0"/>
    <numFmt numFmtId="218" formatCode="_-&quot;$&quot;* #,##0_-;\-&quot;$&quot;* #,##0_-;_-&quot;$&quot;* &quot;-&quot;_-;_-@_-"/>
    <numFmt numFmtId="219" formatCode="_-&quot;$&quot;* #,##0.00_-;\-&quot;$&quot;* #,##0.00_-;_-&quot;$&quot;* &quot;-&quot;??_-;_-@_-"/>
    <numFmt numFmtId="220" formatCode="&quot;\&quot;#,##0;[Red]&quot;\&quot;&quot;\&quot;\-#,##0"/>
    <numFmt numFmtId="221" formatCode=".\ ###\ ;############################################################################################"/>
    <numFmt numFmtId="222" formatCode="_-* #,##0.00\ _V_N_D_-;\-* #,##0.00\ _V_N_D_-;_-* &quot;-&quot;??\ _V_N_D_-;_-@_-"/>
    <numFmt numFmtId="223" formatCode="_-* #,##0\ _V_N_D_-;\-* #,##0\ _V_N_D_-;_-* &quot;-&quot;\ _V_N_D_-;_-@_-"/>
    <numFmt numFmtId="224" formatCode="###0"/>
    <numFmt numFmtId="225" formatCode="&quot;$&quot;#&quot;$&quot;##0_);\(&quot;$&quot;#&quot;$&quot;##0\)"/>
    <numFmt numFmtId="226" formatCode="&quot;\&quot;#,##0;[Red]&quot;\&quot;\-#,##0"/>
    <numFmt numFmtId="227" formatCode="&quot;SFr.&quot;\ #,##0.00;[Red]&quot;SFr.&quot;\ \-#,##0.00"/>
    <numFmt numFmtId="228" formatCode="_ &quot;SFr.&quot;\ * #,##0_ ;_ &quot;SFr.&quot;\ * \-#,##0_ ;_ &quot;SFr.&quot;\ * &quot;-&quot;_ ;_ @_ "/>
    <numFmt numFmtId="229" formatCode="_ * #,##0_ ;_ * &quot;\&quot;&quot;\&quot;&quot;\&quot;&quot;\&quot;&quot;\&quot;&quot;\&quot;&quot;\&quot;&quot;\&quot;&quot;\&quot;&quot;\&quot;&quot;\&quot;&quot;\&quot;\-#,##0_ ;_ * &quot;-&quot;_ ;_ @_ "/>
    <numFmt numFmtId="230" formatCode="_ &quot;\&quot;* #,##0.00_ ;_ &quot;\&quot;* &quot;\&quot;&quot;\&quot;&quot;\&quot;&quot;\&quot;&quot;\&quot;&quot;\&quot;&quot;\&quot;&quot;\&quot;&quot;\&quot;&quot;\&quot;&quot;\&quot;&quot;\&quot;\-#,##0.00_ ;_ &quot;\&quot;* &quot;-&quot;??_ ;_ @_ "/>
    <numFmt numFmtId="231" formatCode="_ * #,##0.00_ ;_ * &quot;\&quot;&quot;\&quot;&quot;\&quot;&quot;\&quot;&quot;\&quot;&quot;\&quot;&quot;\&quot;&quot;\&quot;&quot;\&quot;&quot;\&quot;&quot;\&quot;&quot;\&quot;\-#,##0.00_ ;_ * &quot;-&quot;??_ ;_ @_ "/>
    <numFmt numFmtId="232" formatCode="&quot;\&quot;#,##0;&quot;\&quot;&quot;\&quot;&quot;\&quot;&quot;\&quot;&quot;\&quot;&quot;\&quot;&quot;\&quot;&quot;\&quot;&quot;\&quot;&quot;\&quot;&quot;\&quot;&quot;\&quot;&quot;\&quot;&quot;\&quot;\-#,##0"/>
    <numFmt numFmtId="233" formatCode="&quot;\&quot;#,##0;[Red]&quot;\&quot;&quot;\&quot;&quot;\&quot;&quot;\&quot;&quot;\&quot;&quot;\&quot;&quot;\&quot;&quot;\&quot;&quot;\&quot;&quot;\&quot;&quot;\&quot;&quot;\&quot;&quot;\&quot;&quot;\&quot;\-#,##0"/>
    <numFmt numFmtId="234" formatCode="&quot;\&quot;#,##0.00;&quot;\&quot;&quot;\&quot;&quot;\&quot;&quot;\&quot;&quot;\&quot;&quot;\&quot;&quot;\&quot;&quot;\&quot;&quot;\&quot;&quot;\&quot;&quot;\&quot;&quot;\&quot;&quot;\&quot;&quot;\&quot;\-#,##0.00"/>
    <numFmt numFmtId="235" formatCode="_ * #,##0.00_)&quot;L&quot;_ ;_ * \(#,##0.00\)&quot;L&quot;_ ;_ * &quot;-&quot;??_)&quot;L&quot;_ ;_ @_ "/>
    <numFmt numFmtId="236" formatCode="#,##0;\(#,##0\)"/>
    <numFmt numFmtId="237" formatCode="_ &quot;R&quot;\ * #,##0_ ;_ &quot;R&quot;\ * \-#,##0_ ;_ &quot;R&quot;\ * &quot;-&quot;_ ;_ @_ "/>
    <numFmt numFmtId="238" formatCode="&quot;$&quot;#,##0.000_);[Red]\(&quot;$&quot;#,##0.00\)"/>
    <numFmt numFmtId="239" formatCode="&quot;®&quot;#,##0_);\(&quot;®&quot;#,##0\)"/>
    <numFmt numFmtId="240" formatCode="\t0.00%"/>
    <numFmt numFmtId="241" formatCode="_-&quot;F&quot;\ * #,##0.0_-;_-&quot;F&quot;\ * #,##0.0\-;_-&quot;F&quot;\ * &quot;-&quot;??_-;_-@_-"/>
    <numFmt numFmtId="242" formatCode="&quot;\&quot;#,##0.00;[Red]&quot;\&quot;&quot;\&quot;&quot;\&quot;&quot;\&quot;&quot;\&quot;&quot;\&quot;\-#,##0.00"/>
    <numFmt numFmtId="243" formatCode="\t#\ ??/??"/>
    <numFmt numFmtId="244" formatCode="_-* #,##0.00\ [$€]_-;\-* #,##0.00\ [$€]_-;_-* &quot;-&quot;??\ [$€]_-;_-@_-"/>
    <numFmt numFmtId="245" formatCode="_(* #,##0.000000_);_(* \(#,##0.000000\);_(* &quot;-&quot;??_);_(@_)"/>
    <numFmt numFmtId="246" formatCode="_-* #,##0\ _P_t_a_-;\-* #,##0\ _P_t_a_-;_-* &quot;-&quot;\ _P_t_a_-;_-@_-"/>
    <numFmt numFmtId="247" formatCode="_ &quot;\&quot;* #,##0_ ;_ &quot;\&quot;* &quot;\&quot;&quot;\&quot;&quot;\&quot;&quot;\&quot;&quot;\&quot;&quot;\&quot;&quot;\&quot;&quot;\&quot;&quot;\&quot;&quot;\&quot;&quot;\&quot;&quot;\&quot;&quot;\&quot;&quot;\&quot;\-#,##0_ ;_ &quot;\&quot;* &quot;-&quot;_ ;_ @_ "/>
    <numFmt numFmtId="248" formatCode="#"/>
    <numFmt numFmtId="249" formatCode="&quot;¡Ì&quot;#,##0;[Red]\-&quot;¡Ì&quot;#,##0"/>
    <numFmt numFmtId="250" formatCode="_(&quot;.&quot;* #&quot;$&quot;##0_);_(&quot;.&quot;* \(#&quot;$&quot;##0\);_(&quot;.&quot;* &quot;-&quot;_);_(@_)"/>
    <numFmt numFmtId="251" formatCode="&quot;$&quot;#&quot;$&quot;##0_);[Red]\(&quot;$&quot;#&quot;$&quot;##0\)"/>
    <numFmt numFmtId="252" formatCode="&quot;\&quot;#,##0.00;[Red]&quot;\&quot;&quot;\&quot;&quot;\&quot;&quot;\&quot;&quot;\&quot;&quot;\&quot;&quot;\&quot;&quot;\&quot;&quot;\&quot;&quot;\&quot;&quot;\&quot;&quot;\&quot;&quot;\&quot;&quot;\&quot;\-#,##0.00"/>
    <numFmt numFmtId="253" formatCode="_ &quot;\&quot;* #,##0_ ;_ &quot;\&quot;* &quot;\&quot;&quot;\&quot;&quot;\&quot;&quot;\&quot;&quot;\&quot;&quot;\&quot;&quot;\&quot;&quot;\&quot;&quot;\&quot;&quot;\&quot;&quot;\&quot;&quot;\&quot;&quot;\&quot;\-#,##0_ ;_ &quot;\&quot;* &quot;-&quot;_ ;_ @_ "/>
    <numFmt numFmtId="254" formatCode="#,##0.00\ "/>
    <numFmt numFmtId="255" formatCode="0\ \ \ \ "/>
    <numFmt numFmtId="256" formatCode="#,##0.00\ \ \ "/>
    <numFmt numFmtId="257" formatCode="General_)"/>
    <numFmt numFmtId="258" formatCode="0.000%"/>
    <numFmt numFmtId="259" formatCode="0.0000%"/>
    <numFmt numFmtId="260" formatCode="_-* #,##0.000000_-;\-* #,##0.000000_-;_-* &quot;-&quot;??_-;_-@_-"/>
  </numFmts>
  <fonts count="176">
    <font>
      <sz val="11"/>
      <color theme="1"/>
      <name val="Arial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  <charset val="163"/>
    </font>
    <font>
      <sz val="10"/>
      <name val="Helv"/>
      <family val="2"/>
    </font>
    <font>
      <sz val="10"/>
      <name val="Arial"/>
      <family val="2"/>
    </font>
    <font>
      <sz val="12"/>
      <name val="Times New Roman"/>
      <family val="1"/>
    </font>
    <font>
      <b/>
      <i/>
      <sz val="13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6"/>
      <name val="Times New Roman"/>
      <family val="1"/>
    </font>
    <font>
      <sz val="12"/>
      <color indexed="8"/>
      <name val="Times New Roman"/>
      <family val="2"/>
    </font>
    <font>
      <sz val="10"/>
      <name val="Helv"/>
    </font>
    <font>
      <sz val="10"/>
      <name val=".VnTime"/>
      <family val="2"/>
    </font>
    <font>
      <sz val="11"/>
      <name val=".VnArial"/>
      <family val="2"/>
    </font>
    <font>
      <sz val="11"/>
      <color theme="1"/>
      <name val="Arial"/>
      <family val="2"/>
      <scheme val="minor"/>
    </font>
    <font>
      <sz val="13"/>
      <color theme="1"/>
      <name val="Arial"/>
      <family val="2"/>
    </font>
    <font>
      <sz val="11"/>
      <color theme="1"/>
      <name val="Calibri"/>
      <family val="2"/>
    </font>
    <font>
      <sz val="13"/>
      <color theme="1"/>
      <name val="Times New Roman"/>
      <family val="1"/>
      <charset val="163"/>
    </font>
    <font>
      <b/>
      <sz val="10"/>
      <name val=".VnTime"/>
      <family val="2"/>
    </font>
    <font>
      <b/>
      <sz val="12"/>
      <name val=".VnTime"/>
      <family val="2"/>
    </font>
    <font>
      <sz val="14"/>
      <color indexed="8"/>
      <name val="Arial"/>
      <family val="2"/>
    </font>
    <font>
      <u/>
      <sz val="12"/>
      <color theme="10"/>
      <name val=".VnTime"/>
      <family val="2"/>
    </font>
    <font>
      <sz val="11"/>
      <color rgb="FF000000"/>
      <name val="Calibri"/>
      <family val="2"/>
      <charset val="204"/>
    </font>
    <font>
      <sz val="10"/>
      <name val="MS Sans Serif"/>
      <family val="2"/>
    </font>
    <font>
      <sz val="8"/>
      <name val="VN Helvetica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sz val="11"/>
      <name val="Arial"/>
      <family val="2"/>
    </font>
    <font>
      <sz val="10"/>
      <color indexed="14"/>
      <name val="Arial"/>
      <family val="2"/>
    </font>
    <font>
      <sz val="8"/>
      <name val="Arial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sz val="12"/>
      <name val=".VnTime"/>
      <family val="2"/>
    </font>
    <font>
      <sz val="12"/>
      <name val="|??¢¥¢¬¨Ï"/>
      <family val="1"/>
      <charset val="129"/>
    </font>
    <font>
      <sz val="11"/>
      <name val="??"/>
      <family val="3"/>
    </font>
    <font>
      <sz val="12"/>
      <name val="????"/>
      <charset val="136"/>
    </font>
    <font>
      <sz val="12"/>
      <name val="Courier"/>
      <family val="3"/>
    </font>
    <font>
      <sz val="12"/>
      <name val="???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4"/>
      <name val=".VnTimeH"/>
      <family val="2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1"/>
      <name val="±¼¸²Ã¼"/>
      <family val="3"/>
      <charset val="129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0"/>
      <name val="Helv"/>
      <family val="2"/>
    </font>
    <font>
      <b/>
      <sz val="12"/>
      <name val="VNTime"/>
      <family val="2"/>
    </font>
    <font>
      <b/>
      <sz val="12"/>
      <name val="VNTimeH"/>
      <family val="2"/>
    </font>
    <font>
      <sz val="10"/>
      <name val="Arial CE"/>
      <charset val="238"/>
    </font>
    <font>
      <sz val="12"/>
      <name val="VNTime"/>
    </font>
    <font>
      <b/>
      <sz val="12"/>
      <name val=".VnBook-AntiquaH"/>
      <family val="2"/>
    </font>
    <font>
      <b/>
      <sz val="12"/>
      <name val="Helv"/>
      <family val="2"/>
    </font>
    <font>
      <b/>
      <sz val="18"/>
      <name val="Arial"/>
      <family val="2"/>
    </font>
    <font>
      <b/>
      <sz val="14"/>
      <name val=".VnTimeH"/>
      <family val="2"/>
    </font>
    <font>
      <b/>
      <sz val="11"/>
      <name val="Helv"/>
      <family val="2"/>
    </font>
    <font>
      <sz val="13"/>
      <name val=".VnTime"/>
      <family val="2"/>
    </font>
    <font>
      <sz val="7"/>
      <name val="Small Fonts"/>
      <family val="2"/>
    </font>
    <font>
      <b/>
      <i/>
      <sz val="16"/>
      <name val="Helv"/>
    </font>
    <font>
      <sz val="12"/>
      <name val="바탕체"/>
      <family val="1"/>
      <charset val="129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8"/>
      <color indexed="62"/>
      <name val="Cambria"/>
      <family val="2"/>
    </font>
    <font>
      <sz val="10"/>
      <name val=".VnArial"/>
      <family val="2"/>
    </font>
    <font>
      <sz val="11"/>
      <color indexed="32"/>
      <name val="VNI-Times"/>
    </font>
    <font>
      <sz val="10"/>
      <name val="VNI-Times"/>
    </font>
    <font>
      <sz val="12"/>
      <name val=".VnArial"/>
      <family val="2"/>
    </font>
    <font>
      <sz val="10"/>
      <name val=".VnAvant"/>
      <family val="2"/>
    </font>
    <font>
      <sz val="10"/>
      <name val=".VnArial Narrow"/>
      <family val="2"/>
    </font>
    <font>
      <b/>
      <sz val="8"/>
      <name val="VN Helvetica"/>
    </font>
    <font>
      <sz val="11"/>
      <name val=".VnArial Narrow"/>
      <family val="2"/>
    </font>
    <font>
      <b/>
      <sz val="10"/>
      <name val="VN AvantGBook"/>
    </font>
    <font>
      <b/>
      <sz val="10"/>
      <name val="VN Helvetica"/>
    </font>
    <font>
      <b/>
      <sz val="16"/>
      <name val=".VnTime"/>
      <family val="2"/>
    </font>
    <font>
      <sz val="10"/>
      <name val="VN Helvetica"/>
    </font>
    <font>
      <sz val="9"/>
      <name val=".VnTime"/>
      <family val="2"/>
    </font>
    <font>
      <sz val="14"/>
      <name val=".VnArial"/>
      <family val="2"/>
    </font>
    <font>
      <sz val="14"/>
      <name val="뼻뮝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0"/>
      <name val="돋움체"/>
      <family val="3"/>
      <charset val="129"/>
    </font>
    <font>
      <sz val="9"/>
      <name val="Arial"/>
      <family val="2"/>
    </font>
    <font>
      <sz val="10"/>
      <name val=" "/>
      <family val="1"/>
      <charset val="136"/>
    </font>
    <font>
      <sz val="12"/>
      <color theme="1"/>
      <name val="Arial"/>
      <family val="2"/>
      <scheme val="minor"/>
    </font>
    <font>
      <b/>
      <sz val="11"/>
      <name val="Times New Roman"/>
      <family val="1"/>
    </font>
    <font>
      <sz val="12"/>
      <name val="VNI-Times"/>
    </font>
    <font>
      <sz val="12"/>
      <name val="돋움체"/>
      <family val="3"/>
      <charset val="129"/>
    </font>
    <font>
      <sz val="10"/>
      <name val="???"/>
      <family val="3"/>
      <charset val="129"/>
    </font>
    <font>
      <sz val="10"/>
      <name val="AngsanaUPC"/>
      <family val="1"/>
    </font>
    <font>
      <sz val="14"/>
      <name val="뼻뮝"/>
      <family val="3"/>
      <charset val="129"/>
    </font>
    <font>
      <sz val="10"/>
      <name val="Helv"/>
      <charset val="204"/>
    </font>
    <font>
      <sz val="11"/>
      <name val="–¾’©"/>
      <family val="1"/>
      <charset val="128"/>
    </font>
    <font>
      <b/>
      <u/>
      <sz val="14"/>
      <color indexed="8"/>
      <name val=".VnBook-AntiquaH"/>
      <family val="2"/>
    </font>
    <font>
      <sz val="11"/>
      <name val=".VnTime"/>
      <family val="2"/>
    </font>
    <font>
      <b/>
      <sz val="10"/>
      <name val=".VnArial"/>
      <family val="2"/>
    </font>
    <font>
      <sz val="12"/>
      <name val="???"/>
      <family val="3"/>
    </font>
    <font>
      <sz val="12"/>
      <name val="바탕체"/>
      <family val="3"/>
    </font>
    <font>
      <sz val="12"/>
      <color indexed="8"/>
      <name val="¹ÙÅÁÃ¼"/>
      <family val="1"/>
      <charset val="129"/>
    </font>
    <font>
      <sz val="8"/>
      <name val="Times New Roman"/>
      <family val="1"/>
    </font>
    <font>
      <sz val="12"/>
      <name val="¹ÙÅÁÃ¼"/>
      <charset val="129"/>
    </font>
    <font>
      <sz val="12"/>
      <name val="Tms Rmn"/>
    </font>
    <font>
      <sz val="12"/>
      <name val="µ¸¿òÃ¼"/>
      <family val="3"/>
      <charset val="129"/>
    </font>
    <font>
      <sz val="10"/>
      <color indexed="16"/>
      <name val="MS Sans Serif"/>
      <family val="2"/>
    </font>
    <font>
      <b/>
      <sz val="10"/>
      <name val="Helv"/>
    </font>
    <font>
      <sz val="12"/>
      <name val="宋体"/>
      <charset val="134"/>
    </font>
    <font>
      <sz val="10"/>
      <name val="MS Serif"/>
      <family val="1"/>
    </font>
    <font>
      <sz val="10"/>
      <color indexed="16"/>
      <name val="MS Serif"/>
      <family val="1"/>
    </font>
    <font>
      <b/>
      <sz val="12"/>
      <color indexed="9"/>
      <name val="Tms Rmn"/>
    </font>
    <font>
      <b/>
      <sz val="12"/>
      <name val="Helv"/>
    </font>
    <font>
      <b/>
      <sz val="8"/>
      <name val="MS Sans Serif"/>
      <family val="2"/>
    </font>
    <font>
      <sz val="10"/>
      <color indexed="9"/>
      <name val="MS Sans Serif"/>
      <family val="2"/>
    </font>
    <font>
      <u/>
      <sz val="8"/>
      <color indexed="12"/>
      <name val="Times New Roman"/>
      <family val="1"/>
    </font>
    <font>
      <u/>
      <sz val="10"/>
      <color indexed="12"/>
      <name val="Arial"/>
      <family val="2"/>
    </font>
    <font>
      <sz val="12"/>
      <name val="??"/>
      <family val="1"/>
      <charset val="129"/>
    </font>
    <font>
      <b/>
      <sz val="11"/>
      <name val="Helv"/>
    </font>
    <font>
      <sz val="11"/>
      <color indexed="8"/>
      <name val="Calibri"/>
      <family val="2"/>
      <charset val="163"/>
    </font>
    <font>
      <sz val="10"/>
      <color indexed="8"/>
      <name val="MS Sans Serif"/>
      <family val="2"/>
    </font>
    <font>
      <b/>
      <sz val="11"/>
      <name val="Arial"/>
      <family val="2"/>
    </font>
    <font>
      <sz val="12"/>
      <name val="Helv"/>
      <family val="2"/>
    </font>
    <font>
      <b/>
      <sz val="10"/>
      <name val="MS Sans Serif"/>
      <family val="2"/>
    </font>
    <font>
      <sz val="10"/>
      <color indexed="18"/>
      <name val="MS Sans Serif"/>
      <family val="2"/>
    </font>
    <font>
      <sz val="8"/>
      <name val="Wingdings"/>
      <charset val="2"/>
    </font>
    <font>
      <sz val="8"/>
      <name val="Helv"/>
    </font>
    <font>
      <sz val="11"/>
      <name val="3C_Times_T"/>
    </font>
    <font>
      <sz val="8"/>
      <name val="MS Sans Serif"/>
      <family val="2"/>
    </font>
    <font>
      <sz val="10"/>
      <name val="3C_Times_T"/>
    </font>
    <font>
      <i/>
      <sz val="10"/>
      <color indexed="13"/>
      <name val="MS Sans Serif"/>
      <family val="2"/>
    </font>
    <font>
      <b/>
      <sz val="8"/>
      <color indexed="8"/>
      <name val="Helv"/>
    </font>
    <font>
      <sz val="14"/>
      <name val=".VnTime"/>
      <family val="2"/>
    </font>
    <font>
      <sz val="10"/>
      <name val="VNI-Univer"/>
    </font>
    <font>
      <b/>
      <sz val="13"/>
      <color indexed="8"/>
      <name val=".VnTimeH"/>
      <family val="2"/>
    </font>
    <font>
      <sz val="10"/>
      <name val="VNI-Helve-Condense"/>
    </font>
    <font>
      <sz val="10"/>
      <name val="명조"/>
      <family val="3"/>
      <charset val="129"/>
    </font>
    <font>
      <sz val="10"/>
      <name val="Courier"/>
      <family val="3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11"/>
      <name val="ｸｰﾘｴ"/>
      <family val="3"/>
    </font>
    <font>
      <sz val="12"/>
      <color theme="1"/>
      <name val="Times New Roman"/>
      <family val="2"/>
    </font>
    <font>
      <b/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theme="1"/>
      <name val="Times New Roman"/>
      <family val="1"/>
    </font>
    <font>
      <sz val="14"/>
      <color theme="1"/>
      <name val="Times New Roman"/>
      <family val="2"/>
      <charset val="163"/>
    </font>
    <font>
      <vertAlign val="subscript"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 tint="0.249977111117893"/>
      <name val="Times New Roman"/>
      <family val="1"/>
    </font>
    <font>
      <i/>
      <sz val="12"/>
      <name val="Times New Roman"/>
      <family val="1"/>
    </font>
    <font>
      <sz val="11"/>
      <color rgb="FFFF0000"/>
      <name val="Times New Roman"/>
      <family val="1"/>
    </font>
  </fonts>
  <fills count="6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gray125">
        <fgColor indexed="3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indexed="13"/>
        <bgColor indexed="64"/>
      </patternFill>
    </fill>
    <fill>
      <patternFill patternType="solid">
        <fgColor indexed="65"/>
        <bgColor indexed="64"/>
      </patternFill>
    </fill>
    <fill>
      <patternFill patternType="darkVertical"/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hair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 style="medium">
        <color indexed="0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79">
    <xf numFmtId="0" fontId="0" fillId="0" borderId="0"/>
    <xf numFmtId="0" fontId="12" fillId="0" borderId="0"/>
    <xf numFmtId="165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2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" fillId="0" borderId="0"/>
    <xf numFmtId="0" fontId="12" fillId="0" borderId="0"/>
    <xf numFmtId="0" fontId="5" fillId="0" borderId="0"/>
    <xf numFmtId="0" fontId="1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3" fillId="0" borderId="0"/>
    <xf numFmtId="0" fontId="5" fillId="0" borderId="0"/>
    <xf numFmtId="0" fontId="14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9" fontId="1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12" fillId="0" borderId="0"/>
    <xf numFmtId="0" fontId="18" fillId="0" borderId="0"/>
    <xf numFmtId="169" fontId="1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5" fillId="0" borderId="0"/>
    <xf numFmtId="0" fontId="23" fillId="0" borderId="0"/>
    <xf numFmtId="0" fontId="23" fillId="0" borderId="0"/>
    <xf numFmtId="0" fontId="15" fillId="0" borderId="0"/>
    <xf numFmtId="0" fontId="15" fillId="0" borderId="0"/>
    <xf numFmtId="0" fontId="6" fillId="0" borderId="0"/>
    <xf numFmtId="0" fontId="20" fillId="6" borderId="1">
      <alignment horizontal="left" vertical="center"/>
    </xf>
    <xf numFmtId="175" fontId="19" fillId="0" borderId="2">
      <alignment horizontal="left" vertical="top"/>
    </xf>
    <xf numFmtId="175" fontId="13" fillId="0" borderId="3">
      <alignment horizontal="left" vertical="top"/>
    </xf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0" fontId="5" fillId="0" borderId="0"/>
    <xf numFmtId="179" fontId="49" fillId="0" borderId="0" applyFont="0" applyFill="0" applyBorder="0" applyAlignment="0" applyProtection="0"/>
    <xf numFmtId="180" fontId="49" fillId="0" borderId="0" applyFont="0" applyFill="0" applyBorder="0" applyAlignment="0" applyProtection="0"/>
    <xf numFmtId="181" fontId="51" fillId="0" borderId="0" applyFont="0" applyFill="0" applyBorder="0" applyAlignment="0" applyProtection="0"/>
    <xf numFmtId="182" fontId="5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6" fontId="5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0" fillId="0" borderId="0"/>
    <xf numFmtId="0" fontId="5" fillId="0" borderId="0" applyNumberFormat="0" applyFill="0" applyBorder="0" applyAlignment="0" applyProtection="0"/>
    <xf numFmtId="164" fontId="49" fillId="0" borderId="0" applyFont="0" applyFill="0" applyBorder="0" applyAlignment="0" applyProtection="0"/>
    <xf numFmtId="178" fontId="4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5" fillId="0" borderId="0"/>
    <xf numFmtId="0" fontId="24" fillId="0" borderId="0"/>
    <xf numFmtId="0" fontId="4" fillId="0" borderId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0" fontId="55" fillId="7" borderId="0"/>
    <xf numFmtId="0" fontId="49" fillId="0" borderId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56" fillId="7" borderId="0"/>
    <xf numFmtId="0" fontId="57" fillId="0" borderId="0">
      <alignment wrapText="1"/>
    </xf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170" fontId="58" fillId="0" borderId="4" applyNumberFormat="0" applyFont="0" applyBorder="0" applyAlignment="0">
      <alignment horizontal="center" vertical="center"/>
    </xf>
    <xf numFmtId="0" fontId="13" fillId="0" borderId="0"/>
    <xf numFmtId="0" fontId="33" fillId="20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21" borderId="0" applyNumberFormat="0" applyBorder="0" applyAlignment="0" applyProtection="0"/>
    <xf numFmtId="0" fontId="33" fillId="19" borderId="0" applyNumberFormat="0" applyBorder="0" applyAlignment="0" applyProtection="0"/>
    <xf numFmtId="0" fontId="33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33" fillId="27" borderId="0" applyNumberFormat="0" applyBorder="0" applyAlignment="0" applyProtection="0"/>
    <xf numFmtId="0" fontId="33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1" borderId="0" applyNumberFormat="0" applyBorder="0" applyAlignment="0" applyProtection="0"/>
    <xf numFmtId="0" fontId="1" fillId="32" borderId="0" applyNumberFormat="0" applyBorder="0" applyAlignment="0" applyProtection="0"/>
    <xf numFmtId="0" fontId="1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33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60" fillId="0" borderId="0" applyFont="0" applyFill="0" applyBorder="0" applyAlignment="0" applyProtection="0"/>
    <xf numFmtId="183" fontId="6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30" fillId="0" borderId="0" applyFont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2" fillId="10" borderId="0" applyNumberFormat="0" applyBorder="0" applyAlignment="0" applyProtection="0"/>
    <xf numFmtId="0" fontId="60" fillId="0" borderId="0"/>
    <xf numFmtId="0" fontId="60" fillId="0" borderId="0"/>
    <xf numFmtId="186" fontId="63" fillId="0" borderId="0" applyFill="0" applyBorder="0" applyAlignment="0"/>
    <xf numFmtId="174" fontId="5" fillId="0" borderId="0" applyFill="0" applyBorder="0" applyAlignment="0"/>
    <xf numFmtId="187" fontId="63" fillId="0" borderId="0" applyFill="0" applyBorder="0" applyAlignment="0"/>
    <xf numFmtId="188" fontId="63" fillId="0" borderId="0" applyFill="0" applyBorder="0" applyAlignment="0"/>
    <xf numFmtId="189" fontId="63" fillId="0" borderId="0" applyFill="0" applyBorder="0" applyAlignment="0"/>
    <xf numFmtId="190" fontId="63" fillId="0" borderId="0" applyFill="0" applyBorder="0" applyAlignment="0"/>
    <xf numFmtId="186" fontId="63" fillId="0" borderId="0" applyFill="0" applyBorder="0" applyAlignment="0"/>
    <xf numFmtId="191" fontId="63" fillId="0" borderId="0" applyFill="0" applyBorder="0" applyAlignment="0"/>
    <xf numFmtId="187" fontId="63" fillId="0" borderId="0" applyFill="0" applyBorder="0" applyAlignment="0"/>
    <xf numFmtId="0" fontId="34" fillId="14" borderId="5" applyNumberFormat="0" applyAlignment="0" applyProtection="0"/>
    <xf numFmtId="0" fontId="64" fillId="0" borderId="0"/>
    <xf numFmtId="0" fontId="35" fillId="35" borderId="6" applyNumberFormat="0" applyAlignment="0" applyProtection="0"/>
    <xf numFmtId="164" fontId="49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" fillId="0" borderId="0" applyFill="0" applyBorder="0" applyAlignment="0" applyProtection="0"/>
    <xf numFmtId="43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92" fontId="24" fillId="0" borderId="0"/>
    <xf numFmtId="3" fontId="5" fillId="0" borderId="0" applyFont="0" applyFill="0" applyBorder="0" applyAlignment="0" applyProtection="0"/>
    <xf numFmtId="0" fontId="65" fillId="0" borderId="0">
      <alignment horizontal="center"/>
    </xf>
    <xf numFmtId="187" fontId="5" fillId="0" borderId="0" applyFill="0" applyBorder="0" applyAlignment="0" applyProtection="0"/>
    <xf numFmtId="193" fontId="5" fillId="0" borderId="0" applyFont="0" applyFill="0" applyBorder="0" applyAlignment="0" applyProtection="0"/>
    <xf numFmtId="194" fontId="24" fillId="0" borderId="0"/>
    <xf numFmtId="0" fontId="5" fillId="0" borderId="0" applyFont="0" applyFill="0" applyBorder="0" applyAlignment="0" applyProtection="0"/>
    <xf numFmtId="14" fontId="63" fillId="0" borderId="0" applyFill="0" applyBorder="0" applyAlignment="0"/>
    <xf numFmtId="3" fontId="66" fillId="0" borderId="3">
      <alignment horizontal="left" vertical="top" wrapText="1"/>
    </xf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95" fontId="24" fillId="0" borderId="0"/>
    <xf numFmtId="44" fontId="49" fillId="0" borderId="0"/>
    <xf numFmtId="41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196" fontId="5" fillId="0" borderId="0" applyFont="0" applyFill="0" applyBorder="0" applyAlignment="0" applyProtection="0"/>
    <xf numFmtId="196" fontId="5" fillId="0" borderId="0" applyFont="0" applyFill="0" applyBorder="0" applyAlignment="0" applyProtection="0"/>
    <xf numFmtId="196" fontId="5" fillId="0" borderId="0" applyFont="0" applyFill="0" applyBorder="0" applyAlignment="0" applyProtection="0"/>
    <xf numFmtId="196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96" fontId="5" fillId="0" borderId="0" applyFont="0" applyFill="0" applyBorder="0" applyAlignment="0" applyProtection="0"/>
    <xf numFmtId="196" fontId="5" fillId="0" borderId="0" applyFont="0" applyFill="0" applyBorder="0" applyAlignment="0" applyProtection="0"/>
    <xf numFmtId="197" fontId="49" fillId="0" borderId="0" applyFont="0" applyFill="0" applyBorder="0" applyAlignment="0" applyProtection="0"/>
    <xf numFmtId="197" fontId="49" fillId="0" borderId="0" applyFont="0" applyFill="0" applyBorder="0" applyAlignment="0" applyProtection="0"/>
    <xf numFmtId="198" fontId="49" fillId="0" borderId="0" applyFont="0" applyFill="0" applyBorder="0" applyAlignment="0" applyProtection="0"/>
    <xf numFmtId="198" fontId="49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199" fontId="67" fillId="0" borderId="0" applyFont="0" applyFill="0" applyBorder="0" applyAlignment="0" applyProtection="0"/>
    <xf numFmtId="199" fontId="67" fillId="0" borderId="0" applyFont="0" applyFill="0" applyBorder="0" applyAlignment="0" applyProtection="0"/>
    <xf numFmtId="199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199" fontId="67" fillId="0" borderId="0" applyFont="0" applyFill="0" applyBorder="0" applyAlignment="0" applyProtection="0"/>
    <xf numFmtId="199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165" fontId="67" fillId="0" borderId="0" applyFont="0" applyFill="0" applyBorder="0" applyAlignment="0" applyProtection="0"/>
    <xf numFmtId="165" fontId="67" fillId="0" borderId="0" applyFont="0" applyFill="0" applyBorder="0" applyAlignment="0" applyProtection="0"/>
    <xf numFmtId="200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1" fontId="49" fillId="0" borderId="0" applyFont="0" applyFill="0" applyBorder="0" applyAlignment="0" applyProtection="0"/>
    <xf numFmtId="201" fontId="49" fillId="0" borderId="0" applyFont="0" applyFill="0" applyBorder="0" applyAlignment="0" applyProtection="0"/>
    <xf numFmtId="202" fontId="49" fillId="0" borderId="0" applyFont="0" applyFill="0" applyBorder="0" applyAlignment="0" applyProtection="0"/>
    <xf numFmtId="202" fontId="49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5" fontId="67" fillId="0" borderId="0" applyFont="0" applyFill="0" applyBorder="0" applyAlignment="0" applyProtection="0"/>
    <xf numFmtId="165" fontId="67" fillId="0" borderId="0" applyFont="0" applyFill="0" applyBorder="0" applyAlignment="0" applyProtection="0"/>
    <xf numFmtId="165" fontId="67" fillId="0" borderId="0" applyFont="0" applyFill="0" applyBorder="0" applyAlignment="0" applyProtection="0"/>
    <xf numFmtId="165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36" borderId="0" applyNumberFormat="0" applyBorder="0" applyAlignment="0" applyProtection="0"/>
    <xf numFmtId="0" fontId="46" fillId="37" borderId="0" applyNumberFormat="0" applyBorder="0" applyAlignment="0" applyProtection="0"/>
    <xf numFmtId="0" fontId="46" fillId="38" borderId="0" applyNumberFormat="0" applyBorder="0" applyAlignment="0" applyProtection="0"/>
    <xf numFmtId="186" fontId="29" fillId="0" borderId="0" applyFill="0" applyBorder="0" applyAlignment="0"/>
    <xf numFmtId="187" fontId="29" fillId="0" borderId="0" applyFill="0" applyBorder="0" applyAlignment="0"/>
    <xf numFmtId="186" fontId="29" fillId="0" borderId="0" applyFill="0" applyBorder="0" applyAlignment="0"/>
    <xf numFmtId="191" fontId="29" fillId="0" borderId="0" applyFill="0" applyBorder="0" applyAlignment="0"/>
    <xf numFmtId="187" fontId="29" fillId="0" borderId="0" applyFill="0" applyBorder="0" applyAlignment="0"/>
    <xf numFmtId="0" fontId="36" fillId="0" borderId="0" applyNumberFormat="0" applyFill="0" applyBorder="0" applyAlignment="0" applyProtection="0"/>
    <xf numFmtId="2" fontId="5" fillId="0" borderId="0" applyFont="0" applyFill="0" applyBorder="0" applyAlignment="0" applyProtection="0"/>
    <xf numFmtId="0" fontId="68" fillId="0" borderId="0">
      <alignment vertical="top" wrapText="1"/>
    </xf>
    <xf numFmtId="0" fontId="37" fillId="11" borderId="0" applyNumberFormat="0" applyBorder="0" applyAlignment="0" applyProtection="0"/>
    <xf numFmtId="38" fontId="32" fillId="7" borderId="0" applyNumberFormat="0" applyBorder="0" applyAlignment="0" applyProtection="0"/>
    <xf numFmtId="38" fontId="32" fillId="2" borderId="0" applyNumberFormat="0" applyBorder="0" applyAlignment="0" applyProtection="0"/>
    <xf numFmtId="0" fontId="69" fillId="0" borderId="0" applyNumberFormat="0" applyFont="0" applyBorder="0" applyAlignment="0">
      <alignment horizontal="left" vertical="center"/>
    </xf>
    <xf numFmtId="0" fontId="70" fillId="0" borderId="0">
      <alignment horizontal="left"/>
    </xf>
    <xf numFmtId="0" fontId="28" fillId="0" borderId="7" applyNumberFormat="0" applyAlignment="0" applyProtection="0">
      <alignment horizontal="left" vertical="center"/>
    </xf>
    <xf numFmtId="0" fontId="28" fillId="0" borderId="8">
      <alignment horizontal="left" vertical="center"/>
    </xf>
    <xf numFmtId="0" fontId="71" fillId="0" borderId="0" applyNumberFormat="0" applyFill="0" applyBorder="0" applyAlignment="0" applyProtection="0"/>
    <xf numFmtId="0" fontId="38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39" fillId="0" borderId="10" applyNumberFormat="0" applyFill="0" applyAlignment="0" applyProtection="0"/>
    <xf numFmtId="0" fontId="40" fillId="0" borderId="11" applyNumberFormat="0" applyFill="0" applyAlignment="0" applyProtection="0"/>
    <xf numFmtId="0" fontId="40" fillId="0" borderId="0" applyNumberFormat="0" applyFill="0" applyBorder="0" applyAlignment="0" applyProtection="0"/>
    <xf numFmtId="0" fontId="71" fillId="0" borderId="0" applyProtection="0"/>
    <xf numFmtId="0" fontId="28" fillId="0" borderId="0" applyProtection="0"/>
    <xf numFmtId="5" fontId="19" fillId="39" borderId="1" applyNumberFormat="0" applyAlignment="0">
      <alignment horizontal="left" vertical="top"/>
    </xf>
    <xf numFmtId="49" fontId="72" fillId="0" borderId="1">
      <alignment vertical="center"/>
    </xf>
    <xf numFmtId="164" fontId="49" fillId="0" borderId="0" applyFont="0" applyFill="0" applyBorder="0" applyAlignment="0" applyProtection="0"/>
    <xf numFmtId="38" fontId="24" fillId="0" borderId="0" applyFont="0" applyFill="0" applyBorder="0" applyAlignment="0" applyProtection="0"/>
    <xf numFmtId="203" fontId="59" fillId="0" borderId="0" applyFont="0" applyFill="0" applyBorder="0" applyAlignment="0" applyProtection="0"/>
    <xf numFmtId="10" fontId="32" fillId="40" borderId="1" applyNumberFormat="0" applyBorder="0" applyAlignment="0" applyProtection="0"/>
    <xf numFmtId="10" fontId="32" fillId="2" borderId="1" applyNumberFormat="0" applyBorder="0" applyAlignment="0" applyProtection="0"/>
    <xf numFmtId="0" fontId="41" fillId="9" borderId="5" applyNumberFormat="0" applyAlignment="0" applyProtection="0"/>
    <xf numFmtId="0" fontId="5" fillId="0" borderId="0"/>
    <xf numFmtId="164" fontId="49" fillId="0" borderId="0" applyFont="0" applyFill="0" applyBorder="0" applyAlignment="0" applyProtection="0"/>
    <xf numFmtId="0" fontId="49" fillId="0" borderId="0"/>
    <xf numFmtId="0" fontId="5" fillId="0" borderId="0"/>
    <xf numFmtId="186" fontId="31" fillId="0" borderId="0" applyFill="0" applyBorder="0" applyAlignment="0"/>
    <xf numFmtId="187" fontId="31" fillId="0" borderId="0" applyFill="0" applyBorder="0" applyAlignment="0"/>
    <xf numFmtId="186" fontId="31" fillId="0" borderId="0" applyFill="0" applyBorder="0" applyAlignment="0"/>
    <xf numFmtId="191" fontId="31" fillId="0" borderId="0" applyFill="0" applyBorder="0" applyAlignment="0"/>
    <xf numFmtId="187" fontId="31" fillId="0" borderId="0" applyFill="0" applyBorder="0" applyAlignment="0"/>
    <xf numFmtId="0" fontId="42" fillId="0" borderId="12" applyNumberFormat="0" applyFill="0" applyAlignment="0" applyProtection="0"/>
    <xf numFmtId="0" fontId="13" fillId="2" borderId="0">
      <alignment horizontal="left"/>
    </xf>
    <xf numFmtId="40" fontId="24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73" fillId="0" borderId="13"/>
    <xf numFmtId="167" fontId="5" fillId="0" borderId="14"/>
    <xf numFmtId="204" fontId="5" fillId="0" borderId="0" applyFont="0" applyFill="0" applyBorder="0" applyAlignment="0" applyProtection="0"/>
    <xf numFmtId="205" fontId="5" fillId="0" borderId="0" applyFont="0" applyFill="0" applyBorder="0" applyAlignment="0" applyProtection="0"/>
    <xf numFmtId="0" fontId="27" fillId="0" borderId="0" applyNumberFormat="0" applyFont="0" applyFill="0" applyAlignment="0"/>
    <xf numFmtId="0" fontId="43" fillId="42" borderId="0" applyNumberFormat="0" applyBorder="0" applyAlignment="0" applyProtection="0"/>
    <xf numFmtId="0" fontId="74" fillId="0" borderId="1"/>
    <xf numFmtId="0" fontId="26" fillId="0" borderId="0"/>
    <xf numFmtId="37" fontId="75" fillId="0" borderId="0"/>
    <xf numFmtId="176" fontId="49" fillId="0" borderId="0"/>
    <xf numFmtId="206" fontId="76" fillId="0" borderId="0"/>
    <xf numFmtId="0" fontId="77" fillId="0" borderId="0"/>
    <xf numFmtId="0" fontId="13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49" fillId="0" borderId="0"/>
    <xf numFmtId="0" fontId="49" fillId="41" borderId="15" applyNumberFormat="0" applyFont="0" applyAlignment="0" applyProtection="0"/>
    <xf numFmtId="0" fontId="5" fillId="41" borderId="15" applyNumberFormat="0" applyFont="0" applyAlignment="0" applyProtection="0"/>
    <xf numFmtId="0" fontId="7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4" fillId="14" borderId="16" applyNumberFormat="0" applyAlignment="0" applyProtection="0"/>
    <xf numFmtId="9" fontId="5" fillId="0" borderId="0" applyFont="0" applyFill="0" applyBorder="0" applyAlignment="0" applyProtection="0"/>
    <xf numFmtId="190" fontId="5" fillId="0" borderId="0" applyFill="0" applyBorder="0" applyAlignment="0" applyProtection="0"/>
    <xf numFmtId="207" fontId="5" fillId="0" borderId="0" applyFill="0" applyBorder="0" applyAlignment="0" applyProtection="0"/>
    <xf numFmtId="10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17" applyNumberFormat="0" applyBorder="0"/>
    <xf numFmtId="186" fontId="48" fillId="0" borderId="0" applyFill="0" applyBorder="0" applyAlignment="0"/>
    <xf numFmtId="187" fontId="48" fillId="0" borderId="0" applyFill="0" applyBorder="0" applyAlignment="0"/>
    <xf numFmtId="186" fontId="48" fillId="0" borderId="0" applyFill="0" applyBorder="0" applyAlignment="0"/>
    <xf numFmtId="191" fontId="48" fillId="0" borderId="0" applyFill="0" applyBorder="0" applyAlignment="0"/>
    <xf numFmtId="187" fontId="48" fillId="0" borderId="0" applyFill="0" applyBorder="0" applyAlignment="0"/>
    <xf numFmtId="0" fontId="49" fillId="0" borderId="0" applyNumberFormat="0" applyFill="0" applyBorder="0" applyAlignment="0" applyProtection="0"/>
    <xf numFmtId="4" fontId="78" fillId="43" borderId="18" applyNumberFormat="0" applyProtection="0">
      <alignment vertical="center"/>
    </xf>
    <xf numFmtId="4" fontId="79" fillId="43" borderId="18" applyNumberFormat="0" applyProtection="0">
      <alignment vertical="center"/>
    </xf>
    <xf numFmtId="4" fontId="80" fillId="43" borderId="18" applyNumberFormat="0" applyProtection="0">
      <alignment horizontal="left" vertical="center" indent="1"/>
    </xf>
    <xf numFmtId="4" fontId="80" fillId="44" borderId="0" applyNumberFormat="0" applyProtection="0">
      <alignment horizontal="left" vertical="center" indent="1"/>
    </xf>
    <xf numFmtId="4" fontId="80" fillId="45" borderId="18" applyNumberFormat="0" applyProtection="0">
      <alignment horizontal="right" vertical="center"/>
    </xf>
    <xf numFmtId="4" fontId="80" fillId="46" borderId="18" applyNumberFormat="0" applyProtection="0">
      <alignment horizontal="right" vertical="center"/>
    </xf>
    <xf numFmtId="4" fontId="80" fillId="47" borderId="18" applyNumberFormat="0" applyProtection="0">
      <alignment horizontal="right" vertical="center"/>
    </xf>
    <xf numFmtId="4" fontId="80" fillId="48" borderId="18" applyNumberFormat="0" applyProtection="0">
      <alignment horizontal="right" vertical="center"/>
    </xf>
    <xf numFmtId="4" fontId="80" fillId="49" borderId="18" applyNumberFormat="0" applyProtection="0">
      <alignment horizontal="right" vertical="center"/>
    </xf>
    <xf numFmtId="4" fontId="80" fillId="50" borderId="18" applyNumberFormat="0" applyProtection="0">
      <alignment horizontal="right" vertical="center"/>
    </xf>
    <xf numFmtId="4" fontId="80" fillId="51" borderId="18" applyNumberFormat="0" applyProtection="0">
      <alignment horizontal="right" vertical="center"/>
    </xf>
    <xf numFmtId="4" fontId="80" fillId="52" borderId="18" applyNumberFormat="0" applyProtection="0">
      <alignment horizontal="right" vertical="center"/>
    </xf>
    <xf numFmtId="4" fontId="80" fillId="53" borderId="18" applyNumberFormat="0" applyProtection="0">
      <alignment horizontal="right" vertical="center"/>
    </xf>
    <xf numFmtId="4" fontId="78" fillId="54" borderId="19" applyNumberFormat="0" applyProtection="0">
      <alignment horizontal="left" vertical="center" indent="1"/>
    </xf>
    <xf numFmtId="4" fontId="78" fillId="55" borderId="0" applyNumberFormat="0" applyProtection="0">
      <alignment horizontal="left" vertical="center" indent="1"/>
    </xf>
    <xf numFmtId="4" fontId="78" fillId="44" borderId="0" applyNumberFormat="0" applyProtection="0">
      <alignment horizontal="left" vertical="center" indent="1"/>
    </xf>
    <xf numFmtId="4" fontId="80" fillId="55" borderId="18" applyNumberFormat="0" applyProtection="0">
      <alignment horizontal="right" vertical="center"/>
    </xf>
    <xf numFmtId="4" fontId="63" fillId="55" borderId="0" applyNumberFormat="0" applyProtection="0">
      <alignment horizontal="left" vertical="center" indent="1"/>
    </xf>
    <xf numFmtId="4" fontId="63" fillId="44" borderId="0" applyNumberFormat="0" applyProtection="0">
      <alignment horizontal="left" vertical="center" indent="1"/>
    </xf>
    <xf numFmtId="4" fontId="80" fillId="56" borderId="18" applyNumberFormat="0" applyProtection="0">
      <alignment vertical="center"/>
    </xf>
    <xf numFmtId="4" fontId="81" fillId="56" borderId="18" applyNumberFormat="0" applyProtection="0">
      <alignment vertical="center"/>
    </xf>
    <xf numFmtId="4" fontId="78" fillId="55" borderId="20" applyNumberFormat="0" applyProtection="0">
      <alignment horizontal="left" vertical="center" indent="1"/>
    </xf>
    <xf numFmtId="4" fontId="80" fillId="56" borderId="18" applyNumberFormat="0" applyProtection="0">
      <alignment horizontal="right" vertical="center"/>
    </xf>
    <xf numFmtId="4" fontId="81" fillId="56" borderId="18" applyNumberFormat="0" applyProtection="0">
      <alignment horizontal="right" vertical="center"/>
    </xf>
    <xf numFmtId="4" fontId="78" fillId="55" borderId="18" applyNumberFormat="0" applyProtection="0">
      <alignment horizontal="left" vertical="center" indent="1"/>
    </xf>
    <xf numFmtId="4" fontId="82" fillId="39" borderId="20" applyNumberFormat="0" applyProtection="0">
      <alignment horizontal="left" vertical="center" indent="1"/>
    </xf>
    <xf numFmtId="4" fontId="83" fillId="56" borderId="18" applyNumberFormat="0" applyProtection="0">
      <alignment horizontal="right" vertical="center"/>
    </xf>
    <xf numFmtId="0" fontId="84" fillId="0" borderId="0" applyNumberFormat="0" applyFill="0" applyBorder="0" applyAlignment="0" applyProtection="0"/>
    <xf numFmtId="0" fontId="5" fillId="57" borderId="0"/>
    <xf numFmtId="0" fontId="24" fillId="0" borderId="0"/>
    <xf numFmtId="0" fontId="13" fillId="0" borderId="0" applyNumberFormat="0" applyFill="0" applyBorder="0" applyAlignment="0" applyProtection="0"/>
    <xf numFmtId="170" fontId="85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0" fontId="86" fillId="0" borderId="0"/>
    <xf numFmtId="0" fontId="73" fillId="0" borderId="0"/>
    <xf numFmtId="208" fontId="74" fillId="0" borderId="21">
      <alignment horizontal="right" vertical="center"/>
    </xf>
    <xf numFmtId="209" fontId="87" fillId="0" borderId="21">
      <alignment horizontal="right" vertical="center"/>
    </xf>
    <xf numFmtId="210" fontId="14" fillId="0" borderId="21">
      <alignment horizontal="right" vertical="center"/>
    </xf>
    <xf numFmtId="209" fontId="87" fillId="0" borderId="21">
      <alignment horizontal="right" vertical="center"/>
    </xf>
    <xf numFmtId="177" fontId="49" fillId="0" borderId="21">
      <alignment horizontal="right" vertical="center"/>
    </xf>
    <xf numFmtId="177" fontId="49" fillId="0" borderId="21">
      <alignment horizontal="right" vertical="center"/>
    </xf>
    <xf numFmtId="209" fontId="87" fillId="0" borderId="21">
      <alignment horizontal="right" vertical="center"/>
    </xf>
    <xf numFmtId="210" fontId="14" fillId="0" borderId="21">
      <alignment horizontal="right" vertical="center"/>
    </xf>
    <xf numFmtId="209" fontId="87" fillId="0" borderId="21">
      <alignment horizontal="right" vertical="center"/>
    </xf>
    <xf numFmtId="211" fontId="49" fillId="0" borderId="21">
      <alignment horizontal="right" vertical="center"/>
    </xf>
    <xf numFmtId="210" fontId="14" fillId="0" borderId="21">
      <alignment horizontal="right" vertical="center"/>
    </xf>
    <xf numFmtId="210" fontId="14" fillId="0" borderId="21">
      <alignment horizontal="right" vertical="center"/>
    </xf>
    <xf numFmtId="209" fontId="87" fillId="0" borderId="21">
      <alignment horizontal="right" vertical="center"/>
    </xf>
    <xf numFmtId="212" fontId="14" fillId="0" borderId="21">
      <alignment horizontal="right" vertical="center"/>
    </xf>
    <xf numFmtId="211" fontId="49" fillId="0" borderId="21">
      <alignment horizontal="right" vertical="center"/>
    </xf>
    <xf numFmtId="49" fontId="63" fillId="0" borderId="0" applyFill="0" applyBorder="0" applyAlignment="0"/>
    <xf numFmtId="49" fontId="63" fillId="0" borderId="0" applyFill="0" applyBorder="0" applyAlignment="0"/>
    <xf numFmtId="49" fontId="63" fillId="0" borderId="0" applyFill="0" applyBorder="0" applyAlignment="0"/>
    <xf numFmtId="213" fontId="74" fillId="0" borderId="21">
      <alignment horizontal="center"/>
    </xf>
    <xf numFmtId="0" fontId="88" fillId="0" borderId="0">
      <alignment vertical="center" wrapText="1"/>
      <protection locked="0"/>
    </xf>
    <xf numFmtId="0" fontId="88" fillId="0" borderId="0">
      <alignment vertical="center" wrapText="1"/>
      <protection locked="0"/>
    </xf>
    <xf numFmtId="0" fontId="88" fillId="0" borderId="0">
      <alignment vertical="center" wrapText="1"/>
      <protection locked="0"/>
    </xf>
    <xf numFmtId="0" fontId="7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5" fillId="0" borderId="22" applyNumberFormat="0" applyFont="0" applyFill="0" applyAlignment="0" applyProtection="0"/>
    <xf numFmtId="0" fontId="46" fillId="0" borderId="23" applyNumberFormat="0" applyFill="0" applyAlignment="0" applyProtection="0"/>
    <xf numFmtId="0" fontId="89" fillId="0" borderId="24" applyNumberFormat="0" applyAlignment="0">
      <alignment horizontal="center"/>
    </xf>
    <xf numFmtId="0" fontId="90" fillId="0" borderId="25">
      <alignment horizontal="center"/>
    </xf>
    <xf numFmtId="201" fontId="59" fillId="0" borderId="0" applyFont="0" applyFill="0" applyBorder="0" applyAlignment="0" applyProtection="0"/>
    <xf numFmtId="214" fontId="74" fillId="0" borderId="0"/>
    <xf numFmtId="215" fontId="74" fillId="0" borderId="1"/>
    <xf numFmtId="5" fontId="91" fillId="58" borderId="2">
      <alignment vertical="top"/>
    </xf>
    <xf numFmtId="216" fontId="92" fillId="0" borderId="0"/>
    <xf numFmtId="0" fontId="49" fillId="0" borderId="0"/>
    <xf numFmtId="6" fontId="93" fillId="59" borderId="2"/>
    <xf numFmtId="5" fontId="19" fillId="0" borderId="2">
      <alignment horizontal="left" vertical="top"/>
    </xf>
    <xf numFmtId="5" fontId="94" fillId="0" borderId="2">
      <alignment horizontal="left" vertical="top"/>
    </xf>
    <xf numFmtId="0" fontId="95" fillId="60" borderId="0">
      <alignment horizontal="left" vertical="center"/>
    </xf>
    <xf numFmtId="5" fontId="96" fillId="0" borderId="3">
      <alignment horizontal="left" vertical="top"/>
    </xf>
    <xf numFmtId="5" fontId="13" fillId="0" borderId="3">
      <alignment horizontal="left" vertical="top"/>
    </xf>
    <xf numFmtId="0" fontId="25" fillId="0" borderId="3">
      <alignment horizontal="left" vertical="center"/>
    </xf>
    <xf numFmtId="0" fontId="97" fillId="0" borderId="3">
      <alignment horizontal="left" vertical="center"/>
    </xf>
    <xf numFmtId="167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2" fontId="67" fillId="0" borderId="0" applyFont="0" applyFill="0" applyBorder="0" applyAlignment="0" applyProtection="0"/>
    <xf numFmtId="44" fontId="67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164" fontId="49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6" fillId="0" borderId="0">
      <alignment vertical="center"/>
    </xf>
    <xf numFmtId="40" fontId="99" fillId="0" borderId="0" applyFont="0" applyFill="0" applyBorder="0" applyAlignment="0" applyProtection="0"/>
    <xf numFmtId="38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9" fontId="77" fillId="0" borderId="0" applyFont="0" applyFill="0" applyBorder="0" applyAlignment="0" applyProtection="0"/>
    <xf numFmtId="0" fontId="10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17" fontId="101" fillId="0" borderId="0" applyFont="0" applyFill="0" applyBorder="0" applyAlignment="0" applyProtection="0"/>
    <xf numFmtId="182" fontId="101" fillId="0" borderId="0" applyFont="0" applyFill="0" applyBorder="0" applyAlignment="0" applyProtection="0"/>
    <xf numFmtId="0" fontId="102" fillId="0" borderId="0"/>
    <xf numFmtId="0" fontId="103" fillId="0" borderId="0"/>
    <xf numFmtId="0" fontId="27" fillId="0" borderId="0"/>
    <xf numFmtId="164" fontId="104" fillId="0" borderId="0" applyFont="0" applyFill="0" applyBorder="0" applyAlignment="0" applyProtection="0"/>
    <xf numFmtId="165" fontId="104" fillId="0" borderId="0" applyFont="0" applyFill="0" applyBorder="0" applyAlignment="0" applyProtection="0"/>
    <xf numFmtId="218" fontId="104" fillId="0" borderId="0" applyFont="0" applyFill="0" applyBorder="0" applyAlignment="0" applyProtection="0"/>
    <xf numFmtId="211" fontId="53" fillId="0" borderId="0" applyFont="0" applyFill="0" applyBorder="0" applyAlignment="0" applyProtection="0"/>
    <xf numFmtId="219" fontId="104" fillId="0" borderId="0" applyFont="0" applyFill="0" applyBorder="0" applyAlignment="0" applyProtection="0"/>
    <xf numFmtId="0" fontId="106" fillId="0" borderId="0"/>
    <xf numFmtId="43" fontId="15" fillId="0" borderId="0" applyFont="0" applyFill="0" applyBorder="0" applyAlignment="0" applyProtection="0"/>
    <xf numFmtId="218" fontId="108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5" fillId="0" borderId="0"/>
    <xf numFmtId="0" fontId="5" fillId="0" borderId="0"/>
    <xf numFmtId="3" fontId="109" fillId="0" borderId="26"/>
    <xf numFmtId="0" fontId="110" fillId="0" borderId="0"/>
    <xf numFmtId="0" fontId="111" fillId="0" borderId="0" applyFont="0" applyFill="0" applyBorder="0" applyAlignment="0" applyProtection="0"/>
    <xf numFmtId="220" fontId="5" fillId="0" borderId="0" applyFont="0" applyFill="0" applyBorder="0" applyAlignment="0" applyProtection="0"/>
    <xf numFmtId="0" fontId="88" fillId="0" borderId="0" applyFont="0" applyFill="0" applyBorder="0" applyAlignment="0" applyProtection="0"/>
    <xf numFmtId="221" fontId="49" fillId="0" borderId="0" applyFont="0" applyFill="0" applyBorder="0" applyAlignment="0" applyProtection="0"/>
    <xf numFmtId="0" fontId="111" fillId="0" borderId="0" applyFont="0" applyFill="0" applyBorder="0" applyAlignment="0" applyProtection="0"/>
    <xf numFmtId="40" fontId="112" fillId="0" borderId="0" applyFont="0" applyFill="0" applyBorder="0" applyAlignment="0" applyProtection="0"/>
    <xf numFmtId="38" fontId="112" fillId="0" borderId="0" applyFont="0" applyFill="0" applyBorder="0" applyAlignment="0" applyProtection="0"/>
    <xf numFmtId="0" fontId="5" fillId="0" borderId="0"/>
    <xf numFmtId="0" fontId="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" fillId="0" borderId="0"/>
    <xf numFmtId="0" fontId="13" fillId="0" borderId="0" applyNumberFormat="0" applyFill="0" applyBorder="0" applyAlignment="0" applyProtection="0"/>
    <xf numFmtId="42" fontId="8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13" fillId="0" borderId="0"/>
    <xf numFmtId="0" fontId="6" fillId="0" borderId="0"/>
    <xf numFmtId="0" fontId="24" fillId="0" borderId="0"/>
    <xf numFmtId="0" fontId="24" fillId="0" borderId="0"/>
    <xf numFmtId="42" fontId="87" fillId="0" borderId="0" applyFont="0" applyFill="0" applyBorder="0" applyAlignment="0" applyProtection="0"/>
    <xf numFmtId="218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222" fontId="87" fillId="0" borderId="0" applyFont="0" applyFill="0" applyBorder="0" applyAlignment="0" applyProtection="0"/>
    <xf numFmtId="164" fontId="108" fillId="0" borderId="0" applyFont="0" applyFill="0" applyBorder="0" applyAlignment="0" applyProtection="0"/>
    <xf numFmtId="42" fontId="87" fillId="0" borderId="0" applyFont="0" applyFill="0" applyBorder="0" applyAlignment="0" applyProtection="0"/>
    <xf numFmtId="222" fontId="87" fillId="0" borderId="0" applyFont="0" applyFill="0" applyBorder="0" applyAlignment="0" applyProtection="0"/>
    <xf numFmtId="165" fontId="108" fillId="0" borderId="0" applyFont="0" applyFill="0" applyBorder="0" applyAlignment="0" applyProtection="0"/>
    <xf numFmtId="223" fontId="87" fillId="0" borderId="0" applyFont="0" applyFill="0" applyBorder="0" applyAlignment="0" applyProtection="0"/>
    <xf numFmtId="164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223" fontId="87" fillId="0" borderId="0" applyFont="0" applyFill="0" applyBorder="0" applyAlignment="0" applyProtection="0"/>
    <xf numFmtId="222" fontId="87" fillId="0" borderId="0" applyFont="0" applyFill="0" applyBorder="0" applyAlignment="0" applyProtection="0"/>
    <xf numFmtId="164" fontId="108" fillId="0" borderId="0" applyFont="0" applyFill="0" applyBorder="0" applyAlignment="0" applyProtection="0"/>
    <xf numFmtId="218" fontId="108" fillId="0" borderId="0" applyFont="0" applyFill="0" applyBorder="0" applyAlignment="0" applyProtection="0"/>
    <xf numFmtId="0" fontId="24" fillId="0" borderId="0"/>
    <xf numFmtId="0" fontId="13" fillId="0" borderId="0" applyNumberFormat="0" applyFill="0" applyBorder="0" applyAlignment="0" applyProtection="0"/>
    <xf numFmtId="164" fontId="108" fillId="0" borderId="0" applyFont="0" applyFill="0" applyBorder="0" applyAlignment="0" applyProtection="0"/>
    <xf numFmtId="223" fontId="87" fillId="0" borderId="0" applyFont="0" applyFill="0" applyBorder="0" applyAlignment="0" applyProtection="0"/>
    <xf numFmtId="222" fontId="87" fillId="0" borderId="0" applyFont="0" applyFill="0" applyBorder="0" applyAlignment="0" applyProtection="0"/>
    <xf numFmtId="218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0" fontId="13" fillId="0" borderId="0" applyNumberFormat="0" applyFill="0" applyBorder="0" applyAlignment="0" applyProtection="0"/>
    <xf numFmtId="224" fontId="88" fillId="0" borderId="0" applyFont="0" applyFill="0" applyBorder="0" applyAlignment="0" applyProtection="0"/>
    <xf numFmtId="6" fontId="53" fillId="0" borderId="0" applyFont="0" applyFill="0" applyBorder="0" applyAlignment="0" applyProtection="0"/>
    <xf numFmtId="219" fontId="104" fillId="0" borderId="0" applyFont="0" applyFill="0" applyBorder="0" applyAlignment="0" applyProtection="0"/>
    <xf numFmtId="218" fontId="104" fillId="0" borderId="0" applyFont="0" applyFill="0" applyBorder="0" applyAlignment="0" applyProtection="0"/>
    <xf numFmtId="6" fontId="53" fillId="0" borderId="0" applyFont="0" applyFill="0" applyBorder="0" applyAlignment="0" applyProtection="0"/>
    <xf numFmtId="219" fontId="104" fillId="0" borderId="0" applyFont="0" applyFill="0" applyBorder="0" applyAlignment="0" applyProtection="0"/>
    <xf numFmtId="225" fontId="13" fillId="0" borderId="0" applyFont="0" applyFill="0" applyBorder="0" applyAlignment="0" applyProtection="0"/>
    <xf numFmtId="226" fontId="77" fillId="0" borderId="0" applyFont="0" applyFill="0" applyBorder="0" applyAlignment="0" applyProtection="0"/>
    <xf numFmtId="0" fontId="114" fillId="0" borderId="0"/>
    <xf numFmtId="0" fontId="26" fillId="0" borderId="0"/>
    <xf numFmtId="0" fontId="5" fillId="0" borderId="0"/>
    <xf numFmtId="3" fontId="109" fillId="0" borderId="26"/>
    <xf numFmtId="3" fontId="109" fillId="0" borderId="26"/>
    <xf numFmtId="0" fontId="115" fillId="7" borderId="0"/>
    <xf numFmtId="0" fontId="115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5" fillId="7" borderId="0"/>
    <xf numFmtId="0" fontId="116" fillId="7" borderId="0"/>
    <xf numFmtId="0" fontId="115" fillId="7" borderId="0"/>
    <xf numFmtId="0" fontId="115" fillId="7" borderId="0"/>
    <xf numFmtId="0" fontId="115" fillId="7" borderId="0"/>
    <xf numFmtId="0" fontId="117" fillId="0" borderId="26" applyNumberFormat="0" applyFont="0" applyBorder="0">
      <alignment horizontal="left" indent="2"/>
    </xf>
    <xf numFmtId="9" fontId="118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20" fillId="0" borderId="0" applyBorder="0" applyAlignment="0" applyProtection="0"/>
    <xf numFmtId="0" fontId="55" fillId="7" borderId="0"/>
    <xf numFmtId="0" fontId="49" fillId="7" borderId="0"/>
    <xf numFmtId="0" fontId="116" fillId="7" borderId="0"/>
    <xf numFmtId="0" fontId="55" fillId="7" borderId="0"/>
    <xf numFmtId="0" fontId="116" fillId="7" borderId="0"/>
    <xf numFmtId="0" fontId="55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55" fillId="7" borderId="0"/>
    <xf numFmtId="0" fontId="116" fillId="7" borderId="0"/>
    <xf numFmtId="0" fontId="55" fillId="7" borderId="0"/>
    <xf numFmtId="0" fontId="55" fillId="7" borderId="0"/>
    <xf numFmtId="0" fontId="55" fillId="7" borderId="0"/>
    <xf numFmtId="0" fontId="55" fillId="7" borderId="0"/>
    <xf numFmtId="0" fontId="55" fillId="7" borderId="0"/>
    <xf numFmtId="0" fontId="117" fillId="0" borderId="26" applyNumberFormat="0" applyFont="0" applyBorder="0" applyAlignment="0">
      <alignment horizontal="center"/>
    </xf>
    <xf numFmtId="0" fontId="56" fillId="7" borderId="0"/>
    <xf numFmtId="0" fontId="49" fillId="7" borderId="0"/>
    <xf numFmtId="0" fontId="49" fillId="7" borderId="0"/>
    <xf numFmtId="0" fontId="49" fillId="7" borderId="0"/>
    <xf numFmtId="0" fontId="116" fillId="7" borderId="0"/>
    <xf numFmtId="0" fontId="56" fillId="7" borderId="0"/>
    <xf numFmtId="0" fontId="116" fillId="7" borderId="0"/>
    <xf numFmtId="0" fontId="5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56" fillId="7" borderId="0"/>
    <xf numFmtId="0" fontId="116" fillId="7" borderId="0"/>
    <xf numFmtId="0" fontId="56" fillId="7" borderId="0"/>
    <xf numFmtId="0" fontId="56" fillId="7" borderId="0"/>
    <xf numFmtId="0" fontId="56" fillId="7" borderId="0"/>
    <xf numFmtId="0" fontId="56" fillId="7" borderId="0"/>
    <xf numFmtId="0" fontId="57" fillId="0" borderId="0">
      <alignment wrapText="1"/>
    </xf>
    <xf numFmtId="0" fontId="49" fillId="0" borderId="0">
      <alignment wrapText="1"/>
    </xf>
    <xf numFmtId="0" fontId="49" fillId="0" borderId="0">
      <alignment wrapText="1"/>
    </xf>
    <xf numFmtId="0" fontId="49" fillId="0" borderId="0">
      <alignment wrapText="1"/>
    </xf>
    <xf numFmtId="0" fontId="116" fillId="0" borderId="0">
      <alignment wrapText="1"/>
    </xf>
    <xf numFmtId="0" fontId="57" fillId="0" borderId="0">
      <alignment wrapText="1"/>
    </xf>
    <xf numFmtId="0" fontId="116" fillId="0" borderId="0">
      <alignment wrapText="1"/>
    </xf>
    <xf numFmtId="0" fontId="57" fillId="0" borderId="0">
      <alignment wrapText="1"/>
    </xf>
    <xf numFmtId="0" fontId="116" fillId="0" borderId="0">
      <alignment wrapText="1"/>
    </xf>
    <xf numFmtId="0" fontId="116" fillId="0" borderId="0">
      <alignment wrapText="1"/>
    </xf>
    <xf numFmtId="0" fontId="116" fillId="0" borderId="0">
      <alignment wrapText="1"/>
    </xf>
    <xf numFmtId="0" fontId="116" fillId="0" borderId="0">
      <alignment wrapText="1"/>
    </xf>
    <xf numFmtId="0" fontId="116" fillId="0" borderId="0">
      <alignment wrapText="1"/>
    </xf>
    <xf numFmtId="0" fontId="57" fillId="0" borderId="0">
      <alignment wrapText="1"/>
    </xf>
    <xf numFmtId="0" fontId="116" fillId="0" borderId="0">
      <alignment wrapText="1"/>
    </xf>
    <xf numFmtId="0" fontId="57" fillId="0" borderId="0">
      <alignment wrapText="1"/>
    </xf>
    <xf numFmtId="0" fontId="57" fillId="0" borderId="0">
      <alignment wrapText="1"/>
    </xf>
    <xf numFmtId="0" fontId="57" fillId="0" borderId="0">
      <alignment wrapText="1"/>
    </xf>
    <xf numFmtId="0" fontId="57" fillId="0" borderId="0">
      <alignment wrapText="1"/>
    </xf>
    <xf numFmtId="0" fontId="112" fillId="0" borderId="0" applyFont="0" applyFill="0" applyBorder="0" applyAlignment="0" applyProtection="0"/>
    <xf numFmtId="0" fontId="112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0" fontId="121" fillId="0" borderId="0">
      <alignment horizontal="center" wrapText="1"/>
      <protection locked="0"/>
    </xf>
    <xf numFmtId="184" fontId="122" fillId="0" borderId="0" applyFont="0" applyFill="0" applyBorder="0" applyAlignment="0" applyProtection="0"/>
    <xf numFmtId="184" fontId="122" fillId="0" borderId="0" applyFont="0" applyFill="0" applyBorder="0" applyAlignment="0" applyProtection="0"/>
    <xf numFmtId="185" fontId="122" fillId="0" borderId="0" applyFont="0" applyFill="0" applyBorder="0" applyAlignment="0" applyProtection="0"/>
    <xf numFmtId="185" fontId="122" fillId="0" borderId="0" applyFont="0" applyFill="0" applyBorder="0" applyAlignment="0" applyProtection="0"/>
    <xf numFmtId="218" fontId="108" fillId="0" borderId="0" applyFont="0" applyFill="0" applyBorder="0" applyAlignment="0" applyProtection="0"/>
    <xf numFmtId="0" fontId="5" fillId="14" borderId="0"/>
    <xf numFmtId="0" fontId="123" fillId="0" borderId="0" applyNumberFormat="0" applyFill="0" applyBorder="0" applyAlignment="0" applyProtection="0"/>
    <xf numFmtId="0" fontId="26" fillId="0" borderId="0"/>
    <xf numFmtId="0" fontId="124" fillId="0" borderId="0"/>
    <xf numFmtId="0" fontId="116" fillId="0" borderId="0"/>
    <xf numFmtId="229" fontId="5" fillId="0" borderId="0" applyFill="0" applyBorder="0" applyAlignment="0"/>
    <xf numFmtId="230" fontId="5" fillId="0" borderId="0" applyFill="0" applyBorder="0" applyAlignment="0"/>
    <xf numFmtId="231" fontId="5" fillId="0" borderId="0" applyFill="0" applyBorder="0" applyAlignment="0"/>
    <xf numFmtId="232" fontId="5" fillId="0" borderId="0" applyFill="0" applyBorder="0" applyAlignment="0"/>
    <xf numFmtId="233" fontId="5" fillId="0" borderId="0" applyFill="0" applyBorder="0" applyAlignment="0"/>
    <xf numFmtId="229" fontId="5" fillId="0" borderId="0" applyFill="0" applyBorder="0" applyAlignment="0"/>
    <xf numFmtId="234" fontId="5" fillId="0" borderId="0" applyFill="0" applyBorder="0" applyAlignment="0"/>
    <xf numFmtId="230" fontId="5" fillId="0" borderId="0" applyFill="0" applyBorder="0" applyAlignment="0"/>
    <xf numFmtId="3" fontId="125" fillId="0" borderId="0" applyFill="0" applyBorder="0" applyProtection="0"/>
    <xf numFmtId="0" fontId="126" fillId="0" borderId="0"/>
    <xf numFmtId="180" fontId="87" fillId="0" borderId="0" applyFont="0" applyFill="0" applyBorder="0" applyAlignment="0" applyProtection="0"/>
    <xf numFmtId="235" fontId="127" fillId="0" borderId="0"/>
    <xf numFmtId="235" fontId="127" fillId="0" borderId="0"/>
    <xf numFmtId="235" fontId="127" fillId="0" borderId="0"/>
    <xf numFmtId="235" fontId="127" fillId="0" borderId="0"/>
    <xf numFmtId="235" fontId="127" fillId="0" borderId="0"/>
    <xf numFmtId="235" fontId="127" fillId="0" borderId="0"/>
    <xf numFmtId="235" fontId="127" fillId="0" borderId="0"/>
    <xf numFmtId="235" fontId="127" fillId="0" borderId="0"/>
    <xf numFmtId="22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220" fontId="5" fillId="0" borderId="0" applyFont="0" applyFill="0" applyBorder="0" applyAlignment="0" applyProtection="0"/>
    <xf numFmtId="236" fontId="26" fillId="0" borderId="0"/>
    <xf numFmtId="0" fontId="128" fillId="0" borderId="0" applyNumberFormat="0" applyAlignment="0">
      <alignment horizontal="left"/>
    </xf>
    <xf numFmtId="237" fontId="74" fillId="0" borderId="0" applyFont="0" applyFill="0" applyBorder="0" applyAlignment="0" applyProtection="0"/>
    <xf numFmtId="238" fontId="88" fillId="0" borderId="0" applyFont="0" applyFill="0" applyBorder="0" applyAlignment="0" applyProtection="0"/>
    <xf numFmtId="165" fontId="104" fillId="0" borderId="0" applyFont="0" applyFill="0" applyBorder="0" applyAlignment="0" applyProtection="0"/>
    <xf numFmtId="230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39" fontId="3" fillId="0" borderId="0" applyFont="0" applyFill="0" applyBorder="0" applyAlignment="0" applyProtection="0"/>
    <xf numFmtId="240" fontId="5" fillId="0" borderId="0"/>
    <xf numFmtId="241" fontId="88" fillId="0" borderId="0" applyFont="0" applyFill="0" applyBorder="0" applyAlignment="0" applyProtection="0"/>
    <xf numFmtId="242" fontId="5" fillId="0" borderId="0" applyFont="0" applyFill="0" applyBorder="0" applyAlignment="0" applyProtection="0"/>
    <xf numFmtId="243" fontId="5" fillId="0" borderId="0"/>
    <xf numFmtId="199" fontId="67" fillId="0" borderId="0" applyFont="0" applyFill="0" applyBorder="0" applyAlignment="0" applyProtection="0"/>
    <xf numFmtId="19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3" fontId="49" fillId="0" borderId="0" applyFont="0" applyBorder="0" applyAlignment="0"/>
    <xf numFmtId="229" fontId="5" fillId="0" borderId="0" applyFill="0" applyBorder="0" applyAlignment="0"/>
    <xf numFmtId="230" fontId="5" fillId="0" borderId="0" applyFill="0" applyBorder="0" applyAlignment="0"/>
    <xf numFmtId="229" fontId="5" fillId="0" borderId="0" applyFill="0" applyBorder="0" applyAlignment="0"/>
    <xf numFmtId="234" fontId="5" fillId="0" borderId="0" applyFill="0" applyBorder="0" applyAlignment="0"/>
    <xf numFmtId="230" fontId="5" fillId="0" borderId="0" applyFill="0" applyBorder="0" applyAlignment="0"/>
    <xf numFmtId="0" fontId="129" fillId="0" borderId="0" applyNumberFormat="0" applyAlignment="0">
      <alignment horizontal="left"/>
    </xf>
    <xf numFmtId="0" fontId="32" fillId="61" borderId="26"/>
    <xf numFmtId="244" fontId="5" fillId="0" borderId="0" applyFont="0" applyFill="0" applyBorder="0" applyAlignment="0" applyProtection="0"/>
    <xf numFmtId="3" fontId="49" fillId="0" borderId="0" applyFont="0" applyBorder="0" applyAlignment="0"/>
    <xf numFmtId="0" fontId="130" fillId="62" borderId="0"/>
    <xf numFmtId="0" fontId="131" fillId="0" borderId="0">
      <alignment horizontal="left"/>
    </xf>
    <xf numFmtId="0" fontId="28" fillId="0" borderId="30">
      <alignment horizontal="left" vertical="center"/>
    </xf>
    <xf numFmtId="245" fontId="108" fillId="0" borderId="0">
      <protection locked="0"/>
    </xf>
    <xf numFmtId="245" fontId="108" fillId="0" borderId="0">
      <protection locked="0"/>
    </xf>
    <xf numFmtId="0" fontId="132" fillId="0" borderId="13">
      <alignment horizontal="center"/>
    </xf>
    <xf numFmtId="0" fontId="132" fillId="0" borderId="0">
      <alignment horizontal="center"/>
    </xf>
    <xf numFmtId="5" fontId="19" fillId="39" borderId="26" applyNumberFormat="0" applyAlignment="0">
      <alignment horizontal="left" vertical="top"/>
    </xf>
    <xf numFmtId="0" fontId="133" fillId="0" borderId="0" applyNumberFormat="0" applyBorder="0"/>
    <xf numFmtId="49" fontId="72" fillId="0" borderId="26">
      <alignment vertical="center"/>
    </xf>
    <xf numFmtId="0" fontId="134" fillId="0" borderId="0" applyNumberFormat="0" applyFill="0" applyBorder="0" applyAlignment="0" applyProtection="0">
      <alignment vertical="top"/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0" fontId="136" fillId="0" borderId="0"/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10" fontId="32" fillId="40" borderId="26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24" fillId="0" borderId="0"/>
    <xf numFmtId="229" fontId="5" fillId="0" borderId="0" applyFill="0" applyBorder="0" applyAlignment="0"/>
    <xf numFmtId="230" fontId="5" fillId="0" borderId="0" applyFill="0" applyBorder="0" applyAlignment="0"/>
    <xf numFmtId="229" fontId="5" fillId="0" borderId="0" applyFill="0" applyBorder="0" applyAlignment="0"/>
    <xf numFmtId="234" fontId="5" fillId="0" borderId="0" applyFill="0" applyBorder="0" applyAlignment="0"/>
    <xf numFmtId="230" fontId="5" fillId="0" borderId="0" applyFill="0" applyBorder="0" applyAlignment="0"/>
    <xf numFmtId="246" fontId="24" fillId="0" borderId="0" applyFont="0" applyFill="0" applyBorder="0" applyAlignment="0" applyProtection="0"/>
    <xf numFmtId="0" fontId="137" fillId="0" borderId="13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74" fillId="0" borderId="26"/>
    <xf numFmtId="0" fontId="74" fillId="0" borderId="26"/>
    <xf numFmtId="175" fontId="24" fillId="0" borderId="0"/>
    <xf numFmtId="0" fontId="5" fillId="0" borderId="0" applyBorder="0"/>
    <xf numFmtId="0" fontId="1" fillId="0" borderId="0"/>
    <xf numFmtId="0" fontId="11" fillId="0" borderId="0"/>
    <xf numFmtId="0" fontId="138" fillId="0" borderId="0"/>
    <xf numFmtId="0" fontId="88" fillId="0" borderId="0"/>
    <xf numFmtId="0" fontId="1" fillId="0" borderId="0"/>
    <xf numFmtId="0" fontId="5" fillId="0" borderId="0"/>
    <xf numFmtId="0" fontId="3" fillId="0" borderId="0"/>
    <xf numFmtId="0" fontId="139" fillId="0" borderId="0"/>
    <xf numFmtId="165" fontId="114" fillId="0" borderId="0" applyFont="0" applyFill="0" applyBorder="0" applyAlignment="0" applyProtection="0"/>
    <xf numFmtId="164" fontId="114" fillId="0" borderId="0" applyFont="0" applyFill="0" applyBorder="0" applyAlignment="0" applyProtection="0"/>
    <xf numFmtId="0" fontId="140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" fillId="0" borderId="0" applyFont="0" applyFill="0" applyBorder="0" applyAlignment="0" applyProtection="0"/>
    <xf numFmtId="0" fontId="26" fillId="0" borderId="0"/>
    <xf numFmtId="14" fontId="121" fillId="0" borderId="0">
      <alignment horizontal="center" wrapText="1"/>
      <protection locked="0"/>
    </xf>
    <xf numFmtId="233" fontId="5" fillId="0" borderId="0" applyFont="0" applyFill="0" applyBorder="0" applyAlignment="0" applyProtection="0"/>
    <xf numFmtId="24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32" fillId="7" borderId="26"/>
    <xf numFmtId="229" fontId="5" fillId="0" borderId="0" applyFill="0" applyBorder="0" applyAlignment="0"/>
    <xf numFmtId="230" fontId="5" fillId="0" borderId="0" applyFill="0" applyBorder="0" applyAlignment="0"/>
    <xf numFmtId="229" fontId="5" fillId="0" borderId="0" applyFill="0" applyBorder="0" applyAlignment="0"/>
    <xf numFmtId="234" fontId="5" fillId="0" borderId="0" applyFill="0" applyBorder="0" applyAlignment="0"/>
    <xf numFmtId="230" fontId="5" fillId="0" borderId="0" applyFill="0" applyBorder="0" applyAlignment="0"/>
    <xf numFmtId="0" fontId="141" fillId="0" borderId="0"/>
    <xf numFmtId="37" fontId="5" fillId="0" borderId="0" applyFont="0" applyFill="0" applyBorder="0" applyAlignment="0" applyProtection="0"/>
    <xf numFmtId="0" fontId="24" fillId="0" borderId="0" applyNumberFormat="0" applyFont="0" applyFill="0" applyBorder="0" applyAlignment="0" applyProtection="0">
      <alignment horizontal="left"/>
    </xf>
    <xf numFmtId="0" fontId="142" fillId="0" borderId="13">
      <alignment horizontal="center"/>
    </xf>
    <xf numFmtId="3" fontId="143" fillId="0" borderId="0" applyFill="0" applyBorder="0" applyProtection="0"/>
    <xf numFmtId="0" fontId="144" fillId="63" borderId="0" applyNumberFormat="0" applyFont="0" applyBorder="0" applyAlignment="0">
      <alignment horizontal="center"/>
    </xf>
    <xf numFmtId="14" fontId="145" fillId="0" borderId="0" applyNumberFormat="0" applyFill="0" applyBorder="0" applyAlignment="0" applyProtection="0">
      <alignment horizontal="left"/>
    </xf>
    <xf numFmtId="0" fontId="49" fillId="0" borderId="0" applyNumberFormat="0" applyFill="0" applyBorder="0" applyAlignment="0" applyProtection="0"/>
    <xf numFmtId="4" fontId="78" fillId="43" borderId="31" applyNumberFormat="0" applyProtection="0">
      <alignment vertical="center"/>
    </xf>
    <xf numFmtId="4" fontId="79" fillId="43" borderId="31" applyNumberFormat="0" applyProtection="0">
      <alignment vertical="center"/>
    </xf>
    <xf numFmtId="4" fontId="80" fillId="43" borderId="31" applyNumberFormat="0" applyProtection="0">
      <alignment horizontal="left" vertical="center" indent="1"/>
    </xf>
    <xf numFmtId="4" fontId="80" fillId="45" borderId="31" applyNumberFormat="0" applyProtection="0">
      <alignment horizontal="right" vertical="center"/>
    </xf>
    <xf numFmtId="4" fontId="80" fillId="46" borderId="31" applyNumberFormat="0" applyProtection="0">
      <alignment horizontal="right" vertical="center"/>
    </xf>
    <xf numFmtId="4" fontId="80" fillId="47" borderId="31" applyNumberFormat="0" applyProtection="0">
      <alignment horizontal="right" vertical="center"/>
    </xf>
    <xf numFmtId="4" fontId="80" fillId="48" borderId="31" applyNumberFormat="0" applyProtection="0">
      <alignment horizontal="right" vertical="center"/>
    </xf>
    <xf numFmtId="4" fontId="80" fillId="49" borderId="31" applyNumberFormat="0" applyProtection="0">
      <alignment horizontal="right" vertical="center"/>
    </xf>
    <xf numFmtId="4" fontId="80" fillId="50" borderId="31" applyNumberFormat="0" applyProtection="0">
      <alignment horizontal="right" vertical="center"/>
    </xf>
    <xf numFmtId="4" fontId="80" fillId="51" borderId="31" applyNumberFormat="0" applyProtection="0">
      <alignment horizontal="right" vertical="center"/>
    </xf>
    <xf numFmtId="4" fontId="80" fillId="52" borderId="31" applyNumberFormat="0" applyProtection="0">
      <alignment horizontal="right" vertical="center"/>
    </xf>
    <xf numFmtId="4" fontId="80" fillId="53" borderId="31" applyNumberFormat="0" applyProtection="0">
      <alignment horizontal="right" vertical="center"/>
    </xf>
    <xf numFmtId="4" fontId="80" fillId="55" borderId="31" applyNumberFormat="0" applyProtection="0">
      <alignment horizontal="right" vertical="center"/>
    </xf>
    <xf numFmtId="4" fontId="80" fillId="56" borderId="31" applyNumberFormat="0" applyProtection="0">
      <alignment vertical="center"/>
    </xf>
    <xf numFmtId="4" fontId="81" fillId="56" borderId="31" applyNumberFormat="0" applyProtection="0">
      <alignment vertical="center"/>
    </xf>
    <xf numFmtId="4" fontId="78" fillId="55" borderId="32" applyNumberFormat="0" applyProtection="0">
      <alignment horizontal="left" vertical="center" indent="1"/>
    </xf>
    <xf numFmtId="4" fontId="80" fillId="56" borderId="31" applyNumberFormat="0" applyProtection="0">
      <alignment horizontal="right" vertical="center"/>
    </xf>
    <xf numFmtId="4" fontId="81" fillId="56" borderId="31" applyNumberFormat="0" applyProtection="0">
      <alignment horizontal="right" vertical="center"/>
    </xf>
    <xf numFmtId="4" fontId="78" fillId="55" borderId="31" applyNumberFormat="0" applyProtection="0">
      <alignment horizontal="left" vertical="center" indent="1"/>
    </xf>
    <xf numFmtId="4" fontId="82" fillId="39" borderId="32" applyNumberFormat="0" applyProtection="0">
      <alignment horizontal="left" vertical="center" indent="1"/>
    </xf>
    <xf numFmtId="4" fontId="83" fillId="56" borderId="31" applyNumberFormat="0" applyProtection="0">
      <alignment horizontal="right" vertical="center"/>
    </xf>
    <xf numFmtId="0" fontId="6" fillId="0" borderId="0">
      <alignment vertical="center"/>
    </xf>
    <xf numFmtId="248" fontId="146" fillId="0" borderId="0" applyFont="0" applyFill="0" applyBorder="0" applyAlignment="0" applyProtection="0"/>
    <xf numFmtId="0" fontId="144" fillId="1" borderId="30" applyNumberFormat="0" applyFont="0" applyAlignment="0">
      <alignment horizontal="center"/>
    </xf>
    <xf numFmtId="0" fontId="147" fillId="0" borderId="0" applyNumberFormat="0" applyFill="0" applyBorder="0" applyAlignment="0">
      <alignment horizontal="center"/>
    </xf>
    <xf numFmtId="0" fontId="4" fillId="0" borderId="0"/>
    <xf numFmtId="0" fontId="113" fillId="0" borderId="0"/>
    <xf numFmtId="0" fontId="28" fillId="0" borderId="30">
      <alignment horizontal="left" vertical="center"/>
    </xf>
    <xf numFmtId="0" fontId="28" fillId="0" borderId="7" applyNumberFormat="0" applyAlignment="0" applyProtection="0">
      <alignment horizontal="left" vertical="center"/>
    </xf>
    <xf numFmtId="0" fontId="28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16" fillId="0" borderId="0"/>
    <xf numFmtId="0" fontId="148" fillId="0" borderId="0"/>
    <xf numFmtId="0" fontId="74" fillId="0" borderId="0"/>
    <xf numFmtId="0" fontId="74" fillId="0" borderId="0"/>
    <xf numFmtId="223" fontId="87" fillId="0" borderId="0" applyFont="0" applyFill="0" applyBorder="0" applyAlignment="0" applyProtection="0"/>
    <xf numFmtId="42" fontId="87" fillId="0" borderId="0" applyFont="0" applyFill="0" applyBorder="0" applyAlignment="0" applyProtection="0"/>
    <xf numFmtId="0" fontId="27" fillId="0" borderId="0" applyNumberFormat="0" applyFont="0" applyFill="0" applyAlignment="0"/>
    <xf numFmtId="0" fontId="5" fillId="0" borderId="22" applyNumberFormat="0" applyFont="0" applyFill="0" applyAlignment="0" applyProtection="0"/>
    <xf numFmtId="249" fontId="74" fillId="0" borderId="0" applyFont="0" applyFill="0" applyBorder="0" applyAlignment="0" applyProtection="0"/>
    <xf numFmtId="42" fontId="87" fillId="0" borderId="0" applyFont="0" applyFill="0" applyBorder="0" applyAlignment="0" applyProtection="0"/>
    <xf numFmtId="0" fontId="5" fillId="0" borderId="22" applyNumberFormat="0" applyFont="0" applyFill="0" applyAlignment="0" applyProtection="0"/>
    <xf numFmtId="249" fontId="74" fillId="0" borderId="0" applyFont="0" applyFill="0" applyBorder="0" applyAlignment="0" applyProtection="0"/>
    <xf numFmtId="223" fontId="87" fillId="0" borderId="0" applyFont="0" applyFill="0" applyBorder="0" applyAlignment="0" applyProtection="0"/>
    <xf numFmtId="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250" fontId="13" fillId="0" borderId="0" applyFont="0" applyFill="0" applyBorder="0" applyAlignment="0" applyProtection="0"/>
    <xf numFmtId="251" fontId="13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3" fontId="149" fillId="0" borderId="0" applyNumberFormat="0" applyAlignment="0">
      <alignment horizontal="right"/>
    </xf>
    <xf numFmtId="0" fontId="137" fillId="0" borderId="0"/>
    <xf numFmtId="40" fontId="150" fillId="0" borderId="0" applyBorder="0">
      <alignment horizontal="right"/>
    </xf>
    <xf numFmtId="209" fontId="87" fillId="0" borderId="27">
      <alignment horizontal="right" vertical="center"/>
    </xf>
    <xf numFmtId="208" fontId="74" fillId="0" borderId="27">
      <alignment horizontal="right" vertical="center"/>
    </xf>
    <xf numFmtId="166" fontId="151" fillId="0" borderId="27">
      <alignment horizontal="right" vertical="center"/>
    </xf>
    <xf numFmtId="166" fontId="151" fillId="0" borderId="27">
      <alignment horizontal="right" vertical="center"/>
    </xf>
    <xf numFmtId="208" fontId="74" fillId="0" borderId="27">
      <alignment horizontal="right" vertical="center"/>
    </xf>
    <xf numFmtId="166" fontId="151" fillId="0" borderId="27">
      <alignment horizontal="right" vertical="center"/>
    </xf>
    <xf numFmtId="166" fontId="151" fillId="0" borderId="27">
      <alignment horizontal="right" vertical="center"/>
    </xf>
    <xf numFmtId="209" fontId="87" fillId="0" borderId="27">
      <alignment horizontal="right" vertical="center"/>
    </xf>
    <xf numFmtId="252" fontId="5" fillId="0" borderId="0" applyFill="0" applyBorder="0" applyAlignment="0"/>
    <xf numFmtId="253" fontId="5" fillId="0" borderId="0" applyFill="0" applyBorder="0" applyAlignment="0"/>
    <xf numFmtId="254" fontId="152" fillId="0" borderId="27">
      <alignment horizontal="center"/>
    </xf>
    <xf numFmtId="0" fontId="68" fillId="0" borderId="33"/>
    <xf numFmtId="0" fontId="74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3" fontId="153" fillId="0" borderId="29" applyNumberFormat="0" applyBorder="0" applyAlignment="0"/>
    <xf numFmtId="40" fontId="107" fillId="0" borderId="0"/>
    <xf numFmtId="0" fontId="71" fillId="0" borderId="0">
      <alignment vertical="center"/>
    </xf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55" fontId="154" fillId="0" borderId="0"/>
    <xf numFmtId="256" fontId="154" fillId="0" borderId="26"/>
    <xf numFmtId="5" fontId="91" fillId="58" borderId="28">
      <alignment vertical="top"/>
    </xf>
    <xf numFmtId="0" fontId="20" fillId="6" borderId="26">
      <alignment horizontal="left" vertical="center"/>
    </xf>
    <xf numFmtId="6" fontId="93" fillId="59" borderId="28"/>
    <xf numFmtId="5" fontId="19" fillId="0" borderId="28">
      <alignment horizontal="left" vertical="top"/>
    </xf>
    <xf numFmtId="0" fontId="110" fillId="0" borderId="0"/>
    <xf numFmtId="0" fontId="155" fillId="0" borderId="34"/>
    <xf numFmtId="185" fontId="10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7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257" fontId="156" fillId="0" borderId="0"/>
    <xf numFmtId="0" fontId="127" fillId="0" borderId="0"/>
    <xf numFmtId="0" fontId="157" fillId="0" borderId="0"/>
    <xf numFmtId="185" fontId="158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159" fillId="0" borderId="0"/>
    <xf numFmtId="43" fontId="15" fillId="0" borderId="0" applyFont="0" applyFill="0" applyBorder="0" applyAlignment="0" applyProtection="0"/>
    <xf numFmtId="44" fontId="158" fillId="0" borderId="0" applyFont="0" applyFill="0" applyBorder="0" applyAlignment="0" applyProtection="0"/>
    <xf numFmtId="42" fontId="158" fillId="0" borderId="0" applyFont="0" applyFill="0" applyBorder="0" applyAlignment="0" applyProtection="0"/>
    <xf numFmtId="5" fontId="91" fillId="58" borderId="35">
      <alignment vertical="top"/>
    </xf>
    <xf numFmtId="6" fontId="93" fillId="59" borderId="35"/>
    <xf numFmtId="5" fontId="19" fillId="0" borderId="35">
      <alignment horizontal="left" vertical="top"/>
    </xf>
    <xf numFmtId="0" fontId="34" fillId="14" borderId="38" applyNumberFormat="0" applyAlignment="0" applyProtection="0"/>
    <xf numFmtId="5" fontId="19" fillId="39" borderId="37" applyNumberFormat="0" applyAlignment="0">
      <alignment horizontal="left" vertical="top"/>
    </xf>
    <xf numFmtId="49" fontId="72" fillId="0" borderId="37">
      <alignment vertical="center"/>
    </xf>
    <xf numFmtId="10" fontId="32" fillId="40" borderId="37" applyNumberFormat="0" applyBorder="0" applyAlignment="0" applyProtection="0"/>
    <xf numFmtId="10" fontId="32" fillId="2" borderId="37" applyNumberFormat="0" applyBorder="0" applyAlignment="0" applyProtection="0"/>
    <xf numFmtId="0" fontId="41" fillId="9" borderId="38" applyNumberFormat="0" applyAlignment="0" applyProtection="0"/>
    <xf numFmtId="167" fontId="5" fillId="0" borderId="36"/>
    <xf numFmtId="0" fontId="74" fillId="0" borderId="37"/>
    <xf numFmtId="215" fontId="74" fillId="0" borderId="37"/>
    <xf numFmtId="0" fontId="20" fillId="6" borderId="37">
      <alignment horizontal="left" vertical="center"/>
    </xf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5" fillId="0" borderId="0"/>
    <xf numFmtId="0" fontId="160" fillId="0" borderId="0"/>
    <xf numFmtId="0" fontId="74" fillId="0" borderId="0"/>
    <xf numFmtId="43" fontId="15" fillId="0" borderId="0" applyFont="0" applyFill="0" applyBorder="0" applyAlignment="0" applyProtection="0"/>
    <xf numFmtId="0" fontId="15" fillId="0" borderId="0"/>
    <xf numFmtId="0" fontId="168" fillId="0" borderId="0"/>
    <xf numFmtId="169" fontId="168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15" fillId="0" borderId="0" applyFont="0" applyFill="0" applyBorder="0" applyAlignment="0" applyProtection="0"/>
  </cellStyleXfs>
  <cellXfs count="129">
    <xf numFmtId="0" fontId="0" fillId="0" borderId="0" xfId="0"/>
    <xf numFmtId="3" fontId="9" fillId="2" borderId="1" xfId="18" applyNumberFormat="1" applyFont="1" applyFill="1" applyBorder="1" applyAlignment="1">
      <alignment horizontal="right" vertical="top" wrapText="1"/>
    </xf>
    <xf numFmtId="3" fontId="9" fillId="2" borderId="1" xfId="18" quotePrefix="1" applyNumberFormat="1" applyFont="1" applyFill="1" applyBorder="1" applyAlignment="1">
      <alignment horizontal="right" vertical="top" wrapText="1"/>
    </xf>
    <xf numFmtId="0" fontId="8" fillId="0" borderId="1" xfId="18" applyFont="1" applyBorder="1" applyAlignment="1">
      <alignment horizontal="center" vertical="center" wrapText="1"/>
    </xf>
    <xf numFmtId="0" fontId="8" fillId="0" borderId="1" xfId="18" applyFont="1" applyBorder="1" applyAlignment="1">
      <alignment horizontal="left" vertical="center" wrapText="1"/>
    </xf>
    <xf numFmtId="0" fontId="9" fillId="0" borderId="1" xfId="18" applyFont="1" applyBorder="1" applyAlignment="1">
      <alignment horizontal="center" vertical="top" wrapText="1"/>
    </xf>
    <xf numFmtId="0" fontId="9" fillId="0" borderId="1" xfId="18" applyFont="1" applyBorder="1" applyAlignment="1">
      <alignment horizontal="left" vertical="center" wrapText="1"/>
    </xf>
    <xf numFmtId="0" fontId="9" fillId="0" borderId="1" xfId="18" applyFont="1" applyBorder="1" applyAlignment="1">
      <alignment horizontal="left" vertical="top" wrapText="1"/>
    </xf>
    <xf numFmtId="0" fontId="8" fillId="5" borderId="1" xfId="18" applyFont="1" applyFill="1" applyBorder="1" applyAlignment="1">
      <alignment horizontal="center" vertical="center" wrapText="1"/>
    </xf>
    <xf numFmtId="0" fontId="8" fillId="5" borderId="2" xfId="18" applyFont="1" applyFill="1" applyBorder="1" applyAlignment="1">
      <alignment horizontal="center" vertical="center" wrapText="1"/>
    </xf>
    <xf numFmtId="171" fontId="9" fillId="0" borderId="1" xfId="2" applyNumberFormat="1" applyFont="1" applyFill="1" applyBorder="1" applyAlignment="1">
      <alignment horizontal="right" vertical="top" wrapText="1"/>
    </xf>
    <xf numFmtId="171" fontId="8" fillId="0" borderId="1" xfId="2" applyNumberFormat="1" applyFont="1" applyFill="1" applyBorder="1" applyAlignment="1">
      <alignment horizontal="right" vertical="top" wrapText="1"/>
    </xf>
    <xf numFmtId="171" fontId="162" fillId="0" borderId="0" xfId="2" applyNumberFormat="1" applyFont="1" applyAlignment="1">
      <alignment horizontal="right" wrapText="1"/>
    </xf>
    <xf numFmtId="171" fontId="162" fillId="64" borderId="0" xfId="2" applyNumberFormat="1" applyFont="1" applyFill="1" applyAlignment="1">
      <alignment horizontal="right" wrapText="1"/>
    </xf>
    <xf numFmtId="0" fontId="162" fillId="0" borderId="0" xfId="0" applyFont="1" applyAlignment="1">
      <alignment vertical="center" wrapText="1"/>
    </xf>
    <xf numFmtId="0" fontId="164" fillId="0" borderId="0" xfId="0" applyFont="1" applyAlignment="1">
      <alignment vertical="center" wrapText="1"/>
    </xf>
    <xf numFmtId="0" fontId="164" fillId="0" borderId="37" xfId="0" applyFont="1" applyBorder="1" applyAlignment="1">
      <alignment vertical="center" wrapText="1"/>
    </xf>
    <xf numFmtId="0" fontId="167" fillId="0" borderId="0" xfId="0" applyFont="1" applyAlignment="1">
      <alignment horizontal="center" vertical="center" wrapText="1"/>
    </xf>
    <xf numFmtId="0" fontId="164" fillId="0" borderId="26" xfId="0" applyFont="1" applyBorder="1" applyAlignment="1">
      <alignment vertical="center" wrapText="1"/>
    </xf>
    <xf numFmtId="0" fontId="163" fillId="0" borderId="0" xfId="18" applyFont="1" applyAlignment="1">
      <alignment horizontal="center" vertical="top" wrapText="1"/>
    </xf>
    <xf numFmtId="259" fontId="163" fillId="0" borderId="0" xfId="32" applyNumberFormat="1" applyFont="1" applyAlignment="1">
      <alignment horizontal="center" vertical="top" wrapText="1"/>
    </xf>
    <xf numFmtId="171" fontId="163" fillId="0" borderId="0" xfId="2" applyNumberFormat="1" applyFont="1" applyAlignment="1">
      <alignment horizontal="center" vertical="top" wrapText="1"/>
    </xf>
    <xf numFmtId="0" fontId="163" fillId="0" borderId="4" xfId="18" applyFont="1" applyBorder="1" applyAlignment="1">
      <alignment horizontal="center" vertical="top" wrapText="1"/>
    </xf>
    <xf numFmtId="259" fontId="163" fillId="0" borderId="4" xfId="32" applyNumberFormat="1" applyFont="1" applyBorder="1" applyAlignment="1">
      <alignment horizontal="center" vertical="top" wrapText="1"/>
    </xf>
    <xf numFmtId="171" fontId="163" fillId="0" borderId="4" xfId="2" applyNumberFormat="1" applyFont="1" applyBorder="1" applyAlignment="1">
      <alignment horizontal="center" vertical="top" wrapText="1"/>
    </xf>
    <xf numFmtId="0" fontId="167" fillId="4" borderId="26" xfId="18" applyFont="1" applyFill="1" applyBorder="1" applyAlignment="1">
      <alignment horizontal="center" vertical="center" wrapText="1"/>
    </xf>
    <xf numFmtId="259" fontId="167" fillId="4" borderId="26" xfId="32" applyNumberFormat="1" applyFont="1" applyFill="1" applyBorder="1" applyAlignment="1">
      <alignment horizontal="center" vertical="center" wrapText="1"/>
    </xf>
    <xf numFmtId="171" fontId="167" fillId="4" borderId="26" xfId="2" applyNumberFormat="1" applyFont="1" applyFill="1" applyBorder="1" applyAlignment="1">
      <alignment horizontal="center" vertical="center" wrapText="1"/>
    </xf>
    <xf numFmtId="0" fontId="164" fillId="0" borderId="26" xfId="18" applyFont="1" applyBorder="1" applyAlignment="1">
      <alignment horizontal="center" vertical="center" wrapText="1"/>
    </xf>
    <xf numFmtId="259" fontId="164" fillId="0" borderId="26" xfId="32" applyNumberFormat="1" applyFont="1" applyBorder="1" applyAlignment="1">
      <alignment horizontal="center" vertical="center" wrapText="1"/>
    </xf>
    <xf numFmtId="0" fontId="164" fillId="0" borderId="37" xfId="18" applyFont="1" applyBorder="1" applyAlignment="1">
      <alignment horizontal="center" vertical="center" wrapText="1"/>
    </xf>
    <xf numFmtId="171" fontId="164" fillId="0" borderId="26" xfId="2" applyNumberFormat="1" applyFont="1" applyFill="1" applyBorder="1" applyAlignment="1">
      <alignment horizontal="center" vertical="center" wrapText="1"/>
    </xf>
    <xf numFmtId="0" fontId="167" fillId="5" borderId="26" xfId="18" applyFont="1" applyFill="1" applyBorder="1" applyAlignment="1">
      <alignment horizontal="center" vertical="center" wrapText="1"/>
    </xf>
    <xf numFmtId="0" fontId="167" fillId="5" borderId="26" xfId="18" applyFont="1" applyFill="1" applyBorder="1" applyAlignment="1">
      <alignment vertical="center" wrapText="1"/>
    </xf>
    <xf numFmtId="259" fontId="167" fillId="5" borderId="26" xfId="32" applyNumberFormat="1" applyFont="1" applyFill="1" applyBorder="1" applyAlignment="1">
      <alignment horizontal="center" vertical="center" wrapText="1"/>
    </xf>
    <xf numFmtId="0" fontId="167" fillId="5" borderId="37" xfId="18" applyFont="1" applyFill="1" applyBorder="1" applyAlignment="1">
      <alignment horizontal="center" vertical="center" wrapText="1"/>
    </xf>
    <xf numFmtId="171" fontId="167" fillId="5" borderId="26" xfId="2" applyNumberFormat="1" applyFont="1" applyFill="1" applyBorder="1" applyAlignment="1">
      <alignment horizontal="right" vertical="center"/>
    </xf>
    <xf numFmtId="170" fontId="167" fillId="5" borderId="26" xfId="2" applyNumberFormat="1" applyFont="1" applyFill="1" applyBorder="1" applyAlignment="1">
      <alignment horizontal="right" vertical="center"/>
    </xf>
    <xf numFmtId="170" fontId="167" fillId="5" borderId="0" xfId="2" applyNumberFormat="1" applyFont="1" applyFill="1" applyBorder="1" applyAlignment="1">
      <alignment horizontal="right" vertical="center"/>
    </xf>
    <xf numFmtId="0" fontId="167" fillId="3" borderId="26" xfId="36" applyFont="1" applyFill="1" applyBorder="1" applyAlignment="1">
      <alignment horizontal="center" vertical="center" wrapText="1"/>
    </xf>
    <xf numFmtId="259" fontId="162" fillId="0" borderId="26" xfId="32" applyNumberFormat="1" applyFont="1" applyBorder="1" applyAlignment="1">
      <alignment horizontal="center" vertical="center" wrapText="1"/>
    </xf>
    <xf numFmtId="171" fontId="167" fillId="3" borderId="26" xfId="2" applyNumberFormat="1" applyFont="1" applyFill="1" applyBorder="1" applyAlignment="1">
      <alignment horizontal="right" vertical="center" wrapText="1"/>
    </xf>
    <xf numFmtId="0" fontId="162" fillId="0" borderId="37" xfId="0" applyFont="1" applyBorder="1" applyAlignment="1">
      <alignment vertical="center" wrapText="1"/>
    </xf>
    <xf numFmtId="0" fontId="162" fillId="0" borderId="26" xfId="0" applyFont="1" applyBorder="1" applyAlignment="1">
      <alignment vertical="center" wrapText="1"/>
    </xf>
    <xf numFmtId="171" fontId="162" fillId="3" borderId="26" xfId="2" applyNumberFormat="1" applyFont="1" applyFill="1" applyBorder="1" applyAlignment="1">
      <alignment horizontal="right" vertical="center" wrapText="1"/>
    </xf>
    <xf numFmtId="0" fontId="164" fillId="3" borderId="37" xfId="36" applyFont="1" applyFill="1" applyBorder="1" applyAlignment="1">
      <alignment horizontal="center" vertical="center" wrapText="1"/>
    </xf>
    <xf numFmtId="171" fontId="164" fillId="64" borderId="37" xfId="2" applyNumberFormat="1" applyFont="1" applyFill="1" applyBorder="1" applyAlignment="1">
      <alignment horizontal="right" vertical="center" wrapText="1"/>
    </xf>
    <xf numFmtId="0" fontId="162" fillId="3" borderId="37" xfId="36" applyFont="1" applyFill="1" applyBorder="1" applyAlignment="1">
      <alignment horizontal="center" vertical="center" wrapText="1"/>
    </xf>
    <xf numFmtId="259" fontId="162" fillId="0" borderId="37" xfId="32" applyNumberFormat="1" applyFont="1" applyBorder="1" applyAlignment="1">
      <alignment horizontal="center" vertical="center" wrapText="1"/>
    </xf>
    <xf numFmtId="0" fontId="167" fillId="3" borderId="37" xfId="36" applyFont="1" applyFill="1" applyBorder="1" applyAlignment="1">
      <alignment horizontal="left" vertical="center" wrapText="1"/>
    </xf>
    <xf numFmtId="259" fontId="162" fillId="0" borderId="39" xfId="32" applyNumberFormat="1" applyFont="1" applyBorder="1" applyAlignment="1">
      <alignment horizontal="center" vertical="center" wrapText="1"/>
    </xf>
    <xf numFmtId="0" fontId="162" fillId="0" borderId="39" xfId="0" applyFont="1" applyBorder="1" applyAlignment="1">
      <alignment horizontal="center" vertical="center" wrapText="1"/>
    </xf>
    <xf numFmtId="0" fontId="162" fillId="3" borderId="37" xfId="36" applyFont="1" applyFill="1" applyBorder="1" applyAlignment="1">
      <alignment horizontal="left" vertical="center" wrapText="1"/>
    </xf>
    <xf numFmtId="171" fontId="167" fillId="3" borderId="37" xfId="2" applyNumberFormat="1" applyFont="1" applyFill="1" applyBorder="1" applyAlignment="1">
      <alignment horizontal="right" vertical="center" wrapText="1"/>
    </xf>
    <xf numFmtId="0" fontId="167" fillId="3" borderId="37" xfId="36" applyFont="1" applyFill="1" applyBorder="1" applyAlignment="1">
      <alignment horizontal="center" vertical="center" wrapText="1"/>
    </xf>
    <xf numFmtId="259" fontId="164" fillId="0" borderId="39" xfId="32" applyNumberFormat="1" applyFont="1" applyBorder="1" applyAlignment="1">
      <alignment horizontal="center" vertical="center" wrapText="1"/>
    </xf>
    <xf numFmtId="0" fontId="164" fillId="0" borderId="39" xfId="0" applyFont="1" applyBorder="1" applyAlignment="1">
      <alignment horizontal="center" vertical="center" wrapText="1"/>
    </xf>
    <xf numFmtId="258" fontId="167" fillId="5" borderId="37" xfId="32" applyNumberFormat="1" applyFont="1" applyFill="1" applyBorder="1" applyAlignment="1">
      <alignment horizontal="center" vertical="center" wrapText="1"/>
    </xf>
    <xf numFmtId="0" fontId="167" fillId="5" borderId="37" xfId="18" applyFont="1" applyFill="1" applyBorder="1" applyAlignment="1">
      <alignment vertical="center" wrapText="1"/>
    </xf>
    <xf numFmtId="171" fontId="167" fillId="5" borderId="26" xfId="2" applyNumberFormat="1" applyFont="1" applyFill="1" applyBorder="1" applyAlignment="1">
      <alignment vertical="center"/>
    </xf>
    <xf numFmtId="0" fontId="162" fillId="0" borderId="26" xfId="18" applyFont="1" applyBorder="1" applyAlignment="1">
      <alignment horizontal="center" vertical="center" wrapText="1"/>
    </xf>
    <xf numFmtId="0" fontId="162" fillId="0" borderId="37" xfId="18" applyFont="1" applyBorder="1" applyAlignment="1">
      <alignment horizontal="left" vertical="center" wrapText="1"/>
    </xf>
    <xf numFmtId="0" fontId="162" fillId="0" borderId="37" xfId="18" applyFont="1" applyBorder="1" applyAlignment="1">
      <alignment horizontal="center" vertical="center" wrapText="1"/>
    </xf>
    <xf numFmtId="171" fontId="162" fillId="0" borderId="26" xfId="2" applyNumberFormat="1" applyFont="1" applyBorder="1" applyAlignment="1">
      <alignment horizontal="right" vertical="center"/>
    </xf>
    <xf numFmtId="258" fontId="162" fillId="0" borderId="37" xfId="32" applyNumberFormat="1" applyFont="1" applyBorder="1" applyAlignment="1">
      <alignment horizontal="center" vertical="center" wrapText="1"/>
    </xf>
    <xf numFmtId="0" fontId="162" fillId="0" borderId="26" xfId="18" applyFont="1" applyBorder="1" applyAlignment="1">
      <alignment horizontal="left" vertical="center" wrapText="1"/>
    </xf>
    <xf numFmtId="258" fontId="162" fillId="0" borderId="39" xfId="32" applyNumberFormat="1" applyFont="1" applyBorder="1" applyAlignment="1">
      <alignment horizontal="center" vertical="center" wrapText="1"/>
    </xf>
    <xf numFmtId="0" fontId="162" fillId="0" borderId="35" xfId="0" applyFont="1" applyBorder="1" applyAlignment="1">
      <alignment vertical="center" wrapText="1"/>
    </xf>
    <xf numFmtId="171" fontId="162" fillId="0" borderId="37" xfId="32" applyNumberFormat="1" applyFont="1" applyBorder="1" applyAlignment="1">
      <alignment horizontal="center" vertical="center" wrapText="1"/>
    </xf>
    <xf numFmtId="0" fontId="162" fillId="0" borderId="37" xfId="18" quotePrefix="1" applyFont="1" applyBorder="1" applyAlignment="1">
      <alignment horizontal="center" vertical="center" wrapText="1"/>
    </xf>
    <xf numFmtId="171" fontId="162" fillId="0" borderId="26" xfId="32" applyNumberFormat="1" applyFont="1" applyBorder="1" applyAlignment="1">
      <alignment horizontal="center" vertical="center" wrapText="1"/>
    </xf>
    <xf numFmtId="0" fontId="162" fillId="0" borderId="26" xfId="18" quotePrefix="1" applyFont="1" applyBorder="1" applyAlignment="1">
      <alignment horizontal="center" vertical="center" wrapText="1"/>
    </xf>
    <xf numFmtId="0" fontId="162" fillId="5" borderId="26" xfId="18" applyFont="1" applyFill="1" applyBorder="1" applyAlignment="1">
      <alignment vertical="center" wrapText="1"/>
    </xf>
    <xf numFmtId="0" fontId="162" fillId="5" borderId="37" xfId="18" applyFont="1" applyFill="1" applyBorder="1" applyAlignment="1">
      <alignment vertical="center" wrapText="1"/>
    </xf>
    <xf numFmtId="0" fontId="162" fillId="0" borderId="37" xfId="18" applyFont="1" applyBorder="1" applyAlignment="1">
      <alignment vertical="center" wrapText="1"/>
    </xf>
    <xf numFmtId="171" fontId="162" fillId="0" borderId="37" xfId="18" applyNumberFormat="1" applyFont="1" applyBorder="1" applyAlignment="1">
      <alignment horizontal="center" vertical="center" wrapText="1"/>
    </xf>
    <xf numFmtId="171" fontId="162" fillId="0" borderId="26" xfId="2" applyNumberFormat="1" applyFont="1" applyFill="1" applyBorder="1" applyAlignment="1">
      <alignment horizontal="right" vertical="center"/>
    </xf>
    <xf numFmtId="171" fontId="162" fillId="0" borderId="37" xfId="2" applyNumberFormat="1" applyFont="1" applyBorder="1" applyAlignment="1">
      <alignment horizontal="right" vertical="center"/>
    </xf>
    <xf numFmtId="0" fontId="162" fillId="0" borderId="0" xfId="18" applyFont="1" applyAlignment="1">
      <alignment vertical="center" wrapText="1"/>
    </xf>
    <xf numFmtId="0" fontId="167" fillId="5" borderId="26" xfId="18" applyFont="1" applyFill="1" applyBorder="1" applyAlignment="1">
      <alignment horizontal="left" vertical="center" wrapText="1"/>
    </xf>
    <xf numFmtId="171" fontId="167" fillId="64" borderId="37" xfId="2" applyNumberFormat="1" applyFont="1" applyFill="1" applyBorder="1" applyAlignment="1">
      <alignment horizontal="center" vertical="center" wrapText="1"/>
    </xf>
    <xf numFmtId="0" fontId="167" fillId="5" borderId="37" xfId="18" quotePrefix="1" applyFont="1" applyFill="1" applyBorder="1" applyAlignment="1">
      <alignment horizontal="center" vertical="center" wrapText="1"/>
    </xf>
    <xf numFmtId="171" fontId="167" fillId="5" borderId="26" xfId="2" applyNumberFormat="1" applyFont="1" applyFill="1" applyBorder="1" applyAlignment="1">
      <alignment horizontal="right" vertical="center" wrapText="1"/>
    </xf>
    <xf numFmtId="171" fontId="167" fillId="5" borderId="26" xfId="2" applyNumberFormat="1" applyFont="1" applyFill="1" applyBorder="1" applyAlignment="1">
      <alignment horizontal="left" vertical="center" wrapText="1"/>
    </xf>
    <xf numFmtId="171" fontId="167" fillId="5" borderId="0" xfId="2" applyNumberFormat="1" applyFont="1" applyFill="1" applyBorder="1" applyAlignment="1">
      <alignment horizontal="left" vertical="center" wrapText="1"/>
    </xf>
    <xf numFmtId="0" fontId="167" fillId="4" borderId="26" xfId="18" applyFont="1" applyFill="1" applyBorder="1" applyAlignment="1">
      <alignment vertical="center" wrapText="1"/>
    </xf>
    <xf numFmtId="0" fontId="167" fillId="4" borderId="37" xfId="18" applyFont="1" applyFill="1" applyBorder="1" applyAlignment="1">
      <alignment horizontal="center" vertical="center" wrapText="1"/>
    </xf>
    <xf numFmtId="171" fontId="167" fillId="4" borderId="26" xfId="2" applyNumberFormat="1" applyFont="1" applyFill="1" applyBorder="1" applyAlignment="1">
      <alignment horizontal="right" vertical="center"/>
    </xf>
    <xf numFmtId="0" fontId="167" fillId="4" borderId="0" xfId="18" applyFont="1" applyFill="1" applyAlignment="1">
      <alignment vertical="center" wrapText="1"/>
    </xf>
    <xf numFmtId="259" fontId="162" fillId="0" borderId="0" xfId="32" applyNumberFormat="1" applyFont="1" applyAlignment="1">
      <alignment vertical="center" wrapText="1"/>
    </xf>
    <xf numFmtId="171" fontId="162" fillId="0" borderId="0" xfId="2" applyNumberFormat="1" applyFont="1" applyAlignment="1">
      <alignment vertical="center" wrapText="1"/>
    </xf>
    <xf numFmtId="171" fontId="167" fillId="64" borderId="0" xfId="2" applyNumberFormat="1" applyFont="1" applyFill="1" applyAlignment="1">
      <alignment vertical="center" wrapText="1"/>
    </xf>
    <xf numFmtId="0" fontId="162" fillId="64" borderId="0" xfId="0" applyFont="1" applyFill="1" applyAlignment="1">
      <alignment horizontal="left" vertical="center" wrapText="1"/>
    </xf>
    <xf numFmtId="10" fontId="162" fillId="64" borderId="37" xfId="32" applyNumberFormat="1" applyFont="1" applyFill="1" applyBorder="1" applyAlignment="1">
      <alignment horizontal="left" vertical="center" wrapText="1"/>
    </xf>
    <xf numFmtId="10" fontId="162" fillId="64" borderId="0" xfId="32" applyNumberFormat="1" applyFont="1" applyFill="1" applyBorder="1" applyAlignment="1">
      <alignment horizontal="left" vertical="center" wrapText="1"/>
    </xf>
    <xf numFmtId="260" fontId="162" fillId="0" borderId="0" xfId="0" applyNumberFormat="1" applyFont="1" applyAlignment="1">
      <alignment vertical="center" wrapText="1"/>
    </xf>
    <xf numFmtId="9" fontId="162" fillId="0" borderId="0" xfId="32" applyFont="1" applyAlignment="1">
      <alignment vertical="center" wrapText="1"/>
    </xf>
    <xf numFmtId="258" fontId="162" fillId="0" borderId="0" xfId="32" applyNumberFormat="1" applyFont="1" applyAlignment="1">
      <alignment vertical="center" wrapText="1"/>
    </xf>
    <xf numFmtId="0" fontId="170" fillId="5" borderId="37" xfId="18" applyFont="1" applyFill="1" applyBorder="1" applyAlignment="1">
      <alignment horizontal="center" vertical="center" wrapText="1"/>
    </xf>
    <xf numFmtId="0" fontId="172" fillId="0" borderId="0" xfId="0" applyFont="1"/>
    <xf numFmtId="259" fontId="170" fillId="5" borderId="37" xfId="32" applyNumberFormat="1" applyFont="1" applyFill="1" applyBorder="1" applyAlignment="1">
      <alignment horizontal="center" vertical="center" wrapText="1"/>
    </xf>
    <xf numFmtId="0" fontId="6" fillId="3" borderId="37" xfId="36" applyFont="1" applyFill="1" applyBorder="1" applyAlignment="1">
      <alignment horizontal="center" vertical="center" wrapText="1"/>
    </xf>
    <xf numFmtId="0" fontId="173" fillId="3" borderId="37" xfId="0" applyFont="1" applyFill="1" applyBorder="1" applyAlignment="1">
      <alignment horizontal="justify" vertical="center" wrapText="1"/>
    </xf>
    <xf numFmtId="171" fontId="6" fillId="64" borderId="37" xfId="2" applyNumberFormat="1" applyFont="1" applyFill="1" applyBorder="1" applyAlignment="1">
      <alignment horizontal="center" vertical="center" wrapText="1"/>
    </xf>
    <xf numFmtId="171" fontId="6" fillId="3" borderId="37" xfId="2" applyNumberFormat="1" applyFont="1" applyFill="1" applyBorder="1" applyAlignment="1">
      <alignment horizontal="center" vertical="center" wrapText="1"/>
    </xf>
    <xf numFmtId="171" fontId="6" fillId="3" borderId="37" xfId="2" applyNumberFormat="1" applyFont="1" applyFill="1" applyBorder="1" applyAlignment="1">
      <alignment horizontal="right" vertical="center" wrapText="1"/>
    </xf>
    <xf numFmtId="0" fontId="6" fillId="3" borderId="37" xfId="18" applyFont="1" applyFill="1" applyBorder="1" applyAlignment="1">
      <alignment horizontal="center" vertical="center" wrapText="1"/>
    </xf>
    <xf numFmtId="171" fontId="174" fillId="3" borderId="37" xfId="2" applyNumberFormat="1" applyFont="1" applyFill="1" applyBorder="1" applyAlignment="1">
      <alignment horizontal="center" vertical="center" wrapText="1"/>
    </xf>
    <xf numFmtId="0" fontId="6" fillId="3" borderId="37" xfId="18" applyFont="1" applyFill="1" applyBorder="1" applyAlignment="1">
      <alignment vertical="center" wrapText="1"/>
    </xf>
    <xf numFmtId="0" fontId="170" fillId="3" borderId="37" xfId="18" applyFont="1" applyFill="1" applyBorder="1" applyAlignment="1">
      <alignment horizontal="center" vertical="center" wrapText="1"/>
    </xf>
    <xf numFmtId="171" fontId="170" fillId="3" borderId="37" xfId="2" applyNumberFormat="1" applyFont="1" applyFill="1" applyBorder="1" applyAlignment="1">
      <alignment horizontal="right" vertical="center" wrapText="1"/>
    </xf>
    <xf numFmtId="171" fontId="162" fillId="0" borderId="0" xfId="0" applyNumberFormat="1" applyFont="1"/>
    <xf numFmtId="0" fontId="162" fillId="0" borderId="0" xfId="0" applyFont="1"/>
    <xf numFmtId="0" fontId="171" fillId="0" borderId="0" xfId="0" applyFont="1"/>
    <xf numFmtId="0" fontId="175" fillId="0" borderId="0" xfId="0" quotePrefix="1" applyFont="1"/>
    <xf numFmtId="0" fontId="6" fillId="3" borderId="37" xfId="18" applyFont="1" applyFill="1" applyBorder="1" applyAlignment="1">
      <alignment horizontal="left" vertical="center" wrapText="1"/>
    </xf>
    <xf numFmtId="0" fontId="162" fillId="0" borderId="35" xfId="0" applyFont="1" applyBorder="1" applyAlignment="1">
      <alignment horizontal="center" vertical="center" wrapText="1"/>
    </xf>
    <xf numFmtId="0" fontId="162" fillId="0" borderId="3" xfId="0" applyFont="1" applyBorder="1" applyAlignment="1">
      <alignment horizontal="center" vertical="center" wrapText="1"/>
    </xf>
    <xf numFmtId="0" fontId="162" fillId="0" borderId="42" xfId="0" applyFont="1" applyBorder="1" applyAlignment="1">
      <alignment horizontal="center" vertical="center" wrapText="1"/>
    </xf>
    <xf numFmtId="0" fontId="167" fillId="0" borderId="0" xfId="0" applyFont="1" applyAlignment="1">
      <alignment horizontal="center" vertical="center" wrapText="1"/>
    </xf>
    <xf numFmtId="0" fontId="163" fillId="0" borderId="0" xfId="18" applyFont="1" applyAlignment="1">
      <alignment horizontal="center" vertical="top" wrapText="1"/>
    </xf>
    <xf numFmtId="0" fontId="10" fillId="0" borderId="0" xfId="18" applyFont="1" applyAlignment="1">
      <alignment horizontal="center" wrapText="1"/>
    </xf>
    <xf numFmtId="0" fontId="7" fillId="0" borderId="0" xfId="18" applyFont="1" applyAlignment="1">
      <alignment horizontal="center" vertical="top" wrapText="1"/>
    </xf>
    <xf numFmtId="0" fontId="170" fillId="5" borderId="37" xfId="18" applyFont="1" applyFill="1" applyBorder="1" applyAlignment="1">
      <alignment horizontal="center" vertical="center" wrapText="1"/>
    </xf>
    <xf numFmtId="171" fontId="170" fillId="5" borderId="37" xfId="2" applyNumberFormat="1" applyFont="1" applyFill="1" applyBorder="1" applyAlignment="1">
      <alignment horizontal="center" vertical="center" wrapText="1"/>
    </xf>
    <xf numFmtId="0" fontId="171" fillId="5" borderId="37" xfId="0" applyFont="1" applyFill="1" applyBorder="1" applyAlignment="1">
      <alignment horizontal="center"/>
    </xf>
    <xf numFmtId="0" fontId="171" fillId="5" borderId="40" xfId="0" applyFont="1" applyFill="1" applyBorder="1" applyAlignment="1">
      <alignment horizontal="center"/>
    </xf>
    <xf numFmtId="0" fontId="171" fillId="5" borderId="41" xfId="0" applyFont="1" applyFill="1" applyBorder="1" applyAlignment="1">
      <alignment horizontal="center"/>
    </xf>
    <xf numFmtId="0" fontId="171" fillId="5" borderId="39" xfId="0" applyFont="1" applyFill="1" applyBorder="1" applyAlignment="1">
      <alignment horizontal="center"/>
    </xf>
  </cellXfs>
  <cellStyles count="879">
    <cellStyle name="_x0001_" xfId="443" xr:uid="{00000000-0005-0000-0000-000000000000}"/>
    <cellStyle name="          _x000d__x000a_shell=progman.exe_x000d__x000a_m" xfId="444" xr:uid="{00000000-0005-0000-0000-000001000000}"/>
    <cellStyle name="_x000d__x000a_JournalTemplate=C:\COMFO\CTALK\JOURSTD.TPL_x000d__x000a_LbStateAddress=3 3 0 251 1 89 2 311_x000d__x000a_LbStateJou" xfId="445" xr:uid="{00000000-0005-0000-0000-000002000000}"/>
    <cellStyle name="_x000d__x000a_JournalTemplate=C:\COMFO\CTALK\JOURSTD.TPL_x000d__x000a_LbStateAddress=3 3 0 251 1 89 2 311_x000d__x000a_LbStateJou 2" xfId="446" xr:uid="{00000000-0005-0000-0000-000003000000}"/>
    <cellStyle name="#,##0" xfId="447" xr:uid="{00000000-0005-0000-0000-000004000000}"/>
    <cellStyle name="??" xfId="58" xr:uid="{00000000-0005-0000-0000-000005000000}"/>
    <cellStyle name="?? [0.00]_      " xfId="449" xr:uid="{00000000-0005-0000-0000-000006000000}"/>
    <cellStyle name="?? [0]" xfId="59" xr:uid="{00000000-0005-0000-0000-000007000000}"/>
    <cellStyle name="?? [0] 2" xfId="60" xr:uid="{00000000-0005-0000-0000-000008000000}"/>
    <cellStyle name="?? [0] 3" xfId="450" xr:uid="{00000000-0005-0000-0000-000009000000}"/>
    <cellStyle name="?? 2" xfId="61" xr:uid="{00000000-0005-0000-0000-00000A000000}"/>
    <cellStyle name="?? 3" xfId="448" xr:uid="{00000000-0005-0000-0000-00000B000000}"/>
    <cellStyle name="?? 4" xfId="837" xr:uid="{00000000-0005-0000-0000-00000C000000}"/>
    <cellStyle name="?_x001d_??%U©÷u&amp;H©÷9_x0008_?_x0009_s_x000a__x0007__x0001__x0001_" xfId="62" xr:uid="{00000000-0005-0000-0000-00000D000000}"/>
    <cellStyle name="???? [0.00]_      " xfId="451" xr:uid="{00000000-0005-0000-0000-00000E000000}"/>
    <cellStyle name="????_      " xfId="452" xr:uid="{00000000-0005-0000-0000-00000F000000}"/>
    <cellStyle name="???[0]_?? DI" xfId="63" xr:uid="{00000000-0005-0000-0000-000010000000}"/>
    <cellStyle name="???_?? DI" xfId="64" xr:uid="{00000000-0005-0000-0000-000011000000}"/>
    <cellStyle name="??[0]_BRE" xfId="65" xr:uid="{00000000-0005-0000-0000-000012000000}"/>
    <cellStyle name="??_      " xfId="453" xr:uid="{00000000-0005-0000-0000-000013000000}"/>
    <cellStyle name="??A? [0]_ÿÿÿÿÿÿ_1_¢¬???¢â? " xfId="66" xr:uid="{00000000-0005-0000-0000-000014000000}"/>
    <cellStyle name="??A?_ÿÿÿÿÿÿ_1_¢¬???¢â? " xfId="67" xr:uid="{00000000-0005-0000-0000-000015000000}"/>
    <cellStyle name="?¡±¢¥?_?¨ù??¢´¢¥_¢¬???¢â? " xfId="68" xr:uid="{00000000-0005-0000-0000-000016000000}"/>
    <cellStyle name="_x0001_?¶æµ_x001b_ºß­ " xfId="454" xr:uid="{00000000-0005-0000-0000-000017000000}"/>
    <cellStyle name="_x0001_?¶æµ_x001b_ºß­_" xfId="455" xr:uid="{00000000-0005-0000-0000-000018000000}"/>
    <cellStyle name="?ðÇ%U?&amp;H?_x0008_?s_x000a__x0007__x0001__x0001_" xfId="69" xr:uid="{00000000-0005-0000-0000-000019000000}"/>
    <cellStyle name="[0]_Chi phÝ kh¸c_V" xfId="70" xr:uid="{00000000-0005-0000-0000-00001A000000}"/>
    <cellStyle name="_x0001_\Ô" xfId="456" xr:uid="{00000000-0005-0000-0000-00001B000000}"/>
    <cellStyle name="_Alcatel_Quotation to HN_gui Cuong" xfId="457" xr:uid="{00000000-0005-0000-0000-00001C000000}"/>
    <cellStyle name="_Bang Chi tieu (2)" xfId="71" xr:uid="{00000000-0005-0000-0000-00001D000000}"/>
    <cellStyle name="_bang_thiet_bi_vat_tu_nha_H2(08.10.01)" xfId="72" xr:uid="{00000000-0005-0000-0000-00001E000000}"/>
    <cellStyle name="_Bao gia camera" xfId="458" xr:uid="{00000000-0005-0000-0000-00001F000000}"/>
    <cellStyle name="_Bao gia camera_Bang xac dinh gia tri H - phan mem noi bo" xfId="459" xr:uid="{00000000-0005-0000-0000-000020000000}"/>
    <cellStyle name="_Bao gia camera_Bao gia du an mot cua UBND huyen Minh Hoa - EFY - Chuan" xfId="460" xr:uid="{00000000-0005-0000-0000-000021000000}"/>
    <cellStyle name="_Bao gia camera_Bao gia xay dung mo hinh mot cua - EFY" xfId="461" xr:uid="{00000000-0005-0000-0000-000022000000}"/>
    <cellStyle name="_Bao gia camera_Bao gia xay dung mo hinh mot cua - EFY_Cap Tinh-Thiet ke du toan phan mem KNTC Quang Binh" xfId="462" xr:uid="{00000000-0005-0000-0000-000023000000}"/>
    <cellStyle name="_Bao gia camera_Cap So-Thiet ke du toan phan mem KNTC Quang Binh" xfId="463" xr:uid="{00000000-0005-0000-0000-000024000000}"/>
    <cellStyle name="_Bao gia camera_Copy of Thiet ke du toan Mot cua xa, phuong nam 2013" xfId="464" xr:uid="{00000000-0005-0000-0000-000025000000}"/>
    <cellStyle name="_Bao gia camera_Thiet ke du toan DHTN" xfId="465" xr:uid="{00000000-0005-0000-0000-000026000000}"/>
    <cellStyle name="_Bao gia camera_Thiet ke du toan DHTN_Cap So-Thiet ke du toan phan mem KNTC Quang Binh" xfId="466" xr:uid="{00000000-0005-0000-0000-000027000000}"/>
    <cellStyle name="_Bao gia camera_Thiet ke du toan DHTN_Copy of Thiet ke du toan Mot cua xa, phuong nam 2013" xfId="467" xr:uid="{00000000-0005-0000-0000-000028000000}"/>
    <cellStyle name="_Bao gia camera_Thiet ke du toan DHTN_Tong du toan - Dong Hy moi" xfId="468" xr:uid="{00000000-0005-0000-0000-000029000000}"/>
    <cellStyle name="_Bao gia camera_Thiet ke du toan du an QLNCC - So LDTBXH Vp - 2009" xfId="469" xr:uid="{00000000-0005-0000-0000-00002A000000}"/>
    <cellStyle name="_Bao gia camera_Thiet ke du toan du an QLNCC - So LDTBXH Vp - 2009 2" xfId="470" xr:uid="{00000000-0005-0000-0000-00002B000000}"/>
    <cellStyle name="_Bao gia camera_Thiet ke du toan du an QLNCC - So LDTBXH Vp - 2009_Thiet ke du toan chuyen trang DVC Dong Hy" xfId="471" xr:uid="{00000000-0005-0000-0000-00002C000000}"/>
    <cellStyle name="_Bao gia camera_Thiet ke du toan mot cua - Quynh Luu" xfId="472" xr:uid="{00000000-0005-0000-0000-00002D000000}"/>
    <cellStyle name="_Bao gia camera_Thiet ke du toan mot cua_Songcong (Sau tham dinh)" xfId="473" xr:uid="{00000000-0005-0000-0000-00002E000000}"/>
    <cellStyle name="_Bao gia camera_Thiet ke du toan xay dung loi mot cua cap xa cho 01 huyen - Quang Ninh" xfId="474" xr:uid="{00000000-0005-0000-0000-00002F000000}"/>
    <cellStyle name="_Bao gia camera_Thiet ke du toan xay dung loi mot cua cap xa cho 01 huyen - Quang Ninh 2" xfId="475" xr:uid="{00000000-0005-0000-0000-000030000000}"/>
    <cellStyle name="_Bao gia camera_Thiet ke du toan xay dung loi mot cua cap xa cho 01 huyen - Quang Ninh_Copy of Thiet ke du toan Mot cua xa, phuong nam 2013" xfId="476" xr:uid="{00000000-0005-0000-0000-000031000000}"/>
    <cellStyle name="_Bao gia camera_Thiet ke du toan xay dung loi mot cua cap xa cho 01 huyen - Quang Ninh_Tong du toan - Dong Hy moi" xfId="477" xr:uid="{00000000-0005-0000-0000-000032000000}"/>
    <cellStyle name="_Bao gia camera_Tong du toan - Bao cao NCKT mot cua - tinh Quang Ninh" xfId="478" xr:uid="{00000000-0005-0000-0000-000033000000}"/>
    <cellStyle name="_Bao gia camera_Tong du toan - Dong Hy moi" xfId="479" xr:uid="{00000000-0005-0000-0000-000034000000}"/>
    <cellStyle name="_Bao gia camera_Tong du toan mot cua - So TTTT Hung Yen" xfId="480" xr:uid="{00000000-0005-0000-0000-000035000000}"/>
    <cellStyle name="_Bao gia camera_Tong du toan mot cua - So TTTT Hung Yen_Cap Tinh-Thiet ke du toan phan mem KNTC Quang Binh" xfId="481" xr:uid="{00000000-0005-0000-0000-000036000000}"/>
    <cellStyle name="_Bao gia camera_Tong du toan mot cua lien thong - Dong Hoi" xfId="482" xr:uid="{00000000-0005-0000-0000-000037000000}"/>
    <cellStyle name="_Bao gia camera_Tong du toan thiet bi va trien khai PM don thu KNTC Nghe An" xfId="483" xr:uid="{00000000-0005-0000-0000-000038000000}"/>
    <cellStyle name="_Bao gia camera_Tong du toan-Hoa Binh (sau tham dinh)" xfId="484" xr:uid="{00000000-0005-0000-0000-000039000000}"/>
    <cellStyle name="_BCKT-KTLapTongDai-CIPUTRA" xfId="485" xr:uid="{00000000-0005-0000-0000-00003A000000}"/>
    <cellStyle name="_BOM v1.1.Cat4500_23 Jul 07" xfId="486" xr:uid="{00000000-0005-0000-0000-00003B000000}"/>
    <cellStyle name="_BOM-CPT-NMS (Country of Origin) (2)" xfId="487" xr:uid="{00000000-0005-0000-0000-00003C000000}"/>
    <cellStyle name="_Book1" xfId="73" xr:uid="{00000000-0005-0000-0000-00003D000000}"/>
    <cellStyle name="_Book1 2" xfId="488" xr:uid="{00000000-0005-0000-0000-00003E000000}"/>
    <cellStyle name="_Book1_1" xfId="489" xr:uid="{00000000-0005-0000-0000-00003F000000}"/>
    <cellStyle name="_Book1_2" xfId="490" xr:uid="{00000000-0005-0000-0000-000040000000}"/>
    <cellStyle name="_Book1_Chi phi khao sat" xfId="491" xr:uid="{00000000-0005-0000-0000-000041000000}"/>
    <cellStyle name="_Book2" xfId="492" xr:uid="{00000000-0005-0000-0000-000042000000}"/>
    <cellStyle name="_DA-Nguon accu BCC" xfId="493" xr:uid="{00000000-0005-0000-0000-000043000000}"/>
    <cellStyle name="_DT_BienPhong_2006.08.23 (PA_1)" xfId="74" xr:uid="{00000000-0005-0000-0000-000044000000}"/>
    <cellStyle name="_DT_BienPhong_2006.11.20" xfId="75" xr:uid="{00000000-0005-0000-0000-000045000000}"/>
    <cellStyle name="_DT_H2 (2007-05-03)" xfId="76" xr:uid="{00000000-0005-0000-0000-000046000000}"/>
    <cellStyle name="_DT_H2 (2007-05-17)" xfId="77" xr:uid="{00000000-0005-0000-0000-000047000000}"/>
    <cellStyle name="_DT_HVHQ_(DA TT Mo Phong) ver 1.0" xfId="78" xr:uid="{00000000-0005-0000-0000-000048000000}"/>
    <cellStyle name="_DT_SQKQ 1.51 (2006.12.19)" xfId="79" xr:uid="{00000000-0005-0000-0000-000049000000}"/>
    <cellStyle name="_DT_SQKQ 2007.04.12" xfId="80" xr:uid="{00000000-0005-0000-0000-00004A000000}"/>
    <cellStyle name="_DT_SQKQ 2007.04.12 (a.Dung)" xfId="81" xr:uid="{00000000-0005-0000-0000-00004B000000}"/>
    <cellStyle name="_du toan" xfId="494" xr:uid="{00000000-0005-0000-0000-00004C000000}"/>
    <cellStyle name="_DUATOANBAOLC_BANCUOI3" xfId="495" xr:uid="{00000000-0005-0000-0000-00004D000000}"/>
    <cellStyle name="_DuToan_hvBP (QD PD TKKT, KH TH)" xfId="82" xr:uid="{00000000-0005-0000-0000-00004E000000}"/>
    <cellStyle name="_EIC.DT.HVKTQS (2007.03.27)" xfId="83" xr:uid="{00000000-0005-0000-0000-00004F000000}"/>
    <cellStyle name="_EIC.DT.HVKTQS (2007.04.06)" xfId="84" xr:uid="{00000000-0005-0000-0000-000050000000}"/>
    <cellStyle name="_ET_STYLE_NoName_00_" xfId="1" xr:uid="{00000000-0005-0000-0000-000051000000}"/>
    <cellStyle name="_HP ProCurve Switch" xfId="85" xr:uid="{00000000-0005-0000-0000-000052000000}"/>
    <cellStyle name="_KT (2)" xfId="496" xr:uid="{00000000-0005-0000-0000-000053000000}"/>
    <cellStyle name="_KT (2)_1" xfId="497" xr:uid="{00000000-0005-0000-0000-000054000000}"/>
    <cellStyle name="_KT (2)_2" xfId="498" xr:uid="{00000000-0005-0000-0000-000055000000}"/>
    <cellStyle name="_KT (2)_2_TG-TH" xfId="499" xr:uid="{00000000-0005-0000-0000-000056000000}"/>
    <cellStyle name="_KT (2)_3" xfId="500" xr:uid="{00000000-0005-0000-0000-000057000000}"/>
    <cellStyle name="_KT (2)_3_TG-TH" xfId="501" xr:uid="{00000000-0005-0000-0000-000058000000}"/>
    <cellStyle name="_KT (2)_4" xfId="502" xr:uid="{00000000-0005-0000-0000-000059000000}"/>
    <cellStyle name="_KT (2)_4_TG-TH" xfId="503" xr:uid="{00000000-0005-0000-0000-00005A000000}"/>
    <cellStyle name="_KT (2)_5" xfId="504" xr:uid="{00000000-0005-0000-0000-00005B000000}"/>
    <cellStyle name="_KT (2)_TG-TH" xfId="505" xr:uid="{00000000-0005-0000-0000-00005C000000}"/>
    <cellStyle name="_KT_TG" xfId="506" xr:uid="{00000000-0005-0000-0000-00005D000000}"/>
    <cellStyle name="_KT_TG_1" xfId="507" xr:uid="{00000000-0005-0000-0000-00005E000000}"/>
    <cellStyle name="_KT_TG_2" xfId="508" xr:uid="{00000000-0005-0000-0000-00005F000000}"/>
    <cellStyle name="_KT_TG_3" xfId="509" xr:uid="{00000000-0005-0000-0000-000060000000}"/>
    <cellStyle name="_KT_TG_4" xfId="510" xr:uid="{00000000-0005-0000-0000-000061000000}"/>
    <cellStyle name="_MAN E-11-09" xfId="511" xr:uid="{00000000-0005-0000-0000-000062000000}"/>
    <cellStyle name="_Mau Bao gia TCDA" xfId="86" xr:uid="{00000000-0005-0000-0000-000063000000}"/>
    <cellStyle name="_PA_AT_AS" xfId="87" xr:uid="{00000000-0005-0000-0000-000064000000}"/>
    <cellStyle name="_QD tek - Master Price List - Dealer - July 2006" xfId="88" xr:uid="{00000000-0005-0000-0000-000065000000}"/>
    <cellStyle name="_t nuoc" xfId="512" xr:uid="{00000000-0005-0000-0000-000066000000}"/>
    <cellStyle name="_TG-TH" xfId="513" xr:uid="{00000000-0005-0000-0000-000067000000}"/>
    <cellStyle name="_TG-TH_1" xfId="514" xr:uid="{00000000-0005-0000-0000-000068000000}"/>
    <cellStyle name="_TG-TH_2" xfId="515" xr:uid="{00000000-0005-0000-0000-000069000000}"/>
    <cellStyle name="_TG-TH_3" xfId="516" xr:uid="{00000000-0005-0000-0000-00006A000000}"/>
    <cellStyle name="_TG-TH_4" xfId="517" xr:uid="{00000000-0005-0000-0000-00006B000000}"/>
    <cellStyle name="_Vat lieu phu 11-04-09" xfId="89" xr:uid="{00000000-0005-0000-0000-00006C000000}"/>
    <cellStyle name="_ÿÿÿÿÿ" xfId="518" xr:uid="{00000000-0005-0000-0000-00006D000000}"/>
    <cellStyle name="~1" xfId="90" xr:uid="{00000000-0005-0000-0000-00006E000000}"/>
    <cellStyle name="_x0001_¨c^ " xfId="519" xr:uid="{00000000-0005-0000-0000-00006F000000}"/>
    <cellStyle name="_x0001_¨c^[" xfId="520" xr:uid="{00000000-0005-0000-0000-000070000000}"/>
    <cellStyle name="_x0001_¨c^_" xfId="521" xr:uid="{00000000-0005-0000-0000-000071000000}"/>
    <cellStyle name="_x0001_¨Œc^ " xfId="522" xr:uid="{00000000-0005-0000-0000-000072000000}"/>
    <cellStyle name="_x0001_¨Œc^[" xfId="523" xr:uid="{00000000-0005-0000-0000-000073000000}"/>
    <cellStyle name="_x0001_¨Œc^_" xfId="524" xr:uid="{00000000-0005-0000-0000-000074000000}"/>
    <cellStyle name="_x0001_µÑTÖ " xfId="525" xr:uid="{00000000-0005-0000-0000-000075000000}"/>
    <cellStyle name="_x0001_µÑTÖ_" xfId="526" xr:uid="{00000000-0005-0000-0000-000076000000}"/>
    <cellStyle name="•W_’·Šú‰p•¶" xfId="527" xr:uid="{00000000-0005-0000-0000-000077000000}"/>
    <cellStyle name="W_MARINE" xfId="528" xr:uid="{00000000-0005-0000-0000-000078000000}"/>
    <cellStyle name="0,0_x000d__x000a_NA_x000d__x000a_" xfId="529" xr:uid="{00000000-0005-0000-0000-000079000000}"/>
    <cellStyle name="0.0" xfId="530" xr:uid="{00000000-0005-0000-0000-00007A000000}"/>
    <cellStyle name="0.00" xfId="531" xr:uid="{00000000-0005-0000-0000-00007B000000}"/>
    <cellStyle name="1" xfId="91" xr:uid="{00000000-0005-0000-0000-00007C000000}"/>
    <cellStyle name="1 2" xfId="532" xr:uid="{00000000-0005-0000-0000-00007D000000}"/>
    <cellStyle name="1_05-DUTOAN 15T - hoan thien - bo sung T10-2007" xfId="92" xr:uid="{00000000-0005-0000-0000-00007E000000}"/>
    <cellStyle name="1_Bao gia BTN DM moi" xfId="533" xr:uid="{00000000-0005-0000-0000-00007F000000}"/>
    <cellStyle name="1_Book1" xfId="93" xr:uid="{00000000-0005-0000-0000-000080000000}"/>
    <cellStyle name="1_Book1 2" xfId="534" xr:uid="{00000000-0005-0000-0000-000081000000}"/>
    <cellStyle name="1_Cau thuy dien Ban La (Cu Anh)" xfId="535" xr:uid="{00000000-0005-0000-0000-000082000000}"/>
    <cellStyle name="1_Du toan 558 (Km17+508.12 - Km 22)" xfId="536" xr:uid="{00000000-0005-0000-0000-000083000000}"/>
    <cellStyle name="1_Du toan Goi 1" xfId="537" xr:uid="{00000000-0005-0000-0000-000084000000}"/>
    <cellStyle name="1_Du toan Goi 2" xfId="538" xr:uid="{00000000-0005-0000-0000-000085000000}"/>
    <cellStyle name="1_Du toan ngay 1-9-2004 (version 1)" xfId="539" xr:uid="{00000000-0005-0000-0000-000086000000}"/>
    <cellStyle name="1_Gia_VLQL48_duyet " xfId="540" xr:uid="{00000000-0005-0000-0000-000087000000}"/>
    <cellStyle name="1_Hoi Song" xfId="541" xr:uid="{00000000-0005-0000-0000-000088000000}"/>
    <cellStyle name="1_KlQdinhduyet" xfId="542" xr:uid="{00000000-0005-0000-0000-000089000000}"/>
    <cellStyle name="1_t nuoc" xfId="543" xr:uid="{00000000-0005-0000-0000-00008A000000}"/>
    <cellStyle name="1_TRUNG PMU 5" xfId="544" xr:uid="{00000000-0005-0000-0000-00008B000000}"/>
    <cellStyle name="1_ÿÿÿÿÿ" xfId="545" xr:uid="{00000000-0005-0000-0000-00008C000000}"/>
    <cellStyle name="1_ÿÿÿÿÿ_Book1" xfId="546" xr:uid="{00000000-0005-0000-0000-00008D000000}"/>
    <cellStyle name="_x0001_1¼„½(" xfId="547" xr:uid="{00000000-0005-0000-0000-00008E000000}"/>
    <cellStyle name="_x0001_1¼½(" xfId="548" xr:uid="{00000000-0005-0000-0000-00008F000000}"/>
    <cellStyle name="¹éºÐÀ²_      " xfId="549" xr:uid="{00000000-0005-0000-0000-000090000000}"/>
    <cellStyle name="2" xfId="94" xr:uid="{00000000-0005-0000-0000-000091000000}"/>
    <cellStyle name="2_Bao gia BTN DM moi" xfId="550" xr:uid="{00000000-0005-0000-0000-000092000000}"/>
    <cellStyle name="2_BBNThu THD" xfId="551" xr:uid="{00000000-0005-0000-0000-000093000000}"/>
    <cellStyle name="2_Book1" xfId="552" xr:uid="{00000000-0005-0000-0000-000094000000}"/>
    <cellStyle name="2_BV MBHC Tr . Kh.Ch©n LÎ" xfId="553" xr:uid="{00000000-0005-0000-0000-000095000000}"/>
    <cellStyle name="2_Cau thuy dien Ban La (Cu Anh)" xfId="554" xr:uid="{00000000-0005-0000-0000-000096000000}"/>
    <cellStyle name="2_DT THD" xfId="555" xr:uid="{00000000-0005-0000-0000-000097000000}"/>
    <cellStyle name="2_Du toan 558 (Km17+508.12 - Km 22)" xfId="556" xr:uid="{00000000-0005-0000-0000-000098000000}"/>
    <cellStyle name="2_Du toan Goi 1" xfId="557" xr:uid="{00000000-0005-0000-0000-000099000000}"/>
    <cellStyle name="2_Du toan Goi 2" xfId="558" xr:uid="{00000000-0005-0000-0000-00009A000000}"/>
    <cellStyle name="2_Du toan ngay 1-9-2004 (version 1)" xfId="559" xr:uid="{00000000-0005-0000-0000-00009B000000}"/>
    <cellStyle name="2_Gia_VLQL48_duyet " xfId="560" xr:uid="{00000000-0005-0000-0000-00009C000000}"/>
    <cellStyle name="2_Hoi Song" xfId="561" xr:uid="{00000000-0005-0000-0000-00009D000000}"/>
    <cellStyle name="2_KlQdinhduyet" xfId="562" xr:uid="{00000000-0005-0000-0000-00009E000000}"/>
    <cellStyle name="2_NTCT Quan Trung" xfId="563" xr:uid="{00000000-0005-0000-0000-00009F000000}"/>
    <cellStyle name="2_QT LPHiªu" xfId="564" xr:uid="{00000000-0005-0000-0000-0000A0000000}"/>
    <cellStyle name="2_t nuoc" xfId="565" xr:uid="{00000000-0005-0000-0000-0000A1000000}"/>
    <cellStyle name="2_TRUNG PMU 5" xfId="566" xr:uid="{00000000-0005-0000-0000-0000A2000000}"/>
    <cellStyle name="2_ÿÿÿÿÿ" xfId="567" xr:uid="{00000000-0005-0000-0000-0000A3000000}"/>
    <cellStyle name="2_ÿÿÿÿÿ_Book1" xfId="568" xr:uid="{00000000-0005-0000-0000-0000A4000000}"/>
    <cellStyle name="20" xfId="95" xr:uid="{00000000-0005-0000-0000-0000A5000000}"/>
    <cellStyle name="20% - Accent1 2" xfId="96" xr:uid="{00000000-0005-0000-0000-0000A6000000}"/>
    <cellStyle name="20% - Accent2 2" xfId="97" xr:uid="{00000000-0005-0000-0000-0000A7000000}"/>
    <cellStyle name="20% - Accent3 2" xfId="98" xr:uid="{00000000-0005-0000-0000-0000A8000000}"/>
    <cellStyle name="20% - Accent4 2" xfId="99" xr:uid="{00000000-0005-0000-0000-0000A9000000}"/>
    <cellStyle name="20% - Accent5 2" xfId="100" xr:uid="{00000000-0005-0000-0000-0000AA000000}"/>
    <cellStyle name="20% - Accent6 2" xfId="101" xr:uid="{00000000-0005-0000-0000-0000AB000000}"/>
    <cellStyle name="3" xfId="102" xr:uid="{00000000-0005-0000-0000-0000AC000000}"/>
    <cellStyle name="3_Bao gia BTN DM moi" xfId="569" xr:uid="{00000000-0005-0000-0000-0000AD000000}"/>
    <cellStyle name="3_BBNThu A-B" xfId="570" xr:uid="{00000000-0005-0000-0000-0000AE000000}"/>
    <cellStyle name="3_BBNThu A-B chan" xfId="571" xr:uid="{00000000-0005-0000-0000-0000AF000000}"/>
    <cellStyle name="3_BBNThu THD" xfId="572" xr:uid="{00000000-0005-0000-0000-0000B0000000}"/>
    <cellStyle name="3_Book1" xfId="573" xr:uid="{00000000-0005-0000-0000-0000B1000000}"/>
    <cellStyle name="3_BV MBHC Tr . Kh.Ch©n LÎ" xfId="574" xr:uid="{00000000-0005-0000-0000-0000B2000000}"/>
    <cellStyle name="3_Cau thuy dien Ban La (Cu Anh)" xfId="575" xr:uid="{00000000-0005-0000-0000-0000B3000000}"/>
    <cellStyle name="3_DT THD" xfId="576" xr:uid="{00000000-0005-0000-0000-0000B4000000}"/>
    <cellStyle name="3_Du toan 558 (Km17+508.12 - Km 22)" xfId="577" xr:uid="{00000000-0005-0000-0000-0000B5000000}"/>
    <cellStyle name="3_Du toan Goi 1" xfId="578" xr:uid="{00000000-0005-0000-0000-0000B6000000}"/>
    <cellStyle name="3_Du toan Goi 2" xfId="579" xr:uid="{00000000-0005-0000-0000-0000B7000000}"/>
    <cellStyle name="3_Du toan ngay 1-9-2004 (version 1)" xfId="580" xr:uid="{00000000-0005-0000-0000-0000B8000000}"/>
    <cellStyle name="3_Gia_VLQL48_duyet " xfId="581" xr:uid="{00000000-0005-0000-0000-0000B9000000}"/>
    <cellStyle name="3_Hoi Song" xfId="582" xr:uid="{00000000-0005-0000-0000-0000BA000000}"/>
    <cellStyle name="3_KlQdinhduyet" xfId="583" xr:uid="{00000000-0005-0000-0000-0000BB000000}"/>
    <cellStyle name="3_NTCT Quan Trung" xfId="584" xr:uid="{00000000-0005-0000-0000-0000BC000000}"/>
    <cellStyle name="3_QT LPHiªu" xfId="585" xr:uid="{00000000-0005-0000-0000-0000BD000000}"/>
    <cellStyle name="3_t nuoc" xfId="586" xr:uid="{00000000-0005-0000-0000-0000BE000000}"/>
    <cellStyle name="3_ÿÿÿÿÿ" xfId="587" xr:uid="{00000000-0005-0000-0000-0000BF000000}"/>
    <cellStyle name="4" xfId="103" xr:uid="{00000000-0005-0000-0000-0000C0000000}"/>
    <cellStyle name="4_Bao gia BTN DM moi" xfId="588" xr:uid="{00000000-0005-0000-0000-0000C1000000}"/>
    <cellStyle name="4_BBNThu A-B" xfId="589" xr:uid="{00000000-0005-0000-0000-0000C2000000}"/>
    <cellStyle name="4_BBNThu A-B chan" xfId="590" xr:uid="{00000000-0005-0000-0000-0000C3000000}"/>
    <cellStyle name="4_BBNThu THD" xfId="591" xr:uid="{00000000-0005-0000-0000-0000C4000000}"/>
    <cellStyle name="4_Book1" xfId="592" xr:uid="{00000000-0005-0000-0000-0000C5000000}"/>
    <cellStyle name="4_BV MBHC Tr . Kh.Ch©n LÎ" xfId="593" xr:uid="{00000000-0005-0000-0000-0000C6000000}"/>
    <cellStyle name="4_Cau thuy dien Ban La (Cu Anh)" xfId="594" xr:uid="{00000000-0005-0000-0000-0000C7000000}"/>
    <cellStyle name="4_DT THD" xfId="595" xr:uid="{00000000-0005-0000-0000-0000C8000000}"/>
    <cellStyle name="4_Du toan 558 (Km17+508.12 - Km 22)" xfId="596" xr:uid="{00000000-0005-0000-0000-0000C9000000}"/>
    <cellStyle name="4_Du toan Goi 1" xfId="597" xr:uid="{00000000-0005-0000-0000-0000CA000000}"/>
    <cellStyle name="4_Du toan Goi 2" xfId="598" xr:uid="{00000000-0005-0000-0000-0000CB000000}"/>
    <cellStyle name="4_Du toan ngay 1-9-2004 (version 1)" xfId="599" xr:uid="{00000000-0005-0000-0000-0000CC000000}"/>
    <cellStyle name="4_Gia_VLQL48_duyet " xfId="600" xr:uid="{00000000-0005-0000-0000-0000CD000000}"/>
    <cellStyle name="4_Hoi Song" xfId="601" xr:uid="{00000000-0005-0000-0000-0000CE000000}"/>
    <cellStyle name="4_KlQdinhduyet" xfId="602" xr:uid="{00000000-0005-0000-0000-0000CF000000}"/>
    <cellStyle name="4_NTCT Quan Trung" xfId="603" xr:uid="{00000000-0005-0000-0000-0000D0000000}"/>
    <cellStyle name="4_QT LPHiªu" xfId="604" xr:uid="{00000000-0005-0000-0000-0000D1000000}"/>
    <cellStyle name="4_t nuoc" xfId="605" xr:uid="{00000000-0005-0000-0000-0000D2000000}"/>
    <cellStyle name="4_ÿÿÿÿÿ" xfId="606" xr:uid="{00000000-0005-0000-0000-0000D3000000}"/>
    <cellStyle name="40% - Accent1 2" xfId="104" xr:uid="{00000000-0005-0000-0000-0000D4000000}"/>
    <cellStyle name="40% - Accent2 2" xfId="105" xr:uid="{00000000-0005-0000-0000-0000D5000000}"/>
    <cellStyle name="40% - Accent3 2" xfId="106" xr:uid="{00000000-0005-0000-0000-0000D6000000}"/>
    <cellStyle name="40% - Accent4 2" xfId="107" xr:uid="{00000000-0005-0000-0000-0000D7000000}"/>
    <cellStyle name="40% - Accent5 2" xfId="108" xr:uid="{00000000-0005-0000-0000-0000D8000000}"/>
    <cellStyle name="40% - Accent6 2" xfId="109" xr:uid="{00000000-0005-0000-0000-0000D9000000}"/>
    <cellStyle name="52" xfId="110" xr:uid="{00000000-0005-0000-0000-0000DA000000}"/>
    <cellStyle name="6" xfId="111" xr:uid="{00000000-0005-0000-0000-0000DB000000}"/>
    <cellStyle name="60% - Accent1 2" xfId="112" xr:uid="{00000000-0005-0000-0000-0000DC000000}"/>
    <cellStyle name="60% - Accent2 2" xfId="113" xr:uid="{00000000-0005-0000-0000-0000DD000000}"/>
    <cellStyle name="60% - Accent3 2" xfId="114" xr:uid="{00000000-0005-0000-0000-0000DE000000}"/>
    <cellStyle name="60% - Accent4 2" xfId="115" xr:uid="{00000000-0005-0000-0000-0000DF000000}"/>
    <cellStyle name="60% - Accent5 2" xfId="116" xr:uid="{00000000-0005-0000-0000-0000E0000000}"/>
    <cellStyle name="60% - Accent6 2" xfId="117" xr:uid="{00000000-0005-0000-0000-0000E1000000}"/>
    <cellStyle name="_x0001_Å»_x001e_´ " xfId="607" xr:uid="{00000000-0005-0000-0000-0000E2000000}"/>
    <cellStyle name="_x0001_Å»_x001e_´_" xfId="608" xr:uid="{00000000-0005-0000-0000-0000E3000000}"/>
    <cellStyle name="Accent1 - 20%" xfId="118" xr:uid="{00000000-0005-0000-0000-0000E4000000}"/>
    <cellStyle name="Accent1 - 40%" xfId="119" xr:uid="{00000000-0005-0000-0000-0000E5000000}"/>
    <cellStyle name="Accent1 - 60%" xfId="120" xr:uid="{00000000-0005-0000-0000-0000E6000000}"/>
    <cellStyle name="Accent1 2" xfId="121" xr:uid="{00000000-0005-0000-0000-0000E7000000}"/>
    <cellStyle name="Accent2 - 20%" xfId="122" xr:uid="{00000000-0005-0000-0000-0000E8000000}"/>
    <cellStyle name="Accent2 - 40%" xfId="123" xr:uid="{00000000-0005-0000-0000-0000E9000000}"/>
    <cellStyle name="Accent2 - 60%" xfId="124" xr:uid="{00000000-0005-0000-0000-0000EA000000}"/>
    <cellStyle name="Accent2 2" xfId="125" xr:uid="{00000000-0005-0000-0000-0000EB000000}"/>
    <cellStyle name="Accent3 - 20%" xfId="126" xr:uid="{00000000-0005-0000-0000-0000EC000000}"/>
    <cellStyle name="Accent3 - 40%" xfId="127" xr:uid="{00000000-0005-0000-0000-0000ED000000}"/>
    <cellStyle name="Accent3 - 60%" xfId="128" xr:uid="{00000000-0005-0000-0000-0000EE000000}"/>
    <cellStyle name="Accent3 2" xfId="129" xr:uid="{00000000-0005-0000-0000-0000EF000000}"/>
    <cellStyle name="Accent4 - 20%" xfId="130" xr:uid="{00000000-0005-0000-0000-0000F0000000}"/>
    <cellStyle name="Accent4 - 40%" xfId="131" xr:uid="{00000000-0005-0000-0000-0000F1000000}"/>
    <cellStyle name="Accent4 - 60%" xfId="132" xr:uid="{00000000-0005-0000-0000-0000F2000000}"/>
    <cellStyle name="Accent4 2" xfId="133" xr:uid="{00000000-0005-0000-0000-0000F3000000}"/>
    <cellStyle name="Accent5 - 20%" xfId="134" xr:uid="{00000000-0005-0000-0000-0000F4000000}"/>
    <cellStyle name="Accent5 - 40%" xfId="135" xr:uid="{00000000-0005-0000-0000-0000F5000000}"/>
    <cellStyle name="Accent5 - 60%" xfId="136" xr:uid="{00000000-0005-0000-0000-0000F6000000}"/>
    <cellStyle name="Accent5 2" xfId="137" xr:uid="{00000000-0005-0000-0000-0000F7000000}"/>
    <cellStyle name="Accent6 - 20%" xfId="138" xr:uid="{00000000-0005-0000-0000-0000F8000000}"/>
    <cellStyle name="Accent6 - 40%" xfId="139" xr:uid="{00000000-0005-0000-0000-0000F9000000}"/>
    <cellStyle name="Accent6 - 60%" xfId="140" xr:uid="{00000000-0005-0000-0000-0000FA000000}"/>
    <cellStyle name="Accent6 2" xfId="141" xr:uid="{00000000-0005-0000-0000-0000FB000000}"/>
    <cellStyle name="ÅëÈ­ [0]_      " xfId="609" xr:uid="{00000000-0005-0000-0000-0000FC000000}"/>
    <cellStyle name="AeE­ [0]_INQUIRY ¿?¾÷AßAø " xfId="142" xr:uid="{00000000-0005-0000-0000-0000FD000000}"/>
    <cellStyle name="ÅëÈ­ [0]_laroux" xfId="143" xr:uid="{00000000-0005-0000-0000-0000FE000000}"/>
    <cellStyle name="ÅëÈ­_      " xfId="610" xr:uid="{00000000-0005-0000-0000-0000FF000000}"/>
    <cellStyle name="AeE­_INQUIRY ¿?¾÷AßAø " xfId="144" xr:uid="{00000000-0005-0000-0000-000000010000}"/>
    <cellStyle name="ÅëÈ­_L601CPT" xfId="611" xr:uid="{00000000-0005-0000-0000-000001010000}"/>
    <cellStyle name="args.style" xfId="612" xr:uid="{00000000-0005-0000-0000-000002010000}"/>
    <cellStyle name="arial" xfId="145" xr:uid="{00000000-0005-0000-0000-000003010000}"/>
    <cellStyle name="ÄÞ¸¶ [0]_      " xfId="613" xr:uid="{00000000-0005-0000-0000-000004010000}"/>
    <cellStyle name="AÞ¸¶ [0]_INQUIRY ¿?¾÷AßAø " xfId="146" xr:uid="{00000000-0005-0000-0000-000005010000}"/>
    <cellStyle name="ÄÞ¸¶ [0]_L601CPT" xfId="614" xr:uid="{00000000-0005-0000-0000-000006010000}"/>
    <cellStyle name="ÄÞ¸¶_      " xfId="615" xr:uid="{00000000-0005-0000-0000-000007010000}"/>
    <cellStyle name="AÞ¸¶_INQUIRY ¿?¾÷AßAø " xfId="147" xr:uid="{00000000-0005-0000-0000-000008010000}"/>
    <cellStyle name="ÄÞ¸¶_L601CPT" xfId="616" xr:uid="{00000000-0005-0000-0000-000009010000}"/>
    <cellStyle name="AutoFormat Options" xfId="617" xr:uid="{00000000-0005-0000-0000-00000A010000}"/>
    <cellStyle name="axlcolour" xfId="618" xr:uid="{00000000-0005-0000-0000-00000B010000}"/>
    <cellStyle name="Bad 2" xfId="148" xr:uid="{00000000-0005-0000-0000-00000C010000}"/>
    <cellStyle name="Bình thường" xfId="0" builtinId="0"/>
    <cellStyle name="Bình thường 2" xfId="874" xr:uid="{E86374D4-B125-4D71-99DA-A8E3D58E390C}"/>
    <cellStyle name="Bình thường 3" xfId="875" xr:uid="{E6CC17F3-4251-4097-A642-65F8F4221F03}"/>
    <cellStyle name="Body" xfId="619" xr:uid="{00000000-0005-0000-0000-00000D010000}"/>
    <cellStyle name="C?AØ_¿?¾÷CoE² " xfId="149" xr:uid="{00000000-0005-0000-0000-00000E010000}"/>
    <cellStyle name="Ç¥ÁØ_      " xfId="620" xr:uid="{00000000-0005-0000-0000-00000F010000}"/>
    <cellStyle name="C￥AØ_¿μ¾÷CoE² " xfId="150" xr:uid="{00000000-0005-0000-0000-000010010000}"/>
    <cellStyle name="Ç¥ÁØ_±³°¢¼ö·®" xfId="621" xr:uid="{00000000-0005-0000-0000-000011010000}"/>
    <cellStyle name="C￥AØ_Sheet1_¿μ¾÷CoE² " xfId="622" xr:uid="{00000000-0005-0000-0000-000012010000}"/>
    <cellStyle name="Calc Currency (0)" xfId="151" xr:uid="{00000000-0005-0000-0000-000013010000}"/>
    <cellStyle name="Calc Currency (0) 2" xfId="152" xr:uid="{00000000-0005-0000-0000-000014010000}"/>
    <cellStyle name="Calc Currency (0) 3" xfId="623" xr:uid="{00000000-0005-0000-0000-000015010000}"/>
    <cellStyle name="Calc Currency (2)" xfId="153" xr:uid="{00000000-0005-0000-0000-000016010000}"/>
    <cellStyle name="Calc Currency (2) 2" xfId="624" xr:uid="{00000000-0005-0000-0000-000017010000}"/>
    <cellStyle name="Calc Percent (0)" xfId="154" xr:uid="{00000000-0005-0000-0000-000018010000}"/>
    <cellStyle name="Calc Percent (0) 2" xfId="625" xr:uid="{00000000-0005-0000-0000-000019010000}"/>
    <cellStyle name="Calc Percent (1)" xfId="155" xr:uid="{00000000-0005-0000-0000-00001A010000}"/>
    <cellStyle name="Calc Percent (1) 2" xfId="626" xr:uid="{00000000-0005-0000-0000-00001B010000}"/>
    <cellStyle name="Calc Percent (2)" xfId="156" xr:uid="{00000000-0005-0000-0000-00001C010000}"/>
    <cellStyle name="Calc Percent (2) 2" xfId="627" xr:uid="{00000000-0005-0000-0000-00001D010000}"/>
    <cellStyle name="Calc Units (0)" xfId="157" xr:uid="{00000000-0005-0000-0000-00001E010000}"/>
    <cellStyle name="Calc Units (0) 2" xfId="628" xr:uid="{00000000-0005-0000-0000-00001F010000}"/>
    <cellStyle name="Calc Units (1)" xfId="158" xr:uid="{00000000-0005-0000-0000-000020010000}"/>
    <cellStyle name="Calc Units (1) 2" xfId="629" xr:uid="{00000000-0005-0000-0000-000021010000}"/>
    <cellStyle name="Calc Units (2)" xfId="159" xr:uid="{00000000-0005-0000-0000-000022010000}"/>
    <cellStyle name="Calc Units (2) 2" xfId="630" xr:uid="{00000000-0005-0000-0000-000023010000}"/>
    <cellStyle name="Calculated" xfId="631" xr:uid="{00000000-0005-0000-0000-000024010000}"/>
    <cellStyle name="Calculation 2" xfId="160" xr:uid="{00000000-0005-0000-0000-000025010000}"/>
    <cellStyle name="Calculation 2 2" xfId="857" xr:uid="{00000000-0005-0000-0000-000026010000}"/>
    <cellStyle name="category" xfId="161" xr:uid="{00000000-0005-0000-0000-000027010000}"/>
    <cellStyle name="category 2" xfId="632" xr:uid="{00000000-0005-0000-0000-000028010000}"/>
    <cellStyle name="Cerrency_Sheet2_XANGDAU" xfId="633" xr:uid="{00000000-0005-0000-0000-000029010000}"/>
    <cellStyle name="Check Cell 2" xfId="162" xr:uid="{00000000-0005-0000-0000-00002A010000}"/>
    <cellStyle name="Chi phÝ kh¸c_Book1" xfId="163" xr:uid="{00000000-0005-0000-0000-00002B010000}"/>
    <cellStyle name="Comma  - Style1" xfId="634" xr:uid="{00000000-0005-0000-0000-00002D010000}"/>
    <cellStyle name="Comma  - Style2" xfId="635" xr:uid="{00000000-0005-0000-0000-00002E010000}"/>
    <cellStyle name="Comma  - Style3" xfId="636" xr:uid="{00000000-0005-0000-0000-00002F010000}"/>
    <cellStyle name="Comma  - Style4" xfId="637" xr:uid="{00000000-0005-0000-0000-000030010000}"/>
    <cellStyle name="Comma  - Style5" xfId="638" xr:uid="{00000000-0005-0000-0000-000031010000}"/>
    <cellStyle name="Comma  - Style6" xfId="639" xr:uid="{00000000-0005-0000-0000-000032010000}"/>
    <cellStyle name="Comma  - Style7" xfId="640" xr:uid="{00000000-0005-0000-0000-000033010000}"/>
    <cellStyle name="Comma  - Style8" xfId="641" xr:uid="{00000000-0005-0000-0000-000034010000}"/>
    <cellStyle name="Comma [0] 2" xfId="3" xr:uid="{00000000-0005-0000-0000-000035010000}"/>
    <cellStyle name="Comma [00]" xfId="165" xr:uid="{00000000-0005-0000-0000-000036010000}"/>
    <cellStyle name="Comma [00] 2" xfId="642" xr:uid="{00000000-0005-0000-0000-000037010000}"/>
    <cellStyle name="Comma 10" xfId="38" xr:uid="{00000000-0005-0000-0000-000038010000}"/>
    <cellStyle name="Comma 11" xfId="4" xr:uid="{00000000-0005-0000-0000-000039010000}"/>
    <cellStyle name="Comma 12" xfId="54" xr:uid="{00000000-0005-0000-0000-00003A010000}"/>
    <cellStyle name="Comma 13" xfId="55" xr:uid="{00000000-0005-0000-0000-00003B010000}"/>
    <cellStyle name="Comma 14" xfId="442" xr:uid="{00000000-0005-0000-0000-00003C010000}"/>
    <cellStyle name="Comma 14 2" xfId="877" xr:uid="{8F7636F7-1456-46A8-8D7B-7A74224828D2}"/>
    <cellStyle name="Comma 15" xfId="851" xr:uid="{00000000-0005-0000-0000-00003D010000}"/>
    <cellStyle name="Comma 16 2" xfId="5" xr:uid="{00000000-0005-0000-0000-00003E010000}"/>
    <cellStyle name="Comma 16 2 2" xfId="6" xr:uid="{00000000-0005-0000-0000-00003F010000}"/>
    <cellStyle name="Comma 2" xfId="7" xr:uid="{00000000-0005-0000-0000-000040010000}"/>
    <cellStyle name="Comma 2 2" xfId="39" xr:uid="{00000000-0005-0000-0000-000041010000}"/>
    <cellStyle name="Comma 2 2 2" xfId="166" xr:uid="{00000000-0005-0000-0000-000042010000}"/>
    <cellStyle name="Comma 2 2 2 2" xfId="644" xr:uid="{00000000-0005-0000-0000-000043010000}"/>
    <cellStyle name="Comma 2 2 2 3" xfId="643" xr:uid="{00000000-0005-0000-0000-000044010000}"/>
    <cellStyle name="Comma 2 2 3" xfId="645" xr:uid="{00000000-0005-0000-0000-000045010000}"/>
    <cellStyle name="Comma 2 3" xfId="646" xr:uid="{00000000-0005-0000-0000-000046010000}"/>
    <cellStyle name="Comma 2 3 2 2" xfId="868" xr:uid="{00000000-0005-0000-0000-000047010000}"/>
    <cellStyle name="Comma 3" xfId="8" xr:uid="{00000000-0005-0000-0000-000048010000}"/>
    <cellStyle name="Comma 3 2" xfId="9" xr:uid="{00000000-0005-0000-0000-000049010000}"/>
    <cellStyle name="Comma 3 2 2" xfId="647" xr:uid="{00000000-0005-0000-0000-00004A010000}"/>
    <cellStyle name="Comma 3 3" xfId="40" xr:uid="{00000000-0005-0000-0000-00004B010000}"/>
    <cellStyle name="Comma 3 3 2" xfId="648" xr:uid="{00000000-0005-0000-0000-00004C010000}"/>
    <cellStyle name="Comma 3 4" xfId="167" xr:uid="{00000000-0005-0000-0000-00004D010000}"/>
    <cellStyle name="Comma 3 4 2" xfId="649" xr:uid="{00000000-0005-0000-0000-00004E010000}"/>
    <cellStyle name="Comma 4" xfId="37" xr:uid="{00000000-0005-0000-0000-00004F010000}"/>
    <cellStyle name="Comma 4 2" xfId="168" xr:uid="{00000000-0005-0000-0000-000050010000}"/>
    <cellStyle name="Comma 4 2 2" xfId="650" xr:uid="{00000000-0005-0000-0000-000051010000}"/>
    <cellStyle name="Comma 5" xfId="10" xr:uid="{00000000-0005-0000-0000-000052010000}"/>
    <cellStyle name="Comma 5 2" xfId="169" xr:uid="{00000000-0005-0000-0000-000053010000}"/>
    <cellStyle name="Comma 5 3" xfId="651" xr:uid="{00000000-0005-0000-0000-000054010000}"/>
    <cellStyle name="Comma 6" xfId="51" xr:uid="{00000000-0005-0000-0000-000055010000}"/>
    <cellStyle name="Comma 6 2" xfId="164" xr:uid="{00000000-0005-0000-0000-000056010000}"/>
    <cellStyle name="Comma 6 3" xfId="652" xr:uid="{00000000-0005-0000-0000-000057010000}"/>
    <cellStyle name="Comma 7" xfId="52" xr:uid="{00000000-0005-0000-0000-000058010000}"/>
    <cellStyle name="Comma 7 2 2" xfId="873" xr:uid="{12C610CA-F174-4D6B-B438-6E0399078EF9}"/>
    <cellStyle name="Comma 8" xfId="53" xr:uid="{00000000-0005-0000-0000-000059010000}"/>
    <cellStyle name="Comma 8 2" xfId="653" xr:uid="{00000000-0005-0000-0000-00005A010000}"/>
    <cellStyle name="Comma 9" xfId="56" xr:uid="{00000000-0005-0000-0000-00005B010000}"/>
    <cellStyle name="comma zerodec" xfId="170" xr:uid="{00000000-0005-0000-0000-00005C010000}"/>
    <cellStyle name="comma zerodec 2" xfId="654" xr:uid="{00000000-0005-0000-0000-00005D010000}"/>
    <cellStyle name="Comma0" xfId="171" xr:uid="{00000000-0005-0000-0000-00005E010000}"/>
    <cellStyle name="cong" xfId="172" xr:uid="{00000000-0005-0000-0000-00005F010000}"/>
    <cellStyle name="Copied" xfId="655" xr:uid="{00000000-0005-0000-0000-000060010000}"/>
    <cellStyle name="Cࡵrrency_Sheet1_PRODUCTĠ" xfId="656" xr:uid="{00000000-0005-0000-0000-000061010000}"/>
    <cellStyle name="_x0001_CS_x0006_RMO[" xfId="657" xr:uid="{00000000-0005-0000-0000-000062010000}"/>
    <cellStyle name="_x0001_CS_x0006_RMO_" xfId="658" xr:uid="{00000000-0005-0000-0000-000063010000}"/>
    <cellStyle name="Currency [00]" xfId="173" xr:uid="{00000000-0005-0000-0000-000064010000}"/>
    <cellStyle name="Currency [00] 2" xfId="659" xr:uid="{00000000-0005-0000-0000-000065010000}"/>
    <cellStyle name="Currency 2" xfId="11" xr:uid="{00000000-0005-0000-0000-000066010000}"/>
    <cellStyle name="Currency 2 2" xfId="12" xr:uid="{00000000-0005-0000-0000-000067010000}"/>
    <cellStyle name="Currency 3" xfId="660" xr:uid="{00000000-0005-0000-0000-000068010000}"/>
    <cellStyle name="Currency0" xfId="174" xr:uid="{00000000-0005-0000-0000-000069010000}"/>
    <cellStyle name="Currency0 2" xfId="662" xr:uid="{00000000-0005-0000-0000-00006A010000}"/>
    <cellStyle name="Currency0 3" xfId="661" xr:uid="{00000000-0005-0000-0000-00006B010000}"/>
    <cellStyle name="Currency1" xfId="175" xr:uid="{00000000-0005-0000-0000-00006C010000}"/>
    <cellStyle name="Currency1 2" xfId="663" xr:uid="{00000000-0005-0000-0000-00006D010000}"/>
    <cellStyle name="Date" xfId="176" xr:uid="{00000000-0005-0000-0000-00006E010000}"/>
    <cellStyle name="Date Short" xfId="177" xr:uid="{00000000-0005-0000-0000-00006F010000}"/>
    <cellStyle name="Dấu phẩy" xfId="2" builtinId="3"/>
    <cellStyle name="Dấu phẩy 2" xfId="876" xr:uid="{2F0EFA4F-BCCE-47D0-B162-E953A1B19B2F}"/>
    <cellStyle name="Dấu phẩy 2 2" xfId="878" xr:uid="{D10F7723-7B93-4B96-BB37-9DDBC698B233}"/>
    <cellStyle name="DAUDE" xfId="178" xr:uid="{00000000-0005-0000-0000-000070010000}"/>
    <cellStyle name="Dezimal [0]_Compiling Utility Macros" xfId="179" xr:uid="{00000000-0005-0000-0000-000071010000}"/>
    <cellStyle name="Dezimal_Compiling Utility Macros" xfId="180" xr:uid="{00000000-0005-0000-0000-000072010000}"/>
    <cellStyle name="_x0001_dÏÈ¹ " xfId="664" xr:uid="{00000000-0005-0000-0000-000073010000}"/>
    <cellStyle name="_x0001_dÏÈ¹_" xfId="665" xr:uid="{00000000-0005-0000-0000-000074010000}"/>
    <cellStyle name="Dollar (zero dec)" xfId="181" xr:uid="{00000000-0005-0000-0000-000075010000}"/>
    <cellStyle name="Dollar (zero dec) 2" xfId="666" xr:uid="{00000000-0005-0000-0000-000076010000}"/>
    <cellStyle name="dong gia" xfId="182" xr:uid="{00000000-0005-0000-0000-000077010000}"/>
    <cellStyle name="Dziesi?tny [0]_Invoices2001Slovakia" xfId="183" xr:uid="{00000000-0005-0000-0000-000078010000}"/>
    <cellStyle name="Dziesi?tny_Invoices2001Slovakia" xfId="184" xr:uid="{00000000-0005-0000-0000-000079010000}"/>
    <cellStyle name="Dziesietny [0]_Invoices2001Slovakia" xfId="185" xr:uid="{00000000-0005-0000-0000-00007A010000}"/>
    <cellStyle name="Dziesiętny [0]_Invoices2001Slovakia" xfId="186" xr:uid="{00000000-0005-0000-0000-00007B010000}"/>
    <cellStyle name="Dziesietny [0]_Invoices2001Slovakia 2" xfId="667" xr:uid="{00000000-0005-0000-0000-00007C010000}"/>
    <cellStyle name="Dziesiętny [0]_Invoices2001Slovakia 2" xfId="668" xr:uid="{00000000-0005-0000-0000-00007D010000}"/>
    <cellStyle name="Dziesietny [0]_Invoices2001Slovakia_01_Nha so 1_Dien" xfId="187" xr:uid="{00000000-0005-0000-0000-00007E010000}"/>
    <cellStyle name="Dziesiętny [0]_Invoices2001Slovakia_01_Nha so 1_Dien" xfId="188" xr:uid="{00000000-0005-0000-0000-00007F010000}"/>
    <cellStyle name="Dziesietny [0]_Invoices2001Slovakia_10_Nha so 10_Dien1" xfId="189" xr:uid="{00000000-0005-0000-0000-000080010000}"/>
    <cellStyle name="Dziesiętny [0]_Invoices2001Slovakia_10_Nha so 10_Dien1" xfId="190" xr:uid="{00000000-0005-0000-0000-000081010000}"/>
    <cellStyle name="Dziesietny [0]_Invoices2001Slovakia_Book1" xfId="191" xr:uid="{00000000-0005-0000-0000-000082010000}"/>
    <cellStyle name="Dziesiętny [0]_Invoices2001Slovakia_Book1" xfId="192" xr:uid="{00000000-0005-0000-0000-000083010000}"/>
    <cellStyle name="Dziesietny [0]_Invoices2001Slovakia_Book1_1" xfId="193" xr:uid="{00000000-0005-0000-0000-000084010000}"/>
    <cellStyle name="Dziesiętny [0]_Invoices2001Slovakia_Book1_1" xfId="194" xr:uid="{00000000-0005-0000-0000-000085010000}"/>
    <cellStyle name="Dziesietny [0]_Invoices2001Slovakia_Book1_1_Book1" xfId="195" xr:uid="{00000000-0005-0000-0000-000086010000}"/>
    <cellStyle name="Dziesiętny [0]_Invoices2001Slovakia_Book1_1_Book1" xfId="196" xr:uid="{00000000-0005-0000-0000-000087010000}"/>
    <cellStyle name="Dziesietny [0]_Invoices2001Slovakia_Book1_2" xfId="197" xr:uid="{00000000-0005-0000-0000-000088010000}"/>
    <cellStyle name="Dziesiętny [0]_Invoices2001Slovakia_Book1_2" xfId="198" xr:uid="{00000000-0005-0000-0000-000089010000}"/>
    <cellStyle name="Dziesietny [0]_Invoices2001Slovakia_Book1_Tong hop Cac tuyen(9-1-06)" xfId="199" xr:uid="{00000000-0005-0000-0000-00008A010000}"/>
    <cellStyle name="Dziesiętny [0]_Invoices2001Slovakia_Book1_Tong hop Cac tuyen(9-1-06)" xfId="200" xr:uid="{00000000-0005-0000-0000-00008B010000}"/>
    <cellStyle name="Dziesietny [0]_Invoices2001Slovakia_KL K.C mat duong" xfId="201" xr:uid="{00000000-0005-0000-0000-00008C010000}"/>
    <cellStyle name="Dziesiętny [0]_Invoices2001Slovakia_Nha bao ve(28-7-05)" xfId="202" xr:uid="{00000000-0005-0000-0000-00008D010000}"/>
    <cellStyle name="Dziesietny [0]_Invoices2001Slovakia_NHA de xe nguyen du" xfId="203" xr:uid="{00000000-0005-0000-0000-00008E010000}"/>
    <cellStyle name="Dziesiętny [0]_Invoices2001Slovakia_NHA de xe nguyen du" xfId="204" xr:uid="{00000000-0005-0000-0000-00008F010000}"/>
    <cellStyle name="Dziesietny [0]_Invoices2001Slovakia_Nhalamviec VTC(25-1-05)" xfId="205" xr:uid="{00000000-0005-0000-0000-000090010000}"/>
    <cellStyle name="Dziesiętny [0]_Invoices2001Slovakia_Nhalamviec VTC(25-1-05)" xfId="206" xr:uid="{00000000-0005-0000-0000-000091010000}"/>
    <cellStyle name="Dziesietny [0]_Invoices2001Slovakia_TDT KHANH HOA" xfId="207" xr:uid="{00000000-0005-0000-0000-000092010000}"/>
    <cellStyle name="Dziesiętny [0]_Invoices2001Slovakia_TDT KHANH HOA" xfId="208" xr:uid="{00000000-0005-0000-0000-000093010000}"/>
    <cellStyle name="Dziesietny [0]_Invoices2001Slovakia_TDT KHANH HOA_Tong hop Cac tuyen(9-1-06)" xfId="209" xr:uid="{00000000-0005-0000-0000-000094010000}"/>
    <cellStyle name="Dziesiętny [0]_Invoices2001Slovakia_TDT KHANH HOA_Tong hop Cac tuyen(9-1-06)" xfId="210" xr:uid="{00000000-0005-0000-0000-000095010000}"/>
    <cellStyle name="Dziesietny [0]_Invoices2001Slovakia_TDT quangngai" xfId="211" xr:uid="{00000000-0005-0000-0000-000096010000}"/>
    <cellStyle name="Dziesiętny [0]_Invoices2001Slovakia_TDT quangngai" xfId="212" xr:uid="{00000000-0005-0000-0000-000097010000}"/>
    <cellStyle name="Dziesietny [0]_Invoices2001Slovakia_Tong hop Cac tuyen(9-1-06)" xfId="213" xr:uid="{00000000-0005-0000-0000-000098010000}"/>
    <cellStyle name="Dziesietny_Invoices2001Slovakia" xfId="214" xr:uid="{00000000-0005-0000-0000-000099010000}"/>
    <cellStyle name="Dziesiętny_Invoices2001Slovakia" xfId="215" xr:uid="{00000000-0005-0000-0000-00009A010000}"/>
    <cellStyle name="Dziesietny_Invoices2001Slovakia 2" xfId="669" xr:uid="{00000000-0005-0000-0000-00009B010000}"/>
    <cellStyle name="Dziesiętny_Invoices2001Slovakia 2" xfId="670" xr:uid="{00000000-0005-0000-0000-00009C010000}"/>
    <cellStyle name="Dziesietny_Invoices2001Slovakia_01_Nha so 1_Dien" xfId="216" xr:uid="{00000000-0005-0000-0000-00009D010000}"/>
    <cellStyle name="Dziesiętny_Invoices2001Slovakia_01_Nha so 1_Dien" xfId="217" xr:uid="{00000000-0005-0000-0000-00009E010000}"/>
    <cellStyle name="Dziesietny_Invoices2001Slovakia_10_Nha so 10_Dien1" xfId="218" xr:uid="{00000000-0005-0000-0000-00009F010000}"/>
    <cellStyle name="Dziesiętny_Invoices2001Slovakia_10_Nha so 10_Dien1" xfId="219" xr:uid="{00000000-0005-0000-0000-0000A0010000}"/>
    <cellStyle name="Dziesietny_Invoices2001Slovakia_Book1" xfId="220" xr:uid="{00000000-0005-0000-0000-0000A1010000}"/>
    <cellStyle name="Dziesiętny_Invoices2001Slovakia_Book1" xfId="221" xr:uid="{00000000-0005-0000-0000-0000A2010000}"/>
    <cellStyle name="Dziesietny_Invoices2001Slovakia_Book1_1" xfId="222" xr:uid="{00000000-0005-0000-0000-0000A3010000}"/>
    <cellStyle name="Dziesiętny_Invoices2001Slovakia_Book1_1" xfId="223" xr:uid="{00000000-0005-0000-0000-0000A4010000}"/>
    <cellStyle name="Dziesietny_Invoices2001Slovakia_Book1_1_Book1" xfId="224" xr:uid="{00000000-0005-0000-0000-0000A5010000}"/>
    <cellStyle name="Dziesiętny_Invoices2001Slovakia_Book1_1_Book1" xfId="225" xr:uid="{00000000-0005-0000-0000-0000A6010000}"/>
    <cellStyle name="Dziesietny_Invoices2001Slovakia_Book1_2" xfId="226" xr:uid="{00000000-0005-0000-0000-0000A7010000}"/>
    <cellStyle name="Dziesiętny_Invoices2001Slovakia_Book1_2" xfId="227" xr:uid="{00000000-0005-0000-0000-0000A8010000}"/>
    <cellStyle name="Dziesietny_Invoices2001Slovakia_Book1_Tong hop Cac tuyen(9-1-06)" xfId="228" xr:uid="{00000000-0005-0000-0000-0000A9010000}"/>
    <cellStyle name="Dziesiętny_Invoices2001Slovakia_Book1_Tong hop Cac tuyen(9-1-06)" xfId="229" xr:uid="{00000000-0005-0000-0000-0000AA010000}"/>
    <cellStyle name="Dziesietny_Invoices2001Slovakia_KL K.C mat duong" xfId="230" xr:uid="{00000000-0005-0000-0000-0000AB010000}"/>
    <cellStyle name="Dziesiętny_Invoices2001Slovakia_Nha bao ve(28-7-05)" xfId="231" xr:uid="{00000000-0005-0000-0000-0000AC010000}"/>
    <cellStyle name="Dziesietny_Invoices2001Slovakia_NHA de xe nguyen du" xfId="232" xr:uid="{00000000-0005-0000-0000-0000AD010000}"/>
    <cellStyle name="Dziesiętny_Invoices2001Slovakia_NHA de xe nguyen du" xfId="233" xr:uid="{00000000-0005-0000-0000-0000AE010000}"/>
    <cellStyle name="Dziesietny_Invoices2001Slovakia_Nhalamviec VTC(25-1-05)" xfId="234" xr:uid="{00000000-0005-0000-0000-0000AF010000}"/>
    <cellStyle name="Dziesiętny_Invoices2001Slovakia_Nhalamviec VTC(25-1-05)" xfId="235" xr:uid="{00000000-0005-0000-0000-0000B0010000}"/>
    <cellStyle name="Dziesietny_Invoices2001Slovakia_TDT KHANH HOA" xfId="236" xr:uid="{00000000-0005-0000-0000-0000B1010000}"/>
    <cellStyle name="Dziesiętny_Invoices2001Slovakia_TDT KHANH HOA" xfId="237" xr:uid="{00000000-0005-0000-0000-0000B2010000}"/>
    <cellStyle name="Dziesietny_Invoices2001Slovakia_TDT KHANH HOA_Tong hop Cac tuyen(9-1-06)" xfId="238" xr:uid="{00000000-0005-0000-0000-0000B3010000}"/>
    <cellStyle name="Dziesiętny_Invoices2001Slovakia_TDT KHANH HOA_Tong hop Cac tuyen(9-1-06)" xfId="239" xr:uid="{00000000-0005-0000-0000-0000B4010000}"/>
    <cellStyle name="Dziesietny_Invoices2001Slovakia_TDT quangngai" xfId="240" xr:uid="{00000000-0005-0000-0000-0000B5010000}"/>
    <cellStyle name="Dziesiętny_Invoices2001Slovakia_TDT quangngai" xfId="241" xr:uid="{00000000-0005-0000-0000-0000B6010000}"/>
    <cellStyle name="Dziesietny_Invoices2001Slovakia_Tong hop Cac tuyen(9-1-06)" xfId="242" xr:uid="{00000000-0005-0000-0000-0000B7010000}"/>
    <cellStyle name="e" xfId="671" xr:uid="{00000000-0005-0000-0000-0000B8010000}"/>
    <cellStyle name="Emphasis 1" xfId="243" xr:uid="{00000000-0005-0000-0000-0000B9010000}"/>
    <cellStyle name="Emphasis 2" xfId="244" xr:uid="{00000000-0005-0000-0000-0000BA010000}"/>
    <cellStyle name="Emphasis 3" xfId="245" xr:uid="{00000000-0005-0000-0000-0000BB010000}"/>
    <cellStyle name="Enter Currency (0)" xfId="246" xr:uid="{00000000-0005-0000-0000-0000BC010000}"/>
    <cellStyle name="Enter Currency (0) 2" xfId="672" xr:uid="{00000000-0005-0000-0000-0000BD010000}"/>
    <cellStyle name="Enter Currency (2)" xfId="247" xr:uid="{00000000-0005-0000-0000-0000BE010000}"/>
    <cellStyle name="Enter Currency (2) 2" xfId="673" xr:uid="{00000000-0005-0000-0000-0000BF010000}"/>
    <cellStyle name="Enter Units (0)" xfId="248" xr:uid="{00000000-0005-0000-0000-0000C0010000}"/>
    <cellStyle name="Enter Units (0) 2" xfId="674" xr:uid="{00000000-0005-0000-0000-0000C1010000}"/>
    <cellStyle name="Enter Units (1)" xfId="249" xr:uid="{00000000-0005-0000-0000-0000C2010000}"/>
    <cellStyle name="Enter Units (1) 2" xfId="675" xr:uid="{00000000-0005-0000-0000-0000C3010000}"/>
    <cellStyle name="Enter Units (2)" xfId="250" xr:uid="{00000000-0005-0000-0000-0000C4010000}"/>
    <cellStyle name="Enter Units (2) 2" xfId="676" xr:uid="{00000000-0005-0000-0000-0000C5010000}"/>
    <cellStyle name="Entered" xfId="677" xr:uid="{00000000-0005-0000-0000-0000C6010000}"/>
    <cellStyle name="entry box" xfId="678" xr:uid="{00000000-0005-0000-0000-0000C7010000}"/>
    <cellStyle name="Euro" xfId="679" xr:uid="{00000000-0005-0000-0000-0000C8010000}"/>
    <cellStyle name="Explanatory Text 2" xfId="251" xr:uid="{00000000-0005-0000-0000-0000C9010000}"/>
    <cellStyle name="f" xfId="680" xr:uid="{00000000-0005-0000-0000-0000CA010000}"/>
    <cellStyle name="Fixed" xfId="252" xr:uid="{00000000-0005-0000-0000-0000CB010000}"/>
    <cellStyle name="gia" xfId="253" xr:uid="{00000000-0005-0000-0000-0000CC010000}"/>
    <cellStyle name="Good 2" xfId="254" xr:uid="{00000000-0005-0000-0000-0000CD010000}"/>
    <cellStyle name="Grey" xfId="255" xr:uid="{00000000-0005-0000-0000-0000CE010000}"/>
    <cellStyle name="Grey 2" xfId="256" xr:uid="{00000000-0005-0000-0000-0000CF010000}"/>
    <cellStyle name="ha" xfId="257" xr:uid="{00000000-0005-0000-0000-0000D0010000}"/>
    <cellStyle name="Head 1" xfId="681" xr:uid="{00000000-0005-0000-0000-0000D1010000}"/>
    <cellStyle name="HEADER" xfId="258" xr:uid="{00000000-0005-0000-0000-0000D2010000}"/>
    <cellStyle name="HEADER 2" xfId="682" xr:uid="{00000000-0005-0000-0000-0000D3010000}"/>
    <cellStyle name="Header1" xfId="259" xr:uid="{00000000-0005-0000-0000-0000D4010000}"/>
    <cellStyle name="Header2" xfId="260" xr:uid="{00000000-0005-0000-0000-0000D5010000}"/>
    <cellStyle name="Header2 2" xfId="683" xr:uid="{00000000-0005-0000-0000-0000D6010000}"/>
    <cellStyle name="Heading 1 2" xfId="261" xr:uid="{00000000-0005-0000-0000-0000D7010000}"/>
    <cellStyle name="Heading 1 3" xfId="262" xr:uid="{00000000-0005-0000-0000-0000D8010000}"/>
    <cellStyle name="Heading 2 2" xfId="263" xr:uid="{00000000-0005-0000-0000-0000D9010000}"/>
    <cellStyle name="Heading 2 3" xfId="264" xr:uid="{00000000-0005-0000-0000-0000DA010000}"/>
    <cellStyle name="Heading 3 2" xfId="265" xr:uid="{00000000-0005-0000-0000-0000DB010000}"/>
    <cellStyle name="Heading 4 2" xfId="266" xr:uid="{00000000-0005-0000-0000-0000DC010000}"/>
    <cellStyle name="HEADING1" xfId="267" xr:uid="{00000000-0005-0000-0000-0000DD010000}"/>
    <cellStyle name="Heading1 2" xfId="684" xr:uid="{00000000-0005-0000-0000-0000DE010000}"/>
    <cellStyle name="HEADING2" xfId="268" xr:uid="{00000000-0005-0000-0000-0000DF010000}"/>
    <cellStyle name="Heading2 2" xfId="685" xr:uid="{00000000-0005-0000-0000-0000E0010000}"/>
    <cellStyle name="HEADINGS" xfId="686" xr:uid="{00000000-0005-0000-0000-0000E1010000}"/>
    <cellStyle name="HEADINGSTOP" xfId="687" xr:uid="{00000000-0005-0000-0000-0000E2010000}"/>
    <cellStyle name="headoption" xfId="269" xr:uid="{00000000-0005-0000-0000-0000E3010000}"/>
    <cellStyle name="headoption 2" xfId="688" xr:uid="{00000000-0005-0000-0000-0000E4010000}"/>
    <cellStyle name="headoption 3" xfId="858" xr:uid="{00000000-0005-0000-0000-0000E5010000}"/>
    <cellStyle name="hidden" xfId="689" xr:uid="{00000000-0005-0000-0000-0000E6010000}"/>
    <cellStyle name="Hoa-Scholl" xfId="270" xr:uid="{00000000-0005-0000-0000-0000E7010000}"/>
    <cellStyle name="Hoa-Scholl 2" xfId="690" xr:uid="{00000000-0005-0000-0000-0000E8010000}"/>
    <cellStyle name="Hoa-Scholl 3" xfId="859" xr:uid="{00000000-0005-0000-0000-0000E9010000}"/>
    <cellStyle name="Hyperlink 2" xfId="41" xr:uid="{00000000-0005-0000-0000-0000EA010000}"/>
    <cellStyle name="Hyperlink 2 2" xfId="691" xr:uid="{00000000-0005-0000-0000-0000EB010000}"/>
    <cellStyle name="Hyperlink 3" xfId="692" xr:uid="{00000000-0005-0000-0000-0000EC010000}"/>
    <cellStyle name="i phÝ kh¸c_B¶ng 2" xfId="271" xr:uid="{00000000-0005-0000-0000-0000ED010000}"/>
    <cellStyle name="I.3" xfId="272" xr:uid="{00000000-0005-0000-0000-0000EE010000}"/>
    <cellStyle name="_x0001_í½?" xfId="693" xr:uid="{00000000-0005-0000-0000-0000EF010000}"/>
    <cellStyle name="ï-¾È»ê_BiÓu TB" xfId="273" xr:uid="{00000000-0005-0000-0000-0000F0010000}"/>
    <cellStyle name="_x0001_íå_x001b_ô " xfId="694" xr:uid="{00000000-0005-0000-0000-0000F1010000}"/>
    <cellStyle name="_x0001_íå_x001b_ô_" xfId="695" xr:uid="{00000000-0005-0000-0000-0000F2010000}"/>
    <cellStyle name="Input [yellow]" xfId="274" xr:uid="{00000000-0005-0000-0000-0000F3010000}"/>
    <cellStyle name="Input [yellow] 2" xfId="275" xr:uid="{00000000-0005-0000-0000-0000F4010000}"/>
    <cellStyle name="Input [yellow] 2 2" xfId="861" xr:uid="{00000000-0005-0000-0000-0000F5010000}"/>
    <cellStyle name="Input [yellow] 3" xfId="696" xr:uid="{00000000-0005-0000-0000-0000F6010000}"/>
    <cellStyle name="Input [yellow] 4" xfId="860" xr:uid="{00000000-0005-0000-0000-0000F7010000}"/>
    <cellStyle name="Input 2" xfId="276" xr:uid="{00000000-0005-0000-0000-0000F8010000}"/>
    <cellStyle name="Input 2 2" xfId="862" xr:uid="{00000000-0005-0000-0000-0000F9010000}"/>
    <cellStyle name="Jun" xfId="277" xr:uid="{00000000-0005-0000-0000-0000FA010000}"/>
    <cellStyle name="kh¸c_Bang Chi tieu" xfId="278" xr:uid="{00000000-0005-0000-0000-0000FB010000}"/>
    <cellStyle name="khanh" xfId="279" xr:uid="{00000000-0005-0000-0000-0000FC010000}"/>
    <cellStyle name="Ledger 17 x 11 in" xfId="13" xr:uid="{00000000-0005-0000-0000-0000FD010000}"/>
    <cellStyle name="Ledger 17 x 11 in 2" xfId="42" xr:uid="{00000000-0005-0000-0000-0000FE010000}"/>
    <cellStyle name="Ledger 17 x 11 in 2 2" xfId="697" xr:uid="{00000000-0005-0000-0000-0000FF010000}"/>
    <cellStyle name="Ledger 17 x 11 in 3" xfId="280" xr:uid="{00000000-0005-0000-0000-000000020000}"/>
    <cellStyle name="Ledger 17 x 11 in 3 2" xfId="698" xr:uid="{00000000-0005-0000-0000-000001020000}"/>
    <cellStyle name="Ledger 17 x 11 in 3_Copy of Thiet ke du toan Mot cua xa, phuong nam 2013" xfId="699" xr:uid="{00000000-0005-0000-0000-000002020000}"/>
    <cellStyle name="Ledger 17 x 11 in 4" xfId="700" xr:uid="{00000000-0005-0000-0000-000003020000}"/>
    <cellStyle name="Ledger 17 x 11 in 4 2" xfId="701" xr:uid="{00000000-0005-0000-0000-000004020000}"/>
    <cellStyle name="Ledger 17 x 11 in 4 2 2" xfId="702" xr:uid="{00000000-0005-0000-0000-000005020000}"/>
    <cellStyle name="Ledger 17 x 11 in 4 2 2 2" xfId="703" xr:uid="{00000000-0005-0000-0000-000006020000}"/>
    <cellStyle name="Ledger 17 x 11 in 4 2 3" xfId="704" xr:uid="{00000000-0005-0000-0000-000007020000}"/>
    <cellStyle name="Ledger 17 x 11 in 5" xfId="705" xr:uid="{00000000-0005-0000-0000-000008020000}"/>
    <cellStyle name="Ledger 17 x 11 in 5 2" xfId="706" xr:uid="{00000000-0005-0000-0000-000009020000}"/>
    <cellStyle name="Ledger 17 x 11 in 5_Copy of Thiet ke du toan Mot cua xa, phuong nam 2013" xfId="707" xr:uid="{00000000-0005-0000-0000-00000A020000}"/>
    <cellStyle name="Ledger 17 x 11 in 6" xfId="708" xr:uid="{00000000-0005-0000-0000-00000B020000}"/>
    <cellStyle name="Ledger 17 x 11 in_1.KinhphiTKTC2107" xfId="709" xr:uid="{00000000-0005-0000-0000-00000C020000}"/>
    <cellStyle name="Link Currency (0)" xfId="281" xr:uid="{00000000-0005-0000-0000-00000D020000}"/>
    <cellStyle name="Link Currency (0) 2" xfId="710" xr:uid="{00000000-0005-0000-0000-00000E020000}"/>
    <cellStyle name="Link Currency (2)" xfId="282" xr:uid="{00000000-0005-0000-0000-00000F020000}"/>
    <cellStyle name="Link Currency (2) 2" xfId="711" xr:uid="{00000000-0005-0000-0000-000010020000}"/>
    <cellStyle name="Link Units (0)" xfId="283" xr:uid="{00000000-0005-0000-0000-000011020000}"/>
    <cellStyle name="Link Units (0) 2" xfId="712" xr:uid="{00000000-0005-0000-0000-000012020000}"/>
    <cellStyle name="Link Units (1)" xfId="284" xr:uid="{00000000-0005-0000-0000-000013020000}"/>
    <cellStyle name="Link Units (1) 2" xfId="713" xr:uid="{00000000-0005-0000-0000-000014020000}"/>
    <cellStyle name="Link Units (2)" xfId="285" xr:uid="{00000000-0005-0000-0000-000015020000}"/>
    <cellStyle name="Link Units (2) 2" xfId="714" xr:uid="{00000000-0005-0000-0000-000016020000}"/>
    <cellStyle name="Linked Cell 2" xfId="286" xr:uid="{00000000-0005-0000-0000-000017020000}"/>
    <cellStyle name="mai" xfId="287" xr:uid="{00000000-0005-0000-0000-000018020000}"/>
    <cellStyle name="Millares [0]_PCP_repairs_ed01_010703" xfId="715" xr:uid="{00000000-0005-0000-0000-000019020000}"/>
    <cellStyle name="Millares_Well Timing" xfId="288" xr:uid="{00000000-0005-0000-0000-00001A020000}"/>
    <cellStyle name="Milliers [0]_      " xfId="289" xr:uid="{00000000-0005-0000-0000-00001B020000}"/>
    <cellStyle name="Milliers_      " xfId="290" xr:uid="{00000000-0005-0000-0000-00001C020000}"/>
    <cellStyle name="Model" xfId="291" xr:uid="{00000000-0005-0000-0000-00001D020000}"/>
    <cellStyle name="Model 2" xfId="716" xr:uid="{00000000-0005-0000-0000-00001E020000}"/>
    <cellStyle name="moi" xfId="292" xr:uid="{00000000-0005-0000-0000-00001F020000}"/>
    <cellStyle name="moi 2" xfId="863" xr:uid="{00000000-0005-0000-0000-000020020000}"/>
    <cellStyle name="Moneda [0]_pldt" xfId="717" xr:uid="{00000000-0005-0000-0000-000021020000}"/>
    <cellStyle name="Moneda_pldt" xfId="718" xr:uid="{00000000-0005-0000-0000-000022020000}"/>
    <cellStyle name="Monétaire [0]_      " xfId="293" xr:uid="{00000000-0005-0000-0000-000023020000}"/>
    <cellStyle name="Monétaire_      " xfId="294" xr:uid="{00000000-0005-0000-0000-000024020000}"/>
    <cellStyle name="n" xfId="295" xr:uid="{00000000-0005-0000-0000-000025020000}"/>
    <cellStyle name="Neutral 2" xfId="296" xr:uid="{00000000-0005-0000-0000-000026020000}"/>
    <cellStyle name="New" xfId="297" xr:uid="{00000000-0005-0000-0000-000027020000}"/>
    <cellStyle name="New 2" xfId="719" xr:uid="{00000000-0005-0000-0000-000028020000}"/>
    <cellStyle name="New 3" xfId="864" xr:uid="{00000000-0005-0000-0000-000029020000}"/>
    <cellStyle name="New Times Roman" xfId="298" xr:uid="{00000000-0005-0000-0000-00002A020000}"/>
    <cellStyle name="New_Thiet ke du toan chuyen trang DVC Dong Hy" xfId="720" xr:uid="{00000000-0005-0000-0000-00002B020000}"/>
    <cellStyle name="no dec" xfId="299" xr:uid="{00000000-0005-0000-0000-00002C020000}"/>
    <cellStyle name="Normal - Style1" xfId="300" xr:uid="{00000000-0005-0000-0000-00002E020000}"/>
    <cellStyle name="Normal - Style1 2" xfId="301" xr:uid="{00000000-0005-0000-0000-00002F020000}"/>
    <cellStyle name="Normal - Style1 3" xfId="721" xr:uid="{00000000-0005-0000-0000-000030020000}"/>
    <cellStyle name="Normal - 유형1" xfId="302" xr:uid="{00000000-0005-0000-0000-000031020000}"/>
    <cellStyle name="Normal 1" xfId="14" xr:uid="{00000000-0005-0000-0000-000032020000}"/>
    <cellStyle name="Normal 10" xfId="871" xr:uid="{00000000-0005-0000-0000-000033020000}"/>
    <cellStyle name="Normal 10 2" xfId="15" xr:uid="{00000000-0005-0000-0000-000034020000}"/>
    <cellStyle name="Normal 102" xfId="722" xr:uid="{00000000-0005-0000-0000-000035020000}"/>
    <cellStyle name="Normal 11" xfId="870" xr:uid="{00000000-0005-0000-0000-000036020000}"/>
    <cellStyle name="Normal 12 4" xfId="869" xr:uid="{00000000-0005-0000-0000-000037020000}"/>
    <cellStyle name="Normal 16" xfId="16" xr:uid="{00000000-0005-0000-0000-000038020000}"/>
    <cellStyle name="Normal 16 2" xfId="17" xr:uid="{00000000-0005-0000-0000-000039020000}"/>
    <cellStyle name="Normal 16 2 2" xfId="724" xr:uid="{00000000-0005-0000-0000-00003A020000}"/>
    <cellStyle name="Normal 16 2 3" xfId="723" xr:uid="{00000000-0005-0000-0000-00003B020000}"/>
    <cellStyle name="Normal 2" xfId="18" xr:uid="{00000000-0005-0000-0000-00003C020000}"/>
    <cellStyle name="Normal 2 2" xfId="19" xr:uid="{00000000-0005-0000-0000-00003D020000}"/>
    <cellStyle name="Normal 2 2 2" xfId="20" xr:uid="{00000000-0005-0000-0000-00003E020000}"/>
    <cellStyle name="Normal 2 2 3" xfId="21" xr:uid="{00000000-0005-0000-0000-00003F020000}"/>
    <cellStyle name="Normal 2 2 3 2 2" xfId="867" xr:uid="{00000000-0005-0000-0000-000040020000}"/>
    <cellStyle name="Normal 2 2 4" xfId="44" xr:uid="{00000000-0005-0000-0000-000041020000}"/>
    <cellStyle name="Normal 2 3" xfId="22" xr:uid="{00000000-0005-0000-0000-000042020000}"/>
    <cellStyle name="Normal 2 3 2" xfId="303" xr:uid="{00000000-0005-0000-0000-000043020000}"/>
    <cellStyle name="Normal 2 3 3" xfId="725" xr:uid="{00000000-0005-0000-0000-000044020000}"/>
    <cellStyle name="Normal 2 4" xfId="43" xr:uid="{00000000-0005-0000-0000-000045020000}"/>
    <cellStyle name="Normal 2 5" xfId="441" xr:uid="{00000000-0005-0000-0000-000046020000}"/>
    <cellStyle name="Normal 2 6" xfId="872" xr:uid="{35DB9500-DA9D-4993-822D-3F5866CEB549}"/>
    <cellStyle name="Normal 2_Chi phi khao sat" xfId="726" xr:uid="{00000000-0005-0000-0000-000047020000}"/>
    <cellStyle name="Normal 3" xfId="23" xr:uid="{00000000-0005-0000-0000-000048020000}"/>
    <cellStyle name="Normal 3 2" xfId="24" xr:uid="{00000000-0005-0000-0000-000049020000}"/>
    <cellStyle name="Normal 3 3" xfId="46" xr:uid="{00000000-0005-0000-0000-00004A020000}"/>
    <cellStyle name="Normal 3 4" xfId="45" xr:uid="{00000000-0005-0000-0000-00004B020000}"/>
    <cellStyle name="Normal 3_Copy of Thiet ke du toan Mot cua xa, phuong nam 2013" xfId="727" xr:uid="{00000000-0005-0000-0000-00004C020000}"/>
    <cellStyle name="Normal 4" xfId="25" xr:uid="{00000000-0005-0000-0000-00004D020000}"/>
    <cellStyle name="Normal 4 2" xfId="304" xr:uid="{00000000-0005-0000-0000-00004E020000}"/>
    <cellStyle name="Normal 4 3" xfId="728" xr:uid="{00000000-0005-0000-0000-00004F020000}"/>
    <cellStyle name="Normal 4 9" xfId="26" xr:uid="{00000000-0005-0000-0000-000050020000}"/>
    <cellStyle name="Normal 47" xfId="27" xr:uid="{00000000-0005-0000-0000-000051020000}"/>
    <cellStyle name="Normal 5" xfId="28" xr:uid="{00000000-0005-0000-0000-000052020000}"/>
    <cellStyle name="Normal 5 2" xfId="305" xr:uid="{00000000-0005-0000-0000-000053020000}"/>
    <cellStyle name="Normal 6" xfId="29" xr:uid="{00000000-0005-0000-0000-000054020000}"/>
    <cellStyle name="Normal 6 2" xfId="729" xr:uid="{00000000-0005-0000-0000-000055020000}"/>
    <cellStyle name="Normal 7" xfId="30" xr:uid="{00000000-0005-0000-0000-000056020000}"/>
    <cellStyle name="Normal 7 2" xfId="31" xr:uid="{00000000-0005-0000-0000-000057020000}"/>
    <cellStyle name="Normal 7 3" xfId="306" xr:uid="{00000000-0005-0000-0000-000058020000}"/>
    <cellStyle name="Normal 8" xfId="36" xr:uid="{00000000-0005-0000-0000-000059020000}"/>
    <cellStyle name="Normal 8 2" xfId="307" xr:uid="{00000000-0005-0000-0000-00005A020000}"/>
    <cellStyle name="Normal 9" xfId="57" xr:uid="{00000000-0005-0000-0000-00005B020000}"/>
    <cellStyle name="Normal1" xfId="308" xr:uid="{00000000-0005-0000-0000-00005C020000}"/>
    <cellStyle name="Normalny_Arkusz1" xfId="730" xr:uid="{00000000-0005-0000-0000-00005D020000}"/>
    <cellStyle name="Note 2" xfId="309" xr:uid="{00000000-0005-0000-0000-00005E020000}"/>
    <cellStyle name="Note 3" xfId="310" xr:uid="{00000000-0005-0000-0000-00005F020000}"/>
    <cellStyle name="Œ…‹æØ‚è [0.00]_laroux" xfId="731" xr:uid="{00000000-0005-0000-0000-000060020000}"/>
    <cellStyle name="Œ…‹æØ‚è_laroux" xfId="732" xr:uid="{00000000-0005-0000-0000-000061020000}"/>
    <cellStyle name="oft Excel]_x000a__x000a_Comment=The open=/f lines load custom functions into the Paste Function list._x000a__x000a_Maximized=2_x000a__x000a_Basics=1_x000a__x000a_A" xfId="311" xr:uid="{00000000-0005-0000-0000-000062020000}"/>
    <cellStyle name="oft Excel]_x000a__x000a_Comment=The open=/f lines load custom functions into the Paste Function list._x000a__x000a_Maximized=3_x000a__x000a_Basics=1_x000a__x000a_A" xfId="312" xr:uid="{00000000-0005-0000-0000-000063020000}"/>
    <cellStyle name="oft Excel]_x000d__x000a_Comment=open=/f ‚ðw’è‚·‚é‚ÆAƒ†[ƒU[’è‹`ŠÖ”‚ðŠÖ”“\‚è•t‚¯‚Ìˆê——‚É“o˜^‚·‚é‚±‚Æ‚ª‚Å‚«‚Ü‚·B_x000d__x000a_Maximized" xfId="733" xr:uid="{00000000-0005-0000-0000-000064020000}"/>
    <cellStyle name="oft Excel]_x000d__x000a_Comment=The open=/f lines load custom functions into the Paste Function list._x000d__x000a_Maximized=2_x000d__x000a_Basics=1_x000d__x000a_A" xfId="734" xr:uid="{00000000-0005-0000-0000-000065020000}"/>
    <cellStyle name="oft Excel]_x000d__x000a_Comment=The open=/f lines load custom functions into the Paste Function list._x000d__x000a_Maximized=3_x000d__x000a_Basics=1_x000d__x000a_A" xfId="735" xr:uid="{00000000-0005-0000-0000-000066020000}"/>
    <cellStyle name="omma [0]_Mktg Prog" xfId="736" xr:uid="{00000000-0005-0000-0000-000067020000}"/>
    <cellStyle name="ormal_Sheet1_1" xfId="737" xr:uid="{00000000-0005-0000-0000-000068020000}"/>
    <cellStyle name="Output 2" xfId="313" xr:uid="{00000000-0005-0000-0000-000069020000}"/>
    <cellStyle name="per.style" xfId="738" xr:uid="{00000000-0005-0000-0000-00006A020000}"/>
    <cellStyle name="Percent [0]" xfId="315" xr:uid="{00000000-0005-0000-0000-00006C020000}"/>
    <cellStyle name="Percent [0] 2" xfId="739" xr:uid="{00000000-0005-0000-0000-00006D020000}"/>
    <cellStyle name="Percent [00]" xfId="316" xr:uid="{00000000-0005-0000-0000-00006E020000}"/>
    <cellStyle name="Percent [00] 2" xfId="740" xr:uid="{00000000-0005-0000-0000-00006F020000}"/>
    <cellStyle name="Percent [2]" xfId="317" xr:uid="{00000000-0005-0000-0000-000070020000}"/>
    <cellStyle name="Percent 2" xfId="33" xr:uid="{00000000-0005-0000-0000-000071020000}"/>
    <cellStyle name="Percent 2 2" xfId="318" xr:uid="{00000000-0005-0000-0000-000072020000}"/>
    <cellStyle name="Percent 2 3" xfId="741" xr:uid="{00000000-0005-0000-0000-000073020000}"/>
    <cellStyle name="Percent 3" xfId="319" xr:uid="{00000000-0005-0000-0000-000074020000}"/>
    <cellStyle name="Percent 3 2" xfId="742" xr:uid="{00000000-0005-0000-0000-000075020000}"/>
    <cellStyle name="Percent 4" xfId="314" xr:uid="{00000000-0005-0000-0000-000076020000}"/>
    <cellStyle name="PERCENTAGE" xfId="320" xr:uid="{00000000-0005-0000-0000-000077020000}"/>
    <cellStyle name="Phần trăm" xfId="32" builtinId="5"/>
    <cellStyle name="Prefilled" xfId="743" xr:uid="{00000000-0005-0000-0000-000078020000}"/>
    <cellStyle name="PrePop Currency (0)" xfId="321" xr:uid="{00000000-0005-0000-0000-000079020000}"/>
    <cellStyle name="PrePop Currency (0) 2" xfId="744" xr:uid="{00000000-0005-0000-0000-00007A020000}"/>
    <cellStyle name="PrePop Currency (2)" xfId="322" xr:uid="{00000000-0005-0000-0000-00007B020000}"/>
    <cellStyle name="PrePop Currency (2) 2" xfId="745" xr:uid="{00000000-0005-0000-0000-00007C020000}"/>
    <cellStyle name="PrePop Units (0)" xfId="323" xr:uid="{00000000-0005-0000-0000-00007D020000}"/>
    <cellStyle name="PrePop Units (0) 2" xfId="746" xr:uid="{00000000-0005-0000-0000-00007E020000}"/>
    <cellStyle name="PrePop Units (1)" xfId="324" xr:uid="{00000000-0005-0000-0000-00007F020000}"/>
    <cellStyle name="PrePop Units (1) 2" xfId="747" xr:uid="{00000000-0005-0000-0000-000080020000}"/>
    <cellStyle name="PrePop Units (2)" xfId="325" xr:uid="{00000000-0005-0000-0000-000081020000}"/>
    <cellStyle name="PrePop Units (2) 2" xfId="748" xr:uid="{00000000-0005-0000-0000-000082020000}"/>
    <cellStyle name="pricing" xfId="749" xr:uid="{00000000-0005-0000-0000-000083020000}"/>
    <cellStyle name="PropGenCurrencyFormat" xfId="750" xr:uid="{00000000-0005-0000-0000-000084020000}"/>
    <cellStyle name="PSChar" xfId="751" xr:uid="{00000000-0005-0000-0000-000085020000}"/>
    <cellStyle name="PSHeading" xfId="752" xr:uid="{00000000-0005-0000-0000-000086020000}"/>
    <cellStyle name="Rack_kit" xfId="753" xr:uid="{00000000-0005-0000-0000-000087020000}"/>
    <cellStyle name="regstoresfromspecstores" xfId="754" xr:uid="{00000000-0005-0000-0000-000088020000}"/>
    <cellStyle name="RevList" xfId="755" xr:uid="{00000000-0005-0000-0000-000089020000}"/>
    <cellStyle name="s]_x000a__x000a_spooler=yes_x000a__x000a_load=_x000a__x000a_Beep=yes_x000a__x000a_NullPort=None_x000a__x000a_BorderWidth=3_x000a__x000a_CursorBlinkRate=1200_x000a__x000a_DoubleClickSpeed=452_x000a__x000a_Programs=co" xfId="326" xr:uid="{00000000-0005-0000-0000-00008A020000}"/>
    <cellStyle name="s]_x000d__x000a_spooler=yes_x000d__x000a_load=_x000d__x000a_Beep=yes_x000d__x000a_NullPort=None_x000d__x000a_BorderWidth=3_x000d__x000a_CursorBlinkRate=1200_x000d__x000a_DoubleClickSpeed=452_x000d__x000a_Programs=co" xfId="756" xr:uid="{00000000-0005-0000-0000-00008B020000}"/>
    <cellStyle name="SAPBEXaggData" xfId="327" xr:uid="{00000000-0005-0000-0000-00008C020000}"/>
    <cellStyle name="SAPBEXaggData 2" xfId="757" xr:uid="{00000000-0005-0000-0000-00008D020000}"/>
    <cellStyle name="SAPBEXaggDataEmph" xfId="328" xr:uid="{00000000-0005-0000-0000-00008E020000}"/>
    <cellStyle name="SAPBEXaggDataEmph 2" xfId="758" xr:uid="{00000000-0005-0000-0000-00008F020000}"/>
    <cellStyle name="SAPBEXaggItem" xfId="329" xr:uid="{00000000-0005-0000-0000-000090020000}"/>
    <cellStyle name="SAPBEXaggItem 2" xfId="759" xr:uid="{00000000-0005-0000-0000-000091020000}"/>
    <cellStyle name="SAPBEXchaText" xfId="330" xr:uid="{00000000-0005-0000-0000-000092020000}"/>
    <cellStyle name="SAPBEXexcBad7" xfId="331" xr:uid="{00000000-0005-0000-0000-000093020000}"/>
    <cellStyle name="SAPBEXexcBad7 2" xfId="760" xr:uid="{00000000-0005-0000-0000-000094020000}"/>
    <cellStyle name="SAPBEXexcBad8" xfId="332" xr:uid="{00000000-0005-0000-0000-000095020000}"/>
    <cellStyle name="SAPBEXexcBad8 2" xfId="761" xr:uid="{00000000-0005-0000-0000-000096020000}"/>
    <cellStyle name="SAPBEXexcBad9" xfId="333" xr:uid="{00000000-0005-0000-0000-000097020000}"/>
    <cellStyle name="SAPBEXexcBad9 2" xfId="762" xr:uid="{00000000-0005-0000-0000-000098020000}"/>
    <cellStyle name="SAPBEXexcCritical4" xfId="334" xr:uid="{00000000-0005-0000-0000-000099020000}"/>
    <cellStyle name="SAPBEXexcCritical4 2" xfId="763" xr:uid="{00000000-0005-0000-0000-00009A020000}"/>
    <cellStyle name="SAPBEXexcCritical5" xfId="335" xr:uid="{00000000-0005-0000-0000-00009B020000}"/>
    <cellStyle name="SAPBEXexcCritical5 2" xfId="764" xr:uid="{00000000-0005-0000-0000-00009C020000}"/>
    <cellStyle name="SAPBEXexcCritical6" xfId="336" xr:uid="{00000000-0005-0000-0000-00009D020000}"/>
    <cellStyle name="SAPBEXexcCritical6 2" xfId="765" xr:uid="{00000000-0005-0000-0000-00009E020000}"/>
    <cellStyle name="SAPBEXexcGood1" xfId="337" xr:uid="{00000000-0005-0000-0000-00009F020000}"/>
    <cellStyle name="SAPBEXexcGood1 2" xfId="766" xr:uid="{00000000-0005-0000-0000-0000A0020000}"/>
    <cellStyle name="SAPBEXexcGood2" xfId="338" xr:uid="{00000000-0005-0000-0000-0000A1020000}"/>
    <cellStyle name="SAPBEXexcGood2 2" xfId="767" xr:uid="{00000000-0005-0000-0000-0000A2020000}"/>
    <cellStyle name="SAPBEXexcGood3" xfId="339" xr:uid="{00000000-0005-0000-0000-0000A3020000}"/>
    <cellStyle name="SAPBEXexcGood3 2" xfId="768" xr:uid="{00000000-0005-0000-0000-0000A4020000}"/>
    <cellStyle name="SAPBEXfilterDrill" xfId="340" xr:uid="{00000000-0005-0000-0000-0000A5020000}"/>
    <cellStyle name="SAPBEXfilterItem" xfId="341" xr:uid="{00000000-0005-0000-0000-0000A6020000}"/>
    <cellStyle name="SAPBEXfilterText" xfId="342" xr:uid="{00000000-0005-0000-0000-0000A7020000}"/>
    <cellStyle name="SAPBEXformats" xfId="343" xr:uid="{00000000-0005-0000-0000-0000A8020000}"/>
    <cellStyle name="SAPBEXformats 2" xfId="769" xr:uid="{00000000-0005-0000-0000-0000A9020000}"/>
    <cellStyle name="SAPBEXheaderItem" xfId="344" xr:uid="{00000000-0005-0000-0000-0000AA020000}"/>
    <cellStyle name="SAPBEXheaderText" xfId="345" xr:uid="{00000000-0005-0000-0000-0000AB020000}"/>
    <cellStyle name="SAPBEXresData" xfId="346" xr:uid="{00000000-0005-0000-0000-0000AC020000}"/>
    <cellStyle name="SAPBEXresData 2" xfId="770" xr:uid="{00000000-0005-0000-0000-0000AD020000}"/>
    <cellStyle name="SAPBEXresDataEmph" xfId="347" xr:uid="{00000000-0005-0000-0000-0000AE020000}"/>
    <cellStyle name="SAPBEXresDataEmph 2" xfId="771" xr:uid="{00000000-0005-0000-0000-0000AF020000}"/>
    <cellStyle name="SAPBEXresItem" xfId="348" xr:uid="{00000000-0005-0000-0000-0000B0020000}"/>
    <cellStyle name="SAPBEXresItem 2" xfId="772" xr:uid="{00000000-0005-0000-0000-0000B1020000}"/>
    <cellStyle name="SAPBEXstdData" xfId="349" xr:uid="{00000000-0005-0000-0000-0000B2020000}"/>
    <cellStyle name="SAPBEXstdData 2" xfId="773" xr:uid="{00000000-0005-0000-0000-0000B3020000}"/>
    <cellStyle name="SAPBEXstdDataEmph" xfId="350" xr:uid="{00000000-0005-0000-0000-0000B4020000}"/>
    <cellStyle name="SAPBEXstdDataEmph 2" xfId="774" xr:uid="{00000000-0005-0000-0000-0000B5020000}"/>
    <cellStyle name="SAPBEXstdItem" xfId="351" xr:uid="{00000000-0005-0000-0000-0000B6020000}"/>
    <cellStyle name="SAPBEXstdItem 2" xfId="775" xr:uid="{00000000-0005-0000-0000-0000B7020000}"/>
    <cellStyle name="SAPBEXtitle" xfId="352" xr:uid="{00000000-0005-0000-0000-0000B8020000}"/>
    <cellStyle name="SAPBEXtitle 2" xfId="776" xr:uid="{00000000-0005-0000-0000-0000B9020000}"/>
    <cellStyle name="SAPBEXundefined" xfId="353" xr:uid="{00000000-0005-0000-0000-0000BA020000}"/>
    <cellStyle name="SAPBEXundefined 2" xfId="777" xr:uid="{00000000-0005-0000-0000-0000BB020000}"/>
    <cellStyle name="_x0001_sç?" xfId="778" xr:uid="{00000000-0005-0000-0000-0000BC020000}"/>
    <cellStyle name="serJet 1200 Series PCL 6" xfId="779" xr:uid="{00000000-0005-0000-0000-0000BD020000}"/>
    <cellStyle name="SHADEDSTORES" xfId="780" xr:uid="{00000000-0005-0000-0000-0000BE020000}"/>
    <cellStyle name="Sheet Title" xfId="354" xr:uid="{00000000-0005-0000-0000-0000BF020000}"/>
    <cellStyle name="specstores" xfId="781" xr:uid="{00000000-0005-0000-0000-0000C0020000}"/>
    <cellStyle name="Standard_Anpassen der Amortisation" xfId="355" xr:uid="{00000000-0005-0000-0000-0000C1020000}"/>
    <cellStyle name="Style 1" xfId="34" xr:uid="{00000000-0005-0000-0000-0000C2020000}"/>
    <cellStyle name="Style 1 2" xfId="35" xr:uid="{00000000-0005-0000-0000-0000C3020000}"/>
    <cellStyle name="Style 1 2 2" xfId="47" xr:uid="{00000000-0005-0000-0000-0000C4020000}"/>
    <cellStyle name="Style 1 2 3" xfId="356" xr:uid="{00000000-0005-0000-0000-0000C5020000}"/>
    <cellStyle name="Style 1 2 4" xfId="782" xr:uid="{00000000-0005-0000-0000-0000C6020000}"/>
    <cellStyle name="Style 1 3" xfId="357" xr:uid="{00000000-0005-0000-0000-0000C7020000}"/>
    <cellStyle name="Style 1_Chi phi khao sat" xfId="783" xr:uid="{00000000-0005-0000-0000-0000C8020000}"/>
    <cellStyle name="Style 10" xfId="784" xr:uid="{00000000-0005-0000-0000-0000C9020000}"/>
    <cellStyle name="Style 11" xfId="785" xr:uid="{00000000-0005-0000-0000-0000CA020000}"/>
    <cellStyle name="Style 12" xfId="786" xr:uid="{00000000-0005-0000-0000-0000CB020000}"/>
    <cellStyle name="Style 13" xfId="787" xr:uid="{00000000-0005-0000-0000-0000CC020000}"/>
    <cellStyle name="Style 14" xfId="788" xr:uid="{00000000-0005-0000-0000-0000CD020000}"/>
    <cellStyle name="Style 15" xfId="789" xr:uid="{00000000-0005-0000-0000-0000CE020000}"/>
    <cellStyle name="Style 16" xfId="790" xr:uid="{00000000-0005-0000-0000-0000CF020000}"/>
    <cellStyle name="Style 17" xfId="791" xr:uid="{00000000-0005-0000-0000-0000D0020000}"/>
    <cellStyle name="Style 18" xfId="792" xr:uid="{00000000-0005-0000-0000-0000D1020000}"/>
    <cellStyle name="Style 19" xfId="793" xr:uid="{00000000-0005-0000-0000-0000D2020000}"/>
    <cellStyle name="Style 2" xfId="358" xr:uid="{00000000-0005-0000-0000-0000D3020000}"/>
    <cellStyle name="Style 2 2" xfId="794" xr:uid="{00000000-0005-0000-0000-0000D4020000}"/>
    <cellStyle name="Style 20" xfId="795" xr:uid="{00000000-0005-0000-0000-0000D5020000}"/>
    <cellStyle name="Style 21" xfId="796" xr:uid="{00000000-0005-0000-0000-0000D6020000}"/>
    <cellStyle name="Style 22" xfId="797" xr:uid="{00000000-0005-0000-0000-0000D7020000}"/>
    <cellStyle name="Style 23" xfId="798" xr:uid="{00000000-0005-0000-0000-0000D8020000}"/>
    <cellStyle name="Style 24" xfId="799" xr:uid="{00000000-0005-0000-0000-0000D9020000}"/>
    <cellStyle name="Style 3" xfId="359" xr:uid="{00000000-0005-0000-0000-0000DA020000}"/>
    <cellStyle name="Style 3 2" xfId="800" xr:uid="{00000000-0005-0000-0000-0000DB020000}"/>
    <cellStyle name="Style 4" xfId="360" xr:uid="{00000000-0005-0000-0000-0000DC020000}"/>
    <cellStyle name="Style 4 2" xfId="801" xr:uid="{00000000-0005-0000-0000-0000DD020000}"/>
    <cellStyle name="Style 5" xfId="361" xr:uid="{00000000-0005-0000-0000-0000DE020000}"/>
    <cellStyle name="Style 5 2" xfId="802" xr:uid="{00000000-0005-0000-0000-0000DF020000}"/>
    <cellStyle name="Style 6" xfId="362" xr:uid="{00000000-0005-0000-0000-0000E0020000}"/>
    <cellStyle name="Style 6 2" xfId="803" xr:uid="{00000000-0005-0000-0000-0000E1020000}"/>
    <cellStyle name="Style 7" xfId="804" xr:uid="{00000000-0005-0000-0000-0000E2020000}"/>
    <cellStyle name="Style 8" xfId="805" xr:uid="{00000000-0005-0000-0000-0000E3020000}"/>
    <cellStyle name="Style 9" xfId="806" xr:uid="{00000000-0005-0000-0000-0000E4020000}"/>
    <cellStyle name="style_1" xfId="363" xr:uid="{00000000-0005-0000-0000-0000E5020000}"/>
    <cellStyle name="subcalc" xfId="807" xr:uid="{00000000-0005-0000-0000-0000E6020000}"/>
    <cellStyle name="subhead" xfId="364" xr:uid="{00000000-0005-0000-0000-0000E7020000}"/>
    <cellStyle name="subhead 2" xfId="808" xr:uid="{00000000-0005-0000-0000-0000E8020000}"/>
    <cellStyle name="Subtotal" xfId="809" xr:uid="{00000000-0005-0000-0000-0000E9020000}"/>
    <cellStyle name="T" xfId="365" xr:uid="{00000000-0005-0000-0000-0000EA020000}"/>
    <cellStyle name="T 2" xfId="810" xr:uid="{00000000-0005-0000-0000-0000EB020000}"/>
    <cellStyle name="T_05-DUTOAN 15T - hoan thien - bo sung T10-2007" xfId="366" xr:uid="{00000000-0005-0000-0000-0000EC020000}"/>
    <cellStyle name="T_Book1" xfId="367" xr:uid="{00000000-0005-0000-0000-0000ED020000}"/>
    <cellStyle name="T_Book1 2" xfId="811" xr:uid="{00000000-0005-0000-0000-0000EE020000}"/>
    <cellStyle name="T_Book1_1" xfId="368" xr:uid="{00000000-0005-0000-0000-0000EF020000}"/>
    <cellStyle name="T_Book1_1 2" xfId="812" xr:uid="{00000000-0005-0000-0000-0000F0020000}"/>
    <cellStyle name="T_Book1_1_CPK" xfId="369" xr:uid="{00000000-0005-0000-0000-0000F1020000}"/>
    <cellStyle name="T_Book1_1_Thiet bi" xfId="370" xr:uid="{00000000-0005-0000-0000-0000F2020000}"/>
    <cellStyle name="T_Book1_1_Thiet ke du toan chuyen trang DVC Dong Hy" xfId="813" xr:uid="{00000000-0005-0000-0000-0000F3020000}"/>
    <cellStyle name="T_Book1_CPK" xfId="371" xr:uid="{00000000-0005-0000-0000-0000F4020000}"/>
    <cellStyle name="T_Book1_HDKT(1)" xfId="372" xr:uid="{00000000-0005-0000-0000-0000F5020000}"/>
    <cellStyle name="T_Book1_Thiet bi" xfId="373" xr:uid="{00000000-0005-0000-0000-0000F6020000}"/>
    <cellStyle name="T_Book1_Thiet ke du toan chuyen trang DVC Dong Hy" xfId="814" xr:uid="{00000000-0005-0000-0000-0000F7020000}"/>
    <cellStyle name="T_CPK" xfId="374" xr:uid="{00000000-0005-0000-0000-0000F8020000}"/>
    <cellStyle name="T_denbu" xfId="815" xr:uid="{00000000-0005-0000-0000-0000F9020000}"/>
    <cellStyle name="T_denbu_Thiet ke du toan chuyen trang DVC Dong Hy" xfId="816" xr:uid="{00000000-0005-0000-0000-0000FA020000}"/>
    <cellStyle name="T_DGHQ(14-7-06)" xfId="375" xr:uid="{00000000-0005-0000-0000-0000FB020000}"/>
    <cellStyle name="T_HDKT(1)" xfId="376" xr:uid="{00000000-0005-0000-0000-0000FC020000}"/>
    <cellStyle name="T_khaitoan cua sep11-10" xfId="377" xr:uid="{00000000-0005-0000-0000-0000FD020000}"/>
    <cellStyle name="T_PT HQDT du an nha o chung cu 5 tangpa1ss" xfId="378" xr:uid="{00000000-0005-0000-0000-0000FE020000}"/>
    <cellStyle name="T_Thiet bi" xfId="379" xr:uid="{00000000-0005-0000-0000-0000FF020000}"/>
    <cellStyle name="T_Thiet ke du toan chuyen trang DVC Dong Hy" xfId="817" xr:uid="{00000000-0005-0000-0000-000000030000}"/>
    <cellStyle name="Text Indent A" xfId="380" xr:uid="{00000000-0005-0000-0000-000001030000}"/>
    <cellStyle name="Text Indent B" xfId="381" xr:uid="{00000000-0005-0000-0000-000002030000}"/>
    <cellStyle name="Text Indent B 2" xfId="818" xr:uid="{00000000-0005-0000-0000-000003030000}"/>
    <cellStyle name="Text Indent C" xfId="382" xr:uid="{00000000-0005-0000-0000-000004030000}"/>
    <cellStyle name="Text Indent C 2" xfId="819" xr:uid="{00000000-0005-0000-0000-000005030000}"/>
    <cellStyle name="th" xfId="383" xr:uid="{00000000-0005-0000-0000-000006030000}"/>
    <cellStyle name="th 2" xfId="820" xr:uid="{00000000-0005-0000-0000-000007030000}"/>
    <cellStyle name="Thanh" xfId="384" xr:uid="{00000000-0005-0000-0000-000008030000}"/>
    <cellStyle name="Thanh 2" xfId="385" xr:uid="{00000000-0005-0000-0000-000009030000}"/>
    <cellStyle name="Thanh_Bang phan tich don gia, KL HTTT TKCN 10- 2010" xfId="386" xr:uid="{00000000-0005-0000-0000-00000A030000}"/>
    <cellStyle name="þ_x001d_ð¤_x000c_¯þ_x0014__x000d_¨þU_x0001_À_x0004_ _x0015__x000f__x0001__x0001_" xfId="821" xr:uid="{00000000-0005-0000-0000-00000B030000}"/>
    <cellStyle name="þ_x001d_ð·_x000c_æþ'_x000a_ßþU_x0001_Ø_x0005_ü_x0014__x0007__x0001__x0001_" xfId="387" xr:uid="{00000000-0005-0000-0000-00000C030000}"/>
    <cellStyle name="þ_x001d_ð·_x000c_æþ'_x000d_ßþU_x0001_Ø_x0005_ü_x0014__x0007__x0001__x0001_" xfId="822" xr:uid="{00000000-0005-0000-0000-00000D030000}"/>
    <cellStyle name="þ_x001d_ðK_x000c_Fý_x001b__x000d_9ýU_x0001_Ð_x0008_¦)_x0007__x0001__x0001_" xfId="823" xr:uid="{00000000-0005-0000-0000-00000E030000}"/>
    <cellStyle name="Thuyet minh" xfId="824" xr:uid="{00000000-0005-0000-0000-00000F030000}"/>
    <cellStyle name="Times New Roman" xfId="825" xr:uid="{00000000-0005-0000-0000-000010030000}"/>
    <cellStyle name="Title 2" xfId="388" xr:uid="{00000000-0005-0000-0000-000011030000}"/>
    <cellStyle name="titre1" xfId="826" xr:uid="{00000000-0005-0000-0000-000012030000}"/>
    <cellStyle name="Total 2" xfId="389" xr:uid="{00000000-0005-0000-0000-000013030000}"/>
    <cellStyle name="Total 3" xfId="390" xr:uid="{00000000-0005-0000-0000-000014030000}"/>
    <cellStyle name="trang" xfId="391" xr:uid="{00000000-0005-0000-0000-000015030000}"/>
    <cellStyle name="tt1" xfId="392" xr:uid="{00000000-0005-0000-0000-000016030000}"/>
    <cellStyle name="Tusental (0)_pldt" xfId="827" xr:uid="{00000000-0005-0000-0000-000017030000}"/>
    <cellStyle name="Tusental_pldt" xfId="828" xr:uid="{00000000-0005-0000-0000-000018030000}"/>
    <cellStyle name="ux_3_¼­¿ï-¾È»ê" xfId="393" xr:uid="{00000000-0005-0000-0000-000019030000}"/>
    <cellStyle name="Valuta (0)_pldt" xfId="829" xr:uid="{00000000-0005-0000-0000-00001A030000}"/>
    <cellStyle name="Valuta_pldt" xfId="830" xr:uid="{00000000-0005-0000-0000-00001B030000}"/>
    <cellStyle name="viet" xfId="394" xr:uid="{00000000-0005-0000-0000-00001C030000}"/>
    <cellStyle name="viet 2" xfId="831" xr:uid="{00000000-0005-0000-0000-00001D030000}"/>
    <cellStyle name="viet2" xfId="395" xr:uid="{00000000-0005-0000-0000-00001E030000}"/>
    <cellStyle name="viet2 2" xfId="832" xr:uid="{00000000-0005-0000-0000-00001F030000}"/>
    <cellStyle name="viet2 3" xfId="865" xr:uid="{00000000-0005-0000-0000-000020030000}"/>
    <cellStyle name="vnbo" xfId="396" xr:uid="{00000000-0005-0000-0000-000021030000}"/>
    <cellStyle name="vnbo 2" xfId="833" xr:uid="{00000000-0005-0000-0000-000022030000}"/>
    <cellStyle name="vnbo 3" xfId="854" xr:uid="{00000000-0005-0000-0000-000023030000}"/>
    <cellStyle name="VND" xfId="397" xr:uid="{00000000-0005-0000-0000-000024030000}"/>
    <cellStyle name="vnd 2" xfId="398" xr:uid="{00000000-0005-0000-0000-000025030000}"/>
    <cellStyle name="vnhead1" xfId="48" xr:uid="{00000000-0005-0000-0000-000026030000}"/>
    <cellStyle name="vnhead1 2" xfId="834" xr:uid="{00000000-0005-0000-0000-000027030000}"/>
    <cellStyle name="vnhead1 3" xfId="866" xr:uid="{00000000-0005-0000-0000-000028030000}"/>
    <cellStyle name="vnhead2" xfId="399" xr:uid="{00000000-0005-0000-0000-000029030000}"/>
    <cellStyle name="vnhead2 2" xfId="835" xr:uid="{00000000-0005-0000-0000-00002A030000}"/>
    <cellStyle name="vnhead2 3" xfId="855" xr:uid="{00000000-0005-0000-0000-00002B030000}"/>
    <cellStyle name="vnhead3" xfId="49" xr:uid="{00000000-0005-0000-0000-00002C030000}"/>
    <cellStyle name="vnhead3 2" xfId="401" xr:uid="{00000000-0005-0000-0000-00002D030000}"/>
    <cellStyle name="vnhead3 3" xfId="400" xr:uid="{00000000-0005-0000-0000-00002E030000}"/>
    <cellStyle name="vnhead3 4" xfId="836" xr:uid="{00000000-0005-0000-0000-00002F030000}"/>
    <cellStyle name="vnhead3 5" xfId="856" xr:uid="{00000000-0005-0000-0000-000030030000}"/>
    <cellStyle name="vnhead4" xfId="402" xr:uid="{00000000-0005-0000-0000-000031030000}"/>
    <cellStyle name="vntxt1" xfId="50" xr:uid="{00000000-0005-0000-0000-000032030000}"/>
    <cellStyle name="vntxt1 2" xfId="404" xr:uid="{00000000-0005-0000-0000-000033030000}"/>
    <cellStyle name="vntxt1 3" xfId="403" xr:uid="{00000000-0005-0000-0000-000034030000}"/>
    <cellStyle name="vntxt2" xfId="405" xr:uid="{00000000-0005-0000-0000-000035030000}"/>
    <cellStyle name="vntxt2 2" xfId="406" xr:uid="{00000000-0005-0000-0000-000036030000}"/>
    <cellStyle name="Währung [0]_Compiling Utility Macros" xfId="407" xr:uid="{00000000-0005-0000-0000-000037030000}"/>
    <cellStyle name="Währung_Compiling Utility Macros" xfId="408" xr:uid="{00000000-0005-0000-0000-000038030000}"/>
    <cellStyle name="Walutowy [0]_Invoices2001Slovakia" xfId="409" xr:uid="{00000000-0005-0000-0000-000039030000}"/>
    <cellStyle name="Walutowy_Invoices2001Slovakia" xfId="410" xr:uid="{00000000-0005-0000-0000-00003A030000}"/>
    <cellStyle name="Warning Text 2" xfId="411" xr:uid="{00000000-0005-0000-0000-00003B030000}"/>
    <cellStyle name="xuan" xfId="412" xr:uid="{00000000-0005-0000-0000-00003C030000}"/>
    <cellStyle name="Ý kh¸c_B¶ng 1 (2)" xfId="413" xr:uid="{00000000-0005-0000-0000-00003D030000}"/>
    <cellStyle name=" [0.00]_ Att. 1- Cover" xfId="414" xr:uid="{00000000-0005-0000-0000-00003E030000}"/>
    <cellStyle name="_ Att. 1- Cover" xfId="415" xr:uid="{00000000-0005-0000-0000-00003F030000}"/>
    <cellStyle name="?_ Att. 1- Cover" xfId="416" xr:uid="{00000000-0005-0000-0000-000040030000}"/>
    <cellStyle name="똿뗦먛귟 [0.00]_PRODUCT DETAIL Q1" xfId="417" xr:uid="{00000000-0005-0000-0000-000041030000}"/>
    <cellStyle name="똿뗦먛귟_PRODUCT DETAIL Q1" xfId="418" xr:uid="{00000000-0005-0000-0000-000042030000}"/>
    <cellStyle name="믅됞 [0.00]_PRODUCT DETAIL Q1" xfId="419" xr:uid="{00000000-0005-0000-0000-000043030000}"/>
    <cellStyle name="믅됞_PRODUCT DETAIL Q1" xfId="420" xr:uid="{00000000-0005-0000-0000-000044030000}"/>
    <cellStyle name="백분율_95" xfId="421" xr:uid="{00000000-0005-0000-0000-000045030000}"/>
    <cellStyle name="뷭?_BOOKSHIP" xfId="422" xr:uid="{00000000-0005-0000-0000-000046030000}"/>
    <cellStyle name="안건회계법인" xfId="838" xr:uid="{00000000-0005-0000-0000-000047030000}"/>
    <cellStyle name="콤맀_Sheet1_총괄표 (수출입) (2)" xfId="839" xr:uid="{00000000-0005-0000-0000-000048030000}"/>
    <cellStyle name="콤마 [ - 유형1" xfId="423" xr:uid="{00000000-0005-0000-0000-000049030000}"/>
    <cellStyle name="콤마 [ - 유형2" xfId="424" xr:uid="{00000000-0005-0000-0000-00004A030000}"/>
    <cellStyle name="콤마 [ - 유형3" xfId="425" xr:uid="{00000000-0005-0000-0000-00004B030000}"/>
    <cellStyle name="콤마 [ - 유형4" xfId="426" xr:uid="{00000000-0005-0000-0000-00004C030000}"/>
    <cellStyle name="콤마 [ - 유형5" xfId="427" xr:uid="{00000000-0005-0000-0000-00004D030000}"/>
    <cellStyle name="콤마 [ - 유형6" xfId="428" xr:uid="{00000000-0005-0000-0000-00004E030000}"/>
    <cellStyle name="콤마 [ - 유형7" xfId="429" xr:uid="{00000000-0005-0000-0000-00004F030000}"/>
    <cellStyle name="콤마 [ - 유형8" xfId="430" xr:uid="{00000000-0005-0000-0000-000050030000}"/>
    <cellStyle name="콤마 [0]_ 비목별 월별기술 " xfId="840" xr:uid="{00000000-0005-0000-0000-000051030000}"/>
    <cellStyle name="콤마_ 비목별 월별기술 " xfId="841" xr:uid="{00000000-0005-0000-0000-000052030000}"/>
    <cellStyle name="통화 [0]_1202" xfId="431" xr:uid="{00000000-0005-0000-0000-000053030000}"/>
    <cellStyle name="통화_1202" xfId="432" xr:uid="{00000000-0005-0000-0000-000054030000}"/>
    <cellStyle name="표섀_변경(최종)" xfId="842" xr:uid="{00000000-0005-0000-0000-000055030000}"/>
    <cellStyle name="표준_(정보부문)월별인원계획" xfId="433" xr:uid="{00000000-0005-0000-0000-000056030000}"/>
    <cellStyle name="표줠_Sheet1_1_총괄표 (수출입) (2)" xfId="434" xr:uid="{00000000-0005-0000-0000-000057030000}"/>
    <cellStyle name="一般_00Q3902REV.1" xfId="435" xr:uid="{00000000-0005-0000-0000-000058030000}"/>
    <cellStyle name="千位[0]_laroux" xfId="843" xr:uid="{00000000-0005-0000-0000-000059030000}"/>
    <cellStyle name="千位_laroux" xfId="844" xr:uid="{00000000-0005-0000-0000-00005A030000}"/>
    <cellStyle name="千分位[0]_00Q3902REV.1" xfId="436" xr:uid="{00000000-0005-0000-0000-00005B030000}"/>
    <cellStyle name="千分位_00Q3902REV.1" xfId="437" xr:uid="{00000000-0005-0000-0000-00005C030000}"/>
    <cellStyle name="常规_1540_fr20V24e_All" xfId="845" xr:uid="{00000000-0005-0000-0000-00005D030000}"/>
    <cellStyle name="普通_laroux" xfId="846" xr:uid="{00000000-0005-0000-0000-00005E030000}"/>
    <cellStyle name="未定義" xfId="847" xr:uid="{00000000-0005-0000-0000-00005F030000}"/>
    <cellStyle name="桁区切り [0.00]_laroux" xfId="848" xr:uid="{00000000-0005-0000-0000-000060030000}"/>
    <cellStyle name="桁区切り_GRASH1" xfId="849" xr:uid="{00000000-0005-0000-0000-000061030000}"/>
    <cellStyle name="標準_AN NHON (3)" xfId="850" xr:uid="{00000000-0005-0000-0000-000062030000}"/>
    <cellStyle name="貨幣 [0]_00Q3902REV.1" xfId="438" xr:uid="{00000000-0005-0000-0000-000063030000}"/>
    <cellStyle name="貨幣[0]_BRE" xfId="439" xr:uid="{00000000-0005-0000-0000-000064030000}"/>
    <cellStyle name="貨幣_00Q3902REV.1" xfId="440" xr:uid="{00000000-0005-0000-0000-000065030000}"/>
    <cellStyle name="通貨 [0.00]_laroux" xfId="852" xr:uid="{00000000-0005-0000-0000-000066030000}"/>
    <cellStyle name="通貨_laroux" xfId="853" xr:uid="{00000000-0005-0000-0000-00006703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yJAgtP11ZQG6R6F1c6IUqvTCmecNgVYF\Tai%20lieu%20dung%20chung\Template\2.%20Template%20d&#7921;%20to&#225;n\Temp%201688%20&#273;i&#7873;u%20ch&#7881;nh\DT%20BCKT-KT%20(&#272;TC)%20v0.2.xlsx" TargetMode="External"/><Relationship Id="rId1" Type="http://schemas.openxmlformats.org/officeDocument/2006/relationships/externalLinkPath" Target="/.shortcut-targets-by-id/1yJAgtP11ZQG6R6F1c6IUqvTCmecNgVYF/Tai%20lieu%20dung%20chung/Template/2.%20Template%20d&#7921;%20to&#225;n/Temp%201688%20&#273;i&#7873;u%20ch&#7881;nh/DT%20BCKT-KT%20(&#272;TC)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.TONG-DU-TOAN"/>
      <sheetName val="B. CHI TIET TDT (1688 1,5)"/>
      <sheetName val="Định mức"/>
      <sheetName val="ĐC"/>
      <sheetName val="B1. CHI TIET TDT (BG)"/>
      <sheetName val="1. CP TV (BG)"/>
      <sheetName val="B2. CHI TIET TDT (CG)"/>
      <sheetName val="2.1. CP QLDA (CG)"/>
      <sheetName val="2.2. CP Khao sat (CG)"/>
      <sheetName val="2.3. CP Lap BCKTKT (CG)"/>
      <sheetName val="2.4. CP Tham BCKTKT (CG)"/>
      <sheetName val="2.5. CP Lap HSMT (CG)"/>
      <sheetName val="2.6. CP Tham HSMT (CG)"/>
      <sheetName val="2.7. CP Giam sat (CG)"/>
      <sheetName val="TĐG (tham khảo)"/>
    </sheetNames>
    <sheetDataSet>
      <sheetData sheetId="0" refreshError="1"/>
      <sheetData sheetId="1">
        <row r="35">
          <cell r="C35" t="str">
            <v>Chi phí quản lý dự án</v>
          </cell>
        </row>
        <row r="41">
          <cell r="C41" t="str">
            <v>Lập Báo cáo kinh tế - kỹ thuật</v>
          </cell>
        </row>
        <row r="44">
          <cell r="C44" t="str">
            <v>Thẩm tra Báo cáo kinh tế - kỹ thuật</v>
          </cell>
        </row>
        <row r="89">
          <cell r="C89" t="str">
            <v>Kiểm thử độc lập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0"/>
  <sheetViews>
    <sheetView workbookViewId="0"/>
  </sheetViews>
  <sheetFormatPr defaultRowHeight="14.25"/>
  <cols>
    <col min="1" max="1" width="4.625" customWidth="1"/>
    <col min="2" max="2" width="5.125" bestFit="1" customWidth="1"/>
    <col min="3" max="3" width="29.875" customWidth="1"/>
    <col min="4" max="4" width="21.875" customWidth="1"/>
    <col min="5" max="5" width="28.375" customWidth="1"/>
  </cols>
  <sheetData>
    <row r="2" spans="2:5" ht="20.25">
      <c r="B2" s="121" t="s">
        <v>24</v>
      </c>
      <c r="C2" s="121"/>
      <c r="D2" s="121"/>
      <c r="E2" s="121"/>
    </row>
    <row r="3" spans="2:5" ht="17.25">
      <c r="B3" s="122" t="s">
        <v>33</v>
      </c>
      <c r="C3" s="122"/>
      <c r="D3" s="122"/>
      <c r="E3" s="122"/>
    </row>
    <row r="4" spans="2:5" ht="18" customHeight="1">
      <c r="B4" s="8" t="s">
        <v>6</v>
      </c>
      <c r="C4" s="8" t="s">
        <v>25</v>
      </c>
      <c r="D4" s="9" t="s">
        <v>26</v>
      </c>
      <c r="E4" s="3" t="s">
        <v>0</v>
      </c>
    </row>
    <row r="5" spans="2:5" ht="15.75">
      <c r="B5" s="5" t="s">
        <v>1</v>
      </c>
      <c r="C5" s="6" t="s">
        <v>52</v>
      </c>
      <c r="D5" s="10">
        <f>'B. CHI TIET TDT '!I7</f>
        <v>9625361872</v>
      </c>
      <c r="E5" s="1"/>
    </row>
    <row r="6" spans="2:5" ht="15.75">
      <c r="B6" s="5" t="s">
        <v>2</v>
      </c>
      <c r="C6" s="6" t="s">
        <v>20</v>
      </c>
      <c r="D6" s="10">
        <f>'B. CHI TIET TDT '!I15</f>
        <v>270900000</v>
      </c>
      <c r="E6" s="1"/>
    </row>
    <row r="7" spans="2:5" ht="15.75">
      <c r="B7" s="5" t="s">
        <v>3</v>
      </c>
      <c r="C7" s="6" t="s">
        <v>53</v>
      </c>
      <c r="D7" s="10">
        <f>'B. CHI TIET TDT '!I16</f>
        <v>566900000</v>
      </c>
      <c r="E7" s="1"/>
    </row>
    <row r="8" spans="2:5" ht="15.75">
      <c r="B8" s="5" t="s">
        <v>4</v>
      </c>
      <c r="C8" s="6" t="s">
        <v>27</v>
      </c>
      <c r="D8" s="10">
        <f>'B. CHI TIET TDT '!I23</f>
        <v>498662957</v>
      </c>
      <c r="E8" s="1"/>
    </row>
    <row r="9" spans="2:5" ht="15.75">
      <c r="B9" s="5" t="s">
        <v>5</v>
      </c>
      <c r="C9" s="6" t="s">
        <v>22</v>
      </c>
      <c r="D9" s="10">
        <f>'B. CHI TIET TDT '!I26</f>
        <v>538175170.99999976</v>
      </c>
      <c r="E9" s="2"/>
    </row>
    <row r="10" spans="2:5" ht="15.75">
      <c r="B10" s="7"/>
      <c r="C10" s="4" t="s">
        <v>23</v>
      </c>
      <c r="D10" s="11">
        <f>SUBTOTAL(9,D5:D9)</f>
        <v>11500000000</v>
      </c>
      <c r="E10" s="1"/>
    </row>
  </sheetData>
  <mergeCells count="2">
    <mergeCell ref="B2:E2"/>
    <mergeCell ref="B3:E3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F454-CE7D-4CDE-A934-2A80D89DD4B8}">
  <dimension ref="B1:K35"/>
  <sheetViews>
    <sheetView tabSelected="1" topLeftCell="A9" zoomScale="85" zoomScaleNormal="85" workbookViewId="0">
      <selection activeCell="F16" sqref="F16"/>
    </sheetView>
  </sheetViews>
  <sheetFormatPr defaultColWidth="9.125" defaultRowHeight="15.75" outlineLevelRow="4"/>
  <cols>
    <col min="1" max="1" width="3.375" style="14" customWidth="1"/>
    <col min="2" max="2" width="6.375" style="14" bestFit="1" customWidth="1"/>
    <col min="3" max="3" width="43.375" style="14" customWidth="1"/>
    <col min="4" max="4" width="13.625" style="89" customWidth="1"/>
    <col min="5" max="5" width="20.375" style="14" customWidth="1"/>
    <col min="6" max="6" width="27.25" style="14" customWidth="1"/>
    <col min="7" max="7" width="16.625" style="90" bestFit="1" customWidth="1"/>
    <col min="8" max="8" width="22.75" style="90" bestFit="1" customWidth="1"/>
    <col min="9" max="9" width="15.5" style="90" bestFit="1" customWidth="1"/>
    <col min="10" max="10" width="50.625" style="14" customWidth="1"/>
    <col min="11" max="11" width="6.75" style="14" customWidth="1"/>
    <col min="12" max="16384" width="9.125" style="14"/>
  </cols>
  <sheetData>
    <row r="1" spans="2:11">
      <c r="B1" s="119" t="s">
        <v>41</v>
      </c>
      <c r="C1" s="119"/>
      <c r="D1" s="119"/>
      <c r="E1" s="119"/>
      <c r="F1" s="119"/>
      <c r="G1" s="119"/>
      <c r="H1" s="119"/>
      <c r="I1" s="119"/>
      <c r="J1" s="119"/>
      <c r="K1" s="17"/>
    </row>
    <row r="2" spans="2:11">
      <c r="B2" s="120" t="s">
        <v>33</v>
      </c>
      <c r="C2" s="120"/>
      <c r="D2" s="120"/>
      <c r="E2" s="120"/>
      <c r="F2" s="120"/>
      <c r="G2" s="120"/>
      <c r="H2" s="120"/>
      <c r="I2" s="120"/>
      <c r="J2" s="120"/>
      <c r="K2" s="19"/>
    </row>
    <row r="3" spans="2:11">
      <c r="B3" s="19"/>
      <c r="C3" s="19"/>
      <c r="D3" s="20"/>
      <c r="E3" s="19"/>
      <c r="F3" s="19"/>
      <c r="G3" s="21"/>
      <c r="H3" s="21"/>
      <c r="I3" s="21"/>
      <c r="J3" s="19"/>
      <c r="K3" s="19"/>
    </row>
    <row r="4" spans="2:11">
      <c r="B4" s="22"/>
      <c r="C4" s="22"/>
      <c r="D4" s="23"/>
      <c r="E4" s="22"/>
      <c r="F4" s="22"/>
      <c r="G4" s="24"/>
      <c r="H4" s="24"/>
      <c r="I4" s="24"/>
      <c r="J4" s="22"/>
      <c r="K4" s="19"/>
    </row>
    <row r="5" spans="2:11">
      <c r="B5" s="25" t="s">
        <v>6</v>
      </c>
      <c r="C5" s="25" t="s">
        <v>25</v>
      </c>
      <c r="D5" s="26" t="s">
        <v>48</v>
      </c>
      <c r="E5" s="25" t="s">
        <v>45</v>
      </c>
      <c r="F5" s="25" t="s">
        <v>30</v>
      </c>
      <c r="G5" s="27" t="s">
        <v>8</v>
      </c>
      <c r="H5" s="27" t="s">
        <v>9</v>
      </c>
      <c r="I5" s="27" t="s">
        <v>10</v>
      </c>
      <c r="J5" s="25" t="s">
        <v>11</v>
      </c>
      <c r="K5" s="19"/>
    </row>
    <row r="6" spans="2:11">
      <c r="B6" s="28" t="s">
        <v>12</v>
      </c>
      <c r="C6" s="28" t="s">
        <v>13</v>
      </c>
      <c r="D6" s="29" t="s">
        <v>14</v>
      </c>
      <c r="E6" s="30"/>
      <c r="F6" s="30"/>
      <c r="G6" s="31" t="s">
        <v>15</v>
      </c>
      <c r="H6" s="31" t="s">
        <v>16</v>
      </c>
      <c r="I6" s="31" t="s">
        <v>17</v>
      </c>
      <c r="J6" s="28" t="s">
        <v>18</v>
      </c>
      <c r="K6" s="19"/>
    </row>
    <row r="7" spans="2:11" ht="17.25">
      <c r="B7" s="32" t="s">
        <v>1</v>
      </c>
      <c r="C7" s="33" t="s">
        <v>52</v>
      </c>
      <c r="D7" s="34"/>
      <c r="E7" s="35"/>
      <c r="F7" s="34" t="s">
        <v>36</v>
      </c>
      <c r="G7" s="36">
        <f>SUBTOTAL(9,G8:G14)</f>
        <v>9545364696</v>
      </c>
      <c r="H7" s="36">
        <f>SUBTOTAL(9,H8:H14)</f>
        <v>79997176</v>
      </c>
      <c r="I7" s="36">
        <f>SUBTOTAL(9,I8:I14)</f>
        <v>9625361872</v>
      </c>
      <c r="J7" s="37"/>
      <c r="K7" s="38"/>
    </row>
    <row r="8" spans="2:11" s="15" customFormat="1" ht="17.25" outlineLevel="1">
      <c r="B8" s="39">
        <v>2</v>
      </c>
      <c r="C8" s="49" t="s">
        <v>7</v>
      </c>
      <c r="D8" s="50"/>
      <c r="E8" s="51"/>
      <c r="F8" s="50" t="s">
        <v>37</v>
      </c>
      <c r="G8" s="41">
        <f>SUBTOTAL(9,G9:G14)</f>
        <v>9545364696</v>
      </c>
      <c r="H8" s="41">
        <f>SUBTOTAL(9,H9:H14)</f>
        <v>79997176</v>
      </c>
      <c r="I8" s="41">
        <f>SUBTOTAL(9,I9:I14)</f>
        <v>9625361872</v>
      </c>
      <c r="J8" s="18"/>
    </row>
    <row r="9" spans="2:11" s="15" customFormat="1" ht="78.75" customHeight="1" outlineLevel="3">
      <c r="B9" s="47" t="s">
        <v>28</v>
      </c>
      <c r="C9" s="52" t="s">
        <v>46</v>
      </c>
      <c r="D9" s="50"/>
      <c r="E9" s="51"/>
      <c r="F9" s="50" t="s">
        <v>57</v>
      </c>
      <c r="G9" s="53">
        <f>SUBTOTAL(9,G10:G10)</f>
        <v>8530950000</v>
      </c>
      <c r="H9" s="53">
        <f>SUBTOTAL(9,H10:H10)</f>
        <v>0</v>
      </c>
      <c r="I9" s="53">
        <f>SUBTOTAL(9,I10:I10)</f>
        <v>8530950000</v>
      </c>
      <c r="J9" s="116" t="s">
        <v>78</v>
      </c>
    </row>
    <row r="10" spans="2:11" s="15" customFormat="1" ht="31.5" outlineLevel="4">
      <c r="B10" s="54"/>
      <c r="C10" s="52" t="s">
        <v>77</v>
      </c>
      <c r="D10" s="50"/>
      <c r="E10" s="51"/>
      <c r="F10" s="51"/>
      <c r="G10" s="46">
        <f>'1. CP TV (BG)'!F16</f>
        <v>8530950000</v>
      </c>
      <c r="H10" s="46">
        <v>0</v>
      </c>
      <c r="I10" s="46">
        <f>SUM(G10:H10)</f>
        <v>8530950000</v>
      </c>
      <c r="J10" s="117"/>
    </row>
    <row r="11" spans="2:11" s="15" customFormat="1" outlineLevel="3">
      <c r="B11" s="47" t="s">
        <v>29</v>
      </c>
      <c r="C11" s="42" t="s">
        <v>44</v>
      </c>
      <c r="D11" s="50"/>
      <c r="E11" s="51"/>
      <c r="F11" s="51"/>
      <c r="G11" s="44">
        <f>SUBTOTAL(9,G12:G12)</f>
        <v>999964696</v>
      </c>
      <c r="H11" s="44">
        <f>SUBTOTAL(9,H12:H12)</f>
        <v>79997176</v>
      </c>
      <c r="I11" s="44">
        <f>SUBTOTAL(9,I12:I12)</f>
        <v>1079961872</v>
      </c>
      <c r="J11" s="117"/>
      <c r="K11" s="14"/>
    </row>
    <row r="12" spans="2:11" s="15" customFormat="1" outlineLevel="4">
      <c r="B12" s="47"/>
      <c r="C12" s="16" t="s">
        <v>63</v>
      </c>
      <c r="D12" s="55"/>
      <c r="E12" s="56"/>
      <c r="F12" s="56"/>
      <c r="G12" s="46">
        <f>ROUND('1. CP TV (BG)'!F17/1.08,0)</f>
        <v>999964696</v>
      </c>
      <c r="H12" s="46">
        <f>ROUND(G12*8%,)</f>
        <v>79997176</v>
      </c>
      <c r="I12" s="46">
        <f>SUM(G12:H12)</f>
        <v>1079961872</v>
      </c>
      <c r="J12" s="117"/>
    </row>
    <row r="13" spans="2:11" s="15" customFormat="1" ht="31.5" outlineLevel="3">
      <c r="B13" s="47" t="s">
        <v>32</v>
      </c>
      <c r="C13" s="42" t="s">
        <v>34</v>
      </c>
      <c r="D13" s="50"/>
      <c r="E13" s="51"/>
      <c r="F13" s="40" t="s">
        <v>58</v>
      </c>
      <c r="G13" s="44">
        <f>SUBTOTAL(9,G14:G14)</f>
        <v>14450000</v>
      </c>
      <c r="H13" s="44">
        <f>SUBTOTAL(9,H14:H14)</f>
        <v>0</v>
      </c>
      <c r="I13" s="44">
        <f>SUBTOTAL(9,I14:I14)</f>
        <v>14450000</v>
      </c>
      <c r="J13" s="117"/>
      <c r="K13" s="14"/>
    </row>
    <row r="14" spans="2:11" s="15" customFormat="1" outlineLevel="4">
      <c r="B14" s="45"/>
      <c r="C14" s="16" t="s">
        <v>42</v>
      </c>
      <c r="D14" s="55"/>
      <c r="E14" s="56"/>
      <c r="F14" s="56"/>
      <c r="G14" s="46">
        <f>'1. CP TV (BG)'!F18</f>
        <v>14450000</v>
      </c>
      <c r="H14" s="46">
        <v>0</v>
      </c>
      <c r="I14" s="46">
        <f>SUM(G14:H14)</f>
        <v>14450000</v>
      </c>
      <c r="J14" s="118"/>
    </row>
    <row r="15" spans="2:11" ht="78.75">
      <c r="B15" s="32" t="s">
        <v>2</v>
      </c>
      <c r="C15" s="33" t="s">
        <v>20</v>
      </c>
      <c r="D15" s="34"/>
      <c r="E15" s="57"/>
      <c r="F15" s="34" t="s">
        <v>38</v>
      </c>
      <c r="G15" s="36">
        <f>ROUND('1. CP TV (BG)'!E3/1.08,0)</f>
        <v>250833333</v>
      </c>
      <c r="H15" s="36">
        <f>ROUND(G15*8%,0)</f>
        <v>20066667</v>
      </c>
      <c r="I15" s="36">
        <f>SUM(G15:H15)</f>
        <v>270900000</v>
      </c>
      <c r="J15" s="33" t="s">
        <v>78</v>
      </c>
      <c r="K15" s="58"/>
    </row>
    <row r="16" spans="2:11" ht="78.75">
      <c r="B16" s="32" t="s">
        <v>3</v>
      </c>
      <c r="C16" s="33" t="s">
        <v>21</v>
      </c>
      <c r="D16" s="34"/>
      <c r="E16" s="35"/>
      <c r="F16" s="34" t="s">
        <v>39</v>
      </c>
      <c r="G16" s="59">
        <f>SUBTOTAL(9,G17:G22)</f>
        <v>524907407</v>
      </c>
      <c r="H16" s="59">
        <f>SUBTOTAL(9,H17:H22)</f>
        <v>41992593</v>
      </c>
      <c r="I16" s="59">
        <f>SUBTOTAL(9,I17:I22)</f>
        <v>566900000</v>
      </c>
      <c r="J16" s="83" t="s">
        <v>78</v>
      </c>
      <c r="K16" s="58"/>
    </row>
    <row r="17" spans="2:11" ht="18.75" outlineLevel="1">
      <c r="B17" s="60">
        <v>1</v>
      </c>
      <c r="C17" s="61" t="s">
        <v>71</v>
      </c>
      <c r="D17" s="40"/>
      <c r="E17" s="62"/>
      <c r="F17" s="62" t="s">
        <v>59</v>
      </c>
      <c r="G17" s="63">
        <f>ROUND('1. CP TV (BG)'!E4/1.08,0)</f>
        <v>503981481</v>
      </c>
      <c r="H17" s="63">
        <f>ROUNDUP(G17*8%,0)</f>
        <v>40318519</v>
      </c>
      <c r="I17" s="63">
        <f>SUM(G17:H17)</f>
        <v>544300000</v>
      </c>
      <c r="J17" s="42"/>
      <c r="K17" s="42"/>
    </row>
    <row r="18" spans="2:11" ht="18.75" outlineLevel="1">
      <c r="B18" s="60">
        <v>2</v>
      </c>
      <c r="C18" s="61" t="s">
        <v>35</v>
      </c>
      <c r="D18" s="40"/>
      <c r="E18" s="62"/>
      <c r="F18" s="62" t="s">
        <v>60</v>
      </c>
      <c r="G18" s="63">
        <f>ROUND('1. CP TV (BG)'!E5/1.08,0)</f>
        <v>20925926</v>
      </c>
      <c r="H18" s="63">
        <f>ROUND(G18*8%,0)</f>
        <v>1674074</v>
      </c>
      <c r="I18" s="63">
        <f>SUM(G18:H18)</f>
        <v>22600000</v>
      </c>
      <c r="J18" s="42"/>
      <c r="K18" s="42"/>
    </row>
    <row r="19" spans="2:11" hidden="1" outlineLevel="1">
      <c r="B19" s="60"/>
      <c r="C19" s="61"/>
      <c r="D19" s="40"/>
      <c r="E19" s="64"/>
      <c r="F19" s="62"/>
      <c r="G19" s="63"/>
      <c r="H19" s="63"/>
      <c r="I19" s="63"/>
      <c r="J19" s="42"/>
      <c r="K19" s="42"/>
    </row>
    <row r="20" spans="2:11" hidden="1" outlineLevel="2">
      <c r="B20" s="60"/>
      <c r="C20" s="65"/>
      <c r="D20" s="40"/>
      <c r="E20" s="66"/>
      <c r="F20" s="60"/>
      <c r="G20" s="63"/>
      <c r="H20" s="63"/>
      <c r="I20" s="63"/>
      <c r="J20" s="67"/>
      <c r="K20" s="67"/>
    </row>
    <row r="21" spans="2:11" hidden="1" outlineLevel="1" collapsed="1">
      <c r="B21" s="60"/>
      <c r="C21" s="61"/>
      <c r="D21" s="40"/>
      <c r="E21" s="68"/>
      <c r="F21" s="69"/>
      <c r="G21" s="63"/>
      <c r="H21" s="63"/>
      <c r="I21" s="63"/>
      <c r="J21" s="42"/>
      <c r="K21" s="42"/>
    </row>
    <row r="22" spans="2:11" hidden="1" outlineLevel="2">
      <c r="B22" s="60" t="s">
        <v>56</v>
      </c>
      <c r="C22" s="65" t="s">
        <v>55</v>
      </c>
      <c r="D22" s="40"/>
      <c r="E22" s="70"/>
      <c r="F22" s="71"/>
      <c r="G22" s="63"/>
      <c r="H22" s="63">
        <f>ROUND(G22*8%,0)</f>
        <v>0</v>
      </c>
      <c r="I22" s="63">
        <f>SUM(G22:H22)</f>
        <v>0</v>
      </c>
      <c r="J22" s="43"/>
      <c r="K22" s="43"/>
    </row>
    <row r="23" spans="2:11" ht="17.25">
      <c r="B23" s="32" t="s">
        <v>4</v>
      </c>
      <c r="C23" s="33" t="s">
        <v>27</v>
      </c>
      <c r="D23" s="34"/>
      <c r="E23" s="35"/>
      <c r="F23" s="34" t="s">
        <v>40</v>
      </c>
      <c r="G23" s="36">
        <f>SUBTOTAL(9,G24:G25)</f>
        <v>493317553</v>
      </c>
      <c r="H23" s="36">
        <f>SUBTOTAL(9,H24:H25)</f>
        <v>5345404</v>
      </c>
      <c r="I23" s="36">
        <f>SUBTOTAL(9,I24:I25)</f>
        <v>498662957</v>
      </c>
      <c r="J23" s="72"/>
      <c r="K23" s="73"/>
    </row>
    <row r="24" spans="2:11" ht="78.75" outlineLevel="1">
      <c r="B24" s="69">
        <v>1</v>
      </c>
      <c r="C24" s="74" t="s">
        <v>43</v>
      </c>
      <c r="D24" s="48">
        <v>7.0000000000000001E-3</v>
      </c>
      <c r="E24" s="75">
        <f>G7</f>
        <v>9545364696</v>
      </c>
      <c r="F24" s="62"/>
      <c r="G24" s="63">
        <f>ROUND(D24*E24,0)</f>
        <v>66817553</v>
      </c>
      <c r="H24" s="63">
        <f>ROUND(G24*8%,0)</f>
        <v>5345404</v>
      </c>
      <c r="I24" s="76">
        <f>SUM(G24:H24)</f>
        <v>72162957</v>
      </c>
      <c r="J24" s="42" t="s">
        <v>78</v>
      </c>
      <c r="K24" s="42"/>
    </row>
    <row r="25" spans="2:11" ht="78.75" outlineLevel="1">
      <c r="B25" s="69">
        <v>2</v>
      </c>
      <c r="C25" s="74" t="s">
        <v>47</v>
      </c>
      <c r="D25" s="48"/>
      <c r="E25" s="62"/>
      <c r="F25" s="62" t="s">
        <v>61</v>
      </c>
      <c r="G25" s="77">
        <f>'1. CP TV (BG)'!E6</f>
        <v>426500000</v>
      </c>
      <c r="H25" s="77">
        <f>ROUND(G25*0,0)</f>
        <v>0</v>
      </c>
      <c r="I25" s="77">
        <f>SUM(G25:H25)</f>
        <v>426500000</v>
      </c>
      <c r="J25" s="42" t="s">
        <v>78</v>
      </c>
      <c r="K25" s="42"/>
    </row>
    <row r="26" spans="2:11" ht="47.25">
      <c r="B26" s="32" t="s">
        <v>5</v>
      </c>
      <c r="C26" s="79" t="s">
        <v>31</v>
      </c>
      <c r="D26" s="34">
        <f>I31</f>
        <v>4.9095399661581274E-2</v>
      </c>
      <c r="E26" s="80">
        <f>I30</f>
        <v>10961824829</v>
      </c>
      <c r="F26" s="81" t="s">
        <v>62</v>
      </c>
      <c r="G26" s="82">
        <f>D26*E26</f>
        <v>538175170.99999976</v>
      </c>
      <c r="H26" s="83">
        <f>G26*0</f>
        <v>0</v>
      </c>
      <c r="I26" s="82">
        <f>SUM(G26:H26)</f>
        <v>538175170.99999976</v>
      </c>
      <c r="J26" s="83" t="s">
        <v>79</v>
      </c>
      <c r="K26" s="84"/>
    </row>
    <row r="27" spans="2:11" ht="17.25">
      <c r="B27" s="25"/>
      <c r="C27" s="85" t="s">
        <v>19</v>
      </c>
      <c r="D27" s="26"/>
      <c r="E27" s="86"/>
      <c r="F27" s="26" t="s">
        <v>54</v>
      </c>
      <c r="G27" s="87">
        <f>SUBTOTAL(9,G7:G26)</f>
        <v>11352598160</v>
      </c>
      <c r="H27" s="87">
        <f>ROUND(SUBTOTAL(9,H7:H26),0)</f>
        <v>147401840</v>
      </c>
      <c r="I27" s="87">
        <f>SUBTOTAL(9,I7:I26)</f>
        <v>11500000000</v>
      </c>
      <c r="J27" s="85"/>
      <c r="K27" s="88"/>
    </row>
    <row r="28" spans="2:11">
      <c r="C28" s="78"/>
    </row>
    <row r="29" spans="2:11">
      <c r="H29" s="13" t="s">
        <v>49</v>
      </c>
      <c r="I29" s="91">
        <v>11500000000</v>
      </c>
      <c r="J29" s="92" t="s">
        <v>50</v>
      </c>
      <c r="K29" s="92"/>
    </row>
    <row r="30" spans="2:11">
      <c r="H30" s="12" t="s">
        <v>51</v>
      </c>
      <c r="I30" s="90">
        <f>I7+I15+I16+I23</f>
        <v>10961824829</v>
      </c>
    </row>
    <row r="31" spans="2:11">
      <c r="H31" s="12" t="s">
        <v>64</v>
      </c>
      <c r="I31" s="97">
        <f>(I29/I30)-1</f>
        <v>4.9095399661581274E-2</v>
      </c>
      <c r="J31" s="93"/>
      <c r="K31" s="94"/>
    </row>
    <row r="32" spans="2:11">
      <c r="J32" s="95"/>
      <c r="K32" s="95"/>
    </row>
    <row r="34" spans="9:9">
      <c r="I34" s="90">
        <f>I23+I16+I15</f>
        <v>1336462957</v>
      </c>
    </row>
    <row r="35" spans="9:9">
      <c r="I35" s="96">
        <f>I34/I27</f>
        <v>0.11621417017391304</v>
      </c>
    </row>
  </sheetData>
  <mergeCells count="3">
    <mergeCell ref="J9:J14"/>
    <mergeCell ref="B1:J1"/>
    <mergeCell ref="B2:J2"/>
  </mergeCells>
  <pageMargins left="0.59055118110236227" right="0.39370078740157483" top="0.59055118110236227" bottom="0.59055118110236227" header="0.39370078740157483" footer="0.3937007874015748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EA53-C6CD-46E2-99FA-F197255F4A91}">
  <dimension ref="A1:F18"/>
  <sheetViews>
    <sheetView zoomScale="115" zoomScaleNormal="115" workbookViewId="0">
      <selection activeCell="E17" sqref="E17"/>
    </sheetView>
  </sheetViews>
  <sheetFormatPr defaultColWidth="9.125" defaultRowHeight="15" outlineLevelRow="1"/>
  <cols>
    <col min="1" max="1" width="6.25" style="99" customWidth="1"/>
    <col min="2" max="2" width="38.375" style="99" customWidth="1"/>
    <col min="3" max="4" width="19.625" style="99" customWidth="1"/>
    <col min="5" max="5" width="29" style="99" customWidth="1"/>
    <col min="6" max="6" width="16" style="99" customWidth="1"/>
    <col min="7" max="16384" width="9.125" style="99"/>
  </cols>
  <sheetData>
    <row r="1" spans="1:6">
      <c r="A1" s="123" t="s">
        <v>6</v>
      </c>
      <c r="B1" s="123" t="s">
        <v>25</v>
      </c>
      <c r="C1" s="125" t="s">
        <v>65</v>
      </c>
      <c r="D1" s="125"/>
      <c r="E1" s="124" t="s">
        <v>66</v>
      </c>
    </row>
    <row r="2" spans="1:6" ht="15.75">
      <c r="A2" s="123"/>
      <c r="B2" s="123"/>
      <c r="C2" s="100" t="s">
        <v>67</v>
      </c>
      <c r="D2" s="98" t="s">
        <v>68</v>
      </c>
      <c r="E2" s="124"/>
    </row>
    <row r="3" spans="1:6" ht="15.75">
      <c r="A3" s="101">
        <v>1</v>
      </c>
      <c r="B3" s="102" t="str">
        <f>'[1]B. CHI TIET TDT (1688 1,5)'!C35</f>
        <v>Chi phí quản lý dự án</v>
      </c>
      <c r="C3" s="104">
        <v>271600000</v>
      </c>
      <c r="D3" s="103">
        <v>270900000</v>
      </c>
      <c r="E3" s="105">
        <f>ROUND(MIN(C3:D3),0)</f>
        <v>270900000</v>
      </c>
    </row>
    <row r="4" spans="1:6" ht="15.75" outlineLevel="1">
      <c r="A4" s="106">
        <v>2</v>
      </c>
      <c r="B4" s="115" t="str">
        <f>'[1]B. CHI TIET TDT (1688 1,5)'!C41</f>
        <v>Lập Báo cáo kinh tế - kỹ thuật</v>
      </c>
      <c r="C4" s="103">
        <v>544300000</v>
      </c>
      <c r="D4" s="104">
        <v>550000000</v>
      </c>
      <c r="E4" s="105">
        <f>ROUND(MIN(C4:D4),0)</f>
        <v>544300000</v>
      </c>
    </row>
    <row r="5" spans="1:6" ht="15.75">
      <c r="A5" s="106">
        <v>3</v>
      </c>
      <c r="B5" s="108" t="str">
        <f>'[1]B. CHI TIET TDT (1688 1,5)'!C44</f>
        <v>Thẩm tra Báo cáo kinh tế - kỹ thuật</v>
      </c>
      <c r="C5" s="104">
        <v>23400000</v>
      </c>
      <c r="D5" s="103">
        <v>22600000</v>
      </c>
      <c r="E5" s="105">
        <f>ROUND(MIN(C5:D5),0)</f>
        <v>22600000</v>
      </c>
    </row>
    <row r="6" spans="1:6" ht="15.75">
      <c r="A6" s="106">
        <v>4</v>
      </c>
      <c r="B6" s="108" t="str">
        <f>'[1]B. CHI TIET TDT (1688 1,5)'!C89</f>
        <v>Kiểm thử độc lập</v>
      </c>
      <c r="C6" s="103">
        <v>426500000</v>
      </c>
      <c r="D6" s="104">
        <v>430000000</v>
      </c>
      <c r="E6" s="105">
        <f>ROUND(MIN(C6:D6),0)</f>
        <v>426500000</v>
      </c>
    </row>
    <row r="7" spans="1:6" ht="15.75">
      <c r="A7" s="106"/>
      <c r="B7" s="109" t="s">
        <v>23</v>
      </c>
      <c r="C7" s="110">
        <f>SUBTOTAL(9,C3:C6)</f>
        <v>1265800000</v>
      </c>
      <c r="D7" s="110">
        <f>SUBTOTAL(9,D3:D6)</f>
        <v>1273500000</v>
      </c>
      <c r="E7" s="110">
        <f>SUBTOTAL(9,E3:E6)</f>
        <v>1264300000</v>
      </c>
    </row>
    <row r="8" spans="1:6" ht="15.75">
      <c r="C8" s="111"/>
      <c r="D8" s="111"/>
      <c r="E8" s="112"/>
    </row>
    <row r="9" spans="1:6">
      <c r="A9" s="113" t="s">
        <v>70</v>
      </c>
    </row>
    <row r="10" spans="1:6">
      <c r="B10" s="114" t="s">
        <v>72</v>
      </c>
    </row>
    <row r="11" spans="1:6" ht="17.25" customHeight="1">
      <c r="B11" s="114" t="s">
        <v>73</v>
      </c>
    </row>
    <row r="14" spans="1:6">
      <c r="A14" s="123" t="s">
        <v>6</v>
      </c>
      <c r="B14" s="123" t="s">
        <v>25</v>
      </c>
      <c r="C14" s="126" t="s">
        <v>65</v>
      </c>
      <c r="D14" s="127"/>
      <c r="E14" s="128"/>
      <c r="F14" s="124" t="s">
        <v>66</v>
      </c>
    </row>
    <row r="15" spans="1:6" ht="15.75">
      <c r="A15" s="123"/>
      <c r="B15" s="123"/>
      <c r="C15" s="100" t="s">
        <v>67</v>
      </c>
      <c r="D15" s="98" t="s">
        <v>68</v>
      </c>
      <c r="E15" s="98" t="s">
        <v>69</v>
      </c>
      <c r="F15" s="124"/>
    </row>
    <row r="16" spans="1:6" ht="15.75">
      <c r="A16" s="101">
        <v>1</v>
      </c>
      <c r="B16" s="102" t="s">
        <v>74</v>
      </c>
      <c r="C16" s="107">
        <v>8630500000</v>
      </c>
      <c r="D16" s="107">
        <v>8550950000</v>
      </c>
      <c r="E16" s="107">
        <v>8530950000</v>
      </c>
      <c r="F16" s="105">
        <f>MIN(C16:E16)</f>
        <v>8530950000</v>
      </c>
    </row>
    <row r="17" spans="1:6" ht="15.75">
      <c r="A17" s="101">
        <v>2</v>
      </c>
      <c r="B17" s="102" t="s">
        <v>75</v>
      </c>
      <c r="C17" s="107">
        <v>1179961872</v>
      </c>
      <c r="D17" s="107">
        <v>1089961872</v>
      </c>
      <c r="E17" s="107">
        <v>1079961872</v>
      </c>
      <c r="F17" s="105">
        <f>MIN(C17:E17)</f>
        <v>1079961872</v>
      </c>
    </row>
    <row r="18" spans="1:6" ht="15.75">
      <c r="A18" s="101">
        <v>3</v>
      </c>
      <c r="B18" s="102" t="s">
        <v>76</v>
      </c>
      <c r="C18" s="107">
        <v>85450000</v>
      </c>
      <c r="D18" s="107">
        <v>50450000</v>
      </c>
      <c r="E18" s="107">
        <v>14450000</v>
      </c>
      <c r="F18" s="105">
        <f>MIN(C18:E18)</f>
        <v>14450000</v>
      </c>
    </row>
  </sheetData>
  <mergeCells count="8">
    <mergeCell ref="A14:A15"/>
    <mergeCell ref="B14:B15"/>
    <mergeCell ref="F14:F15"/>
    <mergeCell ref="A1:A2"/>
    <mergeCell ref="B1:B2"/>
    <mergeCell ref="C1:D1"/>
    <mergeCell ref="E1:E2"/>
    <mergeCell ref="C14:E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A.TONG-DU-TOAN</vt:lpstr>
      <vt:lpstr>B. CHI TIET TDT </vt:lpstr>
      <vt:lpstr>1. CP TV (BG)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TAITH</dc:creator>
  <cp:lastModifiedBy>admin</cp:lastModifiedBy>
  <cp:lastPrinted>2017-10-05T03:27:17Z</cp:lastPrinted>
  <dcterms:created xsi:type="dcterms:W3CDTF">2012-02-14T03:32:59Z</dcterms:created>
  <dcterms:modified xsi:type="dcterms:W3CDTF">2026-07-21T08:59:23Z</dcterms:modified>
</cp:coreProperties>
</file>
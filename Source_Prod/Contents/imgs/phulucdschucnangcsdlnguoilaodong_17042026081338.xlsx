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updateLinks="never"/>
  <xr:revisionPtr revIDLastSave="0" documentId="8_{7FD7A897-465E-413F-BAFC-A6B828D2AC04}" xr6:coauthVersionLast="47" xr6:coauthVersionMax="47" xr10:uidLastSave="{00000000-0000-0000-0000-000000000000}"/>
  <bookViews>
    <workbookView xWindow="-120" yWindow="-120" windowWidth="20730" windowHeight="11160" tabRatio="819" firstSheet="4" activeTab="4" xr2:uid="{00000000-000D-0000-FFFF-FFFF00000000}"/>
  </bookViews>
  <sheets>
    <sheet name="Khối lượng tài liệu" sheetId="25" state="hidden" r:id="rId1"/>
    <sheet name="TDT" sheetId="33" state="hidden" r:id="rId2"/>
    <sheet name="Ty le tv" sheetId="42" state="hidden" r:id="rId3"/>
    <sheet name="CP Kiểm thử" sheetId="59" state="hidden" r:id="rId4"/>
    <sheet name="UC Detail" sheetId="68" r:id="rId5"/>
    <sheet name="CPSH" sheetId="52" state="hidden" r:id="rId6"/>
    <sheet name="Khối lượng dự toán" sheetId="61" state="hidden" r:id="rId7"/>
    <sheet name="Báo cáo khảo sát" sheetId="62" state="hidden" r:id="rId8"/>
    <sheet name="Hạ tầng" sheetId="60" state="hidden" r:id="rId9"/>
    <sheet name="Ty le tv (so hoa)" sheetId="9" state="hidden"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0" localSheetId="7">'[1]PNT-QUOT-#3'!#REF!</definedName>
    <definedName name="\0" localSheetId="6">'[1]PNT-QUOT-#3'!#REF!</definedName>
    <definedName name="\0">'[1]PNT-QUOT-#3'!#REF!</definedName>
    <definedName name="\d" localSheetId="7">#REF!</definedName>
    <definedName name="\d" localSheetId="6">#REF!</definedName>
    <definedName name="\d">#REF!</definedName>
    <definedName name="\e" localSheetId="7">#REF!</definedName>
    <definedName name="\e" localSheetId="6">#REF!</definedName>
    <definedName name="\e">#REF!</definedName>
    <definedName name="\f" localSheetId="7">#REF!</definedName>
    <definedName name="\f" localSheetId="6">#REF!</definedName>
    <definedName name="\f">#REF!</definedName>
    <definedName name="\g" localSheetId="7">#REF!</definedName>
    <definedName name="\g" localSheetId="6">#REF!</definedName>
    <definedName name="\g">#REF!</definedName>
    <definedName name="\h" localSheetId="7">#REF!</definedName>
    <definedName name="\h" localSheetId="6">#REF!</definedName>
    <definedName name="\h">#REF!</definedName>
    <definedName name="\i" localSheetId="7">#REF!</definedName>
    <definedName name="\i" localSheetId="6">#REF!</definedName>
    <definedName name="\i">#REF!</definedName>
    <definedName name="\j" localSheetId="7">#REF!</definedName>
    <definedName name="\j" localSheetId="6">#REF!</definedName>
    <definedName name="\j">#REF!</definedName>
    <definedName name="\k" localSheetId="7">#REF!</definedName>
    <definedName name="\k" localSheetId="6">#REF!</definedName>
    <definedName name="\k">#REF!</definedName>
    <definedName name="\l" localSheetId="7">#REF!</definedName>
    <definedName name="\l" localSheetId="6">#REF!</definedName>
    <definedName name="\l">#REF!</definedName>
    <definedName name="\m" localSheetId="7">#REF!</definedName>
    <definedName name="\m" localSheetId="6">#REF!</definedName>
    <definedName name="\m">#REF!</definedName>
    <definedName name="\n" localSheetId="7">#REF!</definedName>
    <definedName name="\n" localSheetId="6">#REF!</definedName>
    <definedName name="\n">#REF!</definedName>
    <definedName name="\o" localSheetId="7">#REF!</definedName>
    <definedName name="\o" localSheetId="6">#REF!</definedName>
    <definedName name="\o">#REF!</definedName>
    <definedName name="\z" localSheetId="7">'[1]COAT&amp;WRAP-QIOT-#3'!#REF!</definedName>
    <definedName name="\z" localSheetId="6">'[1]COAT&amp;WRAP-QIOT-#3'!#REF!</definedName>
    <definedName name="\z">'[1]COAT&amp;WRAP-QIOT-#3'!#REF!</definedName>
    <definedName name="____atn1" localSheetId="7">#REF!</definedName>
    <definedName name="____atn1" localSheetId="6">#REF!</definedName>
    <definedName name="____atn1">#REF!</definedName>
    <definedName name="____atn10" localSheetId="7">#REF!</definedName>
    <definedName name="____atn10" localSheetId="6">#REF!</definedName>
    <definedName name="____atn10">#REF!</definedName>
    <definedName name="____atn3" localSheetId="7">#REF!</definedName>
    <definedName name="____atn3" localSheetId="6">#REF!</definedName>
    <definedName name="____atn3">#REF!</definedName>
    <definedName name="____atn4" localSheetId="7">#REF!</definedName>
    <definedName name="____atn4" localSheetId="6">#REF!</definedName>
    <definedName name="____atn4">#REF!</definedName>
    <definedName name="____atn5" localSheetId="7">#REF!</definedName>
    <definedName name="____atn5" localSheetId="6">#REF!</definedName>
    <definedName name="____atn5">#REF!</definedName>
    <definedName name="____atn6" localSheetId="7">#REF!</definedName>
    <definedName name="____atn6" localSheetId="6">#REF!</definedName>
    <definedName name="____atn6">#REF!</definedName>
    <definedName name="____atn7" localSheetId="7">#REF!</definedName>
    <definedName name="____atn7" localSheetId="6">#REF!</definedName>
    <definedName name="____atn7">#REF!</definedName>
    <definedName name="____atn8" localSheetId="7">#REF!</definedName>
    <definedName name="____atn8" localSheetId="6">#REF!</definedName>
    <definedName name="____atn8">#REF!</definedName>
    <definedName name="____atn9" localSheetId="7">#REF!</definedName>
    <definedName name="____atn9" localSheetId="6">#REF!</definedName>
    <definedName name="____atn9">#REF!</definedName>
    <definedName name="____bac1" localSheetId="7">'[2]5%'!#REF!</definedName>
    <definedName name="____bac1" localSheetId="6">'[2]5%'!#REF!</definedName>
    <definedName name="____bac1">'[2]5%'!#REF!</definedName>
    <definedName name="____bac2" localSheetId="7">'[2]5%'!#REF!</definedName>
    <definedName name="____bac2" localSheetId="6">'[2]5%'!#REF!</definedName>
    <definedName name="____bac2">'[2]5%'!#REF!</definedName>
    <definedName name="____deo1" localSheetId="7">#REF!</definedName>
    <definedName name="____deo1" localSheetId="6">#REF!</definedName>
    <definedName name="____deo1">#REF!</definedName>
    <definedName name="____deo10" localSheetId="7">#REF!</definedName>
    <definedName name="____deo10" localSheetId="6">#REF!</definedName>
    <definedName name="____deo10">#REF!</definedName>
    <definedName name="____deo2" localSheetId="7">#REF!</definedName>
    <definedName name="____deo2" localSheetId="6">#REF!</definedName>
    <definedName name="____deo2">#REF!</definedName>
    <definedName name="____deo3" localSheetId="7">#REF!</definedName>
    <definedName name="____deo3" localSheetId="6">#REF!</definedName>
    <definedName name="____deo3">#REF!</definedName>
    <definedName name="____deo4" localSheetId="7">#REF!</definedName>
    <definedName name="____deo4" localSheetId="6">#REF!</definedName>
    <definedName name="____deo4">#REF!</definedName>
    <definedName name="____deo7" localSheetId="7">#REF!</definedName>
    <definedName name="____deo7" localSheetId="6">#REF!</definedName>
    <definedName name="____deo7">#REF!</definedName>
    <definedName name="____deo8" localSheetId="7">#REF!</definedName>
    <definedName name="____deo8" localSheetId="6">#REF!</definedName>
    <definedName name="____deo8">#REF!</definedName>
    <definedName name="____deo9" localSheetId="7">#REF!</definedName>
    <definedName name="____deo9" localSheetId="6">#REF!</definedName>
    <definedName name="____deo9">#REF!</definedName>
    <definedName name="____NPV11" localSheetId="7">'[3]Cp&gt;10-Ln&lt;10'!#REF!</definedName>
    <definedName name="____NPV11" localSheetId="6">'[3]Cp&gt;10-Ln&lt;10'!#REF!</definedName>
    <definedName name="____NPV11">'[3]Cp&gt;10-Ln&lt;10'!#REF!</definedName>
    <definedName name="____tp2" localSheetId="7">#REF!</definedName>
    <definedName name="____tp2" localSheetId="6">#REF!</definedName>
    <definedName name="____tp2">#REF!</definedName>
    <definedName name="___atn1" localSheetId="7">#REF!</definedName>
    <definedName name="___atn1" localSheetId="6">#REF!</definedName>
    <definedName name="___atn1">#REF!</definedName>
    <definedName name="___atn10" localSheetId="7">#REF!</definedName>
    <definedName name="___atn10" localSheetId="6">#REF!</definedName>
    <definedName name="___atn10">#REF!</definedName>
    <definedName name="___atn2" localSheetId="7">#REF!</definedName>
    <definedName name="___atn2" localSheetId="6">#REF!</definedName>
    <definedName name="___atn2">#REF!</definedName>
    <definedName name="___atn3" localSheetId="7">#REF!</definedName>
    <definedName name="___atn3" localSheetId="6">#REF!</definedName>
    <definedName name="___atn3">#REF!</definedName>
    <definedName name="___atn4" localSheetId="7">#REF!</definedName>
    <definedName name="___atn4" localSheetId="6">#REF!</definedName>
    <definedName name="___atn4">#REF!</definedName>
    <definedName name="___atn5" localSheetId="7">#REF!</definedName>
    <definedName name="___atn5" localSheetId="6">#REF!</definedName>
    <definedName name="___atn5">#REF!</definedName>
    <definedName name="___atn6" localSheetId="7">#REF!</definedName>
    <definedName name="___atn6" localSheetId="6">#REF!</definedName>
    <definedName name="___atn6">#REF!</definedName>
    <definedName name="___atn7" localSheetId="7">#REF!</definedName>
    <definedName name="___atn7" localSheetId="6">#REF!</definedName>
    <definedName name="___atn7">#REF!</definedName>
    <definedName name="___atn8" localSheetId="7">#REF!</definedName>
    <definedName name="___atn8" localSheetId="6">#REF!</definedName>
    <definedName name="___atn8">#REF!</definedName>
    <definedName name="___atn9" localSheetId="7">#REF!</definedName>
    <definedName name="___atn9" localSheetId="6">#REF!</definedName>
    <definedName name="___atn9">#REF!</definedName>
    <definedName name="___bac1" localSheetId="7">'[2]5%'!#REF!</definedName>
    <definedName name="___bac1" localSheetId="6">'[2]5%'!#REF!</definedName>
    <definedName name="___bac1">'[2]5%'!#REF!</definedName>
    <definedName name="___bac2" localSheetId="7">'[2]5%'!#REF!</definedName>
    <definedName name="___bac2" localSheetId="6">'[2]5%'!#REF!</definedName>
    <definedName name="___bac2">'[2]5%'!#REF!</definedName>
    <definedName name="___deo1" localSheetId="7">#REF!</definedName>
    <definedName name="___deo1" localSheetId="6">#REF!</definedName>
    <definedName name="___deo1">#REF!</definedName>
    <definedName name="___deo10" localSheetId="7">#REF!</definedName>
    <definedName name="___deo10" localSheetId="6">#REF!</definedName>
    <definedName name="___deo10">#REF!</definedName>
    <definedName name="___deo2" localSheetId="7">#REF!</definedName>
    <definedName name="___deo2" localSheetId="6">#REF!</definedName>
    <definedName name="___deo2">#REF!</definedName>
    <definedName name="___deo3" localSheetId="7">#REF!</definedName>
    <definedName name="___deo3" localSheetId="6">#REF!</definedName>
    <definedName name="___deo3">#REF!</definedName>
    <definedName name="___deo4" localSheetId="7">#REF!</definedName>
    <definedName name="___deo4" localSheetId="6">#REF!</definedName>
    <definedName name="___deo4">#REF!</definedName>
    <definedName name="___deo5" localSheetId="7">#REF!</definedName>
    <definedName name="___deo5" localSheetId="6">#REF!</definedName>
    <definedName name="___deo5">#REF!</definedName>
    <definedName name="___deo6" localSheetId="7">#REF!</definedName>
    <definedName name="___deo6" localSheetId="6">#REF!</definedName>
    <definedName name="___deo6">#REF!</definedName>
    <definedName name="___deo7" localSheetId="7">#REF!</definedName>
    <definedName name="___deo7" localSheetId="6">#REF!</definedName>
    <definedName name="___deo7">#REF!</definedName>
    <definedName name="___deo8" localSheetId="7">#REF!</definedName>
    <definedName name="___deo8" localSheetId="6">#REF!</definedName>
    <definedName name="___deo8">#REF!</definedName>
    <definedName name="___deo9" localSheetId="7">#REF!</definedName>
    <definedName name="___deo9" localSheetId="6">#REF!</definedName>
    <definedName name="___deo9">#REF!</definedName>
    <definedName name="___NPV11" localSheetId="7">'[3]Cp&gt;10-Ln&lt;10'!#REF!</definedName>
    <definedName name="___NPV11" localSheetId="6">'[3]Cp&gt;10-Ln&lt;10'!#REF!</definedName>
    <definedName name="___NPV11">'[3]Cp&gt;10-Ln&lt;10'!#REF!</definedName>
    <definedName name="___tp2" localSheetId="7">#REF!</definedName>
    <definedName name="___tp2" localSheetId="6">#REF!</definedName>
    <definedName name="___tp2">#REF!</definedName>
    <definedName name="__atn1" localSheetId="7">#REF!</definedName>
    <definedName name="__atn1" localSheetId="6">#REF!</definedName>
    <definedName name="__atn1">#REF!</definedName>
    <definedName name="__atn10" localSheetId="7">#REF!</definedName>
    <definedName name="__atn10" localSheetId="6">#REF!</definedName>
    <definedName name="__atn10">#REF!</definedName>
    <definedName name="__atn2" localSheetId="7">#REF!</definedName>
    <definedName name="__atn2" localSheetId="6">#REF!</definedName>
    <definedName name="__atn2">#REF!</definedName>
    <definedName name="__atn3" localSheetId="7">#REF!</definedName>
    <definedName name="__atn3" localSheetId="6">#REF!</definedName>
    <definedName name="__atn3">#REF!</definedName>
    <definedName name="__atn4" localSheetId="7">#REF!</definedName>
    <definedName name="__atn4" localSheetId="6">#REF!</definedName>
    <definedName name="__atn4">#REF!</definedName>
    <definedName name="__atn5" localSheetId="7">#REF!</definedName>
    <definedName name="__atn5" localSheetId="6">#REF!</definedName>
    <definedName name="__atn5">#REF!</definedName>
    <definedName name="__atn6" localSheetId="7">#REF!</definedName>
    <definedName name="__atn6" localSheetId="6">#REF!</definedName>
    <definedName name="__atn6">#REF!</definedName>
    <definedName name="__atn7" localSheetId="7">#REF!</definedName>
    <definedName name="__atn7" localSheetId="6">#REF!</definedName>
    <definedName name="__atn7">#REF!</definedName>
    <definedName name="__atn8" localSheetId="7">#REF!</definedName>
    <definedName name="__atn8" localSheetId="6">#REF!</definedName>
    <definedName name="__atn8">#REF!</definedName>
    <definedName name="__atn9" localSheetId="7">#REF!</definedName>
    <definedName name="__atn9" localSheetId="6">#REF!</definedName>
    <definedName name="__atn9">#REF!</definedName>
    <definedName name="__bac1" localSheetId="7">'[4]5%'!#REF!</definedName>
    <definedName name="__bac1" localSheetId="6">'[4]5%'!#REF!</definedName>
    <definedName name="__bac1">'[4]5%'!#REF!</definedName>
    <definedName name="__bac2" localSheetId="7">'[4]5%'!#REF!</definedName>
    <definedName name="__bac2" localSheetId="6">'[4]5%'!#REF!</definedName>
    <definedName name="__bac2">'[4]5%'!#REF!</definedName>
    <definedName name="__CON1" localSheetId="7">#REF!</definedName>
    <definedName name="__CON1" localSheetId="6">#REF!</definedName>
    <definedName name="__CON1">#REF!</definedName>
    <definedName name="__CON2" localSheetId="7">#REF!</definedName>
    <definedName name="__CON2" localSheetId="6">#REF!</definedName>
    <definedName name="__CON2">#REF!</definedName>
    <definedName name="__deo1" localSheetId="7">#REF!</definedName>
    <definedName name="__deo1" localSheetId="6">#REF!</definedName>
    <definedName name="__deo1">#REF!</definedName>
    <definedName name="__deo10" localSheetId="7">#REF!</definedName>
    <definedName name="__deo10" localSheetId="6">#REF!</definedName>
    <definedName name="__deo10">#REF!</definedName>
    <definedName name="__deo2" localSheetId="7">#REF!</definedName>
    <definedName name="__deo2" localSheetId="6">#REF!</definedName>
    <definedName name="__deo2">#REF!</definedName>
    <definedName name="__deo3" localSheetId="7">#REF!</definedName>
    <definedName name="__deo3" localSheetId="6">#REF!</definedName>
    <definedName name="__deo3">#REF!</definedName>
    <definedName name="__deo4" localSheetId="7">#REF!</definedName>
    <definedName name="__deo4" localSheetId="6">#REF!</definedName>
    <definedName name="__deo4">#REF!</definedName>
    <definedName name="__deo5" localSheetId="7">#REF!</definedName>
    <definedName name="__deo5" localSheetId="6">#REF!</definedName>
    <definedName name="__deo5">#REF!</definedName>
    <definedName name="__deo6" localSheetId="7">#REF!</definedName>
    <definedName name="__deo6" localSheetId="6">#REF!</definedName>
    <definedName name="__deo6">#REF!</definedName>
    <definedName name="__deo7" localSheetId="7">#REF!</definedName>
    <definedName name="__deo7" localSheetId="6">#REF!</definedName>
    <definedName name="__deo7">#REF!</definedName>
    <definedName name="__deo8" localSheetId="7">#REF!</definedName>
    <definedName name="__deo8" localSheetId="6">#REF!</definedName>
    <definedName name="__deo8">#REF!</definedName>
    <definedName name="__deo9" localSheetId="7">#REF!</definedName>
    <definedName name="__deo9" localSheetId="6">#REF!</definedName>
    <definedName name="__deo9">#REF!</definedName>
    <definedName name="__NET2" localSheetId="7">#REF!</definedName>
    <definedName name="__NET2" localSheetId="6">#REF!</definedName>
    <definedName name="__NET2">#REF!</definedName>
    <definedName name="__NPV11" localSheetId="7">'[5]Cp&gt;10-Ln&lt;10'!#REF!</definedName>
    <definedName name="__NPV11" localSheetId="6">'[5]Cp&gt;10-Ln&lt;10'!#REF!</definedName>
    <definedName name="__NPV11">'[5]Cp&gt;10-Ln&lt;10'!#REF!</definedName>
    <definedName name="__tp2" localSheetId="7">#REF!</definedName>
    <definedName name="__tp2" localSheetId="6">#REF!</definedName>
    <definedName name="__tp2">#REF!</definedName>
    <definedName name="_1">#N/A</definedName>
    <definedName name="_1000A01">#N/A</definedName>
    <definedName name="_2">#N/A</definedName>
    <definedName name="_a1" localSheetId="7" hidden="1">{"'Sheet1'!$L$16"}</definedName>
    <definedName name="_a1" localSheetId="6" hidden="1">{"'Sheet1'!$L$16"}</definedName>
    <definedName name="_a1" hidden="1">{"'Sheet1'!$L$16"}</definedName>
    <definedName name="_A65700" localSheetId="7">'[6]MTO REV.2(ARMOR)'!#REF!</definedName>
    <definedName name="_A65700" localSheetId="6">'[6]MTO REV.2(ARMOR)'!#REF!</definedName>
    <definedName name="_A65700">'[6]MTO REV.2(ARMOR)'!#REF!</definedName>
    <definedName name="_A65800" localSheetId="7">'[6]MTO REV.2(ARMOR)'!#REF!</definedName>
    <definedName name="_A65800" localSheetId="6">'[6]MTO REV.2(ARMOR)'!#REF!</definedName>
    <definedName name="_A65800">'[6]MTO REV.2(ARMOR)'!#REF!</definedName>
    <definedName name="_A66000" localSheetId="7">'[6]MTO REV.2(ARMOR)'!#REF!</definedName>
    <definedName name="_A66000" localSheetId="6">'[6]MTO REV.2(ARMOR)'!#REF!</definedName>
    <definedName name="_A66000">'[6]MTO REV.2(ARMOR)'!#REF!</definedName>
    <definedName name="_A67000" localSheetId="7">'[6]MTO REV.2(ARMOR)'!#REF!</definedName>
    <definedName name="_A67000" localSheetId="6">'[6]MTO REV.2(ARMOR)'!#REF!</definedName>
    <definedName name="_A67000">'[6]MTO REV.2(ARMOR)'!#REF!</definedName>
    <definedName name="_A68000" localSheetId="7">'[6]MTO REV.2(ARMOR)'!#REF!</definedName>
    <definedName name="_A68000" localSheetId="6">'[6]MTO REV.2(ARMOR)'!#REF!</definedName>
    <definedName name="_A68000">'[6]MTO REV.2(ARMOR)'!#REF!</definedName>
    <definedName name="_A70000" localSheetId="7">'[6]MTO REV.2(ARMOR)'!#REF!</definedName>
    <definedName name="_A70000" localSheetId="6">'[6]MTO REV.2(ARMOR)'!#REF!</definedName>
    <definedName name="_A70000">'[6]MTO REV.2(ARMOR)'!#REF!</definedName>
    <definedName name="_A75000" localSheetId="7">'[6]MTO REV.2(ARMOR)'!#REF!</definedName>
    <definedName name="_A75000" localSheetId="6">'[6]MTO REV.2(ARMOR)'!#REF!</definedName>
    <definedName name="_A75000">'[6]MTO REV.2(ARMOR)'!#REF!</definedName>
    <definedName name="_A85000" localSheetId="7">'[6]MTO REV.2(ARMOR)'!#REF!</definedName>
    <definedName name="_A85000" localSheetId="6">'[6]MTO REV.2(ARMOR)'!#REF!</definedName>
    <definedName name="_A85000">'[6]MTO REV.2(ARMOR)'!#REF!</definedName>
    <definedName name="_atn1" localSheetId="7">#REF!</definedName>
    <definedName name="_atn1" localSheetId="6">#REF!</definedName>
    <definedName name="_atn1">#REF!</definedName>
    <definedName name="_atn10" localSheetId="7">#REF!</definedName>
    <definedName name="_atn10" localSheetId="6">#REF!</definedName>
    <definedName name="_atn10">#REF!</definedName>
    <definedName name="_atn2" localSheetId="7">#REF!</definedName>
    <definedName name="_atn2" localSheetId="6">#REF!</definedName>
    <definedName name="_atn2">#REF!</definedName>
    <definedName name="_atn3" localSheetId="7">#REF!</definedName>
    <definedName name="_atn3" localSheetId="6">#REF!</definedName>
    <definedName name="_atn3">#REF!</definedName>
    <definedName name="_atn4" localSheetId="7">#REF!</definedName>
    <definedName name="_atn4" localSheetId="6">#REF!</definedName>
    <definedName name="_atn4">#REF!</definedName>
    <definedName name="_atn5" localSheetId="7">#REF!</definedName>
    <definedName name="_atn5" localSheetId="6">#REF!</definedName>
    <definedName name="_atn5">#REF!</definedName>
    <definedName name="_atn6" localSheetId="7">#REF!</definedName>
    <definedName name="_atn6" localSheetId="6">#REF!</definedName>
    <definedName name="_atn6">#REF!</definedName>
    <definedName name="_atn7" localSheetId="7">#REF!</definedName>
    <definedName name="_atn7" localSheetId="6">#REF!</definedName>
    <definedName name="_atn7">#REF!</definedName>
    <definedName name="_atn8" localSheetId="7">#REF!</definedName>
    <definedName name="_atn8" localSheetId="6">#REF!</definedName>
    <definedName name="_atn8">#REF!</definedName>
    <definedName name="_atn9" localSheetId="7">#REF!</definedName>
    <definedName name="_atn9" localSheetId="6">#REF!</definedName>
    <definedName name="_atn9">#REF!</definedName>
    <definedName name="_bac1" localSheetId="7">'[4]5%'!#REF!</definedName>
    <definedName name="_bac1" localSheetId="6">'[4]5%'!#REF!</definedName>
    <definedName name="_bac1">'[4]5%'!#REF!</definedName>
    <definedName name="_bac2" localSheetId="7">'[4]5%'!#REF!</definedName>
    <definedName name="_bac2" localSheetId="6">'[4]5%'!#REF!</definedName>
    <definedName name="_bac2">'[4]5%'!#REF!</definedName>
    <definedName name="_CON1" localSheetId="7">#REF!</definedName>
    <definedName name="_CON1" localSheetId="6">#REF!</definedName>
    <definedName name="_CON1">#REF!</definedName>
    <definedName name="_CON2" localSheetId="7">#REF!</definedName>
    <definedName name="_CON2" localSheetId="6">#REF!</definedName>
    <definedName name="_CON2">#REF!</definedName>
    <definedName name="_deo1" localSheetId="7">#REF!</definedName>
    <definedName name="_deo1" localSheetId="6">#REF!</definedName>
    <definedName name="_deo1">#REF!</definedName>
    <definedName name="_deo10" localSheetId="7">#REF!</definedName>
    <definedName name="_deo10" localSheetId="6">#REF!</definedName>
    <definedName name="_deo10">#REF!</definedName>
    <definedName name="_deo2" localSheetId="7">#REF!</definedName>
    <definedName name="_deo2" localSheetId="6">#REF!</definedName>
    <definedName name="_deo2">#REF!</definedName>
    <definedName name="_deo3" localSheetId="7">#REF!</definedName>
    <definedName name="_deo3" localSheetId="6">#REF!</definedName>
    <definedName name="_deo3">#REF!</definedName>
    <definedName name="_deo4" localSheetId="7">#REF!</definedName>
    <definedName name="_deo4" localSheetId="6">#REF!</definedName>
    <definedName name="_deo4">#REF!</definedName>
    <definedName name="_deo5" localSheetId="7">#REF!</definedName>
    <definedName name="_deo5" localSheetId="6">#REF!</definedName>
    <definedName name="_deo5">#REF!</definedName>
    <definedName name="_deo6" localSheetId="7">#REF!</definedName>
    <definedName name="_deo6" localSheetId="6">#REF!</definedName>
    <definedName name="_deo6">#REF!</definedName>
    <definedName name="_deo7" localSheetId="7">#REF!</definedName>
    <definedName name="_deo7" localSheetId="6">#REF!</definedName>
    <definedName name="_deo7">#REF!</definedName>
    <definedName name="_deo8" localSheetId="7">#REF!</definedName>
    <definedName name="_deo8" localSheetId="6">#REF!</definedName>
    <definedName name="_deo8">#REF!</definedName>
    <definedName name="_deo9" localSheetId="7">#REF!</definedName>
    <definedName name="_deo9" localSheetId="6">#REF!</definedName>
    <definedName name="_deo9">#REF!</definedName>
    <definedName name="_Fill" localSheetId="7" hidden="1">#REF!</definedName>
    <definedName name="_Fill" localSheetId="6" hidden="1">#REF!</definedName>
    <definedName name="_Fill" localSheetId="1" hidden="1">#REF!</definedName>
    <definedName name="_Fill" localSheetId="2" hidden="1">#REF!</definedName>
    <definedName name="_Fill" hidden="1">#REF!</definedName>
    <definedName name="_xlnm._FilterDatabase" localSheetId="7" hidden="1">#REF!</definedName>
    <definedName name="_xlnm._FilterDatabase" localSheetId="6" hidden="1">#REF!</definedName>
    <definedName name="_xlnm._FilterDatabase" localSheetId="1" hidden="1">#REF!</definedName>
    <definedName name="_xlnm._FilterDatabase" localSheetId="2" hidden="1">#REF!</definedName>
    <definedName name="_xlnm._FilterDatabase" localSheetId="4" hidden="1">'UC Detail'!$A$1:$E$341</definedName>
    <definedName name="_xlnm._FilterDatabase" hidden="1">#REF!</definedName>
    <definedName name="_Goi8" localSheetId="7" hidden="1">{"'Sheet1'!$L$16"}</definedName>
    <definedName name="_Goi8" localSheetId="6" hidden="1">{"'Sheet1'!$L$16"}</definedName>
    <definedName name="_Goi8" hidden="1">{"'Sheet1'!$L$16"}</definedName>
    <definedName name="_h1" localSheetId="7" hidden="1">{"'Sheet1'!$L$16"}</definedName>
    <definedName name="_h1" localSheetId="6" hidden="1">{"'Sheet1'!$L$16"}</definedName>
    <definedName name="_h1" hidden="1">{"'Sheet1'!$L$16"}</definedName>
    <definedName name="_hu1" localSheetId="7" hidden="1">{"'Sheet1'!$L$16"}</definedName>
    <definedName name="_hu1" localSheetId="6" hidden="1">{"'Sheet1'!$L$16"}</definedName>
    <definedName name="_hu1" hidden="1">{"'Sheet1'!$L$16"}</definedName>
    <definedName name="_hu2" localSheetId="7" hidden="1">{"'Sheet1'!$L$16"}</definedName>
    <definedName name="_hu2" localSheetId="6" hidden="1">{"'Sheet1'!$L$16"}</definedName>
    <definedName name="_hu2" hidden="1">{"'Sheet1'!$L$16"}</definedName>
    <definedName name="_hu5" localSheetId="7" hidden="1">{"'Sheet1'!$L$16"}</definedName>
    <definedName name="_hu5" localSheetId="6" hidden="1">{"'Sheet1'!$L$16"}</definedName>
    <definedName name="_hu5" hidden="1">{"'Sheet1'!$L$16"}</definedName>
    <definedName name="_hu6" localSheetId="7" hidden="1">{"'Sheet1'!$L$16"}</definedName>
    <definedName name="_hu6" localSheetId="6" hidden="1">{"'Sheet1'!$L$16"}</definedName>
    <definedName name="_hu6" hidden="1">{"'Sheet1'!$L$16"}</definedName>
    <definedName name="_hu7" localSheetId="7" hidden="1">{"'Sheet1'!$L$16"}</definedName>
    <definedName name="_hu7" localSheetId="6" hidden="1">{"'Sheet1'!$L$16"}</definedName>
    <definedName name="_hu7" hidden="1">{"'Sheet1'!$L$16"}</definedName>
    <definedName name="_Key1" localSheetId="7" hidden="1">#REF!</definedName>
    <definedName name="_Key1" localSheetId="6" hidden="1">#REF!</definedName>
    <definedName name="_Key1" hidden="1">#REF!</definedName>
    <definedName name="_Key2" localSheetId="7" hidden="1">#REF!</definedName>
    <definedName name="_Key2" localSheetId="6" hidden="1">#REF!</definedName>
    <definedName name="_Key2" hidden="1">#REF!</definedName>
    <definedName name="_NET2" localSheetId="7">#REF!</definedName>
    <definedName name="_NET2" localSheetId="6">#REF!</definedName>
    <definedName name="_NET2">#REF!</definedName>
    <definedName name="_NPV11" localSheetId="7">'[5]Cp&gt;10-Ln&lt;10'!#REF!</definedName>
    <definedName name="_NPV11" localSheetId="6">'[5]Cp&gt;10-Ln&lt;10'!#REF!</definedName>
    <definedName name="_NPV11">'[5]Cp&gt;10-Ln&lt;10'!#REF!</definedName>
    <definedName name="_Order1" hidden="1">255</definedName>
    <definedName name="_Order2" hidden="1">255</definedName>
    <definedName name="_pd10" localSheetId="7" hidden="1">{"'Summary'!$A$1:$J$46"}</definedName>
    <definedName name="_pd10" localSheetId="6" hidden="1">{"'Summary'!$A$1:$J$46"}</definedName>
    <definedName name="_pd10" hidden="1">{"'Summary'!$A$1:$J$46"}</definedName>
    <definedName name="_pd101" localSheetId="7" hidden="1">{"'Summary'!$A$1:$J$46"}</definedName>
    <definedName name="_pd101" localSheetId="6" hidden="1">{"'Summary'!$A$1:$J$46"}</definedName>
    <definedName name="_pd101" hidden="1">{"'Summary'!$A$1:$J$46"}</definedName>
    <definedName name="_PD11" localSheetId="7" hidden="1">{"'Summary'!$A$1:$J$46"}</definedName>
    <definedName name="_PD11" localSheetId="6" hidden="1">{"'Summary'!$A$1:$J$46"}</definedName>
    <definedName name="_PD11" hidden="1">{"'Summary'!$A$1:$J$46"}</definedName>
    <definedName name="_SD30" localSheetId="7" hidden="1">{"'Summary'!$A$1:$J$46"}</definedName>
    <definedName name="_SD30" localSheetId="6" hidden="1">{"'Summary'!$A$1:$J$46"}</definedName>
    <definedName name="_SD30" hidden="1">{"'Summary'!$A$1:$J$46"}</definedName>
    <definedName name="_Sort" localSheetId="7" hidden="1">#REF!</definedName>
    <definedName name="_Sort" localSheetId="6" hidden="1">#REF!</definedName>
    <definedName name="_Sort" hidden="1">#REF!</definedName>
    <definedName name="_T10" localSheetId="7" hidden="1">{"'Sheet1'!$L$16"}</definedName>
    <definedName name="_T10" localSheetId="6" hidden="1">{"'Sheet1'!$L$16"}</definedName>
    <definedName name="_T10" hidden="1">{"'Sheet1'!$L$16"}</definedName>
    <definedName name="_thu2" localSheetId="7">{"Thuxm2.xls","Sheet1"}</definedName>
    <definedName name="_thu2" localSheetId="6">{"Thuxm2.xls","Sheet1"}</definedName>
    <definedName name="_thu2">{"Thuxm2.xls","Sheet1"}</definedName>
    <definedName name="_tp2" localSheetId="7">#REF!</definedName>
    <definedName name="_tp2" localSheetId="6">#REF!</definedName>
    <definedName name="_tp2">#REF!</definedName>
    <definedName name="_tt3" localSheetId="7" hidden="1">{"'Sheet1'!$L$16"}</definedName>
    <definedName name="_tt3" localSheetId="6" hidden="1">{"'Sheet1'!$L$16"}</definedName>
    <definedName name="_tt3" hidden="1">{"'Sheet1'!$L$16"}</definedName>
    <definedName name="A" localSheetId="7">'[1]PNT-QUOT-#3'!#REF!</definedName>
    <definedName name="A" localSheetId="6">'[1]PNT-QUOT-#3'!#REF!</definedName>
    <definedName name="A">'[1]PNT-QUOT-#3'!#REF!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A" localSheetId="7">#REF!</definedName>
    <definedName name="AA" localSheetId="6">#REF!</definedName>
    <definedName name="AA">#REF!</definedName>
    <definedName name="AAA" localSheetId="7">'[7]MTL$-INTER'!#REF!</definedName>
    <definedName name="AAA" localSheetId="6">'[7]MTL$-INTER'!#REF!</definedName>
    <definedName name="AAA">'[7]MTL$-INTER'!#REF!</definedName>
    <definedName name="ad" localSheetId="7">'[8]Appendix 4'!#REF!</definedName>
    <definedName name="ad" localSheetId="6">'[8]Appendix 4'!#REF!</definedName>
    <definedName name="ad">'[8]Appendix 4'!#REF!</definedName>
    <definedName name="All_Item" localSheetId="7">#REF!</definedName>
    <definedName name="All_Item" localSheetId="6">#REF!</definedName>
    <definedName name="All_Item">#REF!</definedName>
    <definedName name="AllPrice" localSheetId="7">#REF!</definedName>
    <definedName name="AllPrice" localSheetId="6">#REF!</definedName>
    <definedName name="AllPrice">#REF!</definedName>
    <definedName name="ALPIN">#N/A</definedName>
    <definedName name="ALPJYOU">#N/A</definedName>
    <definedName name="ALPTOI">#N/A</definedName>
    <definedName name="Appendix_1" localSheetId="7">#REF!</definedName>
    <definedName name="Appendix_1" localSheetId="6">#REF!</definedName>
    <definedName name="Appendix_1">#REF!</definedName>
    <definedName name="Appendix_2" localSheetId="7">#REF!</definedName>
    <definedName name="Appendix_2" localSheetId="6">#REF!</definedName>
    <definedName name="Appendix_2">#REF!</definedName>
    <definedName name="Appendix_3" localSheetId="7">'[9]Appendix 3'!#REF!</definedName>
    <definedName name="Appendix_3" localSheetId="6">'[9]Appendix 3'!#REF!</definedName>
    <definedName name="Appendix_3">'[9]Appendix 3'!#REF!</definedName>
    <definedName name="Appendix_4" localSheetId="7">'[9]Appendix 4'!#REF!</definedName>
    <definedName name="Appendix_4" localSheetId="6">'[9]Appendix 4'!#REF!</definedName>
    <definedName name="Appendix_4">'[9]Appendix 4'!#REF!</definedName>
    <definedName name="Appendix_5" localSheetId="7">#REF!</definedName>
    <definedName name="Appendix_5" localSheetId="6">#REF!</definedName>
    <definedName name="Appendix_5">#REF!</definedName>
    <definedName name="Appendix_6" localSheetId="7">#REF!</definedName>
    <definedName name="Appendix_6" localSheetId="6">#REF!</definedName>
    <definedName name="Appendix_6">#REF!</definedName>
    <definedName name="Appendix_7" localSheetId="7">'[9]Du toan'!#REF!</definedName>
    <definedName name="Appendix_7" localSheetId="6">'[9]Du toan'!#REF!</definedName>
    <definedName name="Appendix_7">'[9]Du toan'!#REF!</definedName>
    <definedName name="as" localSheetId="7">'[8]Du toan'!#REF!</definedName>
    <definedName name="as" localSheetId="6">'[8]Du toan'!#REF!</definedName>
    <definedName name="as">'[8]Du toan'!#REF!</definedName>
    <definedName name="AS2DocOpenMode" hidden="1">"AS2DocumentEdit"</definedName>
    <definedName name="AUCP">'[9]Du toan'!$D$11</definedName>
    <definedName name="B" localSheetId="7">'[1]PNT-QUOT-#3'!#REF!</definedName>
    <definedName name="B" localSheetId="6">'[1]PNT-QUOT-#3'!#REF!</definedName>
    <definedName name="B">'[1]PNT-QUOT-#3'!#REF!</definedName>
    <definedName name="BaseModel" localSheetId="7">#REF!</definedName>
    <definedName name="BaseModel" localSheetId="6">#REF!</definedName>
    <definedName name="BaseModel">#REF!</definedName>
    <definedName name="BaseModelPrice" localSheetId="7">#REF!</definedName>
    <definedName name="BaseModelPrice" localSheetId="6">#REF!</definedName>
    <definedName name="BaseModelPrice">#REF!</definedName>
    <definedName name="BasePrice" localSheetId="7">#REF!</definedName>
    <definedName name="BasePrice" localSheetId="6">#REF!</definedName>
    <definedName name="BasePrice">#REF!</definedName>
    <definedName name="BB" localSheetId="7">#REF!</definedName>
    <definedName name="BB" localSheetId="6">#REF!</definedName>
    <definedName name="BB">#REF!</definedName>
    <definedName name="bmt" localSheetId="7">#REF!</definedName>
    <definedName name="bmt" localSheetId="5">#REF!</definedName>
    <definedName name="bmt" localSheetId="6">#REF!</definedName>
    <definedName name="bmt">#REF!</definedName>
    <definedName name="BOQ" localSheetId="7">#REF!</definedName>
    <definedName name="BOQ" localSheetId="6">#REF!</definedName>
    <definedName name="BOQ">#REF!</definedName>
    <definedName name="btl" localSheetId="7" hidden="1">{"'Sheet1'!$L$16"}</definedName>
    <definedName name="btl" localSheetId="6" hidden="1">{"'Sheet1'!$L$16"}</definedName>
    <definedName name="btl" hidden="1">{"'Sheet1'!$L$16"}</definedName>
    <definedName name="budget" localSheetId="7">#REF!</definedName>
    <definedName name="budget" localSheetId="5">#REF!</definedName>
    <definedName name="budget" localSheetId="6">#REF!</definedName>
    <definedName name="budget">'Ty le tv'!$L$12:$U$12</definedName>
    <definedName name="budget2" localSheetId="7">#REF!</definedName>
    <definedName name="budget2" localSheetId="5">#REF!</definedName>
    <definedName name="budget2" localSheetId="6">#REF!</definedName>
    <definedName name="budget2">'Ty le tv'!$L$48:$R$48</definedName>
    <definedName name="BVCISUMMARY" localSheetId="7">#REF!</definedName>
    <definedName name="BVCISUMMARY" localSheetId="6">#REF!</definedName>
    <definedName name="BVCISUMMARY">#REF!</definedName>
    <definedName name="Ca" localSheetId="7">[10]CPKhac!#REF!</definedName>
    <definedName name="Ca" localSheetId="6">[10]CPKhac!#REF!</definedName>
    <definedName name="Ca">[10]CPKhac!#REF!</definedName>
    <definedName name="CABLE2">'[11]MTO REV.0'!$A$1:$Q$570</definedName>
    <definedName name="CapTD" localSheetId="7">#REF!</definedName>
    <definedName name="CapTD" localSheetId="6">#REF!</definedName>
    <definedName name="CapTD">#REF!</definedName>
    <definedName name="Case_Linkw_AT_211_Fdd" localSheetId="7">[12]DATA!#REF!</definedName>
    <definedName name="Case_Linkw_AT_211_Fdd" localSheetId="6">[12]DATA!#REF!</definedName>
    <definedName name="Case_Linkw_AT_211_Fdd">[12]DATA!#REF!</definedName>
    <definedName name="Case_Linkw_ATX" localSheetId="7">[12]DATA!#REF!</definedName>
    <definedName name="Case_Linkw_ATX" localSheetId="6">[12]DATA!#REF!</definedName>
    <definedName name="Case_Linkw_ATX">[12]DATA!#REF!</definedName>
    <definedName name="Case_Linkw_ATX_218_Fdd" localSheetId="7">[12]DATA!#REF!</definedName>
    <definedName name="Case_Linkw_ATX_218_Fdd" localSheetId="6">[12]DATA!#REF!</definedName>
    <definedName name="Case_Linkw_ATX_218_Fdd">[12]DATA!#REF!</definedName>
    <definedName name="Category_All" localSheetId="7">#REF!</definedName>
    <definedName name="Category_All" localSheetId="6">#REF!</definedName>
    <definedName name="Category_All">#REF!</definedName>
    <definedName name="CATIN">#N/A</definedName>
    <definedName name="CATJYOU">#N/A</definedName>
    <definedName name="CATREC">#N/A</definedName>
    <definedName name="CATSYU">#N/A</definedName>
    <definedName name="Cb" localSheetId="7">[10]CPKhac!#REF!</definedName>
    <definedName name="Cb" localSheetId="6">[10]CPKhac!#REF!</definedName>
    <definedName name="Cb">[10]CPKhac!#REF!</definedName>
    <definedName name="CDDR_Acer40X_IDE" localSheetId="7">[12]DATA!#REF!</definedName>
    <definedName name="CDDR_Acer40X_IDE" localSheetId="6">[12]DATA!#REF!</definedName>
    <definedName name="CDDR_Acer40X_IDE">[12]DATA!#REF!</definedName>
    <definedName name="CDDR_Acer48X_IDE" localSheetId="7">[12]DATA!#REF!</definedName>
    <definedName name="CDDR_Acer48X_IDE" localSheetId="6">[12]DATA!#REF!</definedName>
    <definedName name="CDDR_Acer48X_IDE">[12]DATA!#REF!</definedName>
    <definedName name="CDDR_Acer50X_IDE" localSheetId="7">[12]DATA!#REF!</definedName>
    <definedName name="CDDR_Acer50X_IDE" localSheetId="6">[12]DATA!#REF!</definedName>
    <definedName name="CDDR_Acer50X_IDE">[12]DATA!#REF!</definedName>
    <definedName name="CF_du_phong" localSheetId="7">[10]CPKhac!#REF!</definedName>
    <definedName name="CF_du_phong" localSheetId="6">[10]CPKhac!#REF!</definedName>
    <definedName name="CF_du_phong">[10]CPKhac!#REF!</definedName>
    <definedName name="chay1" localSheetId="7">#REF!</definedName>
    <definedName name="chay1" localSheetId="6">#REF!</definedName>
    <definedName name="chay1">#REF!</definedName>
    <definedName name="chay10" localSheetId="7">#REF!</definedName>
    <definedName name="chay10" localSheetId="6">#REF!</definedName>
    <definedName name="chay10">#REF!</definedName>
    <definedName name="chay2" localSheetId="7">#REF!</definedName>
    <definedName name="chay2" localSheetId="6">#REF!</definedName>
    <definedName name="chay2">#REF!</definedName>
    <definedName name="chay3" localSheetId="7">#REF!</definedName>
    <definedName name="chay3" localSheetId="6">#REF!</definedName>
    <definedName name="chay3">#REF!</definedName>
    <definedName name="chay4" localSheetId="7">#REF!</definedName>
    <definedName name="chay4" localSheetId="6">#REF!</definedName>
    <definedName name="chay4">#REF!</definedName>
    <definedName name="chay5" localSheetId="7">#REF!</definedName>
    <definedName name="chay5" localSheetId="6">#REF!</definedName>
    <definedName name="chay5">#REF!</definedName>
    <definedName name="chay6" localSheetId="7">#REF!</definedName>
    <definedName name="chay6" localSheetId="6">#REF!</definedName>
    <definedName name="chay6">#REF!</definedName>
    <definedName name="chay7" localSheetId="7">#REF!</definedName>
    <definedName name="chay7" localSheetId="6">#REF!</definedName>
    <definedName name="chay7">#REF!</definedName>
    <definedName name="chay8" localSheetId="7">#REF!</definedName>
    <definedName name="chay8" localSheetId="6">#REF!</definedName>
    <definedName name="chay8">#REF!</definedName>
    <definedName name="chay9" localSheetId="7">#REF!</definedName>
    <definedName name="chay9" localSheetId="6">#REF!</definedName>
    <definedName name="chay9">#REF!</definedName>
    <definedName name="chitietbgiang2" localSheetId="7" hidden="1">{"'Sheet1'!$L$16"}</definedName>
    <definedName name="chitietbgiang2" localSheetId="6" hidden="1">{"'Sheet1'!$L$16"}</definedName>
    <definedName name="chitietbgiang2" hidden="1">{"'Sheet1'!$L$16"}</definedName>
    <definedName name="chl" localSheetId="7" hidden="1">{"'Sheet1'!$L$16"}</definedName>
    <definedName name="chl" localSheetId="6" hidden="1">{"'Sheet1'!$L$16"}</definedName>
    <definedName name="chl" hidden="1">{"'Sheet1'!$L$16"}</definedName>
    <definedName name="chuyen" localSheetId="7" hidden="1">{"'Sheet1'!$L$16"}</definedName>
    <definedName name="chuyen" localSheetId="6" hidden="1">{"'Sheet1'!$L$16"}</definedName>
    <definedName name="chuyen" hidden="1">{"'Sheet1'!$L$16"}</definedName>
    <definedName name="CleintEmail" localSheetId="7">#REF!</definedName>
    <definedName name="CleintEmail" localSheetId="6">#REF!</definedName>
    <definedName name="CleintEmail">#REF!</definedName>
    <definedName name="ClientComp0" localSheetId="7">#REF!</definedName>
    <definedName name="ClientComp0" localSheetId="6">#REF!</definedName>
    <definedName name="ClientComp0">#REF!</definedName>
    <definedName name="ClientCompany" localSheetId="7">#REF!</definedName>
    <definedName name="ClientCompany" localSheetId="6">#REF!</definedName>
    <definedName name="ClientCompany">#REF!</definedName>
    <definedName name="ClientCountry" localSheetId="7">#REF!</definedName>
    <definedName name="ClientCountry" localSheetId="6">#REF!</definedName>
    <definedName name="ClientCountry">#REF!</definedName>
    <definedName name="ClientEmail" localSheetId="7">#REF!</definedName>
    <definedName name="ClientEmail" localSheetId="6">#REF!</definedName>
    <definedName name="ClientEmail">#REF!</definedName>
    <definedName name="ClientFax" localSheetId="7">#REF!</definedName>
    <definedName name="ClientFax" localSheetId="6">#REF!</definedName>
    <definedName name="ClientFax">#REF!</definedName>
    <definedName name="ClientLand" localSheetId="7">#REF!</definedName>
    <definedName name="ClientLand" localSheetId="6">#REF!</definedName>
    <definedName name="ClientLand">#REF!</definedName>
    <definedName name="ClientName" localSheetId="7">#REF!</definedName>
    <definedName name="ClientName" localSheetId="6">#REF!</definedName>
    <definedName name="ClientName">#REF!</definedName>
    <definedName name="ClientStreet" localSheetId="7">#REF!</definedName>
    <definedName name="ClientStreet" localSheetId="6">#REF!</definedName>
    <definedName name="ClientStreet">#REF!</definedName>
    <definedName name="ClientTel" localSheetId="7">#REF!</definedName>
    <definedName name="ClientTel" localSheetId="6">#REF!</definedName>
    <definedName name="ClientTel">#REF!</definedName>
    <definedName name="ClientTown" localSheetId="7">#REF!</definedName>
    <definedName name="ClientTown" localSheetId="6">#REF!</definedName>
    <definedName name="ClientTown">#REF!</definedName>
    <definedName name="CLVC3">0.1</definedName>
    <definedName name="COAT" localSheetId="7">'[1]PNT-QUOT-#3'!#REF!</definedName>
    <definedName name="COAT" localSheetId="6">'[1]PNT-QUOT-#3'!#REF!</definedName>
    <definedName name="COAT">'[1]PNT-QUOT-#3'!#REF!</definedName>
    <definedName name="Comment1" localSheetId="7">#REF!</definedName>
    <definedName name="Comment1" localSheetId="6">#REF!</definedName>
    <definedName name="Comment1">#REF!</definedName>
    <definedName name="Comment2" localSheetId="7">#REF!</definedName>
    <definedName name="Comment2" localSheetId="6">#REF!</definedName>
    <definedName name="Comment2">#REF!</definedName>
    <definedName name="Comment3" localSheetId="7">#REF!</definedName>
    <definedName name="Comment3" localSheetId="6">#REF!</definedName>
    <definedName name="Comment3">#REF!</definedName>
    <definedName name="Comment4" localSheetId="7">#REF!</definedName>
    <definedName name="Comment4" localSheetId="6">#REF!</definedName>
    <definedName name="Comment4">#REF!</definedName>
    <definedName name="Comment5" localSheetId="7">#REF!</definedName>
    <definedName name="Comment5" localSheetId="6">#REF!</definedName>
    <definedName name="Comment5">#REF!</definedName>
    <definedName name="Comment6" localSheetId="7">#REF!</definedName>
    <definedName name="Comment6" localSheetId="6">#REF!</definedName>
    <definedName name="Comment6">#REF!</definedName>
    <definedName name="Comment7" localSheetId="7">#REF!</definedName>
    <definedName name="Comment7" localSheetId="6">#REF!</definedName>
    <definedName name="Comment7">#REF!</definedName>
    <definedName name="COMMON" localSheetId="7">#REF!</definedName>
    <definedName name="COMMON" localSheetId="6">#REF!</definedName>
    <definedName name="COMMON">#REF!</definedName>
    <definedName name="Component" localSheetId="7">#REF!</definedName>
    <definedName name="Component" localSheetId="6">#REF!</definedName>
    <definedName name="Component">#REF!</definedName>
    <definedName name="CON_EQP_COS" localSheetId="7">#REF!</definedName>
    <definedName name="CON_EQP_COS" localSheetId="6">#REF!</definedName>
    <definedName name="CON_EQP_COS">#REF!</definedName>
    <definedName name="CON_EQP_COST" localSheetId="7">#REF!</definedName>
    <definedName name="CON_EQP_COST" localSheetId="6">#REF!</definedName>
    <definedName name="CON_EQP_COST">#REF!</definedName>
    <definedName name="ConfgCur" localSheetId="7">[13]Overview!#REF!</definedName>
    <definedName name="ConfgCur" localSheetId="6">[13]Overview!#REF!</definedName>
    <definedName name="ConfgCur">[13]Overview!#REF!</definedName>
    <definedName name="ConfigCur" localSheetId="7">#REF!</definedName>
    <definedName name="ConfigCur" localSheetId="6">#REF!</definedName>
    <definedName name="ConfigCur">#REF!</definedName>
    <definedName name="ConfigInfo1" localSheetId="7">#REF!</definedName>
    <definedName name="ConfigInfo1" localSheetId="6">#REF!</definedName>
    <definedName name="ConfigInfo1">#REF!</definedName>
    <definedName name="ConfigInfo2" localSheetId="7">#REF!</definedName>
    <definedName name="ConfigInfo2" localSheetId="6">#REF!</definedName>
    <definedName name="ConfigInfo2">#REF!</definedName>
    <definedName name="ConfigPrice" localSheetId="7">#REF!</definedName>
    <definedName name="ConfigPrice" localSheetId="6">#REF!</definedName>
    <definedName name="ConfigPrice">#REF!</definedName>
    <definedName name="ConfigPriceEuro" localSheetId="7">#REF!</definedName>
    <definedName name="ConfigPriceEuro" localSheetId="6">#REF!</definedName>
    <definedName name="ConfigPriceEuro">#REF!</definedName>
    <definedName name="ConfigState" localSheetId="7">#REF!</definedName>
    <definedName name="ConfigState" localSheetId="6">#REF!</definedName>
    <definedName name="ConfigState">#REF!</definedName>
    <definedName name="CONST_EQ" localSheetId="7">#REF!</definedName>
    <definedName name="CONST_EQ" localSheetId="6">#REF!</definedName>
    <definedName name="CONST_EQ">#REF!</definedName>
    <definedName name="COVER" localSheetId="7">#REF!</definedName>
    <definedName name="COVER" localSheetId="6">#REF!</definedName>
    <definedName name="COVER">#REF!</definedName>
    <definedName name="CPDP" localSheetId="7">[14]Tonghop!#REF!</definedName>
    <definedName name="CPDP" localSheetId="6">[14]Tonghop!#REF!</definedName>
    <definedName name="CPDP">[14]Tonghop!#REF!</definedName>
    <definedName name="CPQLDA" localSheetId="7">[14]Tonghop!#REF!</definedName>
    <definedName name="CPQLDA" localSheetId="6">[14]Tonghop!#REF!</definedName>
    <definedName name="CPQLDA">[14]Tonghop!#REF!</definedName>
    <definedName name="CPTT" localSheetId="7">[14]Tonghop!#REF!</definedName>
    <definedName name="CPTT" localSheetId="6">[14]Tonghop!#REF!</definedName>
    <definedName name="CPTT">[14]Tonghop!#REF!</definedName>
    <definedName name="CPTT_NO_TAX" localSheetId="7">[14]Tonghop!#REF!</definedName>
    <definedName name="CPTT_NO_TAX" localSheetId="6">[14]Tonghop!#REF!</definedName>
    <definedName name="CPTT_NO_TAX">[14]Tonghop!#REF!</definedName>
    <definedName name="CPTVXDCT" localSheetId="7">[14]Tonghop!#REF!</definedName>
    <definedName name="CPTVXDCT" localSheetId="6">[14]Tonghop!#REF!</definedName>
    <definedName name="CPTVXDCT">[14]Tonghop!#REF!</definedName>
    <definedName name="CPU_AMD_K6II_550" localSheetId="7">[12]DATA!#REF!</definedName>
    <definedName name="CPU_AMD_K6II_550" localSheetId="6">[12]DATA!#REF!</definedName>
    <definedName name="CPU_AMD_K6II_550">[12]DATA!#REF!</definedName>
    <definedName name="CPU_Intel_P4_1.7_256K_256RIMM" localSheetId="7">[12]DATA!#REF!</definedName>
    <definedName name="CPU_Intel_P4_1.7_256K_256RIMM" localSheetId="6">[12]DATA!#REF!</definedName>
    <definedName name="CPU_Intel_P4_1.7_256K_256RIMM">[12]DATA!#REF!</definedName>
    <definedName name="CPU_Intel_PIII500E_256Kdie_Copp" localSheetId="7">[12]DATA!#REF!</definedName>
    <definedName name="CPU_Intel_PIII500E_256Kdie_Copp" localSheetId="6">[12]DATA!#REF!</definedName>
    <definedName name="CPU_Intel_PIII500E_256Kdie_Copp">[12]DATA!#REF!</definedName>
    <definedName name="CPU_Intel_PIII550E_256Kdie_Copp" localSheetId="7">[12]DATA!#REF!</definedName>
    <definedName name="CPU_Intel_PIII550E_256Kdie_Copp" localSheetId="6">[12]DATA!#REF!</definedName>
    <definedName name="CPU_Intel_PIII550E_256Kdie_Copp">[12]DATA!#REF!</definedName>
    <definedName name="CPUs_per_DataCenterNode" localSheetId="7">#REF!</definedName>
    <definedName name="CPUs_per_DataCenterNode" localSheetId="6">#REF!</definedName>
    <definedName name="CPUs_per_DataCenterNode">#REF!</definedName>
    <definedName name="CPUs_per_Node" localSheetId="7">#REF!</definedName>
    <definedName name="CPUs_per_Node" localSheetId="6">#REF!</definedName>
    <definedName name="CPUs_per_Node">#REF!</definedName>
    <definedName name="_xlnm.Criteria" localSheetId="7">[15]SILICATE!#REF!</definedName>
    <definedName name="_xlnm.Criteria" localSheetId="6">[15]SILICATE!#REF!</definedName>
    <definedName name="_xlnm.Criteria">[15]SILICATE!#REF!</definedName>
    <definedName name="CRITINST" localSheetId="7">#REF!</definedName>
    <definedName name="CRITINST" localSheetId="6">#REF!</definedName>
    <definedName name="CRITINST">#REF!</definedName>
    <definedName name="CRITPURC" localSheetId="7">#REF!</definedName>
    <definedName name="CRITPURC" localSheetId="6">#REF!</definedName>
    <definedName name="CRITPURC">#REF!</definedName>
    <definedName name="CS_10" localSheetId="7">#REF!</definedName>
    <definedName name="CS_10" localSheetId="6">#REF!</definedName>
    <definedName name="CS_10">#REF!</definedName>
    <definedName name="CS_100" localSheetId="7">#REF!</definedName>
    <definedName name="CS_100" localSheetId="6">#REF!</definedName>
    <definedName name="CS_100">#REF!</definedName>
    <definedName name="CS_10S" localSheetId="7">#REF!</definedName>
    <definedName name="CS_10S" localSheetId="6">#REF!</definedName>
    <definedName name="CS_10S">#REF!</definedName>
    <definedName name="CS_120" localSheetId="7">#REF!</definedName>
    <definedName name="CS_120" localSheetId="6">#REF!</definedName>
    <definedName name="CS_120">#REF!</definedName>
    <definedName name="CS_140" localSheetId="7">#REF!</definedName>
    <definedName name="CS_140" localSheetId="6">#REF!</definedName>
    <definedName name="CS_140">#REF!</definedName>
    <definedName name="CS_160" localSheetId="7">#REF!</definedName>
    <definedName name="CS_160" localSheetId="6">#REF!</definedName>
    <definedName name="CS_160">#REF!</definedName>
    <definedName name="CS_20" localSheetId="7">#REF!</definedName>
    <definedName name="CS_20" localSheetId="6">#REF!</definedName>
    <definedName name="CS_20">#REF!</definedName>
    <definedName name="CS_30" localSheetId="7">#REF!</definedName>
    <definedName name="CS_30" localSheetId="6">#REF!</definedName>
    <definedName name="CS_30">#REF!</definedName>
    <definedName name="CS_40" localSheetId="7">#REF!</definedName>
    <definedName name="CS_40" localSheetId="6">#REF!</definedName>
    <definedName name="CS_40">#REF!</definedName>
    <definedName name="CS_40S" localSheetId="7">#REF!</definedName>
    <definedName name="CS_40S" localSheetId="6">#REF!</definedName>
    <definedName name="CS_40S">#REF!</definedName>
    <definedName name="CS_5S" localSheetId="7">#REF!</definedName>
    <definedName name="CS_5S" localSheetId="6">#REF!</definedName>
    <definedName name="CS_5S">#REF!</definedName>
    <definedName name="CS_60" localSheetId="7">#REF!</definedName>
    <definedName name="CS_60" localSheetId="6">#REF!</definedName>
    <definedName name="CS_60">#REF!</definedName>
    <definedName name="CS_80" localSheetId="7">#REF!</definedName>
    <definedName name="CS_80" localSheetId="6">#REF!</definedName>
    <definedName name="CS_80">#REF!</definedName>
    <definedName name="CS_80S" localSheetId="7">#REF!</definedName>
    <definedName name="CS_80S" localSheetId="6">#REF!</definedName>
    <definedName name="CS_80S">#REF!</definedName>
    <definedName name="CS_STD" localSheetId="7">#REF!</definedName>
    <definedName name="CS_STD" localSheetId="6">#REF!</definedName>
    <definedName name="CS_STD">#REF!</definedName>
    <definedName name="CS_XS" localSheetId="7">#REF!</definedName>
    <definedName name="CS_XS" localSheetId="6">#REF!</definedName>
    <definedName name="CS_XS">#REF!</definedName>
    <definedName name="CS_XXS" localSheetId="7">#REF!</definedName>
    <definedName name="CS_XXS" localSheetId="6">#REF!</definedName>
    <definedName name="CS_XXS">#REF!</definedName>
    <definedName name="CTCT1" localSheetId="7" hidden="1">{"'Sheet1'!$L$16"}</definedName>
    <definedName name="CTCT1" localSheetId="6" hidden="1">{"'Sheet1'!$L$16"}</definedName>
    <definedName name="CTCT1" hidden="1">{"'Sheet1'!$L$16"}</definedName>
    <definedName name="CURRENCY" localSheetId="7">#REF!</definedName>
    <definedName name="CURRENCY" localSheetId="6">#REF!</definedName>
    <definedName name="CURRENCY">#REF!</definedName>
    <definedName name="D_7101A_B" localSheetId="7">#REF!</definedName>
    <definedName name="D_7101A_B" localSheetId="6">#REF!</definedName>
    <definedName name="D_7101A_B">#REF!</definedName>
    <definedName name="dáds" localSheetId="7">'[16]PNT-QUOT-#3'!#REF!</definedName>
    <definedName name="dáds" localSheetId="6">'[16]PNT-QUOT-#3'!#REF!</definedName>
    <definedName name="dáds">'[16]PNT-QUOT-#3'!#REF!</definedName>
    <definedName name="Daotao" localSheetId="7">'[17]Appendix 4'!#REF!</definedName>
    <definedName name="Daotao" localSheetId="6">'[17]Appendix 4'!#REF!</definedName>
    <definedName name="Daotao">'[17]Appendix 4'!#REF!</definedName>
    <definedName name="_xlnm.Database" localSheetId="7">#REF!</definedName>
    <definedName name="_xlnm.Database" localSheetId="6">#REF!</definedName>
    <definedName name="_xlnm.Database">#REF!</definedName>
    <definedName name="DataCenter_c16_Nodes" localSheetId="7">'[18]TS Cau hinh-GD2'!#REF!</definedName>
    <definedName name="DataCenter_c16_Nodes" localSheetId="6">'[18]TS Cau hinh-GD2'!#REF!</definedName>
    <definedName name="DataCenter_c16_Nodes">'[18]TS Cau hinh-GD2'!#REF!</definedName>
    <definedName name="DataCenter_C27_Nodes" localSheetId="7">'[18]TS Cau hinh-GD2'!#REF!</definedName>
    <definedName name="DataCenter_C27_Nodes" localSheetId="6">'[18]TS Cau hinh-GD2'!#REF!</definedName>
    <definedName name="DataCenter_C27_Nodes">'[18]TS Cau hinh-GD2'!#REF!</definedName>
    <definedName name="DataCenter_Nodes" localSheetId="7">#REF!</definedName>
    <definedName name="DataCenter_Nodes" localSheetId="6">#REF!</definedName>
    <definedName name="DataCenter_Nodes">#REF!</definedName>
    <definedName name="DataCenter_v26_Nodes" localSheetId="7">'[18]TS Cau hinh-GD2'!#REF!</definedName>
    <definedName name="DataCenter_v26_Nodes" localSheetId="6">'[18]TS Cau hinh-GD2'!#REF!</definedName>
    <definedName name="DataCenter_v26_Nodes">'[18]TS Cau hinh-GD2'!#REF!</definedName>
    <definedName name="DataFilter">[19]!DataFilter</definedName>
    <definedName name="DataSort">[19]!DataSort</definedName>
    <definedName name="ddd" localSheetId="7" hidden="1">{"'Sheet1'!$L$16"}</definedName>
    <definedName name="ddd" localSheetId="6" hidden="1">{"'Sheet1'!$L$16"}</definedName>
    <definedName name="ddd" hidden="1">{"'Sheet1'!$L$16"}</definedName>
    <definedName name="Description" localSheetId="7">#REF!</definedName>
    <definedName name="Description" localSheetId="6">#REF!</definedName>
    <definedName name="Description">#REF!</definedName>
    <definedName name="DestActorRange" localSheetId="7">#REF!</definedName>
    <definedName name="DestActorRange" localSheetId="6">#REF!</definedName>
    <definedName name="DestActorRange">#REF!</definedName>
    <definedName name="DICH11" localSheetId="7">'[5]EIRR&gt;1&lt;1'!#REF!</definedName>
    <definedName name="DICH11" localSheetId="6">'[5]EIRR&gt;1&lt;1'!#REF!</definedName>
    <definedName name="DICH11">'[5]EIRR&gt;1&lt;1'!#REF!</definedName>
    <definedName name="dich22" localSheetId="7">'[5]EIRR&gt; 2'!#REF!</definedName>
    <definedName name="dich22" localSheetId="6">'[5]EIRR&gt; 2'!#REF!</definedName>
    <definedName name="dich22">'[5]EIRR&gt; 2'!#REF!</definedName>
    <definedName name="DIMM_64MB_ECC_PC133" localSheetId="7">[12]DATA!#REF!</definedName>
    <definedName name="DIMM_64MB_ECC_PC133" localSheetId="6">[12]DATA!#REF!</definedName>
    <definedName name="DIMM_64MB_ECC_PC133">[12]DATA!#REF!</definedName>
    <definedName name="dinhmuc" localSheetId="7">#REF!</definedName>
    <definedName name="dinhmuc" localSheetId="5">#REF!</definedName>
    <definedName name="dinhmuc" localSheetId="6">#REF!</definedName>
    <definedName name="dinhmuc">'Ty le tv'!$L$12:$U$46</definedName>
    <definedName name="DK_Ngay_Hoan_Tat_TT" localSheetId="7">#REF!</definedName>
    <definedName name="DK_Ngay_Hoan_Tat_TT" localSheetId="6">#REF!</definedName>
    <definedName name="DK_Ngay_Hoan_Tat_TT">#REF!</definedName>
    <definedName name="Document_array" localSheetId="7">{"Book1","Duyet Kdin hBaChe.xls"}</definedName>
    <definedName name="Document_array" localSheetId="6">{"Book1","Duyet Kdin hBaChe.xls"}</definedName>
    <definedName name="Document_array">{"Book1","Duyet Kdin hBaChe.xls"}</definedName>
    <definedName name="Dongia_ChuyenDoiDL">'[20]B6 CĐDL'!$I$23</definedName>
    <definedName name="DSUMDATA" localSheetId="7">#REF!</definedName>
    <definedName name="DSUMDATA" localSheetId="6">#REF!</definedName>
    <definedName name="DSUMDATA">#REF!</definedName>
    <definedName name="dt" localSheetId="7">#REF!</definedName>
    <definedName name="dt" localSheetId="6">#REF!</definedName>
    <definedName name="dt">#REF!</definedName>
    <definedName name="DungLuongData__GB" localSheetId="7">'[18]TS Cau hinh-GD2'!#REF!</definedName>
    <definedName name="DungLuongData__GB" localSheetId="6">'[18]TS Cau hinh-GD2'!#REF!</definedName>
    <definedName name="DungLuongData__GB">'[18]TS Cau hinh-GD2'!#REF!</definedName>
    <definedName name="E">'[9]Du toan'!$D$13</definedName>
    <definedName name="EEPE" localSheetId="7" hidden="1">{"'Summary'!$A$1:$J$46"}</definedName>
    <definedName name="EEPE" localSheetId="6" hidden="1">{"'Summary'!$A$1:$J$46"}</definedName>
    <definedName name="EEPE" hidden="1">{"'Summary'!$A$1:$J$46"}</definedName>
    <definedName name="EEQ" localSheetId="7" hidden="1">{"'Summary'!$A$1:$J$46"}</definedName>
    <definedName name="EEQ" localSheetId="6" hidden="1">{"'Summary'!$A$1:$J$46"}</definedName>
    <definedName name="EEQ" hidden="1">{"'Summary'!$A$1:$J$46"}</definedName>
    <definedName name="EF" localSheetId="7">#REF!</definedName>
    <definedName name="EF" localSheetId="6">#REF!</definedName>
    <definedName name="EF">#REF!</definedName>
    <definedName name="EFW" localSheetId="7">#REF!</definedName>
    <definedName name="EFW" localSheetId="6">#REF!</definedName>
    <definedName name="EFW">#REF!</definedName>
    <definedName name="EIRR11" localSheetId="7">'[5]EIRR&gt;1&lt;1'!#REF!</definedName>
    <definedName name="EIRR11" localSheetId="6">'[5]EIRR&gt;1&lt;1'!#REF!</definedName>
    <definedName name="EIRR11">'[5]EIRR&gt;1&lt;1'!#REF!</definedName>
    <definedName name="EIRR22" localSheetId="7">'[5]EIRR&lt;2'!#REF!</definedName>
    <definedName name="EIRR22" localSheetId="6">'[5]EIRR&lt;2'!#REF!</definedName>
    <definedName name="EIRR22">'[5]EIRR&lt;2'!#REF!</definedName>
    <definedName name="ES" localSheetId="7">#REF!</definedName>
    <definedName name="ES" localSheetId="6">#REF!</definedName>
    <definedName name="ES">#REF!</definedName>
    <definedName name="EW" localSheetId="7" hidden="1">{"'Summary'!$A$1:$J$46"}</definedName>
    <definedName name="EW" localSheetId="6" hidden="1">{"'Summary'!$A$1:$J$46"}</definedName>
    <definedName name="EW" hidden="1">{"'Summary'!$A$1:$J$46"}</definedName>
    <definedName name="_xlnm.Extract" localSheetId="7">[15]SILICATE!#REF!</definedName>
    <definedName name="_xlnm.Extract" localSheetId="6">[15]SILICATE!#REF!</definedName>
    <definedName name="_xlnm.Extract">[15]SILICATE!#REF!</definedName>
    <definedName name="FACTOR" localSheetId="7">#REF!</definedName>
    <definedName name="FACTOR" localSheetId="6">#REF!</definedName>
    <definedName name="FACTOR">#REF!</definedName>
    <definedName name="fd" localSheetId="7" hidden="1">#REF!</definedName>
    <definedName name="fd" localSheetId="6" hidden="1">#REF!</definedName>
    <definedName name="fd" hidden="1">#REF!</definedName>
    <definedName name="FirstPage" localSheetId="7">#REF!</definedName>
    <definedName name="FirstPage" localSheetId="6">#REF!</definedName>
    <definedName name="FirstPage">#REF!</definedName>
    <definedName name="FirstWarn" localSheetId="7">#REF!</definedName>
    <definedName name="FirstWarn" localSheetId="6">#REF!</definedName>
    <definedName name="FirstWarn">#REF!</definedName>
    <definedName name="FP" localSheetId="7">'[1]COAT&amp;WRAP-QIOT-#3'!#REF!</definedName>
    <definedName name="FP" localSheetId="6">'[1]COAT&amp;WRAP-QIOT-#3'!#REF!</definedName>
    <definedName name="FP">'[1]COAT&amp;WRAP-QIOT-#3'!#REF!</definedName>
    <definedName name="fwesg" localSheetId="7">#REF!</definedName>
    <definedName name="fwesg" localSheetId="6">#REF!</definedName>
    <definedName name="fwesg">#REF!</definedName>
    <definedName name="gamatc">'[21]DO AM DT'!$AD$84</definedName>
    <definedName name="GoBack">[19]Sheet1!GoBack</definedName>
    <definedName name="GPT_GROUNDING_PT" localSheetId="7">'[22]NEW-PANEL'!#REF!</definedName>
    <definedName name="GPT_GROUNDING_PT" localSheetId="6">'[22]NEW-PANEL'!#REF!</definedName>
    <definedName name="GPT_GROUNDING_PT">'[22]NEW-PANEL'!#REF!</definedName>
    <definedName name="Group" localSheetId="7">#REF!</definedName>
    <definedName name="Group" localSheetId="6">#REF!</definedName>
    <definedName name="Group">#REF!</definedName>
    <definedName name="GroupA_Max" localSheetId="7">#REF!</definedName>
    <definedName name="GroupA_Max" localSheetId="6">#REF!</definedName>
    <definedName name="GroupA_Max">#REF!</definedName>
    <definedName name="GroupA_Min" localSheetId="7">#REF!</definedName>
    <definedName name="GroupA_Min" localSheetId="6">#REF!</definedName>
    <definedName name="GroupA_Min">#REF!</definedName>
    <definedName name="GroupB_Max" localSheetId="7">#REF!</definedName>
    <definedName name="GroupB_Max" localSheetId="6">#REF!</definedName>
    <definedName name="GroupB_Max">#REF!</definedName>
    <definedName name="GroupB_Min" localSheetId="7">#REF!</definedName>
    <definedName name="GroupB_Min" localSheetId="6">#REF!</definedName>
    <definedName name="GroupB_Min">#REF!</definedName>
    <definedName name="GroupC_Max" localSheetId="7">#REF!</definedName>
    <definedName name="GroupC_Max" localSheetId="6">#REF!</definedName>
    <definedName name="GroupC_Max">#REF!</definedName>
    <definedName name="GroupC_Min" localSheetId="7">#REF!</definedName>
    <definedName name="GroupC_Min" localSheetId="6">#REF!</definedName>
    <definedName name="GroupC_Min">#REF!</definedName>
    <definedName name="GroupD_Max" localSheetId="7">#REF!</definedName>
    <definedName name="GroupD_Max" localSheetId="6">#REF!</definedName>
    <definedName name="GroupD_Max">#REF!</definedName>
    <definedName name="GroupD_Min" localSheetId="7">#REF!</definedName>
    <definedName name="GroupD_Min" localSheetId="6">#REF!</definedName>
    <definedName name="GroupD_Min">#REF!</definedName>
    <definedName name="GroupE_Max" localSheetId="7">#REF!</definedName>
    <definedName name="GroupE_Max" localSheetId="6">#REF!</definedName>
    <definedName name="GroupE_Max">#REF!</definedName>
    <definedName name="GroupE_Min" localSheetId="7">#REF!</definedName>
    <definedName name="GroupE_Min" localSheetId="6">#REF!</definedName>
    <definedName name="GroupE_Min">#REF!</definedName>
    <definedName name="GTB" localSheetId="7">#REF!</definedName>
    <definedName name="GTB" localSheetId="6">#REF!</definedName>
    <definedName name="GTB">#REF!</definedName>
    <definedName name="Gxd">'[23]TH Kinh phi'!$G$42</definedName>
    <definedName name="H">'[9]Du toan'!$C$27</definedName>
    <definedName name="HCNA" localSheetId="7" hidden="1">{"'Sheet1'!$L$16"}</definedName>
    <definedName name="HCNA" localSheetId="6" hidden="1">{"'Sheet1'!$L$16"}</definedName>
    <definedName name="HCNA" hidden="1">{"'Sheet1'!$L$16"}</definedName>
    <definedName name="Heä_soá_laép_xaø_H">1.7</definedName>
    <definedName name="HesoGia_MTN" localSheetId="7">#REF!</definedName>
    <definedName name="HesoGia_MTN" localSheetId="6">#REF!</definedName>
    <definedName name="HesoGia_MTN">#REF!</definedName>
    <definedName name="Hints" localSheetId="7">#REF!</definedName>
    <definedName name="Hints" localSheetId="6">#REF!</definedName>
    <definedName name="Hints">#REF!</definedName>
    <definedName name="HintSystem" localSheetId="7">#REF!</definedName>
    <definedName name="HintSystem" localSheetId="6">#REF!</definedName>
    <definedName name="HintSystem">#REF!</definedName>
    <definedName name="hj" localSheetId="7">#REF!</definedName>
    <definedName name="hj" localSheetId="6">#REF!</definedName>
    <definedName name="hj">#REF!</definedName>
    <definedName name="hm" localSheetId="7">#REF!</definedName>
    <definedName name="hm" localSheetId="6">#REF!</definedName>
    <definedName name="hm">#REF!</definedName>
    <definedName name="HOME_MANP" localSheetId="7">#REF!</definedName>
    <definedName name="HOME_MANP" localSheetId="6">#REF!</definedName>
    <definedName name="HOME_MANP">#REF!</definedName>
    <definedName name="HOMEOFFICE_COST" localSheetId="7">#REF!</definedName>
    <definedName name="HOMEOFFICE_COST" localSheetId="6">#REF!</definedName>
    <definedName name="HOMEOFFICE_COST">#REF!</definedName>
    <definedName name="HSCT3">0.1</definedName>
    <definedName name="HSDN">2.5</definedName>
    <definedName name="htlm" localSheetId="7" hidden="1">{"'Sheet1'!$L$16"}</definedName>
    <definedName name="htlm" localSheetId="6" hidden="1">{"'Sheet1'!$L$16"}</definedName>
    <definedName name="htlm" hidden="1">{"'Sheet1'!$L$16"}</definedName>
    <definedName name="HTML_CodePage" hidden="1">950</definedName>
    <definedName name="HTML_Control" localSheetId="7" hidden="1">{"'Sheet1'!$L$16"}</definedName>
    <definedName name="HTML_Control" localSheetId="6"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ng" localSheetId="7">[12]DATA!#REF!</definedName>
    <definedName name="hung" localSheetId="6">[12]DATA!#REF!</definedName>
    <definedName name="hung">[12]DATA!#REF!</definedName>
    <definedName name="huy" localSheetId="7" hidden="1">{"'Sheet1'!$L$16"}</definedName>
    <definedName name="huy" localSheetId="6" hidden="1">{"'Sheet1'!$L$16"}</definedName>
    <definedName name="huy" hidden="1">{"'Sheet1'!$L$16"}</definedName>
    <definedName name="IDLAB_COST" localSheetId="7">#REF!</definedName>
    <definedName name="IDLAB_COST" localSheetId="6">#REF!</definedName>
    <definedName name="IDLAB_COST">#REF!</definedName>
    <definedName name="IND_LAB" localSheetId="7">#REF!</definedName>
    <definedName name="IND_LAB" localSheetId="6">#REF!</definedName>
    <definedName name="IND_LAB">#REF!</definedName>
    <definedName name="INDMANP" localSheetId="7">#REF!</definedName>
    <definedName name="INDMANP" localSheetId="6">#REF!</definedName>
    <definedName name="INDMANP">#REF!</definedName>
    <definedName name="IO" localSheetId="7">'[1]COAT&amp;WRAP-QIOT-#3'!#REF!</definedName>
    <definedName name="IO" localSheetId="6">'[1]COAT&amp;WRAP-QIOT-#3'!#REF!</definedName>
    <definedName name="IO">'[1]COAT&amp;WRAP-QIOT-#3'!#REF!</definedName>
    <definedName name="KhuyenmaiUPS">"AutoShape 264"</definedName>
    <definedName name="KLTHNH" localSheetId="7">{"ÿÿÿÿÿ","DT cau tam Ha trinh 7.xls","DT cau tam Ha trinh 3.xls"}</definedName>
    <definedName name="KLTHNH" localSheetId="6">{"ÿÿÿÿÿ","DT cau tam Ha trinh 7.xls","DT cau tam Ha trinh 3.xls"}</definedName>
    <definedName name="KLTHNH">{"ÿÿÿÿÿ","DT cau tam Ha trinh 7.xls","DT cau tam Ha trinh 3.xls"}</definedName>
    <definedName name="KPBD_DaoTao" localSheetId="7">#REF!</definedName>
    <definedName name="KPBD_DaoTao" localSheetId="6">#REF!</definedName>
    <definedName name="KPBD_DaoTao">#REF!</definedName>
    <definedName name="KPBD_TK_Huyen" localSheetId="7">#REF!</definedName>
    <definedName name="KPBD_TK_Huyen" localSheetId="6">#REF!</definedName>
    <definedName name="KPBD_TK_Huyen">#REF!</definedName>
    <definedName name="KPBD_TK_So" localSheetId="7">#REF!</definedName>
    <definedName name="KPBD_TK_So" localSheetId="6">#REF!</definedName>
    <definedName name="KPBD_TK_So">#REF!</definedName>
    <definedName name="KPBD_TK_Xa" localSheetId="7">#REF!</definedName>
    <definedName name="KPBD_TK_Xa" localSheetId="6">#REF!</definedName>
    <definedName name="KPBD_TK_Xa">#REF!</definedName>
    <definedName name="KPDT_Lop" localSheetId="7">#REF!</definedName>
    <definedName name="KPDT_Lop" localSheetId="6">#REF!</definedName>
    <definedName name="KPDT_Lop">#REF!</definedName>
    <definedName name="KPHoTro_DT" localSheetId="7">#REF!</definedName>
    <definedName name="KPHoTro_DT" localSheetId="6">#REF!</definedName>
    <definedName name="KPHoTro_DT">#REF!</definedName>
    <definedName name="KPNghiemThu_So" localSheetId="7">#REF!</definedName>
    <definedName name="KPNghiemThu_So" localSheetId="6">#REF!</definedName>
    <definedName name="KPNghiemThu_So">#REF!</definedName>
    <definedName name="KPTaiLieu" localSheetId="7">#REF!</definedName>
    <definedName name="KPTaiLieu" localSheetId="6">#REF!</definedName>
    <definedName name="KPTaiLieu">#REF!</definedName>
    <definedName name="KPTK_CapHuyen" localSheetId="7">#REF!</definedName>
    <definedName name="KPTK_CapHuyen" localSheetId="6">#REF!</definedName>
    <definedName name="KPTK_CapHuyen">#REF!</definedName>
    <definedName name="KPTK_CapXa" localSheetId="7">#REF!</definedName>
    <definedName name="KPTK_CapXa" localSheetId="6">#REF!</definedName>
    <definedName name="KPTK_CapXa">#REF!</definedName>
    <definedName name="KPTK_H" localSheetId="7">#REF!</definedName>
    <definedName name="KPTK_H" localSheetId="6">#REF!</definedName>
    <definedName name="KPTK_H">#REF!</definedName>
    <definedName name="KPTK_SO" localSheetId="7">#REF!</definedName>
    <definedName name="KPTK_SO" localSheetId="6">#REF!</definedName>
    <definedName name="KPTK_SO">#REF!</definedName>
    <definedName name="KPTK_X" localSheetId="7">#REF!</definedName>
    <definedName name="KPTK_X" localSheetId="6">#REF!</definedName>
    <definedName name="KPTK_X">#REF!</definedName>
    <definedName name="ks" localSheetId="7">#REF!</definedName>
    <definedName name="ks" localSheetId="6">#REF!</definedName>
    <definedName name="ks">#REF!</definedName>
    <definedName name="ksbn" localSheetId="7" hidden="1">{"'Sheet1'!$L$16"}</definedName>
    <definedName name="ksbn" localSheetId="6" hidden="1">{"'Sheet1'!$L$16"}</definedName>
    <definedName name="ksbn" hidden="1">{"'Sheet1'!$L$16"}</definedName>
    <definedName name="kshn" localSheetId="7" hidden="1">{"'Sheet1'!$L$16"}</definedName>
    <definedName name="kshn" localSheetId="6" hidden="1">{"'Sheet1'!$L$16"}</definedName>
    <definedName name="kshn" hidden="1">{"'Sheet1'!$L$16"}</definedName>
    <definedName name="ksls" localSheetId="7" hidden="1">{"'Sheet1'!$L$16"}</definedName>
    <definedName name="ksls" localSheetId="6" hidden="1">{"'Sheet1'!$L$16"}</definedName>
    <definedName name="ksls" hidden="1">{"'Sheet1'!$L$16"}</definedName>
    <definedName name="L63x6">5800</definedName>
    <definedName name="langson" localSheetId="7" hidden="1">{"'Sheet1'!$L$16"}</definedName>
    <definedName name="langson" localSheetId="6" hidden="1">{"'Sheet1'!$L$16"}</definedName>
    <definedName name="langson" hidden="1">{"'Sheet1'!$L$16"}</definedName>
    <definedName name="Lap_dat_td">'[24]M 67'!$A$37:$F$40</definedName>
    <definedName name="LBS_22">107800000</definedName>
    <definedName name="LoaiCT" localSheetId="7">#REF!</definedName>
    <definedName name="LoaiCT" localSheetId="6">#REF!</definedName>
    <definedName name="LoaiCT">#REF!</definedName>
    <definedName name="lón2">[25]Temp!$B$3</definedName>
    <definedName name="lón3">[25]Temp!$B$4</definedName>
    <definedName name="lón5">[25]Temp!$B$6</definedName>
    <definedName name="m" localSheetId="7">#REF!</definedName>
    <definedName name="m" localSheetId="6">#REF!</definedName>
    <definedName name="m">#REF!</definedName>
    <definedName name="MAJ_CON_EQP" localSheetId="7">#REF!</definedName>
    <definedName name="MAJ_CON_EQP" localSheetId="6">#REF!</definedName>
    <definedName name="MAJ_CON_EQP">#REF!</definedName>
    <definedName name="MAT" localSheetId="7">'[1]COAT&amp;WRAP-QIOT-#3'!#REF!</definedName>
    <definedName name="MAT" localSheetId="6">'[1]COAT&amp;WRAP-QIOT-#3'!#REF!</definedName>
    <definedName name="MAT">'[1]COAT&amp;WRAP-QIOT-#3'!#REF!</definedName>
    <definedName name="MB_Intel_Server_C440GX_Dual_Sl2_ATX" localSheetId="7">[12]DATA!#REF!</definedName>
    <definedName name="MB_Intel_Server_C440GX_Dual_Sl2_ATX" localSheetId="6">[12]DATA!#REF!</definedName>
    <definedName name="MB_Intel_Server_C440GX_Dual_Sl2_ATX">[12]DATA!#REF!</definedName>
    <definedName name="MB_Tomato_810B_Twin" localSheetId="7">[12]DATA!#REF!</definedName>
    <definedName name="MB_Tomato_810B_Twin" localSheetId="6">[12]DATA!#REF!</definedName>
    <definedName name="MB_Tomato_810B_Twin">[12]DATA!#REF!</definedName>
    <definedName name="MF" localSheetId="7">'[1]COAT&amp;WRAP-QIOT-#3'!#REF!</definedName>
    <definedName name="MF" localSheetId="6">'[1]COAT&amp;WRAP-QIOT-#3'!#REF!</definedName>
    <definedName name="MF">'[1]COAT&amp;WRAP-QIOT-#3'!#REF!</definedName>
    <definedName name="MirrorMode" localSheetId="7">#REF!</definedName>
    <definedName name="MirrorMode" localSheetId="6">#REF!</definedName>
    <definedName name="MirrorMode">#REF!</definedName>
    <definedName name="mo" localSheetId="7" hidden="1">{"'Sheet1'!$L$16"}</definedName>
    <definedName name="mo" localSheetId="6" hidden="1">{"'Sheet1'!$L$16"}</definedName>
    <definedName name="mo" hidden="1">{"'Sheet1'!$L$16"}</definedName>
    <definedName name="moi" localSheetId="7" hidden="1">{"'Sheet1'!$L$16"}</definedName>
    <definedName name="moi" localSheetId="6" hidden="1">{"'Sheet1'!$L$16"}</definedName>
    <definedName name="moi" hidden="1">{"'Sheet1'!$L$16"}</definedName>
    <definedName name="n">'[21]DO AM DT'!$G$102</definedName>
    <definedName name="n.s" localSheetId="7">[26]Nhâncông!#REF!</definedName>
    <definedName name="n.s" localSheetId="6">[26]Nhâncông!#REF!</definedName>
    <definedName name="n.s">[26]Nhâncông!#REF!</definedName>
    <definedName name="Na" localSheetId="7">[10]CPKhac!#REF!</definedName>
    <definedName name="Na" localSheetId="6">[10]CPKhac!#REF!</definedName>
    <definedName name="Na">[10]CPKhac!#REF!</definedName>
    <definedName name="nam" localSheetId="7" hidden="1">{"'Sheet1'!$L$16"}</definedName>
    <definedName name="nam" localSheetId="6" hidden="1">{"'Sheet1'!$L$16"}</definedName>
    <definedName name="nam" hidden="1">{"'Sheet1'!$L$16"}</definedName>
    <definedName name="NationalAllPrice" localSheetId="7">#REF!</definedName>
    <definedName name="NationalAllPrice" localSheetId="6">#REF!</definedName>
    <definedName name="NationalAllPrice">#REF!</definedName>
    <definedName name="NationalePrice" localSheetId="7">#REF!</definedName>
    <definedName name="NationalePrice" localSheetId="6">#REF!</definedName>
    <definedName name="NationalePrice">#REF!</definedName>
    <definedName name="NationalPrice" localSheetId="7">#REF!</definedName>
    <definedName name="NationalPrice" localSheetId="6">#REF!</definedName>
    <definedName name="NationalPrice">#REF!</definedName>
    <definedName name="Nb" localSheetId="7">[10]CPKhac!#REF!</definedName>
    <definedName name="Nb" localSheetId="6">[10]CPKhac!#REF!</definedName>
    <definedName name="Nb">[10]CPKhac!#REF!</definedName>
    <definedName name="Ne" localSheetId="7" hidden="1">{"'Sheet1'!$L$16"}</definedName>
    <definedName name="Ne" localSheetId="6" hidden="1">{"'Sheet1'!$L$16"}</definedName>
    <definedName name="Ne" hidden="1">{"'Sheet1'!$L$16"}</definedName>
    <definedName name="Nem" localSheetId="7" hidden="1">{"'Sheet1'!$L$16"}</definedName>
    <definedName name="Nem" localSheetId="6" hidden="1">{"'Sheet1'!$L$16"}</definedName>
    <definedName name="Nem" hidden="1">{"'Sheet1'!$L$16"}</definedName>
    <definedName name="NET" localSheetId="7">#REF!</definedName>
    <definedName name="NET" localSheetId="6">#REF!</definedName>
    <definedName name="NET">#REF!</definedName>
    <definedName name="NET_1" localSheetId="7">#REF!</definedName>
    <definedName name="NET_1" localSheetId="6">#REF!</definedName>
    <definedName name="NET_1">#REF!</definedName>
    <definedName name="NET_ANA" localSheetId="7">#REF!</definedName>
    <definedName name="NET_ANA" localSheetId="6">#REF!</definedName>
    <definedName name="NET_ANA">#REF!</definedName>
    <definedName name="NET_ANA_1" localSheetId="7">#REF!</definedName>
    <definedName name="NET_ANA_1" localSheetId="6">#REF!</definedName>
    <definedName name="NET_ANA_1">#REF!</definedName>
    <definedName name="NET_ANA_2" localSheetId="7">#REF!</definedName>
    <definedName name="NET_ANA_2" localSheetId="6">#REF!</definedName>
    <definedName name="NET_ANA_2">#REF!</definedName>
    <definedName name="ngu" localSheetId="7" hidden="1">{"'Sheet1'!$L$16"}</definedName>
    <definedName name="ngu" localSheetId="6" hidden="1">{"'Sheet1'!$L$16"}</definedName>
    <definedName name="ngu" hidden="1">{"'Sheet1'!$L$16"}</definedName>
    <definedName name="Nhan_cong_ky_su" localSheetId="7">#REF!</definedName>
    <definedName name="Nhan_cong_ky_su" localSheetId="6">#REF!</definedName>
    <definedName name="Nhan_cong_ky_su">#REF!</definedName>
    <definedName name="Nhaplieu" localSheetId="7">#REF!</definedName>
    <definedName name="Nhaplieu" localSheetId="6">#REF!</definedName>
    <definedName name="Nhaplieu">#REF!</definedName>
    <definedName name="NK" localSheetId="7">#REF!</definedName>
    <definedName name="NK" localSheetId="6">#REF!</definedName>
    <definedName name="NK">#REF!</definedName>
    <definedName name="NK_VC" localSheetId="7">#REF!</definedName>
    <definedName name="NK_VC" localSheetId="6">#REF!</definedName>
    <definedName name="NK_VC">#REF!</definedName>
    <definedName name="nnn" localSheetId="7" hidden="1">{"'Sheet1'!$L$16"}</definedName>
    <definedName name="nnn" localSheetId="6" hidden="1">{"'Sheet1'!$L$16"}</definedName>
    <definedName name="nnn" hidden="1">{"'Sheet1'!$L$16"}</definedName>
    <definedName name="Nodes" localSheetId="7">#REF!</definedName>
    <definedName name="Nodes" localSheetId="6">#REF!</definedName>
    <definedName name="Nodes">#REF!</definedName>
    <definedName name="NoPrice" localSheetId="7">#REF!</definedName>
    <definedName name="NoPrice" localSheetId="6">#REF!</definedName>
    <definedName name="NoPrice">#REF!</definedName>
    <definedName name="Number" localSheetId="7">#REF!</definedName>
    <definedName name="Number" localSheetId="6">#REF!</definedName>
    <definedName name="Number">#REF!</definedName>
    <definedName name="Numberx" localSheetId="7">#REF!</definedName>
    <definedName name="Numberx" localSheetId="6">#REF!</definedName>
    <definedName name="Numberx">#REF!</definedName>
    <definedName name="NumShifts_Day" localSheetId="7">#REF!</definedName>
    <definedName name="NumShifts_Day" localSheetId="6">#REF!</definedName>
    <definedName name="NumShifts_Day">#REF!</definedName>
    <definedName name="o" localSheetId="7" hidden="1">{"'Sheet1'!$L$16"}</definedName>
    <definedName name="o" localSheetId="6" hidden="1">{"'Sheet1'!$L$16"}</definedName>
    <definedName name="o" hidden="1">{"'Sheet1'!$L$16"}</definedName>
    <definedName name="OClientComp0" localSheetId="7">#REF!</definedName>
    <definedName name="OClientComp0" localSheetId="6">#REF!</definedName>
    <definedName name="OClientComp0">#REF!</definedName>
    <definedName name="OClientCompany" localSheetId="7">#REF!</definedName>
    <definedName name="OClientCompany" localSheetId="6">#REF!</definedName>
    <definedName name="OClientCompany">#REF!</definedName>
    <definedName name="OClientCountry" localSheetId="7">#REF!</definedName>
    <definedName name="OClientCountry" localSheetId="6">#REF!</definedName>
    <definedName name="OClientCountry">#REF!</definedName>
    <definedName name="OClientEmail" localSheetId="7">#REF!</definedName>
    <definedName name="OClientEmail" localSheetId="6">#REF!</definedName>
    <definedName name="OClientEmail">#REF!</definedName>
    <definedName name="OClientFax" localSheetId="7">#REF!</definedName>
    <definedName name="OClientFax" localSheetId="6">#REF!</definedName>
    <definedName name="OClientFax">#REF!</definedName>
    <definedName name="OClientName" localSheetId="7">#REF!</definedName>
    <definedName name="OClientName" localSheetId="6">#REF!</definedName>
    <definedName name="OClientName">#REF!</definedName>
    <definedName name="OClientStreet" localSheetId="7">#REF!</definedName>
    <definedName name="OClientStreet" localSheetId="6">#REF!</definedName>
    <definedName name="OClientStreet">#REF!</definedName>
    <definedName name="OClientTel" localSheetId="7">#REF!</definedName>
    <definedName name="OClientTel" localSheetId="6">#REF!</definedName>
    <definedName name="OClientTel">#REF!</definedName>
    <definedName name="OClientTown" localSheetId="7">#REF!</definedName>
    <definedName name="OClientTown" localSheetId="6">#REF!</definedName>
    <definedName name="OClientTown">#REF!</definedName>
    <definedName name="OldNumber" localSheetId="7">#REF!</definedName>
    <definedName name="OldNumber" localSheetId="6">#REF!</definedName>
    <definedName name="OldNumber">#REF!</definedName>
    <definedName name="OS" localSheetId="7">#REF!</definedName>
    <definedName name="OS" localSheetId="6">#REF!</definedName>
    <definedName name="OS">#REF!</definedName>
    <definedName name="OTHER_PANEL" localSheetId="7">'[22]NEW-PANEL'!#REF!</definedName>
    <definedName name="OTHER_PANEL" localSheetId="6">'[22]NEW-PANEL'!#REF!</definedName>
    <definedName name="OTHER_PANEL">'[22]NEW-PANEL'!#REF!</definedName>
    <definedName name="OVersion" localSheetId="7">#REF!</definedName>
    <definedName name="OVersion" localSheetId="6">#REF!</definedName>
    <definedName name="OVersion">#REF!</definedName>
    <definedName name="P" localSheetId="7">#REF!</definedName>
    <definedName name="P" localSheetId="6">#REF!</definedName>
    <definedName name="P">#REF!</definedName>
    <definedName name="PDO" localSheetId="7" hidden="1">{"'Summary'!$A$1:$J$46"}</definedName>
    <definedName name="PDO" localSheetId="6" hidden="1">{"'Summary'!$A$1:$J$46"}</definedName>
    <definedName name="PDO" hidden="1">{"'Summary'!$A$1:$J$46"}</definedName>
    <definedName name="pdqt" localSheetId="7">#REF!</definedName>
    <definedName name="pdqt" localSheetId="5">#REF!</definedName>
    <definedName name="pdqt" localSheetId="6">#REF!</definedName>
    <definedName name="pdqt">'Ty le tv'!$L$48:$R$50</definedName>
    <definedName name="PEJM" localSheetId="7">'[1]COAT&amp;WRAP-QIOT-#3'!#REF!</definedName>
    <definedName name="PEJM" localSheetId="6">'[1]COAT&amp;WRAP-QIOT-#3'!#REF!</definedName>
    <definedName name="PEJM">'[1]COAT&amp;WRAP-QIOT-#3'!#REF!</definedName>
    <definedName name="PF" localSheetId="7">'[1]PNT-QUOT-#3'!#REF!</definedName>
    <definedName name="PF" localSheetId="6">'[1]PNT-QUOT-#3'!#REF!</definedName>
    <definedName name="PF">'[1]PNT-QUOT-#3'!#REF!</definedName>
    <definedName name="phanloai" localSheetId="7">#REF!</definedName>
    <definedName name="phanloai" localSheetId="5">#REF!</definedName>
    <definedName name="phanloai" localSheetId="6">#REF!</definedName>
    <definedName name="phanloai">#REF!</definedName>
    <definedName name="Phi_PH_Thu_BLNH" localSheetId="7">#REF!</definedName>
    <definedName name="Phi_PH_Thu_BLNH" localSheetId="6">#REF!</definedName>
    <definedName name="Phi_PH_Thu_BLNH">#REF!</definedName>
    <definedName name="PL" localSheetId="7" hidden="1">{"'Sheet1'!$L$16"}</definedName>
    <definedName name="PL" localSheetId="6" hidden="1">{"'Sheet1'!$L$16"}</definedName>
    <definedName name="PL" hidden="1">{"'Sheet1'!$L$16"}</definedName>
    <definedName name="PL_指示燈___P.B.___REST_P.B._壓扣開關" localSheetId="7">'[22]NEW-PANEL'!#REF!</definedName>
    <definedName name="PL_指示燈___P.B.___REST_P.B._壓扣開關" localSheetId="6">'[22]NEW-PANEL'!#REF!</definedName>
    <definedName name="PL_指示燈___P.B.___REST_P.B._壓扣開關">'[22]NEW-PANEL'!#REF!</definedName>
    <definedName name="PM">[27]IBASE!$AH$16:$AV$110</definedName>
    <definedName name="PowerCord" localSheetId="7">[12]DATA!#REF!</definedName>
    <definedName name="PowerCord" localSheetId="6">[12]DATA!#REF!</definedName>
    <definedName name="PowerCord">[12]DATA!#REF!</definedName>
    <definedName name="pr" localSheetId="7">#REF!</definedName>
    <definedName name="pr" localSheetId="5">#REF!</definedName>
    <definedName name="pr" localSheetId="6">#REF!</definedName>
    <definedName name="pr">#REF!</definedName>
    <definedName name="Pr." localSheetId="7">#REF!</definedName>
    <definedName name="Pr." localSheetId="6">#REF!</definedName>
    <definedName name="Pr.">#REF!</definedName>
    <definedName name="Price" localSheetId="7">#REF!</definedName>
    <definedName name="Price" localSheetId="6">#REF!</definedName>
    <definedName name="Price">#REF!</definedName>
    <definedName name="PRICE1" localSheetId="7">#REF!</definedName>
    <definedName name="PRICE1" localSheetId="6">#REF!</definedName>
    <definedName name="PRICE1">#REF!</definedName>
    <definedName name="PriceColumn" localSheetId="7">#REF!</definedName>
    <definedName name="PriceColumn" localSheetId="6">#REF!</definedName>
    <definedName name="PriceColumn">#REF!</definedName>
    <definedName name="PriceColumnEuro" localSheetId="7">#REF!</definedName>
    <definedName name="PriceColumnEuro" localSheetId="6">#REF!</definedName>
    <definedName name="PriceColumnEuro">#REF!</definedName>
    <definedName name="PriceCur" localSheetId="7">#REF!</definedName>
    <definedName name="PriceCur" localSheetId="6">#REF!</definedName>
    <definedName name="PriceCur">#REF!</definedName>
    <definedName name="_xlnm.Print_Area" localSheetId="7">#REF!</definedName>
    <definedName name="_xlnm.Print_Area" localSheetId="6">#REF!</definedName>
    <definedName name="_xlnm.Print_Area">#REF!</definedName>
    <definedName name="Print_Area_MI">[28]ESTI.!$A$1:$U$52</definedName>
    <definedName name="_xlnm.Print_Titles">#N/A</definedName>
    <definedName name="Print_Titles_MI" localSheetId="7">#REF!</definedName>
    <definedName name="Print_Titles_MI" localSheetId="6">#REF!</definedName>
    <definedName name="Print_Titles_MI">#REF!</definedName>
    <definedName name="PRINTA" localSheetId="7">#REF!</definedName>
    <definedName name="PRINTA" localSheetId="6">#REF!</definedName>
    <definedName name="PRINTA">#REF!</definedName>
    <definedName name="PRINTB" localSheetId="7">#REF!</definedName>
    <definedName name="PRINTB" localSheetId="6">#REF!</definedName>
    <definedName name="PRINTB">#REF!</definedName>
    <definedName name="PRINTC" localSheetId="7">#REF!</definedName>
    <definedName name="PRINTC" localSheetId="6">#REF!</definedName>
    <definedName name="PRINTC">#REF!</definedName>
    <definedName name="PROPOSAL" localSheetId="7">#REF!</definedName>
    <definedName name="PROPOSAL" localSheetId="6">#REF!</definedName>
    <definedName name="PROPOSAL">#REF!</definedName>
    <definedName name="PT" localSheetId="7">#REF!</definedName>
    <definedName name="PT" localSheetId="6">#REF!</definedName>
    <definedName name="PT">#REF!</definedName>
    <definedName name="rate">14000</definedName>
    <definedName name="RECOUT">#N/A</definedName>
    <definedName name="RFP003A" localSheetId="7">#REF!</definedName>
    <definedName name="RFP003A" localSheetId="6">#REF!</definedName>
    <definedName name="RFP003A">#REF!</definedName>
    <definedName name="RFP003B" localSheetId="7">#REF!</definedName>
    <definedName name="RFP003B" localSheetId="6">#REF!</definedName>
    <definedName name="RFP003B">#REF!</definedName>
    <definedName name="RFP003C" localSheetId="7">#REF!</definedName>
    <definedName name="RFP003C" localSheetId="6">#REF!</definedName>
    <definedName name="RFP003C">#REF!</definedName>
    <definedName name="RFP003D" localSheetId="7">#REF!</definedName>
    <definedName name="RFP003D" localSheetId="6">#REF!</definedName>
    <definedName name="RFP003D">#REF!</definedName>
    <definedName name="RFP003E" localSheetId="7">#REF!</definedName>
    <definedName name="RFP003E" localSheetId="6">#REF!</definedName>
    <definedName name="RFP003E">#REF!</definedName>
    <definedName name="RFP003F" localSheetId="7">#REF!</definedName>
    <definedName name="RFP003F" localSheetId="6">#REF!</definedName>
    <definedName name="RFP003F">#REF!</definedName>
    <definedName name="RT" localSheetId="7">'[1]COAT&amp;WRAP-QIOT-#3'!#REF!</definedName>
    <definedName name="RT" localSheetId="6">'[1]COAT&amp;WRAP-QIOT-#3'!#REF!</definedName>
    <definedName name="RT">'[1]COAT&amp;WRAP-QIOT-#3'!#REF!</definedName>
    <definedName name="s" localSheetId="7">{"'Sheet1'!$L$16"}</definedName>
    <definedName name="s" localSheetId="6">{"'Sheet1'!$L$16"}</definedName>
    <definedName name="s">{"'Sheet1'!$L$16"}</definedName>
    <definedName name="SAP" localSheetId="7">#REF!</definedName>
    <definedName name="SAP" localSheetId="6">#REF!</definedName>
    <definedName name="SAP">#REF!</definedName>
    <definedName name="SB">[27]IBASE!$AH$7:$AL$14</definedName>
    <definedName name="SCH" localSheetId="7">#REF!</definedName>
    <definedName name="SCH" localSheetId="6">#REF!</definedName>
    <definedName name="SCH">#REF!</definedName>
    <definedName name="Schaltfläche2_BeiKlick">#N/A</definedName>
    <definedName name="sd" localSheetId="7">[12]DATA!#REF!</definedName>
    <definedName name="sd" localSheetId="6">[12]DATA!#REF!</definedName>
    <definedName name="sd">[12]DATA!#REF!</definedName>
    <definedName name="sdfsd" localSheetId="7">'[1]PNT-QUOT-#3'!#REF!</definedName>
    <definedName name="sdfsd" localSheetId="6">'[1]PNT-QUOT-#3'!#REF!</definedName>
    <definedName name="sdfsd">'[1]PNT-QUOT-#3'!#REF!</definedName>
    <definedName name="SingleCur" localSheetId="7">#REF!</definedName>
    <definedName name="SingleCur" localSheetId="6">#REF!</definedName>
    <definedName name="SingleCur">#REF!</definedName>
    <definedName name="SingleEuro" localSheetId="7">#REF!</definedName>
    <definedName name="SingleEuro" localSheetId="6">#REF!</definedName>
    <definedName name="SingleEuro">#REF!</definedName>
    <definedName name="SinglrCur" localSheetId="7">#REF!</definedName>
    <definedName name="SinglrCur" localSheetId="6">#REF!</definedName>
    <definedName name="SinglrCur">#REF!</definedName>
    <definedName name="SIZE" localSheetId="7">#REF!</definedName>
    <definedName name="SIZE" localSheetId="6">#REF!</definedName>
    <definedName name="SIZE">#REF!</definedName>
    <definedName name="SoCB_CapHuyen" localSheetId="7">#REF!</definedName>
    <definedName name="SoCB_CapHuyen" localSheetId="6">#REF!</definedName>
    <definedName name="SoCB_CapHuyen">#REF!</definedName>
    <definedName name="SoCB_CapTinh" localSheetId="7">#REF!</definedName>
    <definedName name="SoCB_CapTinh" localSheetId="6">#REF!</definedName>
    <definedName name="SoCB_CapTinh">#REF!</definedName>
    <definedName name="SoCB_CapXa" localSheetId="7">#REF!</definedName>
    <definedName name="SoCB_CapXa" localSheetId="6">#REF!</definedName>
    <definedName name="SoCB_CapXa">#REF!</definedName>
    <definedName name="SoChinhanh" localSheetId="7">#REF!</definedName>
    <definedName name="SoChinhanh" localSheetId="6">#REF!</definedName>
    <definedName name="SoChinhanh">#REF!</definedName>
    <definedName name="Soft" localSheetId="7">#REF!</definedName>
    <definedName name="Soft" localSheetId="6">#REF!</definedName>
    <definedName name="Soft">#REF!</definedName>
    <definedName name="SoHT">1</definedName>
    <definedName name="Solop_tinh" localSheetId="7">#REF!</definedName>
    <definedName name="Solop_tinh" localSheetId="6">#REF!</definedName>
    <definedName name="Solop_tinh">#REF!</definedName>
    <definedName name="Sonam_Trienkhai">'[20]Cau hinh'!$C$2</definedName>
    <definedName name="SORT" localSheetId="7">#REF!</definedName>
    <definedName name="SORT" localSheetId="6">#REF!</definedName>
    <definedName name="SORT">#REF!</definedName>
    <definedName name="SORT_AREA">'[28]DI-ESTI'!$A$8:$R$489</definedName>
    <definedName name="SoTinh_NhomA" localSheetId="7">'[18]TS Cau hinh-GD2'!#REF!</definedName>
    <definedName name="SoTinh_NhomA" localSheetId="6">'[18]TS Cau hinh-GD2'!#REF!</definedName>
    <definedName name="SoTinh_NhomA">'[18]TS Cau hinh-GD2'!#REF!</definedName>
    <definedName name="SoTinh_NhomB" localSheetId="7">'[18]TS Cau hinh-GD2'!#REF!</definedName>
    <definedName name="SoTinh_NhomB" localSheetId="6">'[18]TS Cau hinh-GD2'!#REF!</definedName>
    <definedName name="SoTinh_NhomB">'[18]TS Cau hinh-GD2'!#REF!</definedName>
    <definedName name="SoTinh_NhomC" localSheetId="7">'[18]TS Cau hinh-GD2'!#REF!</definedName>
    <definedName name="SoTinh_NhomC" localSheetId="6">'[18]TS Cau hinh-GD2'!#REF!</definedName>
    <definedName name="SoTinh_NhomC">'[18]TS Cau hinh-GD2'!#REF!</definedName>
    <definedName name="SourceActorRange" localSheetId="7">#REF!</definedName>
    <definedName name="SourceActorRange" localSheetId="6">#REF!</definedName>
    <definedName name="SourceActorRange">#REF!</definedName>
    <definedName name="SourceUseCaseRange" localSheetId="7">#REF!</definedName>
    <definedName name="SourceUseCaseRange" localSheetId="6">#REF!</definedName>
    <definedName name="SourceUseCaseRange">#REF!</definedName>
    <definedName name="SP" localSheetId="7">'[1]PNT-QUOT-#3'!#REF!</definedName>
    <definedName name="SP" localSheetId="6">'[1]PNT-QUOT-#3'!#REF!</definedName>
    <definedName name="SP">'[1]PNT-QUOT-#3'!#REF!</definedName>
    <definedName name="SPECSUMMARY" localSheetId="7">#REF!</definedName>
    <definedName name="SPECSUMMARY" localSheetId="6">#REF!</definedName>
    <definedName name="SPECSUMMARY">#REF!</definedName>
    <definedName name="Speed_ManualEnroll_10Fingers" localSheetId="7">'[29]Tham so'!#REF!</definedName>
    <definedName name="Speed_ManualEnroll_10Fingers" localSheetId="6">'[29]Tham so'!#REF!</definedName>
    <definedName name="Speed_ManualEnroll_10Fingers">'[29]Tham so'!#REF!</definedName>
    <definedName name="srbn" localSheetId="7">{"Thuxm2.xls","Sheet1"}</definedName>
    <definedName name="srbn" localSheetId="6">{"Thuxm2.xls","Sheet1"}</definedName>
    <definedName name="srbn">{"Thuxm2.xls","Sheet1"}</definedName>
    <definedName name="sssd" localSheetId="7" hidden="1">{#N/A,#N/A,FALSE,"Chi tiÆt"}</definedName>
    <definedName name="sssd" localSheetId="6" hidden="1">{#N/A,#N/A,FALSE,"Chi tiÆt"}</definedName>
    <definedName name="sssd" hidden="1">{#N/A,#N/A,FALSE,"Chi tiÆt"}</definedName>
    <definedName name="Start" localSheetId="7">#REF!</definedName>
    <definedName name="Start" localSheetId="6">#REF!</definedName>
    <definedName name="Start">#REF!</definedName>
    <definedName name="StartHints" localSheetId="7">#REF!</definedName>
    <definedName name="StartHints" localSheetId="6">#REF!</definedName>
    <definedName name="StartHints">#REF!</definedName>
    <definedName name="Subbase" localSheetId="7" hidden="1">{"'Sheet1'!$L$16"}</definedName>
    <definedName name="Subbase" localSheetId="6" hidden="1">{"'Sheet1'!$L$16"}</definedName>
    <definedName name="Subbase" hidden="1">{"'Sheet1'!$L$16"}</definedName>
    <definedName name="SumCur" localSheetId="7">#REF!</definedName>
    <definedName name="SumCur" localSheetId="6">#REF!</definedName>
    <definedName name="SumCur">#REF!</definedName>
    <definedName name="SumEuro" localSheetId="7">#REF!</definedName>
    <definedName name="SumEuro" localSheetId="6">#REF!</definedName>
    <definedName name="SumEuro">#REF!</definedName>
    <definedName name="SUMMARY" localSheetId="7">#REF!</definedName>
    <definedName name="SUMMARY" localSheetId="6">#REF!</definedName>
    <definedName name="SUMMARY">#REF!</definedName>
    <definedName name="SysName" localSheetId="7">#REF!</definedName>
    <definedName name="SysName" localSheetId="6">#REF!</definedName>
    <definedName name="SysName">#REF!</definedName>
    <definedName name="SystemName" localSheetId="7">#REF!</definedName>
    <definedName name="SystemName" localSheetId="6">#REF!</definedName>
    <definedName name="SystemName">#REF!</definedName>
    <definedName name="TAW">'[9]Appendix 3'!$F$8</definedName>
    <definedName name="TaxTV">10%</definedName>
    <definedName name="TaxXL">5%</definedName>
    <definedName name="TB">[30]ThietBi!$J$26</definedName>
    <definedName name="TBF">'[9]Appendix 4'!$E$18</definedName>
    <definedName name="TCF" localSheetId="7">#REF!</definedName>
    <definedName name="TCF" localSheetId="6">#REF!</definedName>
    <definedName name="TCF">#REF!</definedName>
    <definedName name="Ten_tinh" localSheetId="7">#REF!</definedName>
    <definedName name="Ten_tinh" localSheetId="6">#REF!</definedName>
    <definedName name="Ten_tinh">#REF!</definedName>
    <definedName name="TFW" localSheetId="7">#REF!</definedName>
    <definedName name="TFW" localSheetId="6">#REF!</definedName>
    <definedName name="TFW">#REF!</definedName>
    <definedName name="tg" localSheetId="7">'[31]1.TDT kinh phi'!#REF!</definedName>
    <definedName name="tg" localSheetId="5">'[32]1.TDT kinh phi'!#REF!</definedName>
    <definedName name="tg" localSheetId="6">'[31]1.TDT kinh phi'!#REF!</definedName>
    <definedName name="tg">'[31]1.TDT kinh phi'!#REF!</definedName>
    <definedName name="tha" localSheetId="7" hidden="1">{"'Sheet1'!$L$16"}</definedName>
    <definedName name="tha" localSheetId="6" hidden="1">{"'Sheet1'!$L$16"}</definedName>
    <definedName name="tha" hidden="1">{"'Sheet1'!$L$16"}</definedName>
    <definedName name="thepma">10500</definedName>
    <definedName name="THK" localSheetId="7">'[1]COAT&amp;WRAP-QIOT-#3'!#REF!</definedName>
    <definedName name="THK" localSheetId="6">'[1]COAT&amp;WRAP-QIOT-#3'!#REF!</definedName>
    <definedName name="THK">'[1]COAT&amp;WRAP-QIOT-#3'!#REF!</definedName>
    <definedName name="THop2">[33]TDT!$D$88</definedName>
    <definedName name="thu" localSheetId="7" hidden="1">{"'Sheet1'!$L$16"}</definedName>
    <definedName name="thu" localSheetId="6" hidden="1">{"'Sheet1'!$L$16"}</definedName>
    <definedName name="thu" hidden="1">{"'Sheet1'!$L$16"}</definedName>
    <definedName name="Thuế_thiết_bị_ngoại_vi">'[34]Tham so'!$D$5</definedName>
    <definedName name="thuy" localSheetId="7" hidden="1">{"'Sheet1'!$L$16"}</definedName>
    <definedName name="thuy" localSheetId="6" hidden="1">{"'Sheet1'!$L$16"}</definedName>
    <definedName name="thuy" hidden="1">{"'Sheet1'!$L$16"}</definedName>
    <definedName name="Tiepdiama">9500</definedName>
    <definedName name="tigia">[35]Sheet1!$J$2</definedName>
    <definedName name="TITAN" localSheetId="7">#REF!</definedName>
    <definedName name="TITAN" localSheetId="6">#REF!</definedName>
    <definedName name="TITAN">#REF!</definedName>
    <definedName name="TLTV2" localSheetId="7">#REF!</definedName>
    <definedName name="TLTV2" localSheetId="6">#REF!</definedName>
    <definedName name="TLTV2">#REF!</definedName>
    <definedName name="TMDT" localSheetId="7">[14]Tonghop!#REF!</definedName>
    <definedName name="TMDT" localSheetId="6">[14]Tonghop!#REF!</definedName>
    <definedName name="TMDT">[14]Tonghop!#REF!</definedName>
    <definedName name="tn" localSheetId="7">#REF!</definedName>
    <definedName name="tn" localSheetId="6">#REF!</definedName>
    <definedName name="tn">#REF!</definedName>
    <definedName name="ton">'[21]DO AM DT'!$AC$84</definedName>
    <definedName name="tonghop2" localSheetId="7">#REF!</definedName>
    <definedName name="tonghop2" localSheetId="6">#REF!</definedName>
    <definedName name="tonghop2">#REF!</definedName>
    <definedName name="TOTAL" localSheetId="7">[14]Tonghop!#REF!</definedName>
    <definedName name="TOTAL" localSheetId="6">[14]Tonghop!#REF!</definedName>
    <definedName name="TOTAL">[14]Tonghop!#REF!</definedName>
    <definedName name="TotalDataC27__GB" localSheetId="7">'[18]TS Cau hinh-GD2'!#REF!</definedName>
    <definedName name="TotalDataC27__GB" localSheetId="6">'[18]TS Cau hinh-GD2'!#REF!</definedName>
    <definedName name="TotalDataC27__GB">'[18]TS Cau hinh-GD2'!#REF!</definedName>
    <definedName name="TotalPrice" localSheetId="7">#REF!</definedName>
    <definedName name="TotalPrice" localSheetId="6">#REF!</definedName>
    <definedName name="TotalPrice">#REF!</definedName>
    <definedName name="totb" localSheetId="7">'[21]DO AM DT'!#REF!</definedName>
    <definedName name="totb" localSheetId="6">'[21]DO AM DT'!#REF!</definedName>
    <definedName name="totb">'[21]DO AM DT'!#REF!</definedName>
    <definedName name="totb1" localSheetId="7">'[21]DO AM DT'!#REF!</definedName>
    <definedName name="totb1" localSheetId="6">'[21]DO AM DT'!#REF!</definedName>
    <definedName name="totb1">'[21]DO AM DT'!#REF!</definedName>
    <definedName name="totb2" localSheetId="7">'[21]DO AM DT'!#REF!</definedName>
    <definedName name="totb2" localSheetId="6">'[21]DO AM DT'!#REF!</definedName>
    <definedName name="totb2">'[21]DO AM DT'!#REF!</definedName>
    <definedName name="totb3" localSheetId="7">'[21]DO AM DT'!#REF!</definedName>
    <definedName name="totb3" localSheetId="6">'[21]DO AM DT'!#REF!</definedName>
    <definedName name="totb3">'[21]DO AM DT'!#REF!</definedName>
    <definedName name="totb4" localSheetId="7">'[21]DO AM DT'!#REF!</definedName>
    <definedName name="totb4" localSheetId="6">'[21]DO AM DT'!#REF!</definedName>
    <definedName name="totb4">'[21]DO AM DT'!#REF!</definedName>
    <definedName name="totb5" localSheetId="7">'[21]DO AM DT'!#REF!</definedName>
    <definedName name="totb5" localSheetId="6">'[21]DO AM DT'!#REF!</definedName>
    <definedName name="totb5">'[21]DO AM DT'!#REF!</definedName>
    <definedName name="totb6" localSheetId="7">'[21]DO AM DT'!#REF!</definedName>
    <definedName name="totb6" localSheetId="6">'[21]DO AM DT'!#REF!</definedName>
    <definedName name="totb6">'[21]DO AM DT'!#REF!</definedName>
    <definedName name="totbtoi" localSheetId="7">#REF!</definedName>
    <definedName name="totbtoi" localSheetId="6">#REF!</definedName>
    <definedName name="totbtoi">#REF!</definedName>
    <definedName name="tp" localSheetId="7">#REF!</definedName>
    <definedName name="tp" localSheetId="6">#REF!</definedName>
    <definedName name="tp">#REF!</definedName>
    <definedName name="TPLRP" localSheetId="7">#REF!</definedName>
    <definedName name="TPLRP" localSheetId="6">#REF!</definedName>
    <definedName name="TPLRP">#REF!</definedName>
    <definedName name="TRADE2" localSheetId="7">#REF!</definedName>
    <definedName name="TRADE2" localSheetId="6">#REF!</definedName>
    <definedName name="TRADE2">#REF!</definedName>
    <definedName name="TRANSFORMER" localSheetId="7">'[22]NEW-PANEL'!#REF!</definedName>
    <definedName name="TRANSFORMER" localSheetId="6">'[22]NEW-PANEL'!#REF!</definedName>
    <definedName name="TRANSFORMER">'[22]NEW-PANEL'!#REF!</definedName>
    <definedName name="tto" localSheetId="7">#REF!</definedName>
    <definedName name="tto" localSheetId="6">#REF!</definedName>
    <definedName name="tto">#REF!</definedName>
    <definedName name="ttoxtp" localSheetId="7">#REF!</definedName>
    <definedName name="ttoxtp" localSheetId="6">#REF!</definedName>
    <definedName name="ttoxtp">#REF!</definedName>
    <definedName name="tuyennhanh" localSheetId="7" hidden="1">{"'Sheet1'!$L$16"}</definedName>
    <definedName name="tuyennhanh" localSheetId="6" hidden="1">{"'Sheet1'!$L$16"}</definedName>
    <definedName name="tuyennhanh" hidden="1">{"'Sheet1'!$L$16"}</definedName>
    <definedName name="Ty_gia" localSheetId="7">#REF!</definedName>
    <definedName name="Ty_gia" localSheetId="6">#REF!</definedName>
    <definedName name="Ty_gia">#REF!</definedName>
    <definedName name="Tỷ_giá_USD_VNĐ">'[18]Tong hopKP-GD2'!$D$2</definedName>
    <definedName name="Tyle_CP_Duphong" localSheetId="7">'[36]Chi phi thiet bi'!#REF!</definedName>
    <definedName name="Tyle_CP_Duphong" localSheetId="6">'[36]Chi phi thiet bi'!#REF!</definedName>
    <definedName name="Tyle_CP_Duphong">'[36]Chi phi thiet bi'!#REF!</definedName>
    <definedName name="TyleDKHT_DSo" localSheetId="7">#REF!</definedName>
    <definedName name="TyleDKHT_DSo" localSheetId="6">#REF!</definedName>
    <definedName name="TyleDKHT_DSo">#REF!</definedName>
    <definedName name="ưeqe" localSheetId="7">'[6]MTO REV.2(ARMOR)'!#REF!</definedName>
    <definedName name="ưeqe" localSheetId="6">'[6]MTO REV.2(ARMOR)'!#REF!</definedName>
    <definedName name="ưeqe">'[6]MTO REV.2(ARMOR)'!#REF!</definedName>
    <definedName name="UniqueActor" localSheetId="7">#REF!</definedName>
    <definedName name="UniqueActor" localSheetId="6">#REF!</definedName>
    <definedName name="UniqueActor">#REF!</definedName>
    <definedName name="UpdDurattion_Minute" localSheetId="7">#REF!</definedName>
    <definedName name="UpdDurattion_Minute" localSheetId="6">#REF!</definedName>
    <definedName name="UpdDurattion_Minute">#REF!</definedName>
    <definedName name="ưqeưeư" localSheetId="7">'[6]MTO REV.2(ARMOR)'!#REF!</definedName>
    <definedName name="ưqeưeư" localSheetId="6">'[6]MTO REV.2(ARMOR)'!#REF!</definedName>
    <definedName name="ưqeưeư">'[6]MTO REV.2(ARMOR)'!#REF!</definedName>
    <definedName name="UserCompany" localSheetId="7">#REF!</definedName>
    <definedName name="UserCompany" localSheetId="6">#REF!</definedName>
    <definedName name="UserCompany">#REF!</definedName>
    <definedName name="UserEmail" localSheetId="7">#REF!</definedName>
    <definedName name="UserEmail" localSheetId="6">#REF!</definedName>
    <definedName name="UserEmail">#REF!</definedName>
    <definedName name="UserFax" localSheetId="7">#REF!</definedName>
    <definedName name="UserFax" localSheetId="6">#REF!</definedName>
    <definedName name="UserFax">#REF!</definedName>
    <definedName name="UserFSC" localSheetId="7">#REF!</definedName>
    <definedName name="UserFSC" localSheetId="6">#REF!</definedName>
    <definedName name="UserFSC">#REF!</definedName>
    <definedName name="UserName" localSheetId="7">#REF!</definedName>
    <definedName name="UserName" localSheetId="6">#REF!</definedName>
    <definedName name="UserName">#REF!</definedName>
    <definedName name="UserStreet" localSheetId="7">#REF!</definedName>
    <definedName name="UserStreet" localSheetId="6">#REF!</definedName>
    <definedName name="UserStreet">#REF!</definedName>
    <definedName name="UserTel" localSheetId="7">#REF!</definedName>
    <definedName name="UserTel" localSheetId="6">#REF!</definedName>
    <definedName name="UserTel">#REF!</definedName>
    <definedName name="UserTown" localSheetId="7">#REF!</definedName>
    <definedName name="UserTown" localSheetId="6">#REF!</definedName>
    <definedName name="UserTown">#REF!</definedName>
    <definedName name="UUCP">'[9]Du toan'!$D$8</definedName>
    <definedName name="VAT_others">[37]Define!$B$6</definedName>
    <definedName name="VAT_PC">[37]Define!$B$4</definedName>
    <definedName name="VAT_SW">[37]Define!$B$8</definedName>
    <definedName name="vcoto" localSheetId="7" hidden="1">{"'Sheet1'!$L$16"}</definedName>
    <definedName name="vcoto" localSheetId="6" hidden="1">{"'Sheet1'!$L$16"}</definedName>
    <definedName name="vcoto" hidden="1">{"'Sheet1'!$L$16"}</definedName>
    <definedName name="Version" localSheetId="7">#REF!</definedName>
    <definedName name="Version" localSheetId="6">#REF!</definedName>
    <definedName name="Version">#REF!</definedName>
    <definedName name="VersionText" localSheetId="7">#REF!</definedName>
    <definedName name="VersionText" localSheetId="6">#REF!</definedName>
    <definedName name="VersionText">#REF!</definedName>
    <definedName name="vlct" localSheetId="7" hidden="1">{"'Sheet1'!$L$16"}</definedName>
    <definedName name="vlct" localSheetId="6" hidden="1">{"'Sheet1'!$L$16"}</definedName>
    <definedName name="vlct" hidden="1">{"'Sheet1'!$L$16"}</definedName>
    <definedName name="WarrantyCountry" localSheetId="7">#REF!</definedName>
    <definedName name="WarrantyCountry" localSheetId="6">#REF!</definedName>
    <definedName name="WarrantyCountry">#REF!</definedName>
    <definedName name="wrn.aaa." localSheetId="7" hidden="1">{#N/A,#N/A,FALSE,"Sheet1";#N/A,#N/A,FALSE,"Sheet1";#N/A,#N/A,FALSE,"Sheet1"}</definedName>
    <definedName name="wrn.aaa." localSheetId="6" hidden="1">{#N/A,#N/A,FALSE,"Sheet1";#N/A,#N/A,FALSE,"Sheet1";#N/A,#N/A,FALSE,"Sheet1"}</definedName>
    <definedName name="wrn.aaa." hidden="1">{#N/A,#N/A,FALSE,"Sheet1";#N/A,#N/A,FALSE,"Sheet1";#N/A,#N/A,FALSE,"Sheet1"}</definedName>
    <definedName name="wrn.chi._.tiÆt." localSheetId="7" hidden="1">{#N/A,#N/A,FALSE,"Chi tiÆt"}</definedName>
    <definedName name="wrn.chi._.tiÆt." localSheetId="6" hidden="1">{#N/A,#N/A,FALSE,"Chi tiÆt"}</definedName>
    <definedName name="wrn.chi._.tiÆt." hidden="1">{#N/A,#N/A,FALSE,"Chi tiÆt"}</definedName>
    <definedName name="wrn.cong." localSheetId="7" hidden="1">{#N/A,#N/A,FALSE,"Sheet1"}</definedName>
    <definedName name="wrn.cong." localSheetId="6" hidden="1">{#N/A,#N/A,FALSE,"Sheet1"}</definedName>
    <definedName name="wrn.cong." hidden="1">{#N/A,#N/A,FALSE,"Sheet1"}</definedName>
    <definedName name="ww" localSheetId="7">{"Thuxm2.xls","Sheet1"}</definedName>
    <definedName name="ww" localSheetId="6">{"Thuxm2.xls","Sheet1"}</definedName>
    <definedName name="ww">{"Thuxm2.xls","Sheet1"}</definedName>
    <definedName name="XCCT">0.5</definedName>
    <definedName name="xlttbninh" localSheetId="7" hidden="1">{"'Sheet1'!$L$16"}</definedName>
    <definedName name="xlttbninh" localSheetId="6" hidden="1">{"'Sheet1'!$L$16"}</definedName>
    <definedName name="xlttbninh" hidden="1">{"'Sheet1'!$L$16"}</definedName>
    <definedName name="yxcyxc" localSheetId="7">#REF!</definedName>
    <definedName name="yxcyxc" localSheetId="6">#REF!</definedName>
    <definedName name="yxcyxc">#REF!</definedName>
    <definedName name="ZYX" localSheetId="7">#REF!</definedName>
    <definedName name="ZYX" localSheetId="6">#REF!</definedName>
    <definedName name="ZYX">#REF!</definedName>
    <definedName name="ZZZ" localSheetId="7">#REF!</definedName>
    <definedName name="ZZZ" localSheetId="6">#REF!</definedName>
    <definedName name="Z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19" i="68" l="1"/>
  <c r="A318" i="68"/>
  <c r="A317" i="68"/>
  <c r="A316" i="68"/>
  <c r="A315" i="68"/>
  <c r="A314" i="68"/>
  <c r="A312" i="68"/>
  <c r="A311" i="68"/>
  <c r="A310" i="68"/>
  <c r="A309" i="68"/>
  <c r="A308" i="68"/>
  <c r="A307" i="68"/>
  <c r="A305" i="68"/>
  <c r="A304" i="68"/>
  <c r="A303" i="68"/>
  <c r="A302" i="68"/>
  <c r="A301" i="68"/>
  <c r="A300" i="68"/>
  <c r="A298" i="68"/>
  <c r="A297" i="68"/>
  <c r="A296" i="68"/>
  <c r="A295" i="68"/>
  <c r="A294" i="68"/>
  <c r="A293" i="68"/>
  <c r="A291" i="68"/>
  <c r="A290" i="68"/>
  <c r="A289" i="68"/>
  <c r="A288" i="68"/>
  <c r="A287" i="68"/>
  <c r="A286" i="68"/>
  <c r="A284" i="68"/>
  <c r="A283" i="68"/>
  <c r="A282" i="68"/>
  <c r="A281" i="68"/>
  <c r="A280" i="68"/>
  <c r="A279" i="68"/>
  <c r="A277" i="68"/>
  <c r="A276" i="68"/>
  <c r="A275" i="68"/>
  <c r="A274" i="68"/>
  <c r="A273" i="68"/>
  <c r="A272" i="68"/>
  <c r="A270" i="68"/>
  <c r="A269" i="68"/>
  <c r="A268" i="68"/>
  <c r="A267" i="68"/>
  <c r="A266" i="68"/>
  <c r="A265" i="68"/>
  <c r="A263" i="68"/>
  <c r="A262" i="68"/>
  <c r="A261" i="68"/>
  <c r="A260" i="68"/>
  <c r="A259" i="68"/>
  <c r="A258" i="68"/>
  <c r="A256" i="68"/>
  <c r="A255" i="68"/>
  <c r="A254" i="68"/>
  <c r="A253" i="68"/>
  <c r="A252" i="68"/>
  <c r="A251" i="68"/>
  <c r="A249" i="68"/>
  <c r="A248" i="68"/>
  <c r="A247" i="68"/>
  <c r="A246" i="68"/>
  <c r="A245" i="68"/>
  <c r="A244" i="68"/>
  <c r="A242" i="68"/>
  <c r="A241" i="68"/>
  <c r="A240" i="68"/>
  <c r="A239" i="68"/>
  <c r="A238" i="68"/>
  <c r="A237" i="68"/>
  <c r="A235" i="68"/>
  <c r="A234" i="68"/>
  <c r="A233" i="68"/>
  <c r="A232" i="68"/>
  <c r="A231" i="68"/>
  <c r="A230" i="68"/>
  <c r="A228" i="68"/>
  <c r="A227" i="68"/>
  <c r="A226" i="68"/>
  <c r="A225" i="68"/>
  <c r="A224" i="68"/>
  <c r="A223" i="68"/>
  <c r="A221" i="68"/>
  <c r="A220" i="68"/>
  <c r="A219" i="68"/>
  <c r="A218" i="68"/>
  <c r="A217" i="68"/>
  <c r="A216" i="68"/>
  <c r="A214" i="68"/>
  <c r="A213" i="68"/>
  <c r="A212" i="68"/>
  <c r="A211" i="68"/>
  <c r="A210" i="68"/>
  <c r="A209" i="68"/>
  <c r="A207" i="68"/>
  <c r="A206" i="68"/>
  <c r="A205" i="68"/>
  <c r="A204" i="68"/>
  <c r="A203" i="68"/>
  <c r="A202" i="68"/>
  <c r="A200" i="68"/>
  <c r="A199" i="68"/>
  <c r="A198" i="68"/>
  <c r="A197" i="68"/>
  <c r="A196" i="68"/>
  <c r="A195" i="68"/>
  <c r="A193" i="68"/>
  <c r="A192" i="68"/>
  <c r="A191" i="68"/>
  <c r="A190" i="68"/>
  <c r="A189" i="68"/>
  <c r="A188" i="68"/>
  <c r="A186" i="68"/>
  <c r="A185" i="68"/>
  <c r="A184" i="68"/>
  <c r="A183" i="68"/>
  <c r="A182" i="68"/>
  <c r="A181" i="68"/>
  <c r="A179" i="68"/>
  <c r="A178" i="68"/>
  <c r="A177" i="68"/>
  <c r="A176" i="68"/>
  <c r="A175" i="68"/>
  <c r="A174" i="68"/>
  <c r="A171" i="68"/>
  <c r="A170" i="68"/>
  <c r="A169" i="68"/>
  <c r="A167" i="68"/>
  <c r="A166" i="68"/>
  <c r="A165" i="68"/>
  <c r="A163" i="68"/>
  <c r="A162" i="68"/>
  <c r="A161" i="68"/>
  <c r="A158" i="68"/>
  <c r="A157" i="68"/>
  <c r="A155" i="68"/>
  <c r="A154" i="68"/>
  <c r="A151" i="68"/>
  <c r="A150" i="68"/>
  <c r="A148" i="68"/>
  <c r="A147" i="68"/>
  <c r="A144" i="68"/>
  <c r="A143" i="68"/>
  <c r="A142" i="68"/>
  <c r="A140" i="68"/>
  <c r="A139" i="68"/>
  <c r="A138" i="68"/>
  <c r="A135" i="68"/>
  <c r="A134" i="68"/>
  <c r="A133" i="68"/>
  <c r="A131" i="68"/>
  <c r="A130" i="68"/>
  <c r="A129" i="68"/>
  <c r="A126" i="68"/>
  <c r="A125" i="68"/>
  <c r="A124" i="68"/>
  <c r="A123" i="68"/>
  <c r="A121" i="68"/>
  <c r="A120" i="68"/>
  <c r="A119" i="68"/>
  <c r="A117" i="68"/>
  <c r="A116" i="68"/>
  <c r="A115" i="68"/>
  <c r="A114" i="68"/>
  <c r="A111" i="68"/>
  <c r="A110" i="68"/>
  <c r="A108" i="68"/>
  <c r="A107" i="68"/>
  <c r="A106" i="68"/>
  <c r="A104" i="68"/>
  <c r="A103" i="68"/>
  <c r="A102" i="68"/>
  <c r="A99" i="68"/>
  <c r="A97" i="68"/>
  <c r="A96" i="68"/>
  <c r="A94" i="68"/>
  <c r="A93" i="68"/>
  <c r="A92" i="68"/>
  <c r="A89" i="68"/>
  <c r="A87" i="68"/>
  <c r="A86" i="68"/>
  <c r="A85" i="68"/>
  <c r="A84" i="68"/>
  <c r="A82" i="68"/>
  <c r="A81" i="68"/>
  <c r="A79" i="68"/>
  <c r="A78" i="68"/>
  <c r="A77" i="68"/>
  <c r="A76" i="68"/>
  <c r="A74" i="68"/>
  <c r="A73" i="68"/>
  <c r="A72" i="68"/>
  <c r="A71" i="68"/>
  <c r="A70" i="68"/>
  <c r="A69" i="68"/>
  <c r="A68" i="68"/>
  <c r="A66" i="68"/>
  <c r="A65" i="68"/>
  <c r="A64" i="68"/>
  <c r="A63" i="68"/>
  <c r="A61" i="68"/>
  <c r="A60" i="68"/>
  <c r="A59" i="68"/>
  <c r="A58" i="68"/>
  <c r="A57" i="68"/>
  <c r="A56" i="68"/>
  <c r="A54" i="68"/>
  <c r="A53" i="68"/>
  <c r="A52" i="68"/>
  <c r="A51" i="68"/>
  <c r="A50" i="68"/>
  <c r="A49" i="68"/>
  <c r="A48" i="68"/>
  <c r="A47" i="68"/>
  <c r="A45" i="68"/>
  <c r="A44" i="68"/>
  <c r="A43" i="68"/>
  <c r="A42" i="68"/>
  <c r="A40" i="68"/>
  <c r="A39" i="68"/>
  <c r="A38" i="68"/>
  <c r="A37" i="68"/>
  <c r="A36" i="68"/>
  <c r="A35" i="68"/>
  <c r="A34" i="68"/>
  <c r="A33" i="68"/>
  <c r="A31" i="68"/>
  <c r="A30" i="68"/>
  <c r="A29" i="68"/>
  <c r="A28" i="68"/>
  <c r="A27" i="68"/>
  <c r="A26" i="68"/>
  <c r="A25" i="68"/>
  <c r="A24" i="68"/>
  <c r="A22" i="68"/>
  <c r="A20" i="68"/>
  <c r="A19" i="68"/>
  <c r="A18" i="68"/>
  <c r="A17" i="68"/>
  <c r="A16" i="68"/>
  <c r="A15" i="68"/>
  <c r="A14" i="68"/>
  <c r="A12" i="68"/>
  <c r="A10" i="68"/>
  <c r="A9" i="68"/>
  <c r="A8" i="68"/>
  <c r="A7" i="68"/>
  <c r="A6" i="68"/>
  <c r="A5" i="68"/>
  <c r="A4" i="68"/>
  <c r="A11" i="68" s="1"/>
  <c r="A338" i="68"/>
  <c r="A337" i="68"/>
  <c r="A335" i="68"/>
  <c r="A334" i="68"/>
  <c r="A332" i="68"/>
  <c r="A331" i="68"/>
  <c r="A329" i="68"/>
  <c r="A328" i="68"/>
  <c r="A326" i="68"/>
  <c r="A325" i="68"/>
  <c r="A324" i="68"/>
  <c r="A323" i="68"/>
  <c r="A322" i="68"/>
  <c r="A368" i="68"/>
  <c r="A366" i="68"/>
  <c r="A365" i="68"/>
  <c r="A364" i="68"/>
  <c r="A363" i="68"/>
  <c r="A362" i="68"/>
  <c r="A361" i="68"/>
  <c r="A359" i="68"/>
  <c r="A358" i="68"/>
  <c r="A357" i="68"/>
  <c r="A355" i="68"/>
  <c r="A354" i="68"/>
  <c r="A353" i="68"/>
  <c r="A352" i="68"/>
  <c r="A350" i="68"/>
  <c r="A349" i="68"/>
  <c r="A348" i="68"/>
  <c r="A347" i="68"/>
  <c r="A346" i="68"/>
  <c r="A345" i="68"/>
  <c r="A344" i="68"/>
  <c r="A13" i="68" l="1"/>
  <c r="A21" i="68" l="1"/>
  <c r="A23" i="68" l="1"/>
  <c r="A32" i="68" l="1"/>
  <c r="A41" i="68" s="1"/>
  <c r="A46" i="68" l="1"/>
  <c r="A55" i="68" l="1"/>
  <c r="A62" i="68" l="1"/>
  <c r="A67" i="68" l="1"/>
  <c r="A75" i="68" l="1"/>
  <c r="A80" i="68" l="1"/>
  <c r="A83" i="68" l="1"/>
  <c r="A88" i="68" l="1"/>
  <c r="A91" i="68" s="1"/>
  <c r="A95" i="68" l="1"/>
  <c r="A98" i="68" l="1"/>
  <c r="A101" i="68" l="1"/>
  <c r="A105" i="68" l="1"/>
  <c r="A109" i="68" l="1"/>
  <c r="A113" i="68" l="1"/>
  <c r="A118" i="68" l="1"/>
  <c r="A122" i="68" l="1"/>
  <c r="A128" i="68" s="1"/>
  <c r="A132" i="68" l="1"/>
  <c r="A137" i="68"/>
  <c r="A141" i="68" l="1"/>
  <c r="A146" i="68"/>
  <c r="A149" i="68" l="1"/>
  <c r="A153" i="68" l="1"/>
  <c r="A156" i="68" l="1"/>
  <c r="A160" i="68" l="1"/>
  <c r="A164" i="68" s="1"/>
  <c r="A168" i="68" l="1"/>
  <c r="A173" i="68" l="1"/>
  <c r="A180" i="68" l="1"/>
  <c r="A187" i="68"/>
  <c r="A194" i="68" l="1"/>
  <c r="A201" i="68" l="1"/>
  <c r="A208" i="68" l="1"/>
  <c r="A215" i="68" l="1"/>
  <c r="A222" i="68" l="1"/>
  <c r="A229" i="68" l="1"/>
  <c r="A236" i="68" l="1"/>
  <c r="A243" i="68" l="1"/>
  <c r="A250" i="68" l="1"/>
  <c r="A257" i="68" l="1"/>
  <c r="A264" i="68" l="1"/>
  <c r="A271" i="68" l="1"/>
  <c r="A278" i="68" l="1"/>
  <c r="A285" i="68" l="1"/>
  <c r="A292" i="68" l="1"/>
  <c r="A299" i="68" l="1"/>
  <c r="A306" i="68" l="1"/>
  <c r="A313" i="68" l="1"/>
  <c r="F5" i="60" l="1"/>
  <c r="G5" i="60" s="1"/>
  <c r="G4" i="60" s="1"/>
  <c r="H5" i="60" l="1"/>
  <c r="H4" i="60" s="1"/>
  <c r="I5" i="60" l="1"/>
  <c r="I4" i="60" s="1"/>
  <c r="F8" i="52" l="1"/>
  <c r="F7" i="52"/>
  <c r="I14" i="62"/>
  <c r="J7" i="62"/>
  <c r="L7" i="62" s="1"/>
  <c r="J5" i="62"/>
  <c r="L5" i="62" s="1"/>
  <c r="J4" i="62"/>
  <c r="F4" i="61"/>
  <c r="I3" i="61"/>
  <c r="H3" i="61"/>
  <c r="G2" i="61"/>
  <c r="G4" i="61" s="1"/>
  <c r="H2" i="61" l="1"/>
  <c r="H4" i="61" s="1"/>
  <c r="I2" i="61"/>
  <c r="I4" i="61" s="1"/>
  <c r="K7" i="62"/>
  <c r="F6" i="52"/>
  <c r="F5" i="52"/>
  <c r="F4" i="52" s="1"/>
  <c r="F3" i="52" s="1"/>
  <c r="J14" i="62"/>
  <c r="K5" i="62"/>
  <c r="K4" i="62"/>
  <c r="L4" i="62"/>
  <c r="L14" i="62" s="1"/>
  <c r="D8" i="33"/>
  <c r="E8" i="33" s="1"/>
  <c r="F8" i="33" s="1"/>
  <c r="F9" i="52" l="1"/>
  <c r="F10" i="52" s="1"/>
  <c r="F11" i="52" s="1"/>
  <c r="F12" i="52" s="1"/>
  <c r="K14" i="62"/>
  <c r="C54" i="42" l="1"/>
  <c r="C77" i="42"/>
  <c r="C78" i="42"/>
  <c r="C74" i="42"/>
  <c r="C44" i="42" s="1"/>
  <c r="C71" i="42"/>
  <c r="C69" i="42"/>
  <c r="C70" i="42"/>
  <c r="C68" i="42"/>
  <c r="C67" i="42"/>
  <c r="C66" i="42"/>
  <c r="C65" i="42"/>
  <c r="C62" i="42"/>
  <c r="C61" i="42"/>
  <c r="C60" i="42"/>
  <c r="C59" i="42"/>
  <c r="C56" i="42"/>
  <c r="C55" i="42"/>
  <c r="C49" i="42" l="1"/>
  <c r="C24" i="42"/>
  <c r="C21" i="42"/>
  <c r="C50" i="42"/>
  <c r="C12" i="42"/>
  <c r="C15" i="42"/>
  <c r="C18" i="42"/>
  <c r="J1" i="33"/>
  <c r="B10" i="33" l="1"/>
  <c r="B11" i="33"/>
  <c r="B9" i="33"/>
  <c r="D7" i="33"/>
  <c r="I40" i="42"/>
  <c r="E7" i="33" l="1"/>
  <c r="F7" i="33" s="1"/>
  <c r="D5" i="33"/>
  <c r="I16" i="42" l="1"/>
  <c r="I22" i="42"/>
  <c r="D4" i="33"/>
  <c r="I45" i="42"/>
  <c r="I42" i="42"/>
  <c r="I34" i="42"/>
  <c r="I28" i="42"/>
  <c r="I19" i="42"/>
  <c r="I37" i="42"/>
  <c r="I25" i="42"/>
  <c r="I13" i="42"/>
  <c r="H22" i="42" l="1"/>
  <c r="F22" i="42" s="1"/>
  <c r="G22" i="42"/>
  <c r="E22" i="42" s="1"/>
  <c r="G16" i="42"/>
  <c r="E16" i="42" s="1"/>
  <c r="H16" i="42"/>
  <c r="F16" i="42" s="1"/>
  <c r="H40" i="42"/>
  <c r="F40" i="42" s="1"/>
  <c r="G40" i="42"/>
  <c r="E40" i="42" s="1"/>
  <c r="D22" i="42" l="1"/>
  <c r="B22" i="42" s="1"/>
  <c r="D16" i="42"/>
  <c r="B16" i="42" s="1"/>
  <c r="D40" i="42"/>
  <c r="B40" i="42" s="1"/>
  <c r="B39" i="42" s="1"/>
  <c r="G19" i="42" l="1"/>
  <c r="E19" i="42" s="1"/>
  <c r="H19" i="42"/>
  <c r="F19" i="42" s="1"/>
  <c r="G37" i="42"/>
  <c r="E37" i="42" s="1"/>
  <c r="H37" i="42"/>
  <c r="F37" i="42" s="1"/>
  <c r="H13" i="42"/>
  <c r="F13" i="42" s="1"/>
  <c r="G13" i="42"/>
  <c r="E13" i="42" s="1"/>
  <c r="G34" i="42"/>
  <c r="E34" i="42" s="1"/>
  <c r="H34" i="42"/>
  <c r="F34" i="42" s="1"/>
  <c r="H28" i="42"/>
  <c r="F28" i="42" s="1"/>
  <c r="G28" i="42"/>
  <c r="E28" i="42" s="1"/>
  <c r="G45" i="42"/>
  <c r="E45" i="42" s="1"/>
  <c r="H45" i="42"/>
  <c r="F45" i="42" s="1"/>
  <c r="H25" i="42"/>
  <c r="F25" i="42" s="1"/>
  <c r="G25" i="42"/>
  <c r="E25" i="42" s="1"/>
  <c r="G42" i="42"/>
  <c r="E42" i="42" s="1"/>
  <c r="H42" i="42"/>
  <c r="F42" i="42" s="1"/>
  <c r="D42" i="42" l="1"/>
  <c r="B42" i="42" s="1"/>
  <c r="D45" i="42"/>
  <c r="B45" i="42" s="1"/>
  <c r="D34" i="42"/>
  <c r="B34" i="42" s="1"/>
  <c r="D37" i="42"/>
  <c r="B37" i="42" s="1"/>
  <c r="D19" i="42"/>
  <c r="B19" i="42" s="1"/>
  <c r="D25" i="42"/>
  <c r="B25" i="42" s="1"/>
  <c r="D28" i="42"/>
  <c r="B28" i="42" s="1"/>
  <c r="D13" i="42"/>
  <c r="B13" i="42" s="1"/>
  <c r="B31" i="42" l="1"/>
  <c r="E17" i="25"/>
  <c r="D17" i="25"/>
  <c r="C17" i="25"/>
  <c r="G11" i="25" l="1"/>
  <c r="I11" i="25" s="1"/>
  <c r="H11" i="25"/>
  <c r="G6" i="25" l="1"/>
  <c r="H2" i="25" l="1"/>
  <c r="H3" i="25"/>
  <c r="H18" i="25"/>
  <c r="H22" i="25"/>
  <c r="H15" i="25"/>
  <c r="H14" i="25"/>
  <c r="H5" i="25"/>
  <c r="H9" i="25"/>
  <c r="H20" i="25"/>
  <c r="H12" i="25"/>
  <c r="H21" i="25"/>
  <c r="H7" i="25"/>
  <c r="H8" i="25"/>
  <c r="H19" i="25"/>
  <c r="H16" i="25"/>
  <c r="H13" i="25"/>
  <c r="H6" i="25"/>
  <c r="H4" i="25"/>
  <c r="E30" i="25"/>
  <c r="C23" i="25"/>
  <c r="D23" i="25"/>
  <c r="E23" i="25"/>
  <c r="H38" i="9"/>
  <c r="H17" i="25" l="1"/>
  <c r="H23" i="25" s="1"/>
  <c r="G9" i="25"/>
  <c r="I9" i="25" l="1"/>
  <c r="G2" i="25"/>
  <c r="G3" i="25"/>
  <c r="G18" i="25"/>
  <c r="G22" i="25"/>
  <c r="G15" i="25"/>
  <c r="G14" i="25"/>
  <c r="G5" i="25"/>
  <c r="G20" i="25"/>
  <c r="G12" i="25"/>
  <c r="G21" i="25"/>
  <c r="G7" i="25"/>
  <c r="G8" i="25"/>
  <c r="G19" i="25"/>
  <c r="G16" i="25"/>
  <c r="G13" i="25"/>
  <c r="I6" i="25"/>
  <c r="G4" i="25"/>
  <c r="G28" i="9"/>
  <c r="E28" i="9" s="1"/>
  <c r="F28" i="9"/>
  <c r="D28" i="9" s="1"/>
  <c r="H33" i="9"/>
  <c r="G33" i="9" s="1"/>
  <c r="E33" i="9" s="1"/>
  <c r="H13" i="9"/>
  <c r="G13" i="9" s="1"/>
  <c r="E13" i="9" s="1"/>
  <c r="H19" i="9"/>
  <c r="F19" i="9" s="1"/>
  <c r="D19" i="9" s="1"/>
  <c r="H25" i="9"/>
  <c r="F25" i="9" s="1"/>
  <c r="D25" i="9" s="1"/>
  <c r="H22" i="9"/>
  <c r="G22" i="9" s="1"/>
  <c r="E22" i="9" s="1"/>
  <c r="H30" i="9"/>
  <c r="F30" i="9" s="1"/>
  <c r="D30" i="9" s="1"/>
  <c r="H16" i="9"/>
  <c r="F16" i="9" s="1"/>
  <c r="D16" i="9" s="1"/>
  <c r="H10" i="9"/>
  <c r="F10" i="9" s="1"/>
  <c r="D10" i="9" s="1"/>
  <c r="F37" i="9"/>
  <c r="D37" i="9" s="1"/>
  <c r="G37" i="9"/>
  <c r="E37" i="9" s="1"/>
  <c r="F38" i="9"/>
  <c r="D38" i="9" s="1"/>
  <c r="G38" i="9"/>
  <c r="E38" i="9" s="1"/>
  <c r="F22" i="9" l="1"/>
  <c r="D22" i="9" s="1"/>
  <c r="C22" i="9" s="1"/>
  <c r="G30" i="9"/>
  <c r="E30" i="9" s="1"/>
  <c r="C30" i="9" s="1"/>
  <c r="B30" i="9" s="1"/>
  <c r="F13" i="9"/>
  <c r="D13" i="9" s="1"/>
  <c r="C13" i="9" s="1"/>
  <c r="B13" i="9" s="1"/>
  <c r="F33" i="9"/>
  <c r="D33" i="9" s="1"/>
  <c r="C33" i="9" s="1"/>
  <c r="B33" i="9" s="1"/>
  <c r="G10" i="9"/>
  <c r="E10" i="9" s="1"/>
  <c r="C10" i="9" s="1"/>
  <c r="B10" i="9" s="1"/>
  <c r="G16" i="9"/>
  <c r="E16" i="9" s="1"/>
  <c r="C16" i="9" s="1"/>
  <c r="G19" i="9"/>
  <c r="E19" i="9" s="1"/>
  <c r="C19" i="9" s="1"/>
  <c r="G25" i="9"/>
  <c r="E25" i="9" s="1"/>
  <c r="C25" i="9" s="1"/>
  <c r="C37" i="9"/>
  <c r="B37" i="9" s="1"/>
  <c r="C28" i="9"/>
  <c r="B28" i="9" s="1"/>
  <c r="B27" i="9" s="1"/>
  <c r="G17" i="25"/>
  <c r="G23" i="25" s="1"/>
  <c r="C38" i="9"/>
  <c r="B38" i="9" s="1"/>
  <c r="I19" i="25"/>
  <c r="I12" i="25"/>
  <c r="I15" i="25"/>
  <c r="I21" i="25"/>
  <c r="I3" i="25"/>
  <c r="I8" i="25"/>
  <c r="I20" i="25"/>
  <c r="I22" i="25"/>
  <c r="I16" i="25"/>
  <c r="I14" i="25"/>
  <c r="I13" i="25"/>
  <c r="I7" i="25"/>
  <c r="I5" i="25"/>
  <c r="I18" i="25"/>
  <c r="I2" i="25"/>
  <c r="I4" i="25"/>
  <c r="I17" i="25" l="1"/>
  <c r="I23" i="25" s="1"/>
  <c r="H24" i="25"/>
  <c r="J17" i="25" l="1"/>
  <c r="H25" i="25"/>
  <c r="H28" i="25" s="1"/>
  <c r="I24" i="25"/>
  <c r="J23" i="25"/>
  <c r="H35" i="9" l="1"/>
  <c r="C4" i="9"/>
  <c r="H20" i="9" l="1"/>
  <c r="H17" i="9"/>
  <c r="H14" i="9"/>
  <c r="H11" i="9"/>
  <c r="H36" i="9"/>
  <c r="B36" i="9" s="1"/>
  <c r="B35" i="9"/>
  <c r="H26" i="9" l="1"/>
  <c r="H34" i="9"/>
  <c r="H31" i="9"/>
  <c r="F11" i="9"/>
  <c r="D11" i="9" s="1"/>
  <c r="H23" i="9"/>
  <c r="G11" i="9"/>
  <c r="E11" i="9" s="1"/>
  <c r="G20" i="9"/>
  <c r="E20" i="9" s="1"/>
  <c r="F20" i="9"/>
  <c r="D20" i="9" s="1"/>
  <c r="G14" i="9"/>
  <c r="E14" i="9" s="1"/>
  <c r="F14" i="9"/>
  <c r="D14" i="9" s="1"/>
  <c r="F17" i="9"/>
  <c r="D17" i="9" s="1"/>
  <c r="G17" i="9"/>
  <c r="E17" i="9" s="1"/>
  <c r="C17" i="9" l="1"/>
  <c r="B17" i="9" s="1"/>
  <c r="B15" i="9" s="1"/>
  <c r="C11" i="9"/>
  <c r="B11" i="9" s="1"/>
  <c r="B9" i="9" s="1"/>
  <c r="C20" i="9"/>
  <c r="B20" i="9" s="1"/>
  <c r="B18" i="9" s="1"/>
  <c r="F31" i="9"/>
  <c r="D31" i="9" s="1"/>
  <c r="G31" i="9"/>
  <c r="E31" i="9" s="1"/>
  <c r="G34" i="9"/>
  <c r="E34" i="9" s="1"/>
  <c r="F34" i="9"/>
  <c r="D34" i="9" s="1"/>
  <c r="C14" i="9"/>
  <c r="B14" i="9" s="1"/>
  <c r="B12" i="9" s="1"/>
  <c r="G23" i="9"/>
  <c r="E23" i="9" s="1"/>
  <c r="F23" i="9"/>
  <c r="D23" i="9" s="1"/>
  <c r="G26" i="9"/>
  <c r="E26" i="9" s="1"/>
  <c r="F26" i="9"/>
  <c r="D26" i="9" s="1"/>
  <c r="C34" i="9" l="1"/>
  <c r="B34" i="9" s="1"/>
  <c r="B32" i="9" s="1"/>
  <c r="C23" i="9"/>
  <c r="B23" i="9" s="1"/>
  <c r="B21" i="9" s="1"/>
  <c r="C26" i="9"/>
  <c r="B26" i="9" s="1"/>
  <c r="B24" i="9" s="1"/>
  <c r="C31" i="9"/>
  <c r="B31" i="9" s="1"/>
  <c r="B29" i="9" s="1"/>
  <c r="I32" i="25" l="1"/>
  <c r="A321" i="68" l="1"/>
  <c r="A327" i="68" l="1"/>
  <c r="A330" i="68" l="1"/>
  <c r="A333" i="68" l="1"/>
  <c r="A336" i="68" l="1"/>
  <c r="A339" i="68" l="1"/>
  <c r="A343" i="68" l="1"/>
  <c r="A351" i="68" l="1"/>
  <c r="A356" i="68" l="1"/>
  <c r="A360" i="68" l="1"/>
  <c r="A367" i="68" l="1"/>
  <c r="D4" i="59" l="1"/>
  <c r="C6" i="33"/>
  <c r="D7" i="42" l="1"/>
  <c r="C5" i="33"/>
  <c r="E6" i="33"/>
  <c r="D5" i="59"/>
  <c r="D6" i="59" s="1"/>
  <c r="D7" i="59" s="1"/>
  <c r="D8" i="59" s="1"/>
  <c r="C17" i="33" s="1"/>
  <c r="D17" i="33" s="1"/>
  <c r="E17" i="33" s="1"/>
  <c r="F17" i="33" s="1"/>
  <c r="E5" i="33" l="1"/>
  <c r="E4" i="33" s="1"/>
  <c r="F6" i="33"/>
  <c r="F5" i="33" s="1"/>
  <c r="F4" i="33" s="1"/>
  <c r="D6" i="42"/>
  <c r="C4" i="33"/>
  <c r="I38" i="42"/>
  <c r="I35" i="42"/>
  <c r="I26" i="42"/>
  <c r="H35" i="42" l="1"/>
  <c r="F35" i="42" s="1"/>
  <c r="G35" i="42"/>
  <c r="E35" i="42" s="1"/>
  <c r="I14" i="42"/>
  <c r="I20" i="42"/>
  <c r="I23" i="42"/>
  <c r="I17" i="42"/>
  <c r="I29" i="42"/>
  <c r="I46" i="42"/>
  <c r="I43" i="42"/>
  <c r="H26" i="42"/>
  <c r="F26" i="42" s="1"/>
  <c r="G26" i="42"/>
  <c r="E26" i="42" s="1"/>
  <c r="G38" i="42"/>
  <c r="E38" i="42" s="1"/>
  <c r="H38" i="42"/>
  <c r="F38" i="42" s="1"/>
  <c r="C16" i="33"/>
  <c r="D3" i="42"/>
  <c r="D35" i="42" l="1"/>
  <c r="B35" i="42" s="1"/>
  <c r="D26" i="42"/>
  <c r="B26" i="42" s="1"/>
  <c r="B24" i="42" s="1"/>
  <c r="D38" i="42"/>
  <c r="B38" i="42" s="1"/>
  <c r="B36" i="42" s="1"/>
  <c r="G29" i="42"/>
  <c r="E29" i="42" s="1"/>
  <c r="H29" i="42"/>
  <c r="F29" i="42" s="1"/>
  <c r="G46" i="42"/>
  <c r="E46" i="42" s="1"/>
  <c r="H46" i="42"/>
  <c r="F46" i="42" s="1"/>
  <c r="G23" i="42"/>
  <c r="E23" i="42" s="1"/>
  <c r="H23" i="42"/>
  <c r="F23" i="42" s="1"/>
  <c r="H20" i="42"/>
  <c r="F20" i="42" s="1"/>
  <c r="G20" i="42"/>
  <c r="E20" i="42" s="1"/>
  <c r="I47" i="42"/>
  <c r="B47" i="42" s="1"/>
  <c r="I48" i="42"/>
  <c r="B48" i="42" s="1"/>
  <c r="H14" i="42"/>
  <c r="F14" i="42" s="1"/>
  <c r="G14" i="42"/>
  <c r="E14" i="42" s="1"/>
  <c r="G43" i="42"/>
  <c r="E43" i="42" s="1"/>
  <c r="H43" i="42"/>
  <c r="F43" i="42" s="1"/>
  <c r="G17" i="42"/>
  <c r="E17" i="42" s="1"/>
  <c r="H17" i="42"/>
  <c r="F17" i="42" s="1"/>
  <c r="C15" i="33"/>
  <c r="D16" i="33"/>
  <c r="B33" i="42"/>
  <c r="D14" i="42" l="1"/>
  <c r="B14" i="42" s="1"/>
  <c r="B12" i="42" s="1"/>
  <c r="D43" i="42"/>
  <c r="B43" i="42" s="1"/>
  <c r="B41" i="42" s="1"/>
  <c r="C12" i="33" s="1"/>
  <c r="D12" i="33" s="1"/>
  <c r="E12" i="33" s="1"/>
  <c r="F12" i="33" s="1"/>
  <c r="D23" i="42"/>
  <c r="B23" i="42" s="1"/>
  <c r="B21" i="42" s="1"/>
  <c r="C10" i="33" s="1"/>
  <c r="D10" i="33" s="1"/>
  <c r="D29" i="42"/>
  <c r="B29" i="42" s="1"/>
  <c r="B27" i="42" s="1"/>
  <c r="D20" i="42"/>
  <c r="B20" i="42" s="1"/>
  <c r="B18" i="42" s="1"/>
  <c r="D17" i="42"/>
  <c r="B17" i="42" s="1"/>
  <c r="B15" i="42" s="1"/>
  <c r="C13" i="33"/>
  <c r="D13" i="33" s="1"/>
  <c r="E13" i="33" s="1"/>
  <c r="F13" i="33" s="1"/>
  <c r="D46" i="42"/>
  <c r="B46" i="42" s="1"/>
  <c r="E16" i="33"/>
  <c r="D15" i="33"/>
  <c r="C9" i="33" l="1"/>
  <c r="B32" i="42"/>
  <c r="B30" i="42" s="1"/>
  <c r="C11" i="33" s="1"/>
  <c r="D11" i="33" s="1"/>
  <c r="E11" i="33" s="1"/>
  <c r="F11" i="33" s="1"/>
  <c r="C14" i="33"/>
  <c r="D14" i="33" s="1"/>
  <c r="E14" i="33" s="1"/>
  <c r="F14" i="33" s="1"/>
  <c r="B44" i="42"/>
  <c r="F16" i="33"/>
  <c r="E15" i="33"/>
  <c r="F15" i="33" s="1"/>
  <c r="C18" i="33"/>
  <c r="E10" i="33"/>
  <c r="D9" i="33"/>
  <c r="D18" i="33" s="1"/>
  <c r="F10" i="33" l="1"/>
  <c r="E9" i="33"/>
  <c r="F9" i="33" l="1"/>
  <c r="F18" i="33" s="1"/>
  <c r="D1" i="42"/>
  <c r="E18" i="33"/>
  <c r="I50" i="42" l="1"/>
  <c r="I49" i="42"/>
  <c r="G49" i="42" l="1"/>
  <c r="E49" i="42" s="1"/>
  <c r="H49" i="42"/>
  <c r="F49" i="42" s="1"/>
  <c r="D49" i="42" s="1"/>
  <c r="B49" i="42" s="1"/>
  <c r="H50" i="42"/>
  <c r="F50" i="42" s="1"/>
  <c r="G50" i="42"/>
  <c r="E50" i="42" s="1"/>
  <c r="D50" i="42" l="1"/>
  <c r="B50" i="4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6" authorId="0" shapeId="0" xr:uid="{00000000-0006-0000-0200-000001000000}">
      <text>
        <r>
          <rPr>
            <b/>
            <sz val="9"/>
            <color indexed="81"/>
            <rFont val="Tahoma"/>
            <family val="2"/>
          </rPr>
          <t>Author:</t>
        </r>
        <r>
          <rPr>
            <sz val="9"/>
            <color indexed="81"/>
            <rFont val="Tahoma"/>
            <family val="2"/>
          </rPr>
          <t xml:space="preserve">
Không tính chi phí tạo lập CSDL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37" authorId="0" shapeId="0" xr:uid="{00000000-0006-0000-1000-000001000000}">
      <text>
        <r>
          <rPr>
            <b/>
            <sz val="9"/>
            <color indexed="81"/>
            <rFont val="Tahoma"/>
            <family val="2"/>
            <charset val="163"/>
          </rPr>
          <t>Author:</t>
        </r>
        <r>
          <rPr>
            <sz val="9"/>
            <color indexed="81"/>
            <rFont val="Tahoma"/>
            <family val="2"/>
            <charset val="163"/>
          </rPr>
          <t xml:space="preserve">
Tổng mức đầu tư của dự án
</t>
        </r>
      </text>
    </comment>
  </commentList>
</comments>
</file>

<file path=xl/sharedStrings.xml><?xml version="1.0" encoding="utf-8"?>
<sst xmlns="http://schemas.openxmlformats.org/spreadsheetml/2006/main" count="918" uniqueCount="608">
  <si>
    <t>STT</t>
  </si>
  <si>
    <t>Tên Phông</t>
  </si>
  <si>
    <t>Số mét</t>
  </si>
  <si>
    <t>Số hộp</t>
  </si>
  <si>
    <t>Số HS</t>
  </si>
  <si>
    <t>Thời gian TL</t>
  </si>
  <si>
    <t>Số trang</t>
  </si>
  <si>
    <t>Số trường hồ sơ</t>
  </si>
  <si>
    <t>Số trường văn bản</t>
  </si>
  <si>
    <t>UBND tỉnh Bắc Ninh 1997 - 2007</t>
  </si>
  <si>
    <t>1997-2007</t>
  </si>
  <si>
    <t>Đoàn ĐBQH - HĐND tỉnh</t>
  </si>
  <si>
    <t>Sở Nội vụ</t>
  </si>
  <si>
    <t>1993-2007</t>
  </si>
  <si>
    <t>Sở Khoa học và Công nghệ</t>
  </si>
  <si>
    <t>1997-2003</t>
  </si>
  <si>
    <t>Sở Kế hoạch và Đầu tư</t>
  </si>
  <si>
    <t>1997-2005</t>
  </si>
  <si>
    <t>Sở Thể dục thể thao</t>
  </si>
  <si>
    <t>Sở Văn hóa thông tin</t>
  </si>
  <si>
    <t>Sở Giao thông, Vận tải</t>
  </si>
  <si>
    <t>1997-2004</t>
  </si>
  <si>
    <t>Sở Tư pháp</t>
  </si>
  <si>
    <t>1997-2006</t>
  </si>
  <si>
    <t>Sở Công thương</t>
  </si>
  <si>
    <t>1997-2010</t>
  </si>
  <si>
    <t>Điện lực Bắc Ninh</t>
  </si>
  <si>
    <t>Viện Kiểm sát nhân dân tỉnh</t>
  </si>
  <si>
    <t>Sở Nông nghiệp và PTNT (Chi cục bảo vệ Thực vật)</t>
  </si>
  <si>
    <t>Ngân hàng Nhà nước chi nhánh Bắc Ninh</t>
  </si>
  <si>
    <t>1999-2005</t>
  </si>
  <si>
    <t>Bảo hiểm Xã hội tỉnh</t>
  </si>
  <si>
    <t>Tổng cộng</t>
  </si>
  <si>
    <t>Hội đồng  Thi đua - Khen thưởng tỉnh</t>
  </si>
  <si>
    <t>1947-2006</t>
  </si>
  <si>
    <t>Cục Thuế tỉnh</t>
  </si>
  <si>
    <t>Hội Người mù</t>
  </si>
  <si>
    <t>BCĐ Phòng chống tham nhũng</t>
  </si>
  <si>
    <t>2008-2013</t>
  </si>
  <si>
    <t>Ban Quản lý các KCN</t>
  </si>
  <si>
    <t>1998-2012</t>
  </si>
  <si>
    <t>TỔNG CỘNG</t>
  </si>
  <si>
    <t>Phần mềm</t>
  </si>
  <si>
    <t>Thiết bị</t>
  </si>
  <si>
    <t>TỔNG MỨC ĐẦU TƯ DỰ ÁN</t>
  </si>
  <si>
    <t>Loại dự án</t>
  </si>
  <si>
    <t>Đề cương</t>
  </si>
  <si>
    <t>Đơn vị tính: đồng</t>
  </si>
  <si>
    <t>TT</t>
  </si>
  <si>
    <t>Nội dung chi phí</t>
  </si>
  <si>
    <t>Giá trị trước thuế VAT</t>
  </si>
  <si>
    <t>Thuế VAT</t>
  </si>
  <si>
    <t>Giá trị sau thuế VAT</t>
  </si>
  <si>
    <t>Giá trị sau VAT
(LÀM TRÒN)</t>
  </si>
  <si>
    <t>Ghi chú</t>
  </si>
  <si>
    <t>I</t>
  </si>
  <si>
    <t>Chi phí thiết bị</t>
  </si>
  <si>
    <t>Hạng mục phần mềm nội bộ, CSDL, phần cứng</t>
  </si>
  <si>
    <t>Chi phí xây dựng phần mềm nội bộ</t>
  </si>
  <si>
    <t>Bảng tổng hợp chi phí xây dựng phần mềm nội bộ</t>
  </si>
  <si>
    <t>Chi phí số hóa, tạo lập CSDL</t>
  </si>
  <si>
    <t>Chi phí hạ tầng phần cứng</t>
  </si>
  <si>
    <t>II</t>
  </si>
  <si>
    <t>QĐ 1688/QĐ-BTTTT</t>
  </si>
  <si>
    <t xml:space="preserve">Chi phí lập hồ sơ mời thầu, đánh giá hồ sơ dự thầu </t>
  </si>
  <si>
    <t>Chi phí thẩm định hồ sơ mời thầu, thẩm định kết quả lựa chọn nhà thầu</t>
  </si>
  <si>
    <t>NĐ 63/2014/NĐ-CP</t>
  </si>
  <si>
    <t>Chi phí giám sát thi công phần mềm, CSDL</t>
  </si>
  <si>
    <t>III</t>
  </si>
  <si>
    <t>Chi phí khác</t>
  </si>
  <si>
    <t>Thẩm định giá = 0,55% *Gtb</t>
  </si>
  <si>
    <t>Báo giá của đơn vị thẩm định giá</t>
  </si>
  <si>
    <t>Chi phí kiểm thử</t>
  </si>
  <si>
    <t>Công văn số 3787/BTTTT-THH</t>
  </si>
  <si>
    <t>Tổng cộng (I+II+III)</t>
  </si>
  <si>
    <t>Tổng giá trị đề nghị quyết toán</t>
  </si>
  <si>
    <t>Gxl+Gtb+Gqlda+Gtv+VAT</t>
  </si>
  <si>
    <t>Giá trị gói thầu xây lắp</t>
  </si>
  <si>
    <t>Gxl+VAT</t>
  </si>
  <si>
    <t>Giá trị gói thầu xây lắp+thiết bị</t>
  </si>
  <si>
    <t>Gxl+Gtb+VAT</t>
  </si>
  <si>
    <t>Giá trị hạng mục xây lắp trước thuế</t>
  </si>
  <si>
    <t>Gxl</t>
  </si>
  <si>
    <t>Giá trị hạng mục hạ tầng kỹ thuật CNTT trước thuế</t>
  </si>
  <si>
    <t>Gpc</t>
  </si>
  <si>
    <t>Giá trị hạng mục phần mềm nội bộ, CSDL trước thuế</t>
  </si>
  <si>
    <t>Gpm+Gsh+Gđt</t>
  </si>
  <si>
    <t>Giá trị phần mềm nội bộ (+đào tạo) trước thuế</t>
  </si>
  <si>
    <t>Gpm+Gđt</t>
  </si>
  <si>
    <t>DIỄN GIẢI CÁCH TÍNH CHI PHÍ TƯ VẤN</t>
  </si>
  <si>
    <t>(Quyết định số 1688/QĐ-BTTTT ngày 11/10/2019)</t>
  </si>
  <si>
    <t>Giá trị 
trước thuế</t>
  </si>
  <si>
    <t>Hệ số</t>
  </si>
  <si>
    <t xml:space="preserve">  Nt (giá trị 
cần tính %)</t>
  </si>
  <si>
    <t>Na (%)</t>
  </si>
  <si>
    <t>Nb (%)</t>
  </si>
  <si>
    <t>Ga</t>
  </si>
  <si>
    <t>Gb</t>
  </si>
  <si>
    <t>Gt</t>
  </si>
  <si>
    <t>LOẠI DỰ ÁN</t>
  </si>
  <si>
    <t>Chi phí xây lắp và thiết bị (Chưa có thuế GTGT) (tỷ đồng)</t>
  </si>
  <si>
    <t>Chi phí quản lý dự án</t>
  </si>
  <si>
    <t>Định mức chi phí quản lý dự án</t>
  </si>
  <si>
    <t xml:space="preserve"> + Hạ tầng kỹ thuật</t>
  </si>
  <si>
    <t>Dự án hạ tầng kỹ thuật công nghệ thông tin</t>
  </si>
  <si>
    <t xml:space="preserve"> + Phần mềm, CSDL</t>
  </si>
  <si>
    <t>Dự án phần mềm nội bộ, cơ sở dữ liệu</t>
  </si>
  <si>
    <t>Chi phí quản lý dự án trường hợp báo cáo kinh tế kỹ thuật, đề cương dự toán chi tiết</t>
  </si>
  <si>
    <t>Định mức chi phí quản lý dự án trường hợp báo cáo kinh tế kỹ thuật, đề cương dự toán chi tiết</t>
  </si>
  <si>
    <t>Chi phí lập báo cáo nghiên cứu khả thi</t>
  </si>
  <si>
    <t>Định mức chi phí lập báo cáo nghiên cứu khả thi</t>
  </si>
  <si>
    <t>Chi phí lập báo cáo kinh tế kỹ thuật, đề cương dự toán chi tiết</t>
  </si>
  <si>
    <t>Định mức chi phí lập báo cáo kinh tế kỹ thuật</t>
  </si>
  <si>
    <t>Chi phí lập thiết kế thi công và tổng dự toán</t>
  </si>
  <si>
    <t>Định mức chi phí lập thiết kế thi công và dự toán</t>
  </si>
  <si>
    <t>Chi phí thẩm tra tính hiệu quả và tính khả thi của dự án đầu tư</t>
  </si>
  <si>
    <t>Định mức chi phí thẩm tra tính hiệu quả và tính khả thi của dự án đầu tư</t>
  </si>
  <si>
    <t xml:space="preserve"> </t>
  </si>
  <si>
    <t>Chi phí thẩm tra báo cáo kinh tế kỹ thuật, đề cương dự toán chi tiết</t>
  </si>
  <si>
    <t>Chi phí thẩm tra thiết kế thi công</t>
  </si>
  <si>
    <t>Định mức chi phí thẩm tra thiết kế thi công (chi phí tối thiểu không dưới 2 triệu)</t>
  </si>
  <si>
    <t>Chi phí thẩm tra dự toán</t>
  </si>
  <si>
    <t>Định mức chi phí thẩm tra dự toán (chi phí tối thiểu không dưới 2 triệu)</t>
  </si>
  <si>
    <t>Chi phí lập hồ sơ mời thầu, đánh giá hồ sơ dự thầu xây lắp</t>
  </si>
  <si>
    <t>Định mức chi phí lập hồ sơ mời thầu, đánh giá hồ sơ dự thầu xây lắp</t>
  </si>
  <si>
    <t>Chi phí lập hồ sơ mời thầu, đánh giá hồ sơ dự thầu mua sắm thiết bị</t>
  </si>
  <si>
    <t>Định mức chi phí lập hồ sơ mời thầu, đánh giá hồ sơ dự thầu mua sắm thiết bị</t>
  </si>
  <si>
    <t>Chi phí giám sát thi công</t>
  </si>
  <si>
    <t>Định mức chi phí giám sát thi công</t>
  </si>
  <si>
    <t>Chi phí thẩm định hồ sơ mời thầu</t>
  </si>
  <si>
    <t>NĐ 99/2021/NĐ-CP</t>
  </si>
  <si>
    <t>Chi phí thẩm định kết quả lựa chọn nhà thầu</t>
  </si>
  <si>
    <t>Tổng mức đầu tư (tỷ đồng)</t>
  </si>
  <si>
    <t>Chi phí thẩm tra, phê duyệt quyết toán</t>
  </si>
  <si>
    <t>Thẩm tra, phê duyệt (%)</t>
  </si>
  <si>
    <t>Kiểm toán</t>
  </si>
  <si>
    <t>Kiểm toán (%)</t>
  </si>
  <si>
    <t>Quản lý dự án</t>
  </si>
  <si>
    <t>Dự án tại vùng hải đảo, biên giới</t>
  </si>
  <si>
    <t>Dự án triển khai tại các khu vực, địa bàn nhiều tỉnh khác nhau</t>
  </si>
  <si>
    <t>Tổng giá trị mua sắm dự phòng, thay thế 1 phần các thiết bị phần cứng thuộc hệ thống hạ tầng kỹ thuật hiện có, mua sắm thiết bị không cần lắp đặt, phần mềm thương mại chiếm tỷ trọng ≥ 50% tổng chi phí xây lắp và thiết bị</t>
  </si>
  <si>
    <t>Lập dự án</t>
  </si>
  <si>
    <t>Cải tạo, sửa chữa, mở rộng, nâng cấp có tính toán kết nối với hạ tầng, công nghệ của dự án hiện có</t>
  </si>
  <si>
    <t>Sử dụng thiết kế mẫu, thiết kế điển hình do cơ quan có thẩm quyền ban hành</t>
  </si>
  <si>
    <t>Thiết kế thi công</t>
  </si>
  <si>
    <t>Thiết kế mở rộng, nâng cấp có tính toán kết nối với hạ tầng, kỹ thuật công nghệ của hệ thống hiện có</t>
  </si>
  <si>
    <t>Thiết kế ứng dụng CNTT xây lắp ở hải đảo, biên giới; thiết kế trong dự án triển khai ở các khu vực hoặc địa bàn nhiều tỉnh khác nhau</t>
  </si>
  <si>
    <t>Sử dụng thiết kế mẫu, thiết kế điển hình do cơ quan có thẩm quyền ban hành - hạng mục thứ 1</t>
  </si>
  <si>
    <t>Sử dụng thiết kế mẫu, thiết kế điển hình do cơ quan có thẩm quyền ban hành - hạng mục thứ 2 trở đi</t>
  </si>
  <si>
    <t>Thiết kế lặp lại trong một dự án hoặc sử dụng lại thiết kế - hạng mục/dự án thứ 2</t>
  </si>
  <si>
    <t>Thiết kế lặp lại trong một dự án hoặc sử dụng lại thiết kế - hạng mục/dự án thứ 3 trở đi</t>
  </si>
  <si>
    <t>Giám sát thi công</t>
  </si>
  <si>
    <t>Thẩm tra phê duyệt quyết toán - Kiểm toán</t>
  </si>
  <si>
    <t>Dự án có cơ cấu vốn thiết bị chiếm từ 51% trở lên so với tổng mức đầu tư</t>
  </si>
  <si>
    <t>Kiểm toán trước khi thẩm tra phê duyệt quyết toán</t>
  </si>
  <si>
    <t>Giá trị</t>
  </si>
  <si>
    <t>IV</t>
  </si>
  <si>
    <t>V</t>
  </si>
  <si>
    <t>Chi phí chung</t>
  </si>
  <si>
    <t>C</t>
  </si>
  <si>
    <t>Thu nhập chịu thuế tính trước</t>
  </si>
  <si>
    <t>TL</t>
  </si>
  <si>
    <t>VI</t>
  </si>
  <si>
    <t>G + C + TL</t>
  </si>
  <si>
    <t>CHI PHÍ KIỂM THỬ</t>
  </si>
  <si>
    <t>Khoản mục chi phí</t>
  </si>
  <si>
    <t>Cách tính</t>
  </si>
  <si>
    <t>Ký hiệu</t>
  </si>
  <si>
    <t>Giá trị kiểm thử</t>
  </si>
  <si>
    <t>G = E*H</t>
  </si>
  <si>
    <t>G</t>
  </si>
  <si>
    <t>G x 65%</t>
  </si>
  <si>
    <t>(G +C) x 6 %</t>
  </si>
  <si>
    <t>Gkt</t>
  </si>
  <si>
    <t>Mô tả</t>
  </si>
  <si>
    <t>KHÁI TOÁN CHI PHÍ SỐ HOÁ</t>
  </si>
  <si>
    <t>Tên công việc/ Thành phần hao phí</t>
  </si>
  <si>
    <t>Đơn vị</t>
  </si>
  <si>
    <t>Khối lượng</t>
  </si>
  <si>
    <t>Đơn giá</t>
  </si>
  <si>
    <t>Thành tiền (đ)</t>
  </si>
  <si>
    <t>VBPL</t>
  </si>
  <si>
    <t>Dung lượng lưu trữ</t>
  </si>
  <si>
    <t>THU THẬP BẢN GỐC</t>
  </si>
  <si>
    <t>Quét tài liệu</t>
  </si>
  <si>
    <t>Trang</t>
  </si>
  <si>
    <t>- Khổ giấy A4</t>
  </si>
  <si>
    <t>Trang A4</t>
  </si>
  <si>
    <t>NHẬP DỮ LIỆU</t>
  </si>
  <si>
    <t>Xây dựng tài liệu hướng dẫn nhập dữ liệu</t>
  </si>
  <si>
    <t>Tài liệu</t>
  </si>
  <si>
    <t>QĐ 1595.2011</t>
  </si>
  <si>
    <t>Nhập dữ liệu</t>
  </si>
  <si>
    <t>Trường</t>
  </si>
  <si>
    <t>194/2012/TT-BTC</t>
  </si>
  <si>
    <t>TỔNG (I+II):</t>
  </si>
  <si>
    <t>TỔNG (I+II) LÀM TRÒN</t>
  </si>
  <si>
    <t>THUẾ VAT (10%):</t>
  </si>
  <si>
    <t>TỔNG CỘNG:</t>
  </si>
  <si>
    <t>Thời hạn bảo quản</t>
  </si>
  <si>
    <t>Số lượng hộp</t>
  </si>
  <si>
    <t>Số văn bản trung bình/hồ sơ</t>
  </si>
  <si>
    <t>Số trang trung bình/văn bản</t>
  </si>
  <si>
    <t>Số Hồ sơ</t>
  </si>
  <si>
    <t>File (văn bản)</t>
  </si>
  <si>
    <t>Trường tin</t>
  </si>
  <si>
    <t>Đã được cấp bằng</t>
  </si>
  <si>
    <t>Vĩnh viễn</t>
  </si>
  <si>
    <t>Không được cấp bằng</t>
  </si>
  <si>
    <t>5 năm</t>
  </si>
  <si>
    <t>SỐ LIỆU KHẢO SÁT</t>
  </si>
  <si>
    <t>Địa điểm khảo sát</t>
  </si>
  <si>
    <t>Loại hồ sơ</t>
  </si>
  <si>
    <t>Cục Sở Hữu Trí tuệ</t>
  </si>
  <si>
    <t>Hồ sơ hành chính</t>
  </si>
  <si>
    <t>Công văn, quyết định, hồ sơ công việc</t>
  </si>
  <si>
    <t>Hồ sơ sang chế và giải pháp hữu ích</t>
  </si>
  <si>
    <t>Hồ sơ kiểu dáng công nghiệp</t>
  </si>
  <si>
    <t>Hồ sơ nhãn hiệu</t>
  </si>
  <si>
    <t>Hồ sơ chỉ dẫn địa lý</t>
  </si>
  <si>
    <t>Hồ sơ thiết kế bố trí mạch tích hợp bán dẫn</t>
  </si>
  <si>
    <t>Tổng Cộng</t>
  </si>
  <si>
    <t>CHI PHÍ PHỤC VỤ CÔNG TÁC THUÊ HẠ TẦNG MÁY CHỦ</t>
  </si>
  <si>
    <t>Danh mục đầu tư</t>
  </si>
  <si>
    <t>Đơn vị tính</t>
  </si>
  <si>
    <t>Số lượng</t>
  </si>
  <si>
    <t xml:space="preserve">Đơn giá </t>
  </si>
  <si>
    <t>Thành tiền chưa bao gồm thuế VAT</t>
  </si>
  <si>
    <t>Tổng tiền đã bao gồm VAT</t>
  </si>
  <si>
    <t>Hạ tầng thiết bị</t>
  </si>
  <si>
    <t xml:space="preserve">Chi phí 02 server </t>
  </si>
  <si>
    <t>16 CPU, 64 GB Ram, 500GB HDD</t>
  </si>
  <si>
    <t>Tháng</t>
  </si>
  <si>
    <t>Gt = Gxl + Gtb + Gqlda + Gtv</t>
  </si>
  <si>
    <t>Gt = Gpc</t>
  </si>
  <si>
    <t>Gt= Gpm</t>
  </si>
  <si>
    <t>(Quyết định số 2378/QĐ-BTTTT ngày 30/12/2016)</t>
  </si>
  <si>
    <t>Bảng số 1: Định mức chi phí quản lý dự án</t>
  </si>
  <si>
    <t>Chi phí lập dự án đầu tư</t>
  </si>
  <si>
    <t>Bảng số 2: Định mức chi phí lập dự án đầu tư</t>
  </si>
  <si>
    <t>Chi phí lập thiết kế thi công và dự toán</t>
  </si>
  <si>
    <t>Bảng số 3: Định mức chi phí lập thiết kế thi công và dự toán</t>
  </si>
  <si>
    <t>Bảng số 4: Định mức chi phí thẩm tra tính hiệu quả và tính khả thi của dự án đầu tư</t>
  </si>
  <si>
    <t>Bảng số 5: Định mức chi phí thẩm tra thiết kế thi công (chi phí tối thiểu không dưới 2 triệu)</t>
  </si>
  <si>
    <t>Bảng số 6: Định mức chi phí thẩm tra dự toán (chi phí tối thiểu không dưới 2 triệu)</t>
  </si>
  <si>
    <t>Bảng số 7: Định mức chi phí lập hồ sơ mời thầu, đánh giá hồ sơ dự thầu xây lắp</t>
  </si>
  <si>
    <t>Bảng số 8: Định mức chi phí lập hồ sơ mời thầu, đánh giá hồ sơ dự thầu mua sắm thiết bị</t>
  </si>
  <si>
    <t>Chi phí giám sát thi công lắp đặt phần cứng, cài đặt phần mềm</t>
  </si>
  <si>
    <t>Bảng số 9: Định mức chi phí giám sát thi công lắp đặt phần cứng, cài đặt phần mềm</t>
  </si>
  <si>
    <t>Điều 21 (TT09/2016/TT-BC) Chi phí thẩm tra, phê duyệt quyết toán, chi phí kiểm toán độc lập ngày 18/01/2016</t>
  </si>
  <si>
    <t>Tên Use-case</t>
  </si>
  <si>
    <t>Tên tác nhân chính</t>
  </si>
  <si>
    <t>Tên tác nhân phụ</t>
  </si>
  <si>
    <t>Mô tả trường sử dụng</t>
  </si>
  <si>
    <t>Báo cáo thống kê</t>
  </si>
  <si>
    <t>VII</t>
  </si>
  <si>
    <t>VIII</t>
  </si>
  <si>
    <t>X</t>
  </si>
  <si>
    <t>IX</t>
  </si>
  <si>
    <t>QUẢN LÝ NGƯỜI DÙNG</t>
  </si>
  <si>
    <t>Danh sách người lao động</t>
  </si>
  <si>
    <t>Thông tin chi tiết tài khoản người lao động</t>
  </si>
  <si>
    <t>Danh sách doanh nghiệp</t>
  </si>
  <si>
    <t>Thông tin chi tiết tài khoản người lao doanh nghiệp</t>
  </si>
  <si>
    <t>Danh sách người dùng</t>
  </si>
  <si>
    <t>Phân quyền tài khoản người dùng</t>
  </si>
  <si>
    <t>Chức năng cập nhật quá trình công tác người dùng</t>
  </si>
  <si>
    <t>Danh mục quyền</t>
  </si>
  <si>
    <t>Danh mục nhóm quyền</t>
  </si>
  <si>
    <t>Phân quyền cho nhóm quyền</t>
  </si>
  <si>
    <t>Danh sách nhóm người dùng</t>
  </si>
  <si>
    <t>Thêm người dùng vào nhóm người dùng</t>
  </si>
  <si>
    <t>Quản lý thông tin phiếu đăng ký dịch vụ làm việc dành cho người lao động</t>
  </si>
  <si>
    <t>Quản lý phiếu đăng ký dịch vụ</t>
  </si>
  <si>
    <t>Tiếp nhận và xử lý hồ sơ</t>
  </si>
  <si>
    <t>Thông báo và tương tác</t>
  </si>
  <si>
    <t>Quản lý thông tin phiếu đăng ký tìm việc làm</t>
  </si>
  <si>
    <t>Đăng ký và quản lý phiếu tìm việc</t>
  </si>
  <si>
    <t>Tiếp nhận và xử lý phiếu</t>
  </si>
  <si>
    <t>Hỗ trợ tìm việc và kết nối</t>
  </si>
  <si>
    <t>Quản lý thông tin phiếu đăng ký dịch vụ làm việc dành cho tập thể</t>
  </si>
  <si>
    <t>Quản lý đăng ký dịch vụ theo tập thể</t>
  </si>
  <si>
    <t>Quản lý danh sách người lao động trong tập thể</t>
  </si>
  <si>
    <t>Quản lý thông tin phiếu đăng ký dịch vụ làm việc dành cho sử dụng lao động</t>
  </si>
  <si>
    <t>Đăng ký và quản lý phiếu dịch vụ</t>
  </si>
  <si>
    <t>Quản lý thông tin phiếu đăng ký giới thiệu, cung ứng lao động dành cho người sử dụng lao động</t>
  </si>
  <si>
    <t>Đăng ký và quản lý phiếu cung ứng lao động</t>
  </si>
  <si>
    <t>Quản lý tình trạng người lao động đang tìm việc</t>
  </si>
  <si>
    <t>Theo dõi quá trình tìm việc</t>
  </si>
  <si>
    <t>Phân loại và phân tích trạng thái</t>
  </si>
  <si>
    <t>Quản lý hồ sơ người lao động thất nghiệp</t>
  </si>
  <si>
    <t>Quản lý tình trạng thất nghiệp</t>
  </si>
  <si>
    <t>Phân loại và phân tích</t>
  </si>
  <si>
    <t>Quản lý tình hình biến động lao động</t>
  </si>
  <si>
    <t>Quản lý danh sách lao động giảm</t>
  </si>
  <si>
    <t>Quản lý danh sách lao động tăng</t>
  </si>
  <si>
    <t>Quản lý danh sách lao động tạm hoãn thực hiện hợp đồng lao động</t>
  </si>
  <si>
    <t>Danh mục</t>
  </si>
  <si>
    <t>Quản lý danh mục nghề</t>
  </si>
  <si>
    <t>Quản lý danh mục trình độ học vấn</t>
  </si>
  <si>
    <t>Quản lý danh mục trình độ chuyên môn</t>
  </si>
  <si>
    <t>Quản lý danh mục đối tượng ưu tiên</t>
  </si>
  <si>
    <t>Quản lý danh mục trình độ kỹ năng nghề</t>
  </si>
  <si>
    <t>Quản lý danh mục trình độ tin học</t>
  </si>
  <si>
    <t>Quản lý danh mục trình độ kỹ năng mềm</t>
  </si>
  <si>
    <t>Quản lý danh mục loại hình doanh nghiệp</t>
  </si>
  <si>
    <t>Quản lý danh mục chức vụ tuyển dụng</t>
  </si>
  <si>
    <t>Quản lý danh mục kinh nghiệm làm việc</t>
  </si>
  <si>
    <t>Quản lý danh mục loại hợp đồng</t>
  </si>
  <si>
    <t>Quản lý danh mục khả năng đáp ứng công việc</t>
  </si>
  <si>
    <t>Quản lý danh mục hình thức làm việc</t>
  </si>
  <si>
    <t>Quản lý danh mục mục đích làm việc</t>
  </si>
  <si>
    <t>Quản lý danh mục mức lương</t>
  </si>
  <si>
    <t>Quản lý danh mục chế độ phúc lợi</t>
  </si>
  <si>
    <t>Quản lý danh mục điều kiện làm việc</t>
  </si>
  <si>
    <t>Quản lý danh mục dịch vụ tư vấn</t>
  </si>
  <si>
    <t>Quản lý danh mục hình thức tuyển dụng</t>
  </si>
  <si>
    <t>Quản lý danh mục ngành kinh doanh</t>
  </si>
  <si>
    <t>Quản lý danh mục quy mô lao động</t>
  </si>
  <si>
    <t>Báo cáo kết quả kết nối việc làm</t>
  </si>
  <si>
    <t>Báo cáo kết quả hoạt động dịch vụ việc làm</t>
  </si>
  <si>
    <t>Báo cáo tình hình biến động lao động</t>
  </si>
  <si>
    <t>Báo cáo thống kê lao động tăng</t>
  </si>
  <si>
    <t>Báo cáo lao động giảm</t>
  </si>
  <si>
    <t>Báo cáo lao động tạm hoãn thực hiện hợp đồng</t>
  </si>
  <si>
    <t>Quản trị hệ thống có thể xem danh sách người lao động</t>
  </si>
  <si>
    <t>Quản trị hệ thống có thể Tìm kiếm người lao động</t>
  </si>
  <si>
    <t>Quản trị hệ thống có thể Thêm mới người lao động</t>
  </si>
  <si>
    <t>Quản trị hệ thống có thể Cập nhật người lao động</t>
  </si>
  <si>
    <t>Quản trị hệ thống có thể reset mật khẩu</t>
  </si>
  <si>
    <t>Quản trị hệ thống có thể Khóa/ mở tài khoản</t>
  </si>
  <si>
    <t>Quản trị hệ thống có thể Xóa người lao động</t>
  </si>
  <si>
    <t>Quản trị hệ thống có thể xem thông tin chi tiết tài khoản người lao động/doanh nghiệp</t>
  </si>
  <si>
    <t>Quản trị hệ thống có thể xem thông tin chi tiết</t>
  </si>
  <si>
    <t>Xem lịch sử đăng ký</t>
  </si>
  <si>
    <t>Quản trị hệ thống có thể xem danh sách doanh nghiệp</t>
  </si>
  <si>
    <t>Quản trị hệ thống có thể Tìm kiếm doanh nghiệp</t>
  </si>
  <si>
    <t>Quản trị hệ thống có thể Thêm mới doanh nghiệp</t>
  </si>
  <si>
    <t>Quản trị hệ thống có thể Cập nhật doanh nghiệp</t>
  </si>
  <si>
    <t>Quản trị hệ thống có thể xem danh sách người dùng</t>
  </si>
  <si>
    <t>Quản trị hệ thống có thể Tìm kiếm người dùng</t>
  </si>
  <si>
    <t>Quản trị hệ thống có thể Thêm mới người dùng</t>
  </si>
  <si>
    <t>Quản trị hệ thống có thể Cập nhật người dùng</t>
  </si>
  <si>
    <t>Quản trị hệ thống có thể Xóa doanh nghiệp</t>
  </si>
  <si>
    <t>Quản trị hệ thống có thể Cập nhật quá trình công tác</t>
  </si>
  <si>
    <t>Quản trị hệ thống có thể xem thông tin chi tiết tài khoản người dùng</t>
  </si>
  <si>
    <t>Quản trị hệ thống có thể xem danh sách tài khoản người dùng</t>
  </si>
  <si>
    <t>Quản trị hệ thống có thể Tìm kiếm tài khoản người dùng</t>
  </si>
  <si>
    <t>Quản trị hệ thống có thể Phân quyền cho từng tài khoản người dùng</t>
  </si>
  <si>
    <t>Quản trị hệ thống có thể Phân quyền cho nhiều tài khoản người dùng cùng lúc</t>
  </si>
  <si>
    <t>Quản trị hệ thống có thể Xem thông tin chi tiết các quyền của tài khoản người dùng đã được phân quyền</t>
  </si>
  <si>
    <t>Quản trị hệ thống có thể Xem lịch sử công tác của tài khoản người dùng đã được phân quyền</t>
  </si>
  <si>
    <t>Quản trị hệ thống có thể Xem thông tin chi tiết tài khoản người dùng</t>
  </si>
  <si>
    <t>Quản trị hệ thống có thể tìm kiếm lịch sử công tác của tài khoản người dùng đã được phân quyền</t>
  </si>
  <si>
    <t>Quản trị hệ thống có thể tìm kiếm quyền của tài khoản người dùng đã được phân quyền</t>
  </si>
  <si>
    <t>Quản trị hệ thống có thể Xem quá trình công tác cho người dùng</t>
  </si>
  <si>
    <t>Quản trị hệ thống có thể Cập nhật quá trình công tác cho người dùng</t>
  </si>
  <si>
    <t>Quản trị hệ thống có thể kết thúc quá trình công tác cho người dùng</t>
  </si>
  <si>
    <t>Quản trị hệ thống có thể cập nhật cơ quan mặc định trong quá trình công tác</t>
  </si>
  <si>
    <t>Quản trị hệ thống có thể xóa quá trình công tác cho người dùng</t>
  </si>
  <si>
    <t>Quản trị hệ thống có thể Xem danh mục quyền</t>
  </si>
  <si>
    <t>Quản trị hệ thống có thể Tìm kiếm quyền theo từ khóa</t>
  </si>
  <si>
    <t>Quản trị hệ thống có thể Tìm kiếm theo các tiêu chí nâng cao</t>
  </si>
  <si>
    <t>Quản trị hệ thống có thể Làm mới các tiêu chí tìm kiếm đã chọn</t>
  </si>
  <si>
    <t>Quản trị hệ thống có thể Thêm mới quyền</t>
  </si>
  <si>
    <t>Quản trị hệ thống có thể Cập nhật quyền</t>
  </si>
  <si>
    <t>Quản trị hệ thống có thể Xóa quyền</t>
  </si>
  <si>
    <t>Quản trị hệ thống có thể chọn ứng dụng cho quyền</t>
  </si>
  <si>
    <t>Quản trị hệ thống có thể chọn xóa nhiều quyền</t>
  </si>
  <si>
    <t>Quản trị hệ thống có thể Xem danh mục nhóm quyền</t>
  </si>
  <si>
    <t>Quản trị hệ thống có thể Tìm kiếm nhóm quyền</t>
  </si>
  <si>
    <t>Quản trị hệ thống có thể Thêm mới nhóm quyền</t>
  </si>
  <si>
    <t>Quản trị hệ thống có thể Cập nhật nhóm quyền</t>
  </si>
  <si>
    <t>Quản trị hệ thống có thể Xóa nhóm quyền</t>
  </si>
  <si>
    <t>Quản trị hệ thống có thể chọn xóa nhiều nhóm quyền</t>
  </si>
  <si>
    <t>Xem danh sách quyền để thêm vào nhóm quyền</t>
  </si>
  <si>
    <t>Tìm kiếm quyền trong danh sách quyền</t>
  </si>
  <si>
    <t>Thêm quyền cho nhóm quyền</t>
  </si>
  <si>
    <t>Xóa quyền khỏi nhóm quyền</t>
  </si>
  <si>
    <t>Xem danh sách quyền đã gán cho nhóm quyền</t>
  </si>
  <si>
    <t>Xem danh sách nhóm người dùng</t>
  </si>
  <si>
    <t>Tìm kiếm danh sách nhóm người dùng</t>
  </si>
  <si>
    <t>Thêm danh sách nhóm người dùng</t>
  </si>
  <si>
    <t>Xóa danh sách nhóm người dùng</t>
  </si>
  <si>
    <t>Cập nhật</t>
  </si>
  <si>
    <t>Thêm danh sách nhóm người dùng từ file excel</t>
  </si>
  <si>
    <t>Tải file mẫu</t>
  </si>
  <si>
    <t>Làm mới thông tin tìm kiếm</t>
  </si>
  <si>
    <t>Tìm kiếm người dùng</t>
  </si>
  <si>
    <t>Chọn người dùng thêm vào nhóm</t>
  </si>
  <si>
    <t>Bỏ người dùng ra khỏi nhóm</t>
  </si>
  <si>
    <t>Xem danh sách người dùng</t>
  </si>
  <si>
    <t>Chọn cột hiển thị thông tin danh sách người dùng</t>
  </si>
  <si>
    <t>Tạo phiếu đăng ký dịch vụ</t>
  </si>
  <si>
    <t>Cập nhật phiếu đăng ký</t>
  </si>
  <si>
    <t>Hủy phiếu đăng ký</t>
  </si>
  <si>
    <t>Tra cứu phiếu đăng ký</t>
  </si>
  <si>
    <t>Tiếp nhận phiếu đăng ký</t>
  </si>
  <si>
    <t>Phân loại nhu cầu</t>
  </si>
  <si>
    <t>Cập nhật trạng thái xử lý</t>
  </si>
  <si>
    <t>Gửi thông báo trạng thái</t>
  </si>
  <si>
    <t>Nhắc lịch hẹn</t>
  </si>
  <si>
    <t>Tạo phiếu đăng ký tìm việc</t>
  </si>
  <si>
    <t>Phân loại hồ sơ tìm việc</t>
  </si>
  <si>
    <t>Ghi chú xử lý</t>
  </si>
  <si>
    <t>Tìm kiếm việc làm phù hợp</t>
  </si>
  <si>
    <t>Giới thiệu việc làm</t>
  </si>
  <si>
    <t>Chuyển hồ sơ cho doanh nghiệp</t>
  </si>
  <si>
    <t>Tạo phiếu đăng ký dịch vụ cho tập thể</t>
  </si>
  <si>
    <t>Nhập danh sách người lao động</t>
  </si>
  <si>
    <t>Tra cứu phiếu đăng ký tập thể</t>
  </si>
  <si>
    <t>Phân loại nhu cầu tập thể</t>
  </si>
  <si>
    <t>Lưu trữ danh sách thành viên</t>
  </si>
  <si>
    <t>Cập nhật thông tin từng người</t>
  </si>
  <si>
    <t>Xóa / thêm thành viên</t>
  </si>
  <si>
    <t>Xem chi tiết hồ sơ từng cá nhân</t>
  </si>
  <si>
    <t>Quản lý trạng thái từng người</t>
  </si>
  <si>
    <t>Tạo phiếu đăng ký dịch vụ tuyển dụng</t>
  </si>
  <si>
    <t>Phân loại nhu cầu tuyển dụng</t>
  </si>
  <si>
    <t>Tạo phiếu đăng ký giới thiệu/cung ứng lao động</t>
  </si>
  <si>
    <t>Ghi nhận lịch sử tìm việc</t>
  </si>
  <si>
    <t>Quản lý việc làm đã tham gia</t>
  </si>
  <si>
    <t>Ghi nhận kết quả từng lần ứng tuyển</t>
  </si>
  <si>
    <t>Phân loại người lao động theo trạng thái</t>
  </si>
  <si>
    <t>Phát hiện người tìm việc lâu chưa có việc</t>
  </si>
  <si>
    <t>Phân loại theo thời gian tìm việc</t>
  </si>
  <si>
    <t>Ghi nhận thời gian thất nghiệp</t>
  </si>
  <si>
    <t>Theo dõi biến động trạng thái</t>
  </si>
  <si>
    <t>Cảnh báo thất nghiệp kéo dài</t>
  </si>
  <si>
    <t>Phân loại theo thời gian thất nghiệp</t>
  </si>
  <si>
    <t>Phân loại theo ngành nghề</t>
  </si>
  <si>
    <t>Xác định nhóm cần hỗ trợ ưu tiên</t>
  </si>
  <si>
    <t>Thêm danh sách lao động giảm</t>
  </si>
  <si>
    <t>Cập nhật danh sách lao động giảm</t>
  </si>
  <si>
    <t>Xóa danh sách lao động giảm</t>
  </si>
  <si>
    <t>Gửi danh sách lao động giảm</t>
  </si>
  <si>
    <t>Thêm danh sách lao động tăng</t>
  </si>
  <si>
    <t>Cập nhật danh sách lao động tăng</t>
  </si>
  <si>
    <t>Xóa danh sách lao động tăng</t>
  </si>
  <si>
    <t>Gửi danh sách lao động tăng</t>
  </si>
  <si>
    <t>Thêm danh sách lao động tạm hoãn thực hiện hợp đồng lao động</t>
  </si>
  <si>
    <t>Cập nhật danh sách lao động tạm hoãn thực hiện hợp đồng lao động</t>
  </si>
  <si>
    <t>Xóa danh sách lao động tạm hoãn thực hiện hợp đồng lao động</t>
  </si>
  <si>
    <t>Gửi danh sách lao động tạm hoãn thực hiện hợp đồng lao động</t>
  </si>
  <si>
    <t>Thêm thông tin danh mục nghề</t>
  </si>
  <si>
    <t>Cập nhật thông tin danh mục nghề</t>
  </si>
  <si>
    <t>Xóa thông tin danh mục nghề</t>
  </si>
  <si>
    <t>Xem chi tiết thông tin danh mục nghề</t>
  </si>
  <si>
    <t>Xem danh sách danh mục nghề</t>
  </si>
  <si>
    <t>Xuất file excel</t>
  </si>
  <si>
    <t>In trang</t>
  </si>
  <si>
    <t>Thêm thông tin danh mục trình độ học vấn</t>
  </si>
  <si>
    <t>Cập nhật thông tin danh mục trình độ học vấn</t>
  </si>
  <si>
    <t>Xóa thông tin danh mục trình độ học vấn</t>
  </si>
  <si>
    <t>Xem chi tiết thông tin trình độ học vấn</t>
  </si>
  <si>
    <t>Xem danh sách  danh mục  trình độ học vấn</t>
  </si>
  <si>
    <t>Thêm thông tin danh mục trình độ chuyên môn</t>
  </si>
  <si>
    <t>Cập nhật thông tin danh mục trình độ chuyên môn</t>
  </si>
  <si>
    <t>Xóa thông tin danh mục trình độ chuyên môn</t>
  </si>
  <si>
    <t>Xem chi tiết thông tin trình độ chuyên môn</t>
  </si>
  <si>
    <t>Xem danh sách danh mục trình độ chuyên môn</t>
  </si>
  <si>
    <t>Thêm thông tin danh mục đối tượng ưu tiên</t>
  </si>
  <si>
    <t>Cập nhật thông tin danh mục đối tượng ưu tiên</t>
  </si>
  <si>
    <t>Xóa thông tin danh mục đối tượng ưu tiên</t>
  </si>
  <si>
    <t>Xem chi tiết thông tin đối tượng ưu tiên</t>
  </si>
  <si>
    <t>Xem danh sách đối tượng ưu tiên</t>
  </si>
  <si>
    <t>Thêm thông tin danh mục trình độ kỹ năng nghề</t>
  </si>
  <si>
    <t>Cập nhật thông tin danh mục trình độ kỹ năng nghề</t>
  </si>
  <si>
    <t>Xóa thông tin danh mục trình độ kỹ năng nghề</t>
  </si>
  <si>
    <t>Xem chi tiết thông tin trình độ kỹ năng nghề</t>
  </si>
  <si>
    <t>Xem danh sách trình độ kỹ năng nghề</t>
  </si>
  <si>
    <t>Thêm thông tin danh mục trình độ tin học</t>
  </si>
  <si>
    <t>Cập nhật thông tin danh mục trình độ tin học</t>
  </si>
  <si>
    <t>Xóa thông tin danh mục trình độ tin học</t>
  </si>
  <si>
    <t>Xem chi tiết thông tin trình độ tin học</t>
  </si>
  <si>
    <t>Xem danh sách trình độ tin học</t>
  </si>
  <si>
    <t>Thêm thông tin danh mục trình độ kỹ năng mềm</t>
  </si>
  <si>
    <t>Cập nhật thông tin danh mục trình độ kỹ năng mềm</t>
  </si>
  <si>
    <t>Xóa thông tin danh mục trình độ kỹ năng mềm</t>
  </si>
  <si>
    <t>Xem chi tiết thông tin trình độ kỹ năng mềm</t>
  </si>
  <si>
    <t>Xem danh sách trình độ kỹ năng mềm</t>
  </si>
  <si>
    <t>Thêm thông tin danh mục loại hình doanh nghiệp</t>
  </si>
  <si>
    <t>Cập nhật thông tin danh mục loại hình doanh nghiệp</t>
  </si>
  <si>
    <t>Xóa thông tin danh mục loại hình doanh nghiệp</t>
  </si>
  <si>
    <t>Xem chi tiết thông tin loại hình doanh nghiệp</t>
  </si>
  <si>
    <t>Xem danh sách loại hình doanh nghiệp</t>
  </si>
  <si>
    <t>Thêm thông tin danh mục chức vụ tuyển dụng</t>
  </si>
  <si>
    <t>Cập nhật thông tin danh mục chức vụ tuyển dụng</t>
  </si>
  <si>
    <t>Xóa thông tin danh mục chức vụ tuyển dụng</t>
  </si>
  <si>
    <t>Xem chi tiết thông tin chức vụ tuyển dụng</t>
  </si>
  <si>
    <t>Xem danh sách chức vụ tuyển dụng</t>
  </si>
  <si>
    <t>Thêm thông tin danh mục kinh nghiệm làm việc</t>
  </si>
  <si>
    <t>Cập nhật thông tin danh mục kinh nghiệm làm việc</t>
  </si>
  <si>
    <t>Xóa thông tin danh mục kinh nghiệm làm việc</t>
  </si>
  <si>
    <t>Xem chi tiết thông tin kinh nghiệm làm việc</t>
  </si>
  <si>
    <t>Xem danh sách kinh nghiệm làm việc</t>
  </si>
  <si>
    <t>Thêm thông tin danh mục loại hợp đồng</t>
  </si>
  <si>
    <t>Cập nhật thông tin danh mục loại hợp đồng</t>
  </si>
  <si>
    <t>Xóa thông tin danh mục loại hợp đồng</t>
  </si>
  <si>
    <t>Xem chi tiết thông tin loại hợp đồng</t>
  </si>
  <si>
    <t>Xem danh sách loại hợp đồng</t>
  </si>
  <si>
    <t>Thêm thông tin danh mục khả năng đáp ứng công việc</t>
  </si>
  <si>
    <t>Cập nhật thông tin danh mục khả năng đáp ứng công việc</t>
  </si>
  <si>
    <t>Xóa thông tin danh mục khả năng đáp ứng công việc</t>
  </si>
  <si>
    <t>Xem chi tiết thông tin khả năng đáp ứng công việc</t>
  </si>
  <si>
    <t>Xem danh sách khả năng đáp ứng công việc</t>
  </si>
  <si>
    <t>Thêm thông tin danh mục hình thức làm việc</t>
  </si>
  <si>
    <t>Cập nhật thông tin danh mục hình thức làm việc</t>
  </si>
  <si>
    <t>Xóa thông tin danh mục hình thức làm việc</t>
  </si>
  <si>
    <t>Xem chi tiết thông tin hình thức làm việc</t>
  </si>
  <si>
    <t>Xem danh sách hình thức làm việc</t>
  </si>
  <si>
    <t>Thêm thông tin danh mục mục đích làm việc</t>
  </si>
  <si>
    <t>Cập nhật thông tin danh mục mục đích làm việc</t>
  </si>
  <si>
    <t>Xóa thông tin danh mục mục đích làm việc</t>
  </si>
  <si>
    <t>Xem chi tiết thông tin mục đích làm việc</t>
  </si>
  <si>
    <t>Xem danh sách mục đích làm việc</t>
  </si>
  <si>
    <t>Thêm thông tin danh mục mức lương</t>
  </si>
  <si>
    <t>Cập nhật thông tin danh mục mức lương</t>
  </si>
  <si>
    <t>Xóa thông tin danh mục mức lương</t>
  </si>
  <si>
    <t>Xem chi tiết thông tin mục mức lương</t>
  </si>
  <si>
    <t>Xem danh sách mức lương</t>
  </si>
  <si>
    <t>Thêm thông tin danh mục chế độ phúc lợi</t>
  </si>
  <si>
    <t>Cập nhật thông tin danh mục chế độ phúc lợi</t>
  </si>
  <si>
    <t>Xóa thông tin danh mục chế độ phúc lợi</t>
  </si>
  <si>
    <t>Xem chi tiết thông tin chế độ phúc lợi</t>
  </si>
  <si>
    <t>Xem danh sách chế độ phúc lợi</t>
  </si>
  <si>
    <t>Thêm thông tin danh mục điều kiện làm việc</t>
  </si>
  <si>
    <t>Cập nhật thông tin danh mục điều kiện làm việc</t>
  </si>
  <si>
    <t>Xóa thông tin danh mục điều kiện làm việc</t>
  </si>
  <si>
    <t>Xem chi tiết thông tin điều kiện làm việc</t>
  </si>
  <si>
    <t>Xem danh sách điều kiện làm việc</t>
  </si>
  <si>
    <t>Thêm thông tin danh mục dịch vụ tư vấn</t>
  </si>
  <si>
    <t>Cập nhật thông tin danh mục dịch vụ tư vấn</t>
  </si>
  <si>
    <t>Xóa thông tin danh mục dịch vụ tư vấn</t>
  </si>
  <si>
    <t>Xem chi tiết thông tin dịch vụ tư vấn</t>
  </si>
  <si>
    <t>Xem danh sách dịch vụ tư vấn</t>
  </si>
  <si>
    <t>Thêm thông tin danh mục hình thức tuyển dụng</t>
  </si>
  <si>
    <t>Cập nhật thông tin danh mục hình thức tuyển dụng</t>
  </si>
  <si>
    <t>Xóa thông tin danh mục hình thức tuyển dụng</t>
  </si>
  <si>
    <t>Xem chi tiết thông tin hình thức tuyển dụng</t>
  </si>
  <si>
    <t>Xem danh sách hình thức tuyển dụng</t>
  </si>
  <si>
    <t>Thêm thông tin danh mục ngành kinh doanh</t>
  </si>
  <si>
    <t>Cập nhật thông tin danh mục ngành kinh doanh</t>
  </si>
  <si>
    <t>Xóa thông tin danh mục ngành kinh doanh</t>
  </si>
  <si>
    <t>Xem chi tiết thông tin ngành kinh doanh</t>
  </si>
  <si>
    <t>Xem danh sách ngành kinh doanh</t>
  </si>
  <si>
    <t>Thêm thông tin danh mục quy mô lao động</t>
  </si>
  <si>
    <t>Cập nhật thông tin danh mục quy mô lao động</t>
  </si>
  <si>
    <t>Xóa thông tin danh mục quy mô lao động</t>
  </si>
  <si>
    <t>Xem chi tiết thông tin quy mô lao động</t>
  </si>
  <si>
    <t>Xem danh sách quy mô lao động</t>
  </si>
  <si>
    <t>Xem thống kê kết quả kết nối việc làm theo kỳ báo cáo</t>
  </si>
  <si>
    <t>Xem thống kê kết quả kết nối việc làm theo trình độ</t>
  </si>
  <si>
    <t>Xem thống kê kết quả kết nối việc làm theo đơn vị sử dụng lao động</t>
  </si>
  <si>
    <t>Xem thống kê kết quả kết nối việc làm theo mức lương</t>
  </si>
  <si>
    <t>Xem thống kê kết quả hoạt động dịch vụ việc làm theo kỳ báo cáo</t>
  </si>
  <si>
    <t>Xem thống kê tình hình biến động lao động theo kỳ báo cáo</t>
  </si>
  <si>
    <t>Xem thống kê lao động tăng theo kỳ báo cáo</t>
  </si>
  <si>
    <t>Xem thống kê lao động giảm theo kỳ báo cáo</t>
  </si>
  <si>
    <t>Xem thống kê  lao động tạm hoãn thực hiện hợp đồng theo kỳ báo cáo</t>
  </si>
  <si>
    <t>Quản trị hệ thống</t>
  </si>
  <si>
    <t>Người dùng hệ thống</t>
  </si>
  <si>
    <t>Quản lý tài khoản cá nhân</t>
  </si>
  <si>
    <t>Người dùng vào chức năng Quản lý tài khoản cá nhân. Hệ thống hiển thị màn hình Quản lý tài khoản cá nhân.</t>
  </si>
  <si>
    <t>Người dùng thực hiện đổi mật khẩu. Hệ thống kiểm tra dữ liệu, nếu hợp lệ thì thực hiện mã hoá mật khẩu và lưu vào CSDL, nếu không hợp lệ thì thông báo lỗi cụ thể.</t>
  </si>
  <si>
    <t>Người dùng sửa thông tin cá nhân. Hệ thống kiểm tra dữ liệu, nếu hợp lệ thì lưu vào CSDL, nếu không hợp lệ thì thông báo lỗi cụ thể cho người dùng.</t>
  </si>
  <si>
    <t>Đăng nhập</t>
  </si>
  <si>
    <t>Người dùng thực hiện truy cập vào hệ thống. Hệ thống hiển thị màn hình đăng nhập.</t>
  </si>
  <si>
    <t>Người dùng nhập thông tin đăng nhập và nhấn Đăng nhập. Thông tin tài khoản được mã hoá và gửi đến hệ thống. Hệ thống thực hiện xác thực tài khoản, nếu hợp lệ thì hệ thống cho phép đăng nhập vào hệ thống và sử dụng các chức năng được phân theo vai trò đã gán cho người dùng, nếu không hợp lệ thì thông báo lỗi cụ thể.</t>
  </si>
  <si>
    <t>Người dùng đăng nhập không thành công nhiều lần (theo cấu hình tại Thiết lập chính sách mật khẩu), hệ thống thực hiện khóa tài khoản trong một khoảng thời gian theo cấu hình tại Thiết lập chính sách mật khẩu và cảnh báo cho người dùng.</t>
  </si>
  <si>
    <t>Người dùng không có tương tác với hệ thống trong 1 khoảng thời gian (theo chính sách truy cập được thiết lập). Hệ thống hiển thị thông báo, đóng phiên kết nối đã hết hạn thời gian timeout và yêu cầu đăng nhập lại.</t>
  </si>
  <si>
    <t>Người dùng thực hiện chọn menu thông tin chung. Hệ thống hiển thị danh mục menu.</t>
  </si>
  <si>
    <t>Người dùng thực hiện đăng xuất khỏi hệ thống. Hệ thống trở về màn hình đăng nhập.</t>
  </si>
  <si>
    <t>Nhật ký hệ thống</t>
  </si>
  <si>
    <t>Quản lý lịch sử tác động</t>
  </si>
  <si>
    <t>Cấu hình lưu nhật ký hệ thống</t>
  </si>
  <si>
    <t>Quản lý lịch sử lỗi phát sinh</t>
  </si>
  <si>
    <t>Quản lý chính sách lưu trữ nhật ký tác động hệ thống</t>
  </si>
  <si>
    <t>Thiết lập chính sách sao lưu dự phòng</t>
  </si>
  <si>
    <t>Người dùng đăng nhập thành công, nếu là lần đăng nhập đầu tiên vào hệ thống hoặc lần đăng nhập đầu tiên sau khi Quản trị hệ thống reset mật khẩu thì hệ thống hiển thị màn hình yêu cầu đổi mật khẩu (nếu tính năng yêu cầu đổi mật khẩu lần đầu được bật).</t>
  </si>
  <si>
    <t xml:space="preserve">Quản trị hệ thống chọn chức năng Quản lý lịch sử tác động. Hệ thống hiển thị màn hình quản lý lịch sử tác động. </t>
  </si>
  <si>
    <t xml:space="preserve">Quản trị hệ thống thực hiện tìm kiếm lịch sử tác động theo vai trò người dùng. Hệ thống hiển thị kết quả lịch sử tác động chọn hệ thống theo vai trò người dùng. </t>
  </si>
  <si>
    <t xml:space="preserve">Quản trị hệ thống thực hiện tìm kiếm lịch sử tác động theo chức năng. Hệ thống hiển thị kết quả lịch sử tác động chọn hệ thống theo chức năng. </t>
  </si>
  <si>
    <t xml:space="preserve">Quản trị hệ thống thực hiện tìm kiếm lịch sử tác động theo đơn vị. Hệ thống hiển thị kết quả lịch sử tác động chọn hệ thống theo đơn vị. </t>
  </si>
  <si>
    <t>Quản trị hệ thống chọn lịch sử tác động cần xem chi tiết. Hệ thống hiển thị màn hình xem chi tiết lịch sử tác động</t>
  </si>
  <si>
    <t xml:space="preserve">Quản trị hệ thống xuất file danh sách lịch sử tác động theo đơn vị. Hệ thống xuất file lịch sử tác động chọn hệ thống theo đơn vị và cho phép người dùng lưu về máy. </t>
  </si>
  <si>
    <t xml:space="preserve">Quản trị hệ thống xuất file danh sách lịch sử tác động theo vai trò người dùng. Hệ thống xuất file lịch sử tác động chọn hệ thống theo vai trò người dùng và cho phép người dùng lưu về máy. </t>
  </si>
  <si>
    <t xml:space="preserve">Quản trị hệ thống xuất file danh sách lịch sử tác động theo chức năng. Hệ thống xuất file lịch sử tác động chọn hệ thống theo chức năng và cho phép người dùng lưu về máy. </t>
  </si>
  <si>
    <t>Quản trị hệ thống xem danh sách cấu hình lưu nhật ký hệ thống. Hệ thống hiển thị kết quả</t>
  </si>
  <si>
    <t>Quản trị hệ thống xem chi tiết cấu hình lưu nhật ký hệ thống. Hệ thống hiển thị kết quả</t>
  </si>
  <si>
    <t>Quản trị hệ thống thêm cấu hình lưu nhật ký hệ thống. Hệ thống kiểm tra tính hợp lệ và lưu vào CSDL, hiển thị kết quả ra</t>
  </si>
  <si>
    <t>Quản trị hệ thống sửa cấu hình lưu nhật ký hệ thống. Hệ thống kiểm tra tính hợp lệ và lưu vào CSDL, hiển thị kết quả ra</t>
  </si>
  <si>
    <t>Quản trị hệ thống chọn chức năng Quản lý lịch sử lỗi phát sinh. Hệ thống hiển thị màn hình quản lý lịch sử lỗi phát sinh.</t>
  </si>
  <si>
    <t>Quản trị hệ thống thực hiện tìm kiếm lỗi phát sinh. Hệ thống trả về kết quả tìm kiếm theo các tiêu chí người dùng đã chọn.</t>
  </si>
  <si>
    <t>Quản trị hệ thống chọn lịch sử lỗi phát sinh cần xem chi tiết. Hệ thống hiển thị màn hình xem chi tiết lịch sử lỗi phát sinh.</t>
  </si>
  <si>
    <t xml:space="preserve">Quản trị hệ thống xuất file danh sách lịch sử lỗi phát sinh. Hệ thống xuất file lịch sử lỗi phát sinh và cho phép người dùng lưu về máy. </t>
  </si>
  <si>
    <t xml:space="preserve">Quản trị hệ thống chọn Quản lý chính sách lưu trữ nhật ký tác động hệ thống. Hệ thống hiển thị màn hình Quản lý chính sách lưu trữ nhật ký tác động hệ thống. </t>
  </si>
  <si>
    <t>Quản trị hệ thống thực hiện tìm kiếm chính sách. Hệ thống trả về kết quả tìm kiếm theo các tiêu chí người dùng đã chọn.</t>
  </si>
  <si>
    <t>Quản trị hệ thống thực hiện thêm mới chính sách lưu trữ nhật ký tác động hệ thống. Hệ thống kiểm tra thông tin, nếu hợp lệ thì lưu vào CSDL, nếu không hợp lệ thì thông báo lỗi cho người dùng.</t>
  </si>
  <si>
    <t>Quản trị hệ thống thực hiện chỉnh sửa chính sách lưu trữ nhật ký tác động hệ thống. Hệ thống kiểm tra thông tin, nếu hợp lệ thì lưu vào CSDL, nếu không hợp lệ thì thông báo lỗi cho người dùng.</t>
  </si>
  <si>
    <t>Quản trị hệ thống thực hiện xoá chính sách lưu trữ nhật ký tác động hệ thống. Hệ thống kiểm tra thông tin, nếu hợp lệ thì lưu vào CSDL, nếu không hợp lệ thì thông báo lỗi cho người dùng.</t>
  </si>
  <si>
    <t>Quản trị hệ thống chọn chính sách cần khóa và nhấn Khóa chính sách. Hệ thống thực hiện khóa chính sách đã chọn.</t>
  </si>
  <si>
    <t>Quản trị hệ thống chọn chính sách cần mở khóa và nhấn Mở khóa chính sách. Hệ thống thực hiện mở khóa chính sách đã chọn.</t>
  </si>
  <si>
    <t>Quản trị hệ thống chọn chức năng Thiết lập chính sách sao lưu dự phòng. Hệ thống mở màn hình chức năng.</t>
  </si>
  <si>
    <t>Quản trị hệ thống thực hiện thiết lập chính sách về sao lưu dự phòng cơ sở dữ liệu và cấu hình hệ thống. Hệ thống kiểm tra thông tin, nếu hợp lệ thì lưu vào CSDL, nếu không hợp lệ thì thông báo cho người dùng.</t>
  </si>
  <si>
    <t>Quản trị hệ thống xoá cấu hình lưu nhật ký hệ thống. Hệ thống kiểm tra tính hợp lệ và lưu vào CSDL, hiển thị kết quả ra</t>
  </si>
  <si>
    <t>Đăng xuất</t>
  </si>
  <si>
    <t>XI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</si>
</sst>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1" formatCode="_(* #,##0_);_(* \(#,##0\);_(* &quot;-&quot;_);_(@_)"/>
    <numFmt numFmtId="43" formatCode="_(* #,##0.00_);_(* \(#,##0.00\);_(* &quot;-&quot;??_);_(@_)"/>
    <numFmt numFmtId="164" formatCode="&quot;£&quot;#,##0;\-&quot;£&quot;#,##0"/>
    <numFmt numFmtId="165" formatCode="&quot;£&quot;#,##0.00;[Red]\-&quot;£&quot;#,##0.00"/>
    <numFmt numFmtId="166" formatCode="_-* #,##0_-;\-* #,##0_-;_-* &quot;-&quot;_-;_-@_-"/>
    <numFmt numFmtId="167" formatCode="_-&quot;£&quot;* #,##0.00_-;\-&quot;£&quot;* #,##0.00_-;_-&quot;£&quot;* &quot;-&quot;??_-;_-@_-"/>
    <numFmt numFmtId="168" formatCode="_-* #,##0.00_-;\-* #,##0.00_-;_-* &quot;-&quot;??_-;_-@_-"/>
    <numFmt numFmtId="169" formatCode="_-* #,##0.00\ _₫_-;\-* #,##0.00\ _₫_-;_-* &quot;-&quot;??\ _₫_-;_-@_-"/>
    <numFmt numFmtId="170" formatCode="&quot;€&quot;#,##0_);\(&quot;€&quot;#,##0\)"/>
    <numFmt numFmtId="171" formatCode="&quot;€&quot;#,##0_);[Red]\(&quot;€&quot;#,##0\)"/>
    <numFmt numFmtId="172" formatCode="_(&quot;€&quot;* #,##0.00_);_(&quot;€&quot;* \(#,##0.00\);_(&quot;€&quot;* &quot;-&quot;??_);_(@_)"/>
    <numFmt numFmtId="173" formatCode="_(* #,##0_);_(* \(#,##0\);_(* &quot;-&quot;??_);_(@_)"/>
    <numFmt numFmtId="174" formatCode="\$#,##0\ ;\(\$#,##0\)"/>
    <numFmt numFmtId="175" formatCode="&quot;\&quot;#,##0.00;[Red]&quot;\&quot;\-#,##0.00"/>
    <numFmt numFmtId="176" formatCode="&quot;\&quot;#,##0;[Red]&quot;\&quot;\-#,##0"/>
    <numFmt numFmtId="177" formatCode="_-&quot;€&quot;* #,##0_-;\-&quot;€&quot;* #,##0_-;_-&quot;€&quot;* &quot;-&quot;_-;_-@_-"/>
    <numFmt numFmtId="178" formatCode="_-&quot;€&quot;* #,##0.00_-;\-&quot;€&quot;* #,##0.00_-;_-&quot;€&quot;* &quot;-&quot;??_-;_-@_-"/>
    <numFmt numFmtId="179" formatCode="0.000;[Red]0.000"/>
    <numFmt numFmtId="180" formatCode="0.0000;[Red]0.0000"/>
    <numFmt numFmtId="181" formatCode="0.000"/>
    <numFmt numFmtId="182" formatCode="_(* #,##0.000_);_(* \(#,##0.000\);_(* &quot;-&quot;??_);_(@_)"/>
    <numFmt numFmtId="183" formatCode="0.00;[Red]0.00"/>
    <numFmt numFmtId="186" formatCode="0.0"/>
    <numFmt numFmtId="187" formatCode="_-* #,##0.0_-;\-* #,##0.0_-;_-* &quot;-&quot;?_-;_-@_-"/>
  </numFmts>
  <fonts count="115">
    <font>
      <sz val="11"/>
      <color indexed="8"/>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charset val="163"/>
    </font>
    <font>
      <sz val="11"/>
      <color indexed="8"/>
      <name val="Calibri"/>
      <family val="2"/>
    </font>
    <font>
      <sz val="10"/>
      <name val="MS Sans Serif"/>
      <family val="2"/>
    </font>
    <font>
      <b/>
      <sz val="13"/>
      <name val="Times New Roman"/>
      <family val="1"/>
    </font>
    <font>
      <sz val="13"/>
      <name val="Times New Roman"/>
      <family val="1"/>
    </font>
    <font>
      <b/>
      <sz val="13"/>
      <color rgb="FF000000"/>
      <name val="Times New Roman"/>
      <family val="1"/>
    </font>
    <font>
      <sz val="10"/>
      <name val="Arial"/>
      <family val="2"/>
    </font>
    <font>
      <sz val="11"/>
      <color indexed="8"/>
      <name val="Times New Roman"/>
      <family val="1"/>
    </font>
    <font>
      <sz val="12"/>
      <name val="Times New Roman"/>
      <family val="1"/>
    </font>
    <font>
      <sz val="10"/>
      <name val="Arial"/>
      <family val="2"/>
    </font>
    <font>
      <i/>
      <sz val="13"/>
      <name val="Times New Roman"/>
      <family val="1"/>
    </font>
    <font>
      <sz val="12"/>
      <name val="바탕체"/>
      <family val="1"/>
      <charset val="129"/>
    </font>
    <font>
      <sz val="10"/>
      <name val="Helv"/>
      <family val="2"/>
    </font>
    <font>
      <sz val="10"/>
      <color indexed="8"/>
      <name val="MS Sans Serif"/>
      <family val="2"/>
    </font>
    <font>
      <sz val="12"/>
      <name val="¹UAAA¼"/>
      <family val="3"/>
      <charset val="129"/>
    </font>
    <font>
      <sz val="11"/>
      <color indexed="8"/>
      <name val="맑은 고딕"/>
      <family val="3"/>
    </font>
    <font>
      <sz val="11"/>
      <color indexed="9"/>
      <name val="맑은 고딕"/>
      <family val="3"/>
    </font>
    <font>
      <sz val="11"/>
      <color indexed="9"/>
      <name val="Calibri"/>
      <family val="2"/>
    </font>
    <font>
      <sz val="11"/>
      <color indexed="20"/>
      <name val="맑은 고딕"/>
      <family val="3"/>
    </font>
    <font>
      <b/>
      <sz val="11"/>
      <color indexed="52"/>
      <name val="맑은 고딕"/>
      <family val="3"/>
    </font>
    <font>
      <b/>
      <sz val="10"/>
      <name val="Helv"/>
      <family val="2"/>
    </font>
    <font>
      <b/>
      <sz val="11"/>
      <color indexed="9"/>
      <name val="맑은 고딕"/>
      <family val="3"/>
    </font>
    <font>
      <b/>
      <sz val="11"/>
      <color indexed="8"/>
      <name val="Calibri"/>
      <family val="2"/>
    </font>
    <font>
      <i/>
      <sz val="11"/>
      <color indexed="23"/>
      <name val="맑은 고딕"/>
      <family val="3"/>
    </font>
    <font>
      <sz val="11"/>
      <color indexed="17"/>
      <name val="맑은 고딕"/>
      <family val="3"/>
    </font>
    <font>
      <sz val="8"/>
      <name val="Arial"/>
      <family val="2"/>
    </font>
    <font>
      <b/>
      <sz val="12"/>
      <name val="Helv"/>
      <family val="2"/>
    </font>
    <font>
      <b/>
      <sz val="12"/>
      <name val="Arial"/>
      <family val="2"/>
    </font>
    <font>
      <b/>
      <sz val="15"/>
      <color indexed="56"/>
      <name val="맑은 고딕"/>
      <family val="3"/>
    </font>
    <font>
      <b/>
      <sz val="13"/>
      <color indexed="56"/>
      <name val="맑은 고딕"/>
      <family val="3"/>
    </font>
    <font>
      <b/>
      <sz val="11"/>
      <color indexed="56"/>
      <name val="맑은 고딕"/>
      <family val="3"/>
    </font>
    <font>
      <b/>
      <sz val="10"/>
      <name val=".VnTime"/>
      <family val="2"/>
    </font>
    <font>
      <u/>
      <sz val="10"/>
      <color indexed="12"/>
      <name val="Arial"/>
      <family val="2"/>
    </font>
    <font>
      <sz val="11"/>
      <color indexed="62"/>
      <name val="맑은 고딕"/>
      <family val="3"/>
    </font>
    <font>
      <sz val="11"/>
      <color indexed="52"/>
      <name val="맑은 고딕"/>
      <family val="3"/>
    </font>
    <font>
      <b/>
      <sz val="11"/>
      <name val="Helv"/>
      <family val="2"/>
    </font>
    <font>
      <sz val="11"/>
      <color indexed="60"/>
      <name val="맑은 고딕"/>
      <family val="3"/>
    </font>
    <font>
      <sz val="11"/>
      <name val=".VnArial"/>
      <family val="2"/>
    </font>
    <font>
      <sz val="11"/>
      <name val="돋움"/>
      <family val="3"/>
      <charset val="129"/>
    </font>
    <font>
      <sz val="11"/>
      <color indexed="8"/>
      <name val="Arial"/>
      <family val="2"/>
    </font>
    <font>
      <b/>
      <sz val="11"/>
      <color indexed="63"/>
      <name val="맑은 고딕"/>
      <family val="3"/>
    </font>
    <font>
      <b/>
      <sz val="18"/>
      <color indexed="62"/>
      <name val="Cambria"/>
      <family val="2"/>
    </font>
    <font>
      <b/>
      <sz val="11"/>
      <color indexed="12"/>
      <name val="MS Sans Serif"/>
      <family val="2"/>
    </font>
    <font>
      <b/>
      <sz val="18"/>
      <color indexed="56"/>
      <name val="맑은 고딕"/>
      <family val="3"/>
    </font>
    <font>
      <b/>
      <sz val="11"/>
      <color indexed="8"/>
      <name val="맑은 고딕"/>
      <family val="3"/>
    </font>
    <font>
      <b/>
      <sz val="8"/>
      <name val="VN Helvetica"/>
    </font>
    <font>
      <b/>
      <sz val="12"/>
      <name val=".VnTime"/>
      <family val="2"/>
    </font>
    <font>
      <b/>
      <sz val="10"/>
      <name val="VN AvantGBook"/>
    </font>
    <font>
      <b/>
      <sz val="10"/>
      <name val="VN Helvetica"/>
    </font>
    <font>
      <b/>
      <sz val="16"/>
      <name val=".VnTime"/>
      <family val="2"/>
    </font>
    <font>
      <sz val="10"/>
      <name val=".VnTime"/>
      <family val="2"/>
    </font>
    <font>
      <sz val="9"/>
      <name val=".VnTime"/>
      <family val="2"/>
    </font>
    <font>
      <sz val="11"/>
      <color indexed="10"/>
      <name val="맑은 고딕"/>
      <family val="3"/>
    </font>
    <font>
      <u/>
      <sz val="11"/>
      <color indexed="20"/>
      <name val="돋움"/>
      <family val="3"/>
      <charset val="129"/>
    </font>
    <font>
      <sz val="14"/>
      <name val="뼻뮝"/>
      <family val="3"/>
      <charset val="129"/>
    </font>
    <font>
      <sz val="12"/>
      <name val="바탕체"/>
      <family val="3"/>
    </font>
    <font>
      <sz val="12"/>
      <name val="뼻뮝"/>
      <family val="1"/>
      <charset val="129"/>
    </font>
    <font>
      <sz val="10"/>
      <name val="굴림체"/>
      <family val="3"/>
      <charset val="129"/>
    </font>
    <font>
      <sz val="12"/>
      <name val="新細明體"/>
      <family val="1"/>
      <charset val="136"/>
    </font>
    <font>
      <sz val="12"/>
      <name val="宋体"/>
      <charset val="134"/>
    </font>
    <font>
      <sz val="11"/>
      <name val="Times New Roman"/>
      <family val="1"/>
    </font>
    <font>
      <sz val="11"/>
      <color theme="1"/>
      <name val="Times New Roman"/>
      <family val="1"/>
    </font>
    <font>
      <sz val="12"/>
      <name val=".VnTime"/>
      <family val="2"/>
    </font>
    <font>
      <b/>
      <sz val="11"/>
      <name val="Times New Roman"/>
      <family val="1"/>
    </font>
    <font>
      <b/>
      <i/>
      <sz val="11"/>
      <name val="Times New Roman"/>
      <family val="1"/>
    </font>
    <font>
      <sz val="11"/>
      <color rgb="FFFF0000"/>
      <name val="Times New Roman"/>
      <family val="1"/>
    </font>
    <font>
      <b/>
      <sz val="9"/>
      <color indexed="81"/>
      <name val="Tahoma"/>
      <family val="2"/>
      <charset val="163"/>
    </font>
    <font>
      <sz val="9"/>
      <color indexed="81"/>
      <name val="Tahoma"/>
      <family val="2"/>
      <charset val="163"/>
    </font>
    <font>
      <sz val="14"/>
      <color indexed="8"/>
      <name val="Arial"/>
      <family val="2"/>
    </font>
    <font>
      <sz val="11"/>
      <color theme="1"/>
      <name val="Calibri"/>
      <family val="2"/>
      <charset val="163"/>
      <scheme val="minor"/>
    </font>
    <font>
      <b/>
      <sz val="14"/>
      <name val="Times New Roman"/>
      <family val="1"/>
    </font>
    <font>
      <sz val="14"/>
      <name val="Times New Roman"/>
      <family val="1"/>
    </font>
    <font>
      <sz val="11"/>
      <name val="Calibri"/>
      <family val="2"/>
    </font>
    <font>
      <sz val="13"/>
      <color rgb="FFFF0000"/>
      <name val="Times New Roman"/>
      <family val="1"/>
    </font>
    <font>
      <sz val="12"/>
      <color theme="1"/>
      <name val="Calibri"/>
      <family val="2"/>
      <scheme val="minor"/>
    </font>
    <font>
      <sz val="14"/>
      <name val=".VnTime"/>
      <family val="2"/>
    </font>
    <font>
      <sz val="14"/>
      <color theme="1"/>
      <name val="Arial"/>
      <family val="2"/>
    </font>
    <font>
      <b/>
      <sz val="9"/>
      <color indexed="81"/>
      <name val="Tahoma"/>
      <family val="2"/>
    </font>
    <font>
      <sz val="9"/>
      <color indexed="81"/>
      <name val="Tahoma"/>
      <family val="2"/>
    </font>
    <font>
      <b/>
      <i/>
      <sz val="13"/>
      <name val="Times New Roman"/>
      <family val="1"/>
    </font>
    <font>
      <b/>
      <sz val="11"/>
      <color theme="1"/>
      <name val="Times New Roman"/>
      <family val="1"/>
    </font>
    <font>
      <b/>
      <sz val="12"/>
      <name val="Times New Roman"/>
      <family val="1"/>
    </font>
    <font>
      <sz val="13"/>
      <color theme="1"/>
      <name val="Times New Roman"/>
      <family val="1"/>
    </font>
    <font>
      <sz val="12"/>
      <color theme="1"/>
      <name val="Times New Roman"/>
      <family val="1"/>
    </font>
    <font>
      <b/>
      <sz val="13"/>
      <color theme="1"/>
      <name val="Times New Roman"/>
      <family val="1"/>
    </font>
    <font>
      <b/>
      <sz val="20"/>
      <color theme="1"/>
      <name val="Times New Roman"/>
      <family val="1"/>
    </font>
    <font>
      <b/>
      <sz val="12"/>
      <color theme="1"/>
      <name val="Times New Roman"/>
      <family val="1"/>
    </font>
    <font>
      <b/>
      <i/>
      <sz val="13"/>
      <color theme="1"/>
      <name val="Times New Roman"/>
      <family val="1"/>
    </font>
    <font>
      <sz val="11"/>
      <color theme="1"/>
      <name val="Calibri"/>
      <family val="2"/>
    </font>
    <font>
      <sz val="11"/>
      <color theme="1"/>
      <name val="Arial"/>
      <family val="2"/>
    </font>
    <font>
      <sz val="14"/>
      <color theme="1"/>
      <name val="Times New Roman"/>
      <family val="1"/>
    </font>
    <font>
      <sz val="11"/>
      <name val="Arial"/>
      <family val="2"/>
    </font>
    <font>
      <b/>
      <sz val="12"/>
      <color rgb="FF000000"/>
      <name val="Times New Roman"/>
      <family val="1"/>
    </font>
    <font>
      <sz val="12"/>
      <color rgb="FF000000"/>
      <name val="Times New Roman"/>
      <family val="1"/>
    </font>
    <font>
      <sz val="13"/>
      <color rgb="FF000000"/>
      <name val="Times New Roman"/>
      <family val="1"/>
    </font>
    <font>
      <i/>
      <sz val="11"/>
      <color theme="1"/>
      <name val="Times New Roman"/>
      <family val="1"/>
    </font>
    <font>
      <i/>
      <sz val="12"/>
      <color theme="1"/>
      <name val="Times New Roman"/>
      <family val="1"/>
    </font>
    <font>
      <i/>
      <sz val="12"/>
      <name val="Times New Roman"/>
      <family val="1"/>
    </font>
    <font>
      <b/>
      <i/>
      <sz val="11"/>
      <color theme="1"/>
      <name val="Times New Roman"/>
      <family val="1"/>
    </font>
    <font>
      <sz val="11"/>
      <color rgb="FF000000"/>
      <name val="Times New Roman"/>
      <family val="1"/>
    </font>
    <font>
      <sz val="13"/>
      <color indexed="8"/>
      <name val="Calibri"/>
      <family val="2"/>
    </font>
    <font>
      <sz val="8"/>
      <name val="Calibri"/>
      <family val="2"/>
    </font>
    <font>
      <sz val="12"/>
      <color indexed="8"/>
      <name val="Times New Roman"/>
      <family val="2"/>
    </font>
    <font>
      <sz val="12"/>
      <color indexed="8"/>
      <name val="Times New Roman"/>
      <family val="1"/>
      <charset val="163"/>
    </font>
    <font>
      <b/>
      <sz val="11"/>
      <color rgb="FF000000"/>
      <name val="Times New Roman"/>
      <family val="1"/>
    </font>
  </fonts>
  <fills count="58">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31"/>
        <bgColor indexed="31"/>
      </patternFill>
    </fill>
    <fill>
      <patternFill patternType="solid">
        <fgColor indexed="44"/>
        <bgColor indexed="44"/>
      </patternFill>
    </fill>
    <fill>
      <patternFill patternType="solid">
        <fgColor indexed="62"/>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10"/>
      </patternFill>
    </fill>
    <fill>
      <patternFill patternType="solid">
        <fgColor indexed="42"/>
        <bgColor indexed="42"/>
      </patternFill>
    </fill>
    <fill>
      <patternFill patternType="solid">
        <fgColor indexed="57"/>
      </patternFill>
    </fill>
    <fill>
      <patternFill patternType="solid">
        <fgColor indexed="27"/>
        <bgColor indexed="27"/>
      </patternFill>
    </fill>
    <fill>
      <patternFill patternType="solid">
        <fgColor indexed="47"/>
        <bgColor indexed="47"/>
      </patternFill>
    </fill>
    <fill>
      <patternFill patternType="solid">
        <fgColor indexed="53"/>
      </patternFill>
    </fill>
    <fill>
      <patternFill patternType="solid">
        <fgColor indexed="22"/>
      </patternFill>
    </fill>
    <fill>
      <patternFill patternType="solid">
        <fgColor indexed="55"/>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0"/>
        <bgColor indexed="64"/>
      </patternFill>
    </fill>
    <fill>
      <patternFill patternType="solid">
        <fgColor indexed="43"/>
      </patternFill>
    </fill>
    <fill>
      <patternFill patternType="solid">
        <fgColor indexed="26"/>
      </patternFill>
    </fill>
    <fill>
      <patternFill patternType="solid">
        <fgColor indexed="35"/>
        <bgColor indexed="64"/>
      </patternFill>
    </fill>
    <fill>
      <patternFill patternType="gray125">
        <fgColor indexed="35"/>
      </patternFill>
    </fill>
    <fill>
      <patternFill patternType="solid">
        <fgColor indexed="26"/>
        <bgColor indexed="9"/>
      </patternFill>
    </fill>
    <fill>
      <patternFill patternType="solid">
        <fgColor indexed="9"/>
        <bgColor indexed="10"/>
      </patternFill>
    </fill>
    <fill>
      <patternFill patternType="solid">
        <fgColor theme="9" tint="0.39997558519241921"/>
        <bgColor indexed="64"/>
      </patternFill>
    </fill>
    <fill>
      <patternFill patternType="solid">
        <fgColor theme="9" tint="0.59999389629810485"/>
        <bgColor indexed="64"/>
      </patternFill>
    </fill>
    <fill>
      <patternFill patternType="solid">
        <fgColor rgb="FFB8CCE4"/>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D8D8D8"/>
        <bgColor rgb="FFD8D8D8"/>
      </patternFill>
    </fill>
    <fill>
      <patternFill patternType="solid">
        <fgColor rgb="FFC8C8C8"/>
        <bgColor rgb="FFC8C8C8"/>
      </patternFill>
    </fill>
    <fill>
      <patternFill patternType="solid">
        <fgColor theme="5" tint="0.79998168889431442"/>
        <bgColor indexed="64"/>
      </patternFill>
    </fill>
    <fill>
      <patternFill patternType="solid">
        <fgColor theme="6" tint="0.39997558519241921"/>
        <bgColor indexed="64"/>
      </patternFill>
    </fill>
    <fill>
      <patternFill patternType="solid">
        <fgColor rgb="FFDDD9C4"/>
        <bgColor indexed="64"/>
      </patternFill>
    </fill>
    <fill>
      <patternFill patternType="solid">
        <fgColor rgb="FFFFFFFF"/>
        <bgColor indexed="64"/>
      </patternFill>
    </fill>
    <fill>
      <patternFill patternType="solid">
        <fgColor rgb="FFEBF1DE"/>
        <bgColor indexed="64"/>
      </patternFill>
    </fill>
    <fill>
      <patternFill patternType="solid">
        <fgColor theme="6" tint="0.79998168889431442"/>
        <bgColor indexed="64"/>
      </patternFill>
    </fill>
  </fills>
  <borders count="36">
    <border>
      <left/>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4"/>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medium">
        <color indexed="64"/>
      </left>
      <right style="medium">
        <color indexed="64"/>
      </right>
      <top style="hair">
        <color indexed="64"/>
      </top>
      <bottom style="hair">
        <color indexed="64"/>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indexed="64"/>
      </right>
      <top/>
      <bottom style="thin">
        <color indexed="64"/>
      </bottom>
      <diagonal/>
    </border>
  </borders>
  <cellStyleXfs count="238">
    <xf numFmtId="0" fontId="0" fillId="0" borderId="0"/>
    <xf numFmtId="43" fontId="11" fillId="0" borderId="0" applyFont="0" applyFill="0" applyBorder="0" applyAlignment="0" applyProtection="0"/>
    <xf numFmtId="0" fontId="10" fillId="0" borderId="0"/>
    <xf numFmtId="0" fontId="16" fillId="0" borderId="0"/>
    <xf numFmtId="0" fontId="16" fillId="0" borderId="0"/>
    <xf numFmtId="0" fontId="10" fillId="0" borderId="0"/>
    <xf numFmtId="168" fontId="10" fillId="0" borderId="0" applyFont="0" applyFill="0" applyBorder="0" applyAlignment="0" applyProtection="0"/>
    <xf numFmtId="0" fontId="19" fillId="0" borderId="0"/>
    <xf numFmtId="0" fontId="10" fillId="0" borderId="0"/>
    <xf numFmtId="168" fontId="10" fillId="0" borderId="0" applyFont="0" applyFill="0" applyBorder="0" applyAlignment="0" applyProtection="0"/>
    <xf numFmtId="0" fontId="16" fillId="0" borderId="0"/>
    <xf numFmtId="0" fontId="21" fillId="0" borderId="0"/>
    <xf numFmtId="0" fontId="2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2" fillId="0" borderId="0"/>
    <xf numFmtId="0" fontId="22" fillId="0" borderId="0"/>
    <xf numFmtId="0" fontId="16" fillId="0" borderId="0"/>
    <xf numFmtId="0" fontId="16" fillId="0" borderId="0"/>
    <xf numFmtId="0" fontId="22" fillId="0" borderId="0"/>
    <xf numFmtId="0" fontId="23" fillId="0" borderId="0"/>
    <xf numFmtId="0" fontId="10" fillId="0" borderId="0"/>
    <xf numFmtId="0" fontId="16" fillId="0" borderId="0"/>
    <xf numFmtId="9" fontId="24" fillId="0" borderId="0" applyFont="0" applyFill="0" applyBorder="0" applyAlignment="0" applyProtection="0"/>
    <xf numFmtId="0" fontId="25" fillId="4" borderId="0" applyNumberFormat="0" applyBorder="0" applyAlignment="0" applyProtection="0">
      <alignment vertical="center"/>
    </xf>
    <xf numFmtId="0" fontId="25" fillId="5" borderId="0" applyNumberFormat="0" applyBorder="0" applyAlignment="0" applyProtection="0">
      <alignment vertical="center"/>
    </xf>
    <xf numFmtId="0" fontId="25" fillId="6" borderId="0" applyNumberFormat="0" applyBorder="0" applyAlignment="0" applyProtection="0">
      <alignment vertical="center"/>
    </xf>
    <xf numFmtId="0" fontId="25" fillId="7" borderId="0" applyNumberFormat="0" applyBorder="0" applyAlignment="0" applyProtection="0">
      <alignment vertical="center"/>
    </xf>
    <xf numFmtId="0" fontId="25" fillId="8" borderId="0" applyNumberFormat="0" applyBorder="0" applyAlignment="0" applyProtection="0">
      <alignment vertical="center"/>
    </xf>
    <xf numFmtId="0" fontId="25"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5" fillId="7" borderId="0" applyNumberFormat="0" applyBorder="0" applyAlignment="0" applyProtection="0">
      <alignment vertical="center"/>
    </xf>
    <xf numFmtId="0" fontId="25" fillId="10"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11" fillId="18" borderId="0" applyNumberFormat="0" applyBorder="0" applyAlignment="0" applyProtection="0"/>
    <xf numFmtId="0" fontId="11" fillId="18" borderId="0" applyNumberFormat="0" applyBorder="0" applyAlignment="0" applyProtection="0"/>
    <xf numFmtId="0" fontId="27" fillId="19" borderId="0" applyNumberFormat="0" applyBorder="0" applyAlignment="0" applyProtection="0"/>
    <xf numFmtId="0" fontId="26" fillId="20" borderId="0" applyNumberFormat="0" applyBorder="0" applyAlignment="0" applyProtection="0">
      <alignment vertical="center"/>
    </xf>
    <xf numFmtId="0" fontId="11" fillId="21" borderId="0" applyNumberFormat="0" applyBorder="0" applyAlignment="0" applyProtection="0"/>
    <xf numFmtId="0" fontId="11" fillId="22" borderId="0" applyNumberFormat="0" applyBorder="0" applyAlignment="0" applyProtection="0"/>
    <xf numFmtId="0" fontId="27" fillId="23" borderId="0" applyNumberFormat="0" applyBorder="0" applyAlignment="0" applyProtection="0"/>
    <xf numFmtId="0" fontId="26" fillId="24" borderId="0" applyNumberFormat="0" applyBorder="0" applyAlignment="0" applyProtection="0">
      <alignment vertical="center"/>
    </xf>
    <xf numFmtId="0" fontId="11" fillId="21" borderId="0" applyNumberFormat="0" applyBorder="0" applyAlignment="0" applyProtection="0"/>
    <xf numFmtId="0" fontId="11" fillId="25" borderId="0" applyNumberFormat="0" applyBorder="0" applyAlignment="0" applyProtection="0"/>
    <xf numFmtId="0" fontId="27" fillId="22" borderId="0" applyNumberFormat="0" applyBorder="0" applyAlignment="0" applyProtection="0"/>
    <xf numFmtId="0" fontId="26" fillId="26" borderId="0" applyNumberFormat="0" applyBorder="0" applyAlignment="0" applyProtection="0">
      <alignment vertical="center"/>
    </xf>
    <xf numFmtId="0" fontId="11" fillId="18" borderId="0" applyNumberFormat="0" applyBorder="0" applyAlignment="0" applyProtection="0"/>
    <xf numFmtId="0" fontId="11" fillId="22" borderId="0" applyNumberFormat="0" applyBorder="0" applyAlignment="0" applyProtection="0"/>
    <xf numFmtId="0" fontId="27" fillId="22" borderId="0" applyNumberFormat="0" applyBorder="0" applyAlignment="0" applyProtection="0"/>
    <xf numFmtId="0" fontId="26" fillId="15" borderId="0" applyNumberFormat="0" applyBorder="0" applyAlignment="0" applyProtection="0">
      <alignment vertical="center"/>
    </xf>
    <xf numFmtId="0" fontId="11" fillId="27" borderId="0" applyNumberFormat="0" applyBorder="0" applyAlignment="0" applyProtection="0"/>
    <xf numFmtId="0" fontId="11" fillId="18" borderId="0" applyNumberFormat="0" applyBorder="0" applyAlignment="0" applyProtection="0"/>
    <xf numFmtId="0" fontId="27" fillId="19" borderId="0" applyNumberFormat="0" applyBorder="0" applyAlignment="0" applyProtection="0"/>
    <xf numFmtId="0" fontId="26" fillId="16" borderId="0" applyNumberFormat="0" applyBorder="0" applyAlignment="0" applyProtection="0">
      <alignment vertical="center"/>
    </xf>
    <xf numFmtId="0" fontId="11" fillId="21" borderId="0" applyNumberFormat="0" applyBorder="0" applyAlignment="0" applyProtection="0"/>
    <xf numFmtId="0" fontId="11" fillId="28" borderId="0" applyNumberFormat="0" applyBorder="0" applyAlignment="0" applyProtection="0"/>
    <xf numFmtId="0" fontId="27" fillId="28" borderId="0" applyNumberFormat="0" applyBorder="0" applyAlignment="0" applyProtection="0"/>
    <xf numFmtId="0" fontId="26" fillId="29" borderId="0" applyNumberFormat="0" applyBorder="0" applyAlignment="0" applyProtection="0">
      <alignment vertical="center"/>
    </xf>
    <xf numFmtId="0" fontId="16" fillId="0" borderId="0" applyFont="0" applyFill="0" applyBorder="0" applyAlignment="0" applyProtection="0"/>
    <xf numFmtId="0" fontId="16" fillId="0" borderId="0" applyFont="0" applyFill="0" applyBorder="0" applyAlignment="0" applyProtection="0"/>
    <xf numFmtId="0" fontId="16" fillId="0" borderId="0" applyFont="0" applyFill="0" applyBorder="0" applyAlignment="0" applyProtection="0"/>
    <xf numFmtId="0" fontId="16" fillId="0" borderId="0" applyFont="0" applyFill="0" applyBorder="0" applyAlignment="0" applyProtection="0"/>
    <xf numFmtId="0" fontId="28" fillId="5" borderId="0" applyNumberFormat="0" applyBorder="0" applyAlignment="0" applyProtection="0">
      <alignment vertical="center"/>
    </xf>
    <xf numFmtId="0" fontId="16" fillId="0" borderId="0"/>
    <xf numFmtId="0" fontId="29" fillId="30" borderId="7" applyNumberFormat="0" applyAlignment="0" applyProtection="0">
      <alignment vertical="center"/>
    </xf>
    <xf numFmtId="0" fontId="30" fillId="0" borderId="0"/>
    <xf numFmtId="0" fontId="31" fillId="31" borderId="8" applyNumberFormat="0" applyAlignment="0" applyProtection="0">
      <alignment vertical="center"/>
    </xf>
    <xf numFmtId="168" fontId="10" fillId="0" borderId="0" applyFont="0" applyFill="0" applyBorder="0" applyAlignment="0" applyProtection="0"/>
    <xf numFmtId="168" fontId="10"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8"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1" fillId="0" borderId="0" applyFont="0" applyFill="0" applyBorder="0" applyAlignment="0" applyProtection="0"/>
    <xf numFmtId="43" fontId="16" fillId="0" borderId="0" applyFont="0" applyFill="0" applyBorder="0" applyAlignment="0" applyProtection="0"/>
    <xf numFmtId="168" fontId="16" fillId="0" borderId="0" applyFont="0" applyFill="0" applyBorder="0" applyAlignment="0" applyProtection="0"/>
    <xf numFmtId="43" fontId="10" fillId="0" borderId="0" applyFont="0" applyFill="0" applyBorder="0" applyAlignment="0" applyProtection="0"/>
    <xf numFmtId="168" fontId="16"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43" fontId="11" fillId="0" borderId="0" applyFont="0" applyFill="0" applyBorder="0" applyAlignment="0" applyProtection="0"/>
    <xf numFmtId="3" fontId="16" fillId="0" borderId="0" applyFont="0" applyFill="0" applyBorder="0" applyAlignment="0" applyProtection="0"/>
    <xf numFmtId="172" fontId="16" fillId="0" borderId="0" applyFont="0" applyFill="0" applyBorder="0" applyAlignment="0" applyProtection="0"/>
    <xf numFmtId="172" fontId="1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72" fontId="10" fillId="0" borderId="0" applyFont="0" applyFill="0" applyBorder="0" applyAlignment="0" applyProtection="0"/>
    <xf numFmtId="174" fontId="16" fillId="0" borderId="0" applyFont="0" applyFill="0" applyBorder="0" applyAlignment="0" applyProtection="0"/>
    <xf numFmtId="0" fontId="16" fillId="0" borderId="0" applyFont="0" applyFill="0" applyBorder="0" applyAlignment="0" applyProtection="0"/>
    <xf numFmtId="0" fontId="32" fillId="32" borderId="0" applyNumberFormat="0" applyBorder="0" applyAlignment="0" applyProtection="0"/>
    <xf numFmtId="0" fontId="32" fillId="33" borderId="0" applyNumberFormat="0" applyBorder="0" applyAlignment="0" applyProtection="0"/>
    <xf numFmtId="0" fontId="32" fillId="34" borderId="0" applyNumberFormat="0" applyBorder="0" applyAlignment="0" applyProtection="0"/>
    <xf numFmtId="0" fontId="33" fillId="0" borderId="0" applyNumberFormat="0" applyFill="0" applyBorder="0" applyAlignment="0" applyProtection="0">
      <alignment vertical="center"/>
    </xf>
    <xf numFmtId="2" fontId="16" fillId="0" borderId="0" applyFont="0" applyFill="0" applyBorder="0" applyAlignment="0" applyProtection="0"/>
    <xf numFmtId="0" fontId="34" fillId="6" borderId="0" applyNumberFormat="0" applyBorder="0" applyAlignment="0" applyProtection="0">
      <alignment vertical="center"/>
    </xf>
    <xf numFmtId="38" fontId="35" fillId="3" borderId="0" applyNumberFormat="0" applyBorder="0" applyAlignment="0" applyProtection="0"/>
    <xf numFmtId="0" fontId="36" fillId="0" borderId="0">
      <alignment horizontal="left"/>
    </xf>
    <xf numFmtId="0" fontId="37" fillId="0" borderId="9" applyNumberFormat="0" applyAlignment="0" applyProtection="0">
      <alignment horizontal="left" vertical="center"/>
    </xf>
    <xf numFmtId="0" fontId="37" fillId="0" borderId="2">
      <alignment horizontal="left" vertical="center"/>
    </xf>
    <xf numFmtId="0" fontId="38" fillId="0" borderId="10" applyNumberFormat="0" applyFill="0" applyAlignment="0" applyProtection="0">
      <alignment vertical="center"/>
    </xf>
    <xf numFmtId="0" fontId="39" fillId="0" borderId="11" applyNumberFormat="0" applyFill="0" applyAlignment="0" applyProtection="0">
      <alignment vertical="center"/>
    </xf>
    <xf numFmtId="0" fontId="40" fillId="0" borderId="12" applyNumberFormat="0" applyFill="0" applyAlignment="0" applyProtection="0">
      <alignment vertical="center"/>
    </xf>
    <xf numFmtId="0" fontId="40" fillId="0" borderId="0" applyNumberFormat="0" applyFill="0" applyBorder="0" applyAlignment="0" applyProtection="0">
      <alignment vertical="center"/>
    </xf>
    <xf numFmtId="170" fontId="41" fillId="35" borderId="4" applyNumberFormat="0" applyAlignment="0">
      <alignment horizontal="left" vertical="top"/>
    </xf>
    <xf numFmtId="0" fontId="42" fillId="0" borderId="0" applyNumberFormat="0" applyFill="0" applyBorder="0" applyAlignment="0" applyProtection="0">
      <alignment vertical="top"/>
      <protection locked="0"/>
    </xf>
    <xf numFmtId="10" fontId="35" fillId="3" borderId="4" applyNumberFormat="0" applyBorder="0" applyAlignment="0" applyProtection="0"/>
    <xf numFmtId="0" fontId="43" fillId="9" borderId="7" applyNumberFormat="0" applyAlignment="0" applyProtection="0">
      <alignment vertical="center"/>
    </xf>
    <xf numFmtId="0" fontId="43" fillId="9" borderId="7" applyNumberFormat="0" applyAlignment="0" applyProtection="0">
      <alignment vertical="center"/>
    </xf>
    <xf numFmtId="0" fontId="43" fillId="9" borderId="7" applyNumberFormat="0" applyAlignment="0" applyProtection="0">
      <alignment vertical="center"/>
    </xf>
    <xf numFmtId="0" fontId="16" fillId="0" borderId="0"/>
    <xf numFmtId="0" fontId="16" fillId="0" borderId="0"/>
    <xf numFmtId="0" fontId="16" fillId="0" borderId="0"/>
    <xf numFmtId="0" fontId="16" fillId="0" borderId="0"/>
    <xf numFmtId="0" fontId="10" fillId="0" borderId="0"/>
    <xf numFmtId="0" fontId="12" fillId="0" borderId="0"/>
    <xf numFmtId="0" fontId="44" fillId="0" borderId="13" applyNumberFormat="0" applyFill="0" applyAlignment="0" applyProtection="0">
      <alignment vertical="center"/>
    </xf>
    <xf numFmtId="0" fontId="45" fillId="0" borderId="14"/>
    <xf numFmtId="0" fontId="46" fillId="36" borderId="0" applyNumberFormat="0" applyBorder="0" applyAlignment="0" applyProtection="0">
      <alignment vertical="center"/>
    </xf>
    <xf numFmtId="0" fontId="16" fillId="0" borderId="0"/>
    <xf numFmtId="0" fontId="16" fillId="0" borderId="0"/>
    <xf numFmtId="0" fontId="16" fillId="0" borderId="0"/>
    <xf numFmtId="0" fontId="47" fillId="0" borderId="0"/>
    <xf numFmtId="0" fontId="47" fillId="0" borderId="0"/>
    <xf numFmtId="0" fontId="48" fillId="0" borderId="0">
      <alignment vertical="center"/>
    </xf>
    <xf numFmtId="0" fontId="48" fillId="0" borderId="0">
      <alignment vertical="center"/>
    </xf>
    <xf numFmtId="0" fontId="49" fillId="0" borderId="0"/>
    <xf numFmtId="0" fontId="10" fillId="0" borderId="0"/>
    <xf numFmtId="0" fontId="16" fillId="0" borderId="0"/>
    <xf numFmtId="0" fontId="48" fillId="37" borderId="15" applyNumberFormat="0" applyFont="0" applyAlignment="0" applyProtection="0">
      <alignment vertical="center"/>
    </xf>
    <xf numFmtId="0" fontId="50" fillId="30" borderId="5" applyNumberFormat="0" applyAlignment="0" applyProtection="0">
      <alignment vertical="center"/>
    </xf>
    <xf numFmtId="10" fontId="16" fillId="0" borderId="0" applyFont="0" applyFill="0" applyBorder="0" applyAlignment="0" applyProtection="0"/>
    <xf numFmtId="9" fontId="16" fillId="0" borderId="0" applyFont="0" applyFill="0" applyBorder="0" applyAlignment="0" applyProtection="0"/>
    <xf numFmtId="9" fontId="10"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0" fontId="51" fillId="0" borderId="0" applyNumberFormat="0" applyFill="0" applyBorder="0" applyAlignment="0" applyProtection="0"/>
    <xf numFmtId="0" fontId="12" fillId="0" borderId="0"/>
    <xf numFmtId="0" fontId="18" fillId="0" borderId="0"/>
    <xf numFmtId="0" fontId="18" fillId="0" borderId="0"/>
    <xf numFmtId="0" fontId="12" fillId="0" borderId="0"/>
    <xf numFmtId="0" fontId="45" fillId="0" borderId="0"/>
    <xf numFmtId="49" fontId="52" fillId="0" borderId="0">
      <alignment horizontal="right" vertical="center"/>
    </xf>
    <xf numFmtId="0" fontId="24" fillId="0" borderId="0"/>
    <xf numFmtId="0" fontId="53" fillId="0" borderId="0" applyNumberFormat="0" applyFill="0" applyBorder="0" applyAlignment="0" applyProtection="0">
      <alignment vertical="center"/>
    </xf>
    <xf numFmtId="0" fontId="54" fillId="0" borderId="16" applyNumberFormat="0" applyFill="0" applyAlignment="0" applyProtection="0">
      <alignment vertical="center"/>
    </xf>
    <xf numFmtId="170" fontId="55" fillId="38" borderId="1">
      <alignment vertical="top"/>
    </xf>
    <xf numFmtId="0" fontId="56" fillId="39" borderId="4">
      <alignment horizontal="left" vertical="center"/>
    </xf>
    <xf numFmtId="171" fontId="57" fillId="40" borderId="1"/>
    <xf numFmtId="164" fontId="41" fillId="0" borderId="1">
      <alignment horizontal="left" vertical="top"/>
    </xf>
    <xf numFmtId="170" fontId="58" fillId="0" borderId="1">
      <alignment horizontal="left" vertical="top"/>
    </xf>
    <xf numFmtId="170" fontId="41" fillId="0" borderId="1">
      <alignment horizontal="left" vertical="top"/>
    </xf>
    <xf numFmtId="170" fontId="58" fillId="0" borderId="1">
      <alignment horizontal="left" vertical="top"/>
    </xf>
    <xf numFmtId="0" fontId="59" fillId="41" borderId="0">
      <alignment horizontal="left" vertical="center"/>
    </xf>
    <xf numFmtId="170" fontId="60" fillId="0" borderId="6">
      <alignment horizontal="left" vertical="top"/>
    </xf>
    <xf numFmtId="0" fontId="61" fillId="0" borderId="6">
      <alignment horizontal="left" vertical="center"/>
    </xf>
    <xf numFmtId="0" fontId="62" fillId="0" borderId="0" applyNumberFormat="0" applyFill="0" applyBorder="0" applyAlignment="0" applyProtection="0">
      <alignment vertical="center"/>
    </xf>
    <xf numFmtId="0" fontId="63" fillId="0" borderId="0" applyNumberFormat="0" applyFill="0" applyBorder="0" applyAlignment="0" applyProtection="0">
      <alignment vertical="top"/>
      <protection locked="0"/>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Font="0" applyFill="0" applyBorder="0" applyAlignment="0" applyProtection="0"/>
    <xf numFmtId="0" fontId="66" fillId="0" borderId="0"/>
    <xf numFmtId="0" fontId="16" fillId="0" borderId="0"/>
    <xf numFmtId="0" fontId="21" fillId="0" borderId="0" applyFont="0" applyFill="0" applyBorder="0" applyAlignment="0" applyProtection="0"/>
    <xf numFmtId="0" fontId="21" fillId="0" borderId="0" applyFont="0" applyFill="0" applyBorder="0" applyAlignment="0" applyProtection="0"/>
    <xf numFmtId="175" fontId="21" fillId="0" borderId="0" applyFont="0" applyFill="0" applyBorder="0" applyAlignment="0" applyProtection="0"/>
    <xf numFmtId="176" fontId="21" fillId="0" borderId="0" applyFont="0" applyFill="0" applyBorder="0" applyAlignment="0" applyProtection="0"/>
    <xf numFmtId="0" fontId="67" fillId="0" borderId="0"/>
    <xf numFmtId="0" fontId="68" fillId="0" borderId="0"/>
    <xf numFmtId="166" fontId="68" fillId="0" borderId="0" applyFont="0" applyFill="0" applyBorder="0" applyAlignment="0" applyProtection="0"/>
    <xf numFmtId="168" fontId="68" fillId="0" borderId="0" applyFont="0" applyFill="0" applyBorder="0" applyAlignment="0" applyProtection="0"/>
    <xf numFmtId="0" fontId="69" fillId="0" borderId="0"/>
    <xf numFmtId="0" fontId="48" fillId="0" borderId="0"/>
    <xf numFmtId="177" fontId="68" fillId="0" borderId="0" applyFont="0" applyFill="0" applyBorder="0" applyAlignment="0" applyProtection="0"/>
    <xf numFmtId="178" fontId="68" fillId="0" borderId="0" applyFont="0" applyFill="0" applyBorder="0" applyAlignment="0" applyProtection="0"/>
    <xf numFmtId="0" fontId="9" fillId="0" borderId="0"/>
    <xf numFmtId="0" fontId="16" fillId="0" borderId="0"/>
    <xf numFmtId="0" fontId="72" fillId="0" borderId="0"/>
    <xf numFmtId="169" fontId="49" fillId="0" borderId="0" applyFont="0" applyFill="0" applyBorder="0" applyAlignment="0" applyProtection="0"/>
    <xf numFmtId="41" fontId="16" fillId="0" borderId="0" applyFont="0" applyFill="0" applyBorder="0" applyAlignment="0" applyProtection="0"/>
    <xf numFmtId="43" fontId="11" fillId="0" borderId="0" applyFont="0" applyFill="0" applyBorder="0" applyAlignment="0" applyProtection="0"/>
    <xf numFmtId="43" fontId="7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16" fillId="0" borderId="0"/>
    <xf numFmtId="0" fontId="79" fillId="0" borderId="0"/>
    <xf numFmtId="0" fontId="9" fillId="0" borderId="0"/>
    <xf numFmtId="0" fontId="16" fillId="0" borderId="0"/>
    <xf numFmtId="0" fontId="15" fillId="44" borderId="27" applyFont="0" applyFill="0" applyAlignment="0">
      <alignment horizontal="center" vertical="center" wrapText="1"/>
    </xf>
    <xf numFmtId="0" fontId="84" fillId="0" borderId="0"/>
    <xf numFmtId="0" fontId="11" fillId="0" borderId="0"/>
    <xf numFmtId="43" fontId="11" fillId="0" borderId="0" applyFont="0" applyFill="0" applyBorder="0" applyAlignment="0" applyProtection="0"/>
    <xf numFmtId="43" fontId="85" fillId="0" borderId="0" applyFont="0" applyFill="0" applyBorder="0" applyAlignment="0" applyProtection="0"/>
    <xf numFmtId="0" fontId="11" fillId="0" borderId="0"/>
    <xf numFmtId="0" fontId="8" fillId="0" borderId="0"/>
    <xf numFmtId="0" fontId="84" fillId="0" borderId="0"/>
    <xf numFmtId="168" fontId="7" fillId="0" borderId="0" applyFont="0" applyFill="0" applyBorder="0" applyAlignment="0" applyProtection="0"/>
    <xf numFmtId="0" fontId="8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0" fontId="99" fillId="0" borderId="0"/>
    <xf numFmtId="0" fontId="16" fillId="0" borderId="0"/>
    <xf numFmtId="43" fontId="5" fillId="0" borderId="0" applyFont="0" applyFill="0" applyBorder="0" applyAlignment="0" applyProtection="0"/>
    <xf numFmtId="0" fontId="4" fillId="0" borderId="0"/>
    <xf numFmtId="0" fontId="16" fillId="0" borderId="0"/>
    <xf numFmtId="0" fontId="3" fillId="0" borderId="0"/>
    <xf numFmtId="0" fontId="11"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112" fillId="0" borderId="0"/>
    <xf numFmtId="0" fontId="113" fillId="0" borderId="0"/>
    <xf numFmtId="0" fontId="11" fillId="0" borderId="0"/>
    <xf numFmtId="0" fontId="1" fillId="0" borderId="0"/>
    <xf numFmtId="0" fontId="16" fillId="0" borderId="0"/>
  </cellStyleXfs>
  <cellXfs count="310">
    <xf numFmtId="0" fontId="0" fillId="0" borderId="0" xfId="0"/>
    <xf numFmtId="0" fontId="14" fillId="0" borderId="0" xfId="191" applyFont="1" applyAlignment="1">
      <alignment vertical="center" wrapText="1"/>
    </xf>
    <xf numFmtId="0" fontId="13" fillId="0" borderId="4" xfId="191" applyFont="1" applyBorder="1" applyAlignment="1">
      <alignment horizontal="center" vertical="center" wrapText="1"/>
    </xf>
    <xf numFmtId="3" fontId="13" fillId="0" borderId="4" xfId="191" applyNumberFormat="1" applyFont="1" applyBorder="1" applyAlignment="1">
      <alignment horizontal="center" vertical="center" wrapText="1"/>
    </xf>
    <xf numFmtId="0" fontId="13" fillId="0" borderId="4" xfId="191" applyFont="1" applyBorder="1" applyAlignment="1">
      <alignment vertical="center" wrapText="1"/>
    </xf>
    <xf numFmtId="0" fontId="13" fillId="0" borderId="0" xfId="191" applyFont="1" applyAlignment="1">
      <alignment vertical="center" wrapText="1"/>
    </xf>
    <xf numFmtId="0" fontId="14" fillId="0" borderId="4" xfId="191" applyFont="1" applyBorder="1" applyAlignment="1">
      <alignment horizontal="center" vertical="center" wrapText="1"/>
    </xf>
    <xf numFmtId="0" fontId="14" fillId="0" borderId="4" xfId="191" applyFont="1" applyBorder="1" applyAlignment="1">
      <alignment vertical="center" wrapText="1"/>
    </xf>
    <xf numFmtId="0" fontId="14" fillId="0" borderId="0" xfId="191" applyFont="1" applyAlignment="1">
      <alignment horizontal="center" vertical="center" wrapText="1"/>
    </xf>
    <xf numFmtId="3" fontId="14" fillId="0" borderId="0" xfId="191" applyNumberFormat="1" applyFont="1" applyAlignment="1">
      <alignment vertical="center" wrapText="1"/>
    </xf>
    <xf numFmtId="173" fontId="70" fillId="0" borderId="4" xfId="1" applyNumberFormat="1" applyFont="1" applyBorder="1" applyAlignment="1">
      <alignment vertical="center" wrapText="1"/>
    </xf>
    <xf numFmtId="173" fontId="71" fillId="0" borderId="4" xfId="1" applyNumberFormat="1" applyFont="1" applyBorder="1" applyAlignment="1">
      <alignment vertical="center" wrapText="1"/>
    </xf>
    <xf numFmtId="3" fontId="17" fillId="0" borderId="4" xfId="192" applyNumberFormat="1" applyFont="1" applyBorder="1" applyAlignment="1">
      <alignment horizontal="right" vertical="center" wrapText="1"/>
    </xf>
    <xf numFmtId="0" fontId="70" fillId="0" borderId="0" xfId="193" applyFont="1" applyAlignment="1">
      <alignment vertical="center" wrapText="1"/>
    </xf>
    <xf numFmtId="3" fontId="70" fillId="0" borderId="0" xfId="194" applyNumberFormat="1" applyFont="1" applyAlignment="1">
      <alignment horizontal="right" vertical="center" wrapText="1"/>
    </xf>
    <xf numFmtId="3" fontId="71" fillId="0" borderId="4" xfId="191" applyNumberFormat="1" applyFont="1" applyBorder="1" applyAlignment="1">
      <alignment vertical="center" wrapText="1"/>
    </xf>
    <xf numFmtId="0" fontId="73" fillId="0" borderId="0" xfId="193" applyFont="1" applyAlignment="1">
      <alignment vertical="center" wrapText="1"/>
    </xf>
    <xf numFmtId="0" fontId="73" fillId="0" borderId="4" xfId="193" applyFont="1" applyBorder="1" applyAlignment="1">
      <alignment vertical="center" wrapText="1"/>
    </xf>
    <xf numFmtId="173" fontId="73" fillId="0" borderId="4" xfId="1" applyNumberFormat="1" applyFont="1" applyBorder="1" applyAlignment="1">
      <alignment horizontal="center" vertical="center" wrapText="1"/>
    </xf>
    <xf numFmtId="0" fontId="73" fillId="0" borderId="4" xfId="193" applyFont="1" applyBorder="1" applyAlignment="1">
      <alignment horizontal="center" vertical="center" wrapText="1"/>
    </xf>
    <xf numFmtId="3" fontId="73" fillId="0" borderId="4" xfId="194" applyNumberFormat="1" applyFont="1" applyBorder="1" applyAlignment="1">
      <alignment horizontal="right" vertical="center" wrapText="1"/>
    </xf>
    <xf numFmtId="0" fontId="73" fillId="42" borderId="20" xfId="193" applyFont="1" applyFill="1" applyBorder="1" applyAlignment="1">
      <alignment vertical="center" wrapText="1"/>
    </xf>
    <xf numFmtId="173" fontId="73" fillId="42" borderId="20" xfId="1" applyNumberFormat="1" applyFont="1" applyFill="1" applyBorder="1" applyAlignment="1">
      <alignment vertical="center" wrapText="1"/>
    </xf>
    <xf numFmtId="3" fontId="73" fillId="42" borderId="20" xfId="193" applyNumberFormat="1" applyFont="1" applyFill="1" applyBorder="1" applyAlignment="1">
      <alignment horizontal="right" vertical="center" wrapText="1"/>
    </xf>
    <xf numFmtId="0" fontId="73" fillId="42" borderId="21" xfId="193" applyFont="1" applyFill="1" applyBorder="1" applyAlignment="1">
      <alignment vertical="center" wrapText="1"/>
    </xf>
    <xf numFmtId="173" fontId="73" fillId="0" borderId="20" xfId="88" applyNumberFormat="1" applyFont="1" applyBorder="1" applyAlignment="1">
      <alignment horizontal="center" vertical="center" wrapText="1"/>
    </xf>
    <xf numFmtId="0" fontId="70" fillId="0" borderId="20" xfId="193" applyFont="1" applyBorder="1" applyAlignment="1">
      <alignment vertical="center" wrapText="1"/>
    </xf>
    <xf numFmtId="173" fontId="70" fillId="0" borderId="20" xfId="1" applyNumberFormat="1" applyFont="1" applyBorder="1" applyAlignment="1">
      <alignment horizontal="center" vertical="center" wrapText="1"/>
    </xf>
    <xf numFmtId="179" fontId="70" fillId="0" borderId="20" xfId="193" applyNumberFormat="1" applyFont="1" applyBorder="1" applyAlignment="1">
      <alignment horizontal="center" vertical="center" wrapText="1"/>
    </xf>
    <xf numFmtId="3" fontId="70" fillId="0" borderId="20" xfId="1" applyNumberFormat="1" applyFont="1" applyBorder="1" applyAlignment="1">
      <alignment horizontal="right" vertical="center" wrapText="1"/>
    </xf>
    <xf numFmtId="179" fontId="70" fillId="0" borderId="20" xfId="194" applyNumberFormat="1" applyFont="1" applyBorder="1" applyAlignment="1">
      <alignment horizontal="center" vertical="center" wrapText="1"/>
    </xf>
    <xf numFmtId="0" fontId="73" fillId="42" borderId="20" xfId="193" applyFont="1" applyFill="1" applyBorder="1" applyAlignment="1">
      <alignment horizontal="center" vertical="center" wrapText="1"/>
    </xf>
    <xf numFmtId="3" fontId="73" fillId="42" borderId="20" xfId="1" applyNumberFormat="1" applyFont="1" applyFill="1" applyBorder="1" applyAlignment="1">
      <alignment horizontal="right" vertical="center" wrapText="1"/>
    </xf>
    <xf numFmtId="0" fontId="70" fillId="0" borderId="22" xfId="193" applyFont="1" applyBorder="1" applyAlignment="1">
      <alignment vertical="center" wrapText="1"/>
    </xf>
    <xf numFmtId="179" fontId="70" fillId="0" borderId="22" xfId="193" applyNumberFormat="1" applyFont="1" applyBorder="1" applyAlignment="1">
      <alignment horizontal="center" vertical="center" wrapText="1"/>
    </xf>
    <xf numFmtId="0" fontId="73" fillId="42" borderId="23" xfId="193" applyFont="1" applyFill="1" applyBorder="1" applyAlignment="1">
      <alignment vertical="center" wrapText="1"/>
    </xf>
    <xf numFmtId="0" fontId="73" fillId="42" borderId="18" xfId="193" applyFont="1" applyFill="1" applyBorder="1" applyAlignment="1">
      <alignment horizontal="center" vertical="center" wrapText="1"/>
    </xf>
    <xf numFmtId="3" fontId="73" fillId="42" borderId="18" xfId="1" applyNumberFormat="1" applyFont="1" applyFill="1" applyBorder="1" applyAlignment="1">
      <alignment horizontal="right" vertical="center" wrapText="1"/>
    </xf>
    <xf numFmtId="173" fontId="73" fillId="42" borderId="18" xfId="1" applyNumberFormat="1" applyFont="1" applyFill="1" applyBorder="1" applyAlignment="1">
      <alignment vertical="center" wrapText="1"/>
    </xf>
    <xf numFmtId="180" fontId="70" fillId="0" borderId="20" xfId="193" applyNumberFormat="1" applyFont="1" applyBorder="1" applyAlignment="1">
      <alignment horizontal="center" vertical="center" wrapText="1"/>
    </xf>
    <xf numFmtId="179" fontId="70" fillId="0" borderId="22" xfId="194" applyNumberFormat="1" applyFont="1" applyBorder="1" applyAlignment="1">
      <alignment horizontal="center" vertical="center" wrapText="1"/>
    </xf>
    <xf numFmtId="0" fontId="73" fillId="42" borderId="18" xfId="193" applyFont="1" applyFill="1" applyBorder="1" applyAlignment="1">
      <alignment vertical="center" wrapText="1"/>
    </xf>
    <xf numFmtId="0" fontId="73" fillId="42" borderId="19" xfId="193" applyFont="1" applyFill="1" applyBorder="1" applyAlignment="1">
      <alignment vertical="center" wrapText="1"/>
    </xf>
    <xf numFmtId="180" fontId="70" fillId="0" borderId="20" xfId="194" applyNumberFormat="1" applyFont="1" applyBorder="1" applyAlignment="1">
      <alignment horizontal="center" vertical="center" wrapText="1"/>
    </xf>
    <xf numFmtId="173" fontId="70" fillId="0" borderId="20" xfId="1" applyNumberFormat="1" applyFont="1" applyBorder="1" applyAlignment="1">
      <alignment vertical="center" wrapText="1"/>
    </xf>
    <xf numFmtId="173" fontId="73" fillId="42" borderId="20" xfId="1" applyNumberFormat="1" applyFont="1" applyFill="1" applyBorder="1" applyAlignment="1">
      <alignment horizontal="center" vertical="center" wrapText="1"/>
    </xf>
    <xf numFmtId="180" fontId="73" fillId="42" borderId="20" xfId="193" applyNumberFormat="1" applyFont="1" applyFill="1" applyBorder="1" applyAlignment="1">
      <alignment horizontal="center" vertical="center" wrapText="1"/>
    </xf>
    <xf numFmtId="173" fontId="70" fillId="0" borderId="22" xfId="1" applyNumberFormat="1" applyFont="1" applyBorder="1" applyAlignment="1">
      <alignment horizontal="center" vertical="center" wrapText="1"/>
    </xf>
    <xf numFmtId="180" fontId="70" fillId="0" borderId="22" xfId="193" applyNumberFormat="1" applyFont="1" applyBorder="1" applyAlignment="1">
      <alignment horizontal="center" vertical="center" wrapText="1"/>
    </xf>
    <xf numFmtId="173" fontId="73" fillId="42" borderId="21" xfId="1" applyNumberFormat="1" applyFont="1" applyFill="1" applyBorder="1" applyAlignment="1">
      <alignment vertical="center" wrapText="1"/>
    </xf>
    <xf numFmtId="0" fontId="73" fillId="42" borderId="21" xfId="193" applyFont="1" applyFill="1" applyBorder="1" applyAlignment="1">
      <alignment horizontal="center" vertical="center" wrapText="1"/>
    </xf>
    <xf numFmtId="3" fontId="73" fillId="42" borderId="21" xfId="1" applyNumberFormat="1" applyFont="1" applyFill="1" applyBorder="1" applyAlignment="1">
      <alignment horizontal="right" vertical="center" wrapText="1"/>
    </xf>
    <xf numFmtId="0" fontId="73" fillId="42" borderId="24" xfId="193" applyFont="1" applyFill="1" applyBorder="1" applyAlignment="1">
      <alignment vertical="center" wrapText="1"/>
    </xf>
    <xf numFmtId="0" fontId="73" fillId="42" borderId="25" xfId="193" applyFont="1" applyFill="1" applyBorder="1" applyAlignment="1">
      <alignment vertical="center" wrapText="1"/>
    </xf>
    <xf numFmtId="0" fontId="73" fillId="42" borderId="26" xfId="193" applyFont="1" applyFill="1" applyBorder="1" applyAlignment="1">
      <alignment vertical="center" wrapText="1"/>
    </xf>
    <xf numFmtId="173" fontId="70" fillId="0" borderId="4" xfId="1" applyNumberFormat="1" applyFont="1" applyBorder="1" applyAlignment="1">
      <alignment horizontal="center" vertical="center" wrapText="1"/>
    </xf>
    <xf numFmtId="180" fontId="70" fillId="0" borderId="4" xfId="193" applyNumberFormat="1" applyFont="1" applyBorder="1" applyAlignment="1">
      <alignment horizontal="center" vertical="center" wrapText="1"/>
    </xf>
    <xf numFmtId="179" fontId="70" fillId="0" borderId="4" xfId="193" applyNumberFormat="1" applyFont="1" applyBorder="1" applyAlignment="1">
      <alignment horizontal="center" vertical="center" wrapText="1"/>
    </xf>
    <xf numFmtId="3" fontId="70" fillId="0" borderId="4" xfId="1" applyNumberFormat="1" applyFont="1" applyBorder="1" applyAlignment="1">
      <alignment horizontal="right" vertical="center" wrapText="1"/>
    </xf>
    <xf numFmtId="173" fontId="75" fillId="0" borderId="4" xfId="1" applyNumberFormat="1" applyFont="1" applyBorder="1" applyAlignment="1">
      <alignment horizontal="center" vertical="center" wrapText="1"/>
    </xf>
    <xf numFmtId="0" fontId="73" fillId="43" borderId="20" xfId="193" applyFont="1" applyFill="1" applyBorder="1" applyAlignment="1">
      <alignment horizontal="center" vertical="center" wrapText="1"/>
    </xf>
    <xf numFmtId="173" fontId="73" fillId="43" borderId="20" xfId="88" applyNumberFormat="1" applyFont="1" applyFill="1" applyBorder="1" applyAlignment="1">
      <alignment horizontal="center" vertical="center" wrapText="1"/>
    </xf>
    <xf numFmtId="173" fontId="73" fillId="0" borderId="0" xfId="88" applyNumberFormat="1" applyFont="1" applyAlignment="1">
      <alignment horizontal="center" vertical="center" wrapText="1"/>
    </xf>
    <xf numFmtId="0" fontId="73" fillId="3" borderId="4" xfId="193" applyFont="1" applyFill="1" applyBorder="1" applyAlignment="1">
      <alignment vertical="center" wrapText="1"/>
    </xf>
    <xf numFmtId="181" fontId="70" fillId="3" borderId="4" xfId="193" applyNumberFormat="1" applyFont="1" applyFill="1" applyBorder="1" applyAlignment="1">
      <alignment horizontal="center" vertical="center" wrapText="1"/>
    </xf>
    <xf numFmtId="3" fontId="75" fillId="3" borderId="4" xfId="193" applyNumberFormat="1" applyFont="1" applyFill="1" applyBorder="1" applyAlignment="1">
      <alignment horizontal="right" vertical="center" wrapText="1"/>
    </xf>
    <xf numFmtId="0" fontId="70" fillId="0" borderId="20" xfId="193" applyFont="1" applyBorder="1" applyAlignment="1">
      <alignment horizontal="center" vertical="center" wrapText="1"/>
    </xf>
    <xf numFmtId="173" fontId="70" fillId="0" borderId="0" xfId="1" applyNumberFormat="1" applyFont="1" applyAlignment="1">
      <alignment vertical="center" wrapText="1"/>
    </xf>
    <xf numFmtId="173" fontId="70" fillId="0" borderId="0" xfId="88" applyNumberFormat="1" applyFont="1" applyAlignment="1">
      <alignment vertical="center" wrapText="1"/>
    </xf>
    <xf numFmtId="181" fontId="70" fillId="0" borderId="0" xfId="193" applyNumberFormat="1" applyFont="1" applyAlignment="1">
      <alignment vertical="center" wrapText="1"/>
    </xf>
    <xf numFmtId="0" fontId="0" fillId="0" borderId="0" xfId="0" applyAlignment="1">
      <alignment horizontal="center"/>
    </xf>
    <xf numFmtId="43" fontId="0" fillId="0" borderId="0" xfId="1" applyFont="1"/>
    <xf numFmtId="0" fontId="80" fillId="2" borderId="4" xfId="0" applyFont="1" applyFill="1" applyBorder="1" applyAlignment="1">
      <alignment horizontal="center" vertical="center" wrapText="1"/>
    </xf>
    <xf numFmtId="0" fontId="81" fillId="2" borderId="4" xfId="0" applyFont="1" applyFill="1" applyBorder="1" applyAlignment="1">
      <alignment horizontal="center" vertical="center" wrapText="1"/>
    </xf>
    <xf numFmtId="0" fontId="81" fillId="2" borderId="4" xfId="0" applyFont="1" applyFill="1" applyBorder="1" applyAlignment="1">
      <alignment vertical="center" wrapText="1"/>
    </xf>
    <xf numFmtId="173" fontId="81" fillId="2" borderId="4" xfId="1" applyNumberFormat="1" applyFont="1" applyFill="1" applyBorder="1" applyAlignment="1">
      <alignment horizontal="center" vertical="center" wrapText="1"/>
    </xf>
    <xf numFmtId="0" fontId="82" fillId="2" borderId="0" xfId="0" applyFont="1" applyFill="1" applyAlignment="1">
      <alignment horizontal="center"/>
    </xf>
    <xf numFmtId="0" fontId="82" fillId="2" borderId="0" xfId="0" applyFont="1" applyFill="1"/>
    <xf numFmtId="173" fontId="82" fillId="2" borderId="0" xfId="0" applyNumberFormat="1" applyFont="1" applyFill="1"/>
    <xf numFmtId="0" fontId="13" fillId="2" borderId="0" xfId="0" applyFont="1" applyFill="1" applyAlignment="1">
      <alignment horizontal="center" vertical="center"/>
    </xf>
    <xf numFmtId="173" fontId="81" fillId="45" borderId="4" xfId="1" applyNumberFormat="1" applyFont="1" applyFill="1" applyBorder="1" applyAlignment="1">
      <alignment horizontal="center" vertical="center" wrapText="1"/>
    </xf>
    <xf numFmtId="0" fontId="80" fillId="45" borderId="30" xfId="0" applyFont="1" applyFill="1" applyBorder="1" applyAlignment="1">
      <alignment vertical="center"/>
    </xf>
    <xf numFmtId="0" fontId="73" fillId="0" borderId="0" xfId="193" applyFont="1" applyAlignment="1">
      <alignment horizontal="center" vertical="center" wrapText="1"/>
    </xf>
    <xf numFmtId="0" fontId="70" fillId="0" borderId="0" xfId="193" applyFont="1" applyAlignment="1">
      <alignment horizontal="center" vertical="center" wrapText="1"/>
    </xf>
    <xf numFmtId="173" fontId="81" fillId="46" borderId="4" xfId="1" applyNumberFormat="1" applyFont="1" applyFill="1" applyBorder="1" applyAlignment="1">
      <alignment horizontal="center" vertical="center" wrapText="1"/>
    </xf>
    <xf numFmtId="173" fontId="0" fillId="0" borderId="0" xfId="0" applyNumberFormat="1"/>
    <xf numFmtId="3" fontId="0" fillId="0" borderId="0" xfId="0" applyNumberFormat="1"/>
    <xf numFmtId="173" fontId="80" fillId="46" borderId="4" xfId="1" applyNumberFormat="1" applyFont="1" applyFill="1" applyBorder="1" applyAlignment="1">
      <alignment horizontal="center" vertical="center" wrapText="1"/>
    </xf>
    <xf numFmtId="0" fontId="20" fillId="0" borderId="0" xfId="191" applyFont="1" applyAlignment="1">
      <alignment horizontal="right" vertical="center" wrapText="1"/>
    </xf>
    <xf numFmtId="0" fontId="14" fillId="0" borderId="4" xfId="2" applyFont="1" applyBorder="1" applyAlignment="1">
      <alignment horizontal="center" vertical="center"/>
    </xf>
    <xf numFmtId="0" fontId="14" fillId="0" borderId="4" xfId="2" applyFont="1" applyBorder="1" applyAlignment="1">
      <alignment vertical="center" wrapText="1"/>
    </xf>
    <xf numFmtId="0" fontId="13" fillId="0" borderId="4" xfId="191" applyFont="1" applyBorder="1" applyAlignment="1">
      <alignment horizontal="left" vertical="center" wrapText="1"/>
    </xf>
    <xf numFmtId="173" fontId="70" fillId="0" borderId="4" xfId="1" applyNumberFormat="1" applyFont="1" applyFill="1" applyBorder="1" applyAlignment="1">
      <alignment vertical="center" wrapText="1"/>
    </xf>
    <xf numFmtId="3" fontId="71" fillId="0" borderId="4" xfId="214" applyNumberFormat="1" applyFont="1" applyBorder="1" applyAlignment="1">
      <alignment vertical="center" wrapText="1"/>
    </xf>
    <xf numFmtId="173" fontId="73" fillId="0" borderId="4" xfId="1" applyNumberFormat="1" applyFont="1" applyFill="1" applyBorder="1" applyAlignment="1">
      <alignment horizontal="center" vertical="center" wrapText="1"/>
    </xf>
    <xf numFmtId="3" fontId="73" fillId="0" borderId="4" xfId="194" applyNumberFormat="1" applyFont="1" applyFill="1" applyBorder="1" applyAlignment="1">
      <alignment horizontal="right" vertical="center" wrapText="1"/>
    </xf>
    <xf numFmtId="173" fontId="73" fillId="0" borderId="0" xfId="88" applyNumberFormat="1" applyFont="1" applyBorder="1" applyAlignment="1">
      <alignment horizontal="center" vertical="center" wrapText="1"/>
    </xf>
    <xf numFmtId="0" fontId="14" fillId="0" borderId="31" xfId="191" applyFont="1" applyBorder="1" applyAlignment="1">
      <alignment horizontal="left" vertical="center" wrapText="1"/>
    </xf>
    <xf numFmtId="182" fontId="73" fillId="42" borderId="20" xfId="1" applyNumberFormat="1" applyFont="1" applyFill="1" applyBorder="1" applyAlignment="1">
      <alignment vertical="center" wrapText="1"/>
    </xf>
    <xf numFmtId="182" fontId="70" fillId="0" borderId="20" xfId="1" applyNumberFormat="1" applyFont="1" applyBorder="1" applyAlignment="1">
      <alignment horizontal="center" vertical="center" wrapText="1"/>
    </xf>
    <xf numFmtId="182" fontId="73" fillId="42" borderId="18" xfId="1" applyNumberFormat="1" applyFont="1" applyFill="1" applyBorder="1" applyAlignment="1">
      <alignment vertical="center" wrapText="1"/>
    </xf>
    <xf numFmtId="182" fontId="73" fillId="42" borderId="20" xfId="1" applyNumberFormat="1" applyFont="1" applyFill="1" applyBorder="1" applyAlignment="1">
      <alignment horizontal="center" vertical="center" wrapText="1"/>
    </xf>
    <xf numFmtId="182" fontId="73" fillId="42" borderId="21" xfId="1" applyNumberFormat="1" applyFont="1" applyFill="1" applyBorder="1" applyAlignment="1">
      <alignment vertical="center" wrapText="1"/>
    </xf>
    <xf numFmtId="182" fontId="70" fillId="0" borderId="4" xfId="1" applyNumberFormat="1" applyFont="1" applyBorder="1" applyAlignment="1">
      <alignment horizontal="center" vertical="center" wrapText="1"/>
    </xf>
    <xf numFmtId="182" fontId="71" fillId="0" borderId="4" xfId="1" applyNumberFormat="1" applyFont="1" applyBorder="1" applyAlignment="1">
      <alignment vertical="center" wrapText="1"/>
    </xf>
    <xf numFmtId="173" fontId="73" fillId="47" borderId="20" xfId="88" applyNumberFormat="1" applyFont="1" applyFill="1" applyBorder="1" applyAlignment="1">
      <alignment horizontal="center" vertical="center" wrapText="1"/>
    </xf>
    <xf numFmtId="3" fontId="70" fillId="3" borderId="4" xfId="193" applyNumberFormat="1" applyFont="1" applyFill="1" applyBorder="1" applyAlignment="1">
      <alignment horizontal="right" vertical="center" wrapText="1"/>
    </xf>
    <xf numFmtId="183" fontId="70" fillId="0" borderId="4" xfId="193" applyNumberFormat="1" applyFont="1" applyBorder="1" applyAlignment="1">
      <alignment horizontal="center" vertical="center" wrapText="1"/>
    </xf>
    <xf numFmtId="0" fontId="70" fillId="0" borderId="4" xfId="193" applyFont="1" applyBorder="1" applyAlignment="1">
      <alignment vertical="center" wrapText="1"/>
    </xf>
    <xf numFmtId="0" fontId="89" fillId="0" borderId="4" xfId="2" applyFont="1" applyBorder="1" applyAlignment="1">
      <alignment horizontal="center" vertical="center"/>
    </xf>
    <xf numFmtId="0" fontId="89" fillId="0" borderId="4" xfId="2" applyFont="1" applyBorder="1" applyAlignment="1">
      <alignment vertical="center" wrapText="1"/>
    </xf>
    <xf numFmtId="0" fontId="14" fillId="48" borderId="0" xfId="191" applyFont="1" applyFill="1" applyAlignment="1">
      <alignment vertical="center" wrapText="1"/>
    </xf>
    <xf numFmtId="173" fontId="13" fillId="0" borderId="4" xfId="1" applyNumberFormat="1" applyFont="1" applyBorder="1" applyAlignment="1">
      <alignment vertical="center" wrapText="1"/>
    </xf>
    <xf numFmtId="173" fontId="14" fillId="0" borderId="4" xfId="1" applyNumberFormat="1" applyFont="1" applyBorder="1" applyAlignment="1">
      <alignment vertical="center" wrapText="1"/>
    </xf>
    <xf numFmtId="173" fontId="14" fillId="0" borderId="4" xfId="1" applyNumberFormat="1" applyFont="1" applyBorder="1" applyAlignment="1">
      <alignment horizontal="center" vertical="center" wrapText="1"/>
    </xf>
    <xf numFmtId="173" fontId="89" fillId="0" borderId="4" xfId="1" applyNumberFormat="1" applyFont="1" applyBorder="1" applyAlignment="1">
      <alignment horizontal="center" vertical="center" wrapText="1"/>
    </xf>
    <xf numFmtId="173" fontId="14" fillId="48" borderId="4" xfId="1" applyNumberFormat="1" applyFont="1" applyFill="1" applyBorder="1" applyAlignment="1">
      <alignment vertical="center" wrapText="1"/>
    </xf>
    <xf numFmtId="0" fontId="83" fillId="46" borderId="0" xfId="191" applyFont="1" applyFill="1" applyAlignment="1">
      <alignment horizontal="center" vertical="center" wrapText="1"/>
    </xf>
    <xf numFmtId="0" fontId="73" fillId="49" borderId="4" xfId="193" applyFont="1" applyFill="1" applyBorder="1" applyAlignment="1">
      <alignment vertical="center" wrapText="1"/>
    </xf>
    <xf numFmtId="173" fontId="70" fillId="49" borderId="4" xfId="1" applyNumberFormat="1" applyFont="1" applyFill="1" applyBorder="1" applyAlignment="1">
      <alignment vertical="center" wrapText="1"/>
    </xf>
    <xf numFmtId="173" fontId="73" fillId="49" borderId="4" xfId="1" applyNumberFormat="1" applyFont="1" applyFill="1" applyBorder="1" applyAlignment="1">
      <alignment vertical="center" wrapText="1"/>
    </xf>
    <xf numFmtId="0" fontId="73" fillId="43" borderId="4" xfId="193" applyFont="1" applyFill="1" applyBorder="1" applyAlignment="1">
      <alignment vertical="center" wrapText="1"/>
    </xf>
    <xf numFmtId="173" fontId="90" fillId="43" borderId="4" xfId="1" applyNumberFormat="1" applyFont="1" applyFill="1" applyBorder="1" applyAlignment="1">
      <alignment vertical="center" wrapText="1"/>
    </xf>
    <xf numFmtId="0" fontId="70" fillId="43" borderId="4" xfId="214" applyFont="1" applyFill="1" applyBorder="1" applyAlignment="1">
      <alignment vertical="center" wrapText="1"/>
    </xf>
    <xf numFmtId="173" fontId="73" fillId="43" borderId="4" xfId="1" applyNumberFormat="1" applyFont="1" applyFill="1" applyBorder="1" applyAlignment="1">
      <alignment horizontal="center" vertical="center" wrapText="1"/>
    </xf>
    <xf numFmtId="43" fontId="73" fillId="0" borderId="4" xfId="1" applyFont="1" applyBorder="1" applyAlignment="1">
      <alignment vertical="center" wrapText="1"/>
    </xf>
    <xf numFmtId="0" fontId="93" fillId="0" borderId="0" xfId="214" applyFont="1" applyAlignment="1">
      <alignment vertical="center"/>
    </xf>
    <xf numFmtId="0" fontId="93" fillId="2" borderId="0" xfId="214" applyFont="1" applyFill="1" applyAlignment="1">
      <alignment vertical="center"/>
    </xf>
    <xf numFmtId="0" fontId="71" fillId="0" borderId="0" xfId="214" applyFont="1" applyAlignment="1">
      <alignment vertical="center"/>
    </xf>
    <xf numFmtId="173" fontId="93" fillId="0" borderId="0" xfId="196" applyNumberFormat="1" applyFont="1" applyAlignment="1">
      <alignment vertical="center"/>
    </xf>
    <xf numFmtId="173" fontId="93" fillId="0" borderId="0" xfId="196" applyNumberFormat="1" applyFont="1" applyAlignment="1">
      <alignment horizontal="center" vertical="center"/>
    </xf>
    <xf numFmtId="173" fontId="89" fillId="0" borderId="4" xfId="1" applyNumberFormat="1" applyFont="1" applyBorder="1" applyAlignment="1">
      <alignment vertical="center" wrapText="1"/>
    </xf>
    <xf numFmtId="0" fontId="98" fillId="0" borderId="33" xfId="218" applyFont="1" applyBorder="1" applyAlignment="1">
      <alignment horizontal="center"/>
    </xf>
    <xf numFmtId="0" fontId="102" fillId="50" borderId="34" xfId="218" applyFont="1" applyFill="1" applyBorder="1" applyAlignment="1">
      <alignment horizontal="center"/>
    </xf>
    <xf numFmtId="0" fontId="103" fillId="0" borderId="34" xfId="218" applyFont="1" applyBorder="1" applyAlignment="1">
      <alignment horizontal="center"/>
    </xf>
    <xf numFmtId="0" fontId="103" fillId="0" borderId="34" xfId="218" applyFont="1" applyBorder="1"/>
    <xf numFmtId="3" fontId="103" fillId="0" borderId="34" xfId="218" applyNumberFormat="1" applyFont="1" applyBorder="1" applyAlignment="1">
      <alignment horizontal="center"/>
    </xf>
    <xf numFmtId="3" fontId="103" fillId="0" borderId="34" xfId="218" applyNumberFormat="1" applyFont="1" applyBorder="1"/>
    <xf numFmtId="0" fontId="103" fillId="51" borderId="34" xfId="218" applyFont="1" applyFill="1" applyBorder="1" applyAlignment="1">
      <alignment horizontal="center"/>
    </xf>
    <xf numFmtId="0" fontId="102" fillId="51" borderId="34" xfId="218" applyFont="1" applyFill="1" applyBorder="1" applyAlignment="1">
      <alignment horizontal="center"/>
    </xf>
    <xf numFmtId="3" fontId="102" fillId="51" borderId="34" xfId="218" applyNumberFormat="1" applyFont="1" applyFill="1" applyBorder="1"/>
    <xf numFmtId="0" fontId="103" fillId="51" borderId="34" xfId="218" applyFont="1" applyFill="1" applyBorder="1"/>
    <xf numFmtId="0" fontId="70" fillId="46" borderId="20" xfId="193" applyFont="1" applyFill="1" applyBorder="1" applyAlignment="1">
      <alignment vertical="center" wrapText="1"/>
    </xf>
    <xf numFmtId="173" fontId="70" fillId="46" borderId="20" xfId="1" applyNumberFormat="1" applyFont="1" applyFill="1" applyBorder="1" applyAlignment="1">
      <alignment horizontal="center" vertical="center" wrapText="1"/>
    </xf>
    <xf numFmtId="0" fontId="94" fillId="46" borderId="4" xfId="0" applyFont="1" applyFill="1" applyBorder="1" applyAlignment="1">
      <alignment horizontal="center" vertical="center"/>
    </xf>
    <xf numFmtId="0" fontId="94" fillId="46" borderId="4" xfId="0" applyFont="1" applyFill="1" applyBorder="1" applyAlignment="1">
      <alignment horizontal="center" vertical="center" wrapText="1"/>
    </xf>
    <xf numFmtId="0" fontId="92" fillId="0" borderId="4" xfId="0" applyFont="1" applyBorder="1" applyAlignment="1">
      <alignment vertical="center"/>
    </xf>
    <xf numFmtId="0" fontId="92" fillId="0" borderId="4" xfId="0" applyFont="1" applyBorder="1" applyAlignment="1">
      <alignment vertical="center" wrapText="1"/>
    </xf>
    <xf numFmtId="0" fontId="92" fillId="0" borderId="4" xfId="0" applyFont="1" applyBorder="1" applyAlignment="1">
      <alignment horizontal="center" vertical="center"/>
    </xf>
    <xf numFmtId="186" fontId="92" fillId="0" borderId="4" xfId="0" applyNumberFormat="1" applyFont="1" applyBorder="1" applyAlignment="1">
      <alignment horizontal="center" vertical="center"/>
    </xf>
    <xf numFmtId="173" fontId="92" fillId="0" borderId="4" xfId="220" applyNumberFormat="1" applyFont="1" applyBorder="1" applyAlignment="1">
      <alignment vertical="center"/>
    </xf>
    <xf numFmtId="3" fontId="104" fillId="0" borderId="4" xfId="0" applyNumberFormat="1" applyFont="1" applyBorder="1" applyAlignment="1">
      <alignment horizontal="right" vertical="center"/>
    </xf>
    <xf numFmtId="0" fontId="94" fillId="46" borderId="30" xfId="0" applyFont="1" applyFill="1" applyBorder="1" applyAlignment="1">
      <alignment horizontal="center" vertical="center"/>
    </xf>
    <xf numFmtId="0" fontId="94" fillId="46" borderId="31" xfId="0" applyFont="1" applyFill="1" applyBorder="1" applyAlignment="1">
      <alignment horizontal="center" vertical="center"/>
    </xf>
    <xf numFmtId="0" fontId="94" fillId="46" borderId="31" xfId="0" applyFont="1" applyFill="1" applyBorder="1" applyAlignment="1">
      <alignment horizontal="center" vertical="center" wrapText="1"/>
    </xf>
    <xf numFmtId="0" fontId="97" fillId="46" borderId="4" xfId="0" applyFont="1" applyFill="1" applyBorder="1" applyAlignment="1">
      <alignment horizontal="center" vertical="center"/>
    </xf>
    <xf numFmtId="0" fontId="92" fillId="0" borderId="31" xfId="0" applyFont="1" applyBorder="1" applyAlignment="1">
      <alignment vertical="center" wrapText="1"/>
    </xf>
    <xf numFmtId="3" fontId="104" fillId="0" borderId="30" xfId="0" applyNumberFormat="1" applyFont="1" applyBorder="1" applyAlignment="1">
      <alignment horizontal="right" vertical="center"/>
    </xf>
    <xf numFmtId="0" fontId="92" fillId="0" borderId="6" xfId="0" applyFont="1" applyBorder="1" applyAlignment="1">
      <alignment vertical="center" wrapText="1"/>
    </xf>
    <xf numFmtId="0" fontId="92" fillId="0" borderId="30" xfId="0" applyFont="1" applyBorder="1" applyAlignment="1">
      <alignment horizontal="center" vertical="center"/>
    </xf>
    <xf numFmtId="186" fontId="92" fillId="0" borderId="35" xfId="0" applyNumberFormat="1" applyFont="1" applyBorder="1" applyAlignment="1">
      <alignment horizontal="center" vertical="center"/>
    </xf>
    <xf numFmtId="173" fontId="92" fillId="0" borderId="3" xfId="220" applyNumberFormat="1" applyFont="1" applyBorder="1" applyAlignment="1">
      <alignment vertical="center"/>
    </xf>
    <xf numFmtId="0" fontId="92" fillId="0" borderId="31" xfId="0" applyFont="1" applyBorder="1" applyAlignment="1">
      <alignment horizontal="left" vertical="center"/>
    </xf>
    <xf numFmtId="37" fontId="94" fillId="0" borderId="30" xfId="0" applyNumberFormat="1" applyFont="1" applyBorder="1" applyAlignment="1">
      <alignment horizontal="center" vertical="center"/>
    </xf>
    <xf numFmtId="0" fontId="94" fillId="0" borderId="35" xfId="0" applyFont="1" applyBorder="1" applyAlignment="1">
      <alignment horizontal="center" vertical="center"/>
    </xf>
    <xf numFmtId="173" fontId="94" fillId="2" borderId="3" xfId="220" applyNumberFormat="1" applyFont="1" applyFill="1" applyBorder="1" applyAlignment="1">
      <alignment vertical="center"/>
    </xf>
    <xf numFmtId="173" fontId="92" fillId="0" borderId="4" xfId="1" applyNumberFormat="1" applyFont="1" applyBorder="1" applyAlignment="1">
      <alignment horizontal="right" vertical="center"/>
    </xf>
    <xf numFmtId="173" fontId="94" fillId="2" borderId="30" xfId="220" applyNumberFormat="1" applyFont="1" applyFill="1" applyBorder="1" applyAlignment="1">
      <alignment horizontal="right" vertical="center"/>
    </xf>
    <xf numFmtId="0" fontId="96" fillId="52" borderId="4" xfId="0" applyFont="1" applyFill="1" applyBorder="1" applyAlignment="1">
      <alignment horizontal="center" vertical="center"/>
    </xf>
    <xf numFmtId="0" fontId="90" fillId="52" borderId="4" xfId="0" applyFont="1" applyFill="1" applyBorder="1" applyAlignment="1">
      <alignment horizontal="center" vertical="center"/>
    </xf>
    <xf numFmtId="173" fontId="96" fillId="52" borderId="4" xfId="220" applyNumberFormat="1" applyFont="1" applyFill="1" applyBorder="1" applyAlignment="1">
      <alignment horizontal="center" vertical="center"/>
    </xf>
    <xf numFmtId="173" fontId="96" fillId="52" borderId="4" xfId="220" applyNumberFormat="1" applyFont="1" applyFill="1" applyBorder="1" applyAlignment="1">
      <alignment horizontal="center" vertical="center" wrapText="1"/>
    </xf>
    <xf numFmtId="0" fontId="96" fillId="49" borderId="4" xfId="0" applyFont="1" applyFill="1" applyBorder="1" applyAlignment="1">
      <alignment horizontal="center" vertical="center"/>
    </xf>
    <xf numFmtId="0" fontId="96" fillId="49" borderId="4" xfId="0" applyFont="1" applyFill="1" applyBorder="1" applyAlignment="1">
      <alignment vertical="center"/>
    </xf>
    <xf numFmtId="0" fontId="105" fillId="49" borderId="4" xfId="0" applyFont="1" applyFill="1" applyBorder="1" applyAlignment="1">
      <alignment horizontal="center" vertical="center" wrapText="1"/>
    </xf>
    <xf numFmtId="173" fontId="91" fillId="49" borderId="4" xfId="220" applyNumberFormat="1" applyFont="1" applyFill="1" applyBorder="1" applyAlignment="1">
      <alignment horizontal="right" vertical="center"/>
    </xf>
    <xf numFmtId="173" fontId="96" fillId="49" borderId="4" xfId="220" applyNumberFormat="1" applyFont="1" applyFill="1" applyBorder="1" applyAlignment="1">
      <alignment horizontal="right" vertical="center"/>
    </xf>
    <xf numFmtId="173" fontId="106" fillId="49" borderId="4" xfId="220" applyNumberFormat="1" applyFont="1" applyFill="1" applyBorder="1" applyAlignment="1">
      <alignment horizontal="center" vertical="center" wrapText="1"/>
    </xf>
    <xf numFmtId="0" fontId="93" fillId="0" borderId="4" xfId="0" applyFont="1" applyBorder="1" applyAlignment="1">
      <alignment horizontal="center" vertical="center"/>
    </xf>
    <xf numFmtId="0" fontId="93" fillId="0" borderId="4" xfId="0" applyFont="1" applyBorder="1" applyAlignment="1">
      <alignment vertical="center"/>
    </xf>
    <xf numFmtId="0" fontId="71" fillId="0" borderId="4" xfId="0" applyFont="1" applyBorder="1" applyAlignment="1">
      <alignment horizontal="center" vertical="center" wrapText="1"/>
    </xf>
    <xf numFmtId="173" fontId="93" fillId="0" borderId="4" xfId="220" applyNumberFormat="1" applyFont="1" applyBorder="1" applyAlignment="1">
      <alignment horizontal="center" vertical="center"/>
    </xf>
    <xf numFmtId="173" fontId="93" fillId="0" borderId="4" xfId="220" applyNumberFormat="1" applyFont="1" applyBorder="1" applyAlignment="1">
      <alignment horizontal="right" vertical="center"/>
    </xf>
    <xf numFmtId="0" fontId="106" fillId="0" borderId="4" xfId="0" applyFont="1" applyBorder="1" applyAlignment="1">
      <alignment horizontal="center" vertical="center"/>
    </xf>
    <xf numFmtId="0" fontId="106" fillId="0" borderId="4" xfId="0" quotePrefix="1" applyFont="1" applyBorder="1" applyAlignment="1">
      <alignment vertical="center"/>
    </xf>
    <xf numFmtId="0" fontId="105" fillId="0" borderId="4" xfId="0" applyFont="1" applyBorder="1" applyAlignment="1">
      <alignment horizontal="center" vertical="center" wrapText="1"/>
    </xf>
    <xf numFmtId="173" fontId="107" fillId="0" borderId="4" xfId="220" applyNumberFormat="1" applyFont="1" applyBorder="1" applyAlignment="1">
      <alignment horizontal="center" vertical="center"/>
    </xf>
    <xf numFmtId="173" fontId="106" fillId="0" borderId="4" xfId="220" applyNumberFormat="1" applyFont="1" applyBorder="1" applyAlignment="1">
      <alignment horizontal="right" vertical="center"/>
    </xf>
    <xf numFmtId="0" fontId="106" fillId="0" borderId="31" xfId="0" applyFont="1" applyBorder="1" applyAlignment="1">
      <alignment horizontal="center" vertical="center"/>
    </xf>
    <xf numFmtId="173" fontId="93" fillId="49" borderId="4" xfId="220" applyNumberFormat="1" applyFont="1" applyFill="1" applyBorder="1" applyAlignment="1">
      <alignment horizontal="center" vertical="center"/>
    </xf>
    <xf numFmtId="173" fontId="93" fillId="49" borderId="4" xfId="220" applyNumberFormat="1" applyFont="1" applyFill="1" applyBorder="1" applyAlignment="1">
      <alignment horizontal="right" vertical="center"/>
    </xf>
    <xf numFmtId="173" fontId="106" fillId="0" borderId="4" xfId="220" applyNumberFormat="1" applyFont="1" applyBorder="1" applyAlignment="1">
      <alignment horizontal="center" vertical="center" wrapText="1"/>
    </xf>
    <xf numFmtId="173" fontId="93" fillId="0" borderId="4" xfId="220" applyNumberFormat="1" applyFont="1" applyBorder="1" applyAlignment="1">
      <alignment horizontal="center" vertical="center" wrapText="1"/>
    </xf>
    <xf numFmtId="173" fontId="93" fillId="0" borderId="4" xfId="220" quotePrefix="1" applyNumberFormat="1" applyFont="1" applyBorder="1" applyAlignment="1">
      <alignment horizontal="center" vertical="center" wrapText="1"/>
    </xf>
    <xf numFmtId="0" fontId="96" fillId="2" borderId="4" xfId="0" applyFont="1" applyFill="1" applyBorder="1" applyAlignment="1">
      <alignment horizontal="center" vertical="center"/>
    </xf>
    <xf numFmtId="0" fontId="96" fillId="2" borderId="4" xfId="0" applyFont="1" applyFill="1" applyBorder="1" applyAlignment="1">
      <alignment horizontal="left" vertical="center"/>
    </xf>
    <xf numFmtId="0" fontId="108" fillId="2" borderId="4" xfId="0" applyFont="1" applyFill="1" applyBorder="1" applyAlignment="1">
      <alignment vertical="center"/>
    </xf>
    <xf numFmtId="173" fontId="18" fillId="2" borderId="4" xfId="220" applyNumberFormat="1" applyFont="1" applyFill="1" applyBorder="1" applyAlignment="1">
      <alignment horizontal="right" vertical="center"/>
    </xf>
    <xf numFmtId="173" fontId="93" fillId="2" borderId="4" xfId="220" applyNumberFormat="1" applyFont="1" applyFill="1" applyBorder="1" applyAlignment="1">
      <alignment horizontal="right" vertical="center"/>
    </xf>
    <xf numFmtId="173" fontId="96" fillId="2" borderId="4" xfId="220" applyNumberFormat="1" applyFont="1" applyFill="1" applyBorder="1" applyAlignment="1">
      <alignment horizontal="right" vertical="center"/>
    </xf>
    <xf numFmtId="173" fontId="96" fillId="2" borderId="4" xfId="220" applyNumberFormat="1" applyFont="1" applyFill="1" applyBorder="1" applyAlignment="1">
      <alignment horizontal="center" vertical="center"/>
    </xf>
    <xf numFmtId="0" fontId="93" fillId="2" borderId="4" xfId="0" applyFont="1" applyFill="1" applyBorder="1" applyAlignment="1">
      <alignment vertical="center"/>
    </xf>
    <xf numFmtId="0" fontId="90" fillId="2" borderId="4" xfId="0" applyFont="1" applyFill="1" applyBorder="1" applyAlignment="1">
      <alignment vertical="center"/>
    </xf>
    <xf numFmtId="0" fontId="91" fillId="49" borderId="4" xfId="0" applyFont="1" applyFill="1" applyBorder="1" applyAlignment="1">
      <alignment horizontal="center" vertical="center"/>
    </xf>
    <xf numFmtId="0" fontId="91" fillId="49" borderId="4" xfId="0" applyFont="1" applyFill="1" applyBorder="1" applyAlignment="1">
      <alignment horizontal="left" vertical="center"/>
    </xf>
    <xf numFmtId="0" fontId="73" fillId="49" borderId="4" xfId="0" applyFont="1" applyFill="1" applyBorder="1" applyAlignment="1">
      <alignment vertical="center"/>
    </xf>
    <xf numFmtId="173" fontId="18" fillId="49" borderId="4" xfId="220" applyNumberFormat="1" applyFont="1" applyFill="1" applyBorder="1" applyAlignment="1">
      <alignment horizontal="right" vertical="center"/>
    </xf>
    <xf numFmtId="173" fontId="91" fillId="49" borderId="4" xfId="220" applyNumberFormat="1" applyFont="1" applyFill="1" applyBorder="1" applyAlignment="1">
      <alignment horizontal="center" vertical="center"/>
    </xf>
    <xf numFmtId="0" fontId="18" fillId="49" borderId="4" xfId="0" applyFont="1" applyFill="1" applyBorder="1" applyAlignment="1">
      <alignment vertical="center"/>
    </xf>
    <xf numFmtId="0" fontId="0" fillId="0" borderId="0" xfId="0" applyAlignment="1">
      <alignment wrapText="1"/>
    </xf>
    <xf numFmtId="187" fontId="13" fillId="0" borderId="32" xfId="191" applyNumberFormat="1" applyFont="1" applyBorder="1" applyAlignment="1">
      <alignment vertical="center" wrapText="1"/>
    </xf>
    <xf numFmtId="0" fontId="18" fillId="0" borderId="0" xfId="133" applyFont="1"/>
    <xf numFmtId="0" fontId="91" fillId="0" borderId="0" xfId="133" applyFont="1"/>
    <xf numFmtId="0" fontId="96" fillId="0" borderId="4" xfId="136" applyFont="1" applyBorder="1" applyAlignment="1">
      <alignment horizontal="center" vertical="center" wrapText="1"/>
    </xf>
    <xf numFmtId="0" fontId="96" fillId="0" borderId="4" xfId="136" applyFont="1" applyBorder="1" applyAlignment="1">
      <alignment horizontal="left" vertical="center" wrapText="1"/>
    </xf>
    <xf numFmtId="0" fontId="96" fillId="53" borderId="4" xfId="136" applyFont="1" applyFill="1" applyBorder="1" applyAlignment="1">
      <alignment horizontal="center" vertical="center" wrapText="1"/>
    </xf>
    <xf numFmtId="0" fontId="96" fillId="53" borderId="4" xfId="136" applyFont="1" applyFill="1" applyBorder="1" applyAlignment="1">
      <alignment horizontal="left" vertical="center" wrapText="1"/>
    </xf>
    <xf numFmtId="173" fontId="96" fillId="53" borderId="4" xfId="136" applyNumberFormat="1" applyFont="1" applyFill="1" applyBorder="1" applyAlignment="1">
      <alignment horizontal="left" vertical="center" wrapText="1"/>
    </xf>
    <xf numFmtId="0" fontId="93" fillId="0" borderId="4" xfId="136" applyFont="1" applyBorder="1" applyAlignment="1">
      <alignment horizontal="center" vertical="center" wrapText="1"/>
    </xf>
    <xf numFmtId="0" fontId="18" fillId="0" borderId="4" xfId="222" applyFont="1" applyBorder="1" applyAlignment="1">
      <alignment horizontal="left" vertical="center" wrapText="1"/>
    </xf>
    <xf numFmtId="173" fontId="93" fillId="0" borderId="4" xfId="196" applyNumberFormat="1" applyFont="1" applyBorder="1" applyAlignment="1">
      <alignment horizontal="center" vertical="center" wrapText="1"/>
    </xf>
    <xf numFmtId="173" fontId="93" fillId="0" borderId="4" xfId="136" applyNumberFormat="1" applyFont="1" applyBorder="1" applyAlignment="1">
      <alignment horizontal="left" vertical="center" wrapText="1"/>
    </xf>
    <xf numFmtId="173" fontId="92" fillId="2" borderId="4" xfId="1" applyNumberFormat="1" applyFont="1" applyFill="1" applyBorder="1" applyAlignment="1">
      <alignment vertical="center" wrapText="1"/>
    </xf>
    <xf numFmtId="0" fontId="110" fillId="0" borderId="4" xfId="0" applyFont="1" applyBorder="1"/>
    <xf numFmtId="173" fontId="110" fillId="0" borderId="4" xfId="0" applyNumberFormat="1" applyFont="1" applyBorder="1"/>
    <xf numFmtId="0" fontId="92" fillId="0" borderId="0" xfId="221" applyFont="1" applyAlignment="1">
      <alignment vertical="center"/>
    </xf>
    <xf numFmtId="0" fontId="13" fillId="42" borderId="4" xfId="138" applyFont="1" applyFill="1" applyBorder="1" applyAlignment="1">
      <alignment horizontal="center" vertical="center" wrapText="1"/>
    </xf>
    <xf numFmtId="0" fontId="14" fillId="54" borderId="4" xfId="0" applyFont="1" applyFill="1" applyBorder="1" applyAlignment="1">
      <alignment vertical="center" wrapText="1"/>
    </xf>
    <xf numFmtId="0" fontId="13" fillId="0" borderId="4" xfId="0" applyFont="1" applyBorder="1" applyAlignment="1">
      <alignment horizontal="center" vertical="center" wrapText="1"/>
    </xf>
    <xf numFmtId="0" fontId="14" fillId="0" borderId="4" xfId="0" applyFont="1" applyBorder="1" applyAlignment="1">
      <alignment vertical="center" wrapText="1"/>
    </xf>
    <xf numFmtId="0" fontId="92" fillId="0" borderId="4" xfId="0" applyFont="1" applyBorder="1" applyAlignment="1">
      <alignment vertical="top" wrapText="1"/>
    </xf>
    <xf numFmtId="0" fontId="13" fillId="0" borderId="4" xfId="0" applyFont="1" applyBorder="1" applyAlignment="1">
      <alignment horizontal="center" vertical="top" wrapText="1"/>
    </xf>
    <xf numFmtId="0" fontId="13" fillId="0" borderId="4" xfId="0" applyFont="1" applyBorder="1" applyAlignment="1">
      <alignment vertical="center" wrapText="1"/>
    </xf>
    <xf numFmtId="0" fontId="13" fillId="2" borderId="28" xfId="0" applyFont="1" applyFill="1" applyBorder="1" applyAlignment="1">
      <alignment vertical="center" wrapText="1"/>
    </xf>
    <xf numFmtId="0" fontId="92" fillId="55" borderId="4" xfId="0" applyFont="1" applyFill="1" applyBorder="1" applyAlignment="1">
      <alignment horizontal="left" vertical="center" wrapText="1"/>
    </xf>
    <xf numFmtId="0" fontId="94" fillId="55" borderId="4" xfId="0" applyFont="1" applyFill="1" applyBorder="1" applyAlignment="1">
      <alignment horizontal="left" vertical="center" wrapText="1"/>
    </xf>
    <xf numFmtId="0" fontId="94" fillId="0" borderId="4" xfId="0" applyFont="1" applyBorder="1" applyAlignment="1">
      <alignment vertical="top" wrapText="1"/>
    </xf>
    <xf numFmtId="0" fontId="94" fillId="0" borderId="4" xfId="0" applyFont="1" applyBorder="1" applyAlignment="1">
      <alignment horizontal="left" vertical="center" wrapText="1"/>
    </xf>
    <xf numFmtId="0" fontId="92" fillId="55" borderId="4" xfId="0" applyFont="1" applyFill="1" applyBorder="1" applyAlignment="1">
      <alignment vertical="top" wrapText="1"/>
    </xf>
    <xf numFmtId="0" fontId="14" fillId="55" borderId="4" xfId="0" applyFont="1" applyFill="1" applyBorder="1" applyAlignment="1">
      <alignment vertical="center" wrapText="1"/>
    </xf>
    <xf numFmtId="0" fontId="13" fillId="55" borderId="4" xfId="0" applyFont="1" applyFill="1" applyBorder="1" applyAlignment="1">
      <alignment vertical="center" wrapText="1"/>
    </xf>
    <xf numFmtId="0" fontId="94" fillId="55" borderId="4" xfId="0" applyFont="1" applyFill="1" applyBorder="1" applyAlignment="1">
      <alignment vertical="top" wrapText="1"/>
    </xf>
    <xf numFmtId="0" fontId="94" fillId="0" borderId="0" xfId="221" applyFont="1" applyAlignment="1">
      <alignment horizontal="center" vertical="center"/>
    </xf>
    <xf numFmtId="0" fontId="83" fillId="2" borderId="4" xfId="0" applyFont="1" applyFill="1" applyBorder="1" applyAlignment="1">
      <alignment vertical="top" wrapText="1"/>
    </xf>
    <xf numFmtId="0" fontId="94" fillId="42" borderId="28" xfId="138" applyFont="1" applyFill="1" applyBorder="1" applyAlignment="1">
      <alignment horizontal="center" vertical="center" wrapText="1"/>
    </xf>
    <xf numFmtId="0" fontId="114" fillId="56" borderId="4" xfId="0" applyFont="1" applyFill="1" applyBorder="1" applyAlignment="1">
      <alignment horizontal="center" vertical="center" wrapText="1"/>
    </xf>
    <xf numFmtId="0" fontId="114" fillId="56" borderId="4" xfId="0" applyFont="1" applyFill="1" applyBorder="1" applyAlignment="1">
      <alignment horizontal="left" vertical="center" wrapText="1"/>
    </xf>
    <xf numFmtId="0" fontId="13" fillId="46" borderId="4" xfId="0" applyFont="1" applyFill="1" applyBorder="1" applyAlignment="1">
      <alignment horizontal="left" vertical="center" wrapText="1"/>
    </xf>
    <xf numFmtId="0" fontId="109" fillId="55" borderId="4" xfId="0" applyFont="1" applyFill="1" applyBorder="1" applyAlignment="1">
      <alignment vertical="center" wrapText="1"/>
    </xf>
    <xf numFmtId="0" fontId="109" fillId="0" borderId="4" xfId="0" applyFont="1" applyBorder="1" applyAlignment="1">
      <alignment vertical="center" wrapText="1"/>
    </xf>
    <xf numFmtId="0" fontId="71" fillId="0" borderId="4" xfId="0" applyFont="1" applyBorder="1" applyAlignment="1">
      <alignment vertical="center" wrapText="1"/>
    </xf>
    <xf numFmtId="0" fontId="71" fillId="2" borderId="4" xfId="0" applyFont="1" applyFill="1" applyBorder="1" applyAlignment="1">
      <alignment vertical="center" wrapText="1"/>
    </xf>
    <xf numFmtId="0" fontId="109" fillId="55" borderId="4" xfId="0" applyFont="1" applyFill="1" applyBorder="1" applyAlignment="1">
      <alignment horizontal="justify" vertical="center" wrapText="1"/>
    </xf>
    <xf numFmtId="0" fontId="109" fillId="0" borderId="4" xfId="0" applyFont="1" applyBorder="1" applyAlignment="1">
      <alignment horizontal="justify" vertical="center" wrapText="1"/>
    </xf>
    <xf numFmtId="0" fontId="71" fillId="0" borderId="4" xfId="0" applyFont="1" applyBorder="1" applyAlignment="1">
      <alignment horizontal="left" vertical="top" wrapText="1"/>
    </xf>
    <xf numFmtId="0" fontId="71" fillId="0" borderId="4" xfId="210" applyFont="1" applyBorder="1" applyAlignment="1">
      <alignment horizontal="left" vertical="top" wrapText="1"/>
    </xf>
    <xf numFmtId="0" fontId="94" fillId="57" borderId="4" xfId="138" applyFont="1" applyFill="1" applyBorder="1" applyAlignment="1">
      <alignment horizontal="center" vertical="center" wrapText="1"/>
    </xf>
    <xf numFmtId="0" fontId="94" fillId="57" borderId="4" xfId="138" applyFont="1" applyFill="1" applyBorder="1" applyAlignment="1">
      <alignment horizontal="left" vertical="center" wrapText="1"/>
    </xf>
    <xf numFmtId="0" fontId="13" fillId="57" borderId="4" xfId="138" applyFont="1" applyFill="1" applyBorder="1" applyAlignment="1">
      <alignment horizontal="left" vertical="center" wrapText="1"/>
    </xf>
    <xf numFmtId="0" fontId="13" fillId="57" borderId="4" xfId="138" applyFont="1" applyFill="1" applyBorder="1" applyAlignment="1">
      <alignment horizontal="center" vertical="center" wrapText="1"/>
    </xf>
    <xf numFmtId="0" fontId="70" fillId="0" borderId="4" xfId="234" applyFont="1" applyBorder="1" applyAlignment="1">
      <alignment horizontal="center" vertical="center" wrapText="1"/>
    </xf>
    <xf numFmtId="0" fontId="71" fillId="2" borderId="4" xfId="0" applyFont="1" applyFill="1" applyBorder="1" applyAlignment="1">
      <alignment horizontal="left" vertical="center" wrapText="1"/>
    </xf>
    <xf numFmtId="0" fontId="71" fillId="2" borderId="4" xfId="0" applyFont="1" applyFill="1" applyBorder="1" applyAlignment="1">
      <alignment horizontal="center" vertical="center" wrapText="1"/>
    </xf>
    <xf numFmtId="0" fontId="71" fillId="0" borderId="4" xfId="236" applyFont="1" applyBorder="1" applyAlignment="1">
      <alignment horizontal="left" vertical="center" wrapText="1"/>
    </xf>
    <xf numFmtId="0" fontId="105" fillId="2" borderId="4" xfId="236" applyFont="1" applyFill="1" applyBorder="1" applyAlignment="1">
      <alignment horizontal="left" vertical="center" wrapText="1"/>
    </xf>
    <xf numFmtId="0" fontId="70" fillId="2" borderId="4" xfId="236" applyFont="1" applyFill="1" applyBorder="1" applyAlignment="1">
      <alignment horizontal="left" vertical="center" wrapText="1"/>
    </xf>
    <xf numFmtId="0" fontId="70" fillId="2" borderId="4" xfId="236" applyFont="1" applyFill="1" applyBorder="1" applyAlignment="1">
      <alignment horizontal="center" vertical="center" wrapText="1"/>
    </xf>
    <xf numFmtId="0" fontId="71" fillId="0" borderId="4" xfId="233" applyFont="1" applyBorder="1" applyAlignment="1">
      <alignment horizontal="center" vertical="center" wrapText="1"/>
    </xf>
    <xf numFmtId="0" fontId="109" fillId="0" borderId="4" xfId="0" applyFont="1" applyBorder="1" applyAlignment="1">
      <alignment horizontal="left" vertical="center" wrapText="1"/>
    </xf>
    <xf numFmtId="0" fontId="70" fillId="0" borderId="4" xfId="0" applyFont="1" applyBorder="1" applyAlignment="1">
      <alignment horizontal="left" vertical="center" wrapText="1"/>
    </xf>
    <xf numFmtId="0" fontId="70" fillId="0" borderId="4" xfId="236" applyFont="1" applyBorder="1" applyAlignment="1">
      <alignment horizontal="center" vertical="center" wrapText="1"/>
    </xf>
    <xf numFmtId="0" fontId="105" fillId="0" borderId="4" xfId="236" applyFont="1" applyBorder="1" applyAlignment="1">
      <alignment horizontal="left" vertical="center" wrapText="1"/>
    </xf>
    <xf numFmtId="0" fontId="70" fillId="0" borderId="4" xfId="236" applyFont="1" applyBorder="1" applyAlignment="1">
      <alignment horizontal="left" vertical="center" wrapText="1"/>
    </xf>
    <xf numFmtId="0" fontId="71" fillId="0" borderId="4" xfId="0" applyFont="1" applyBorder="1" applyAlignment="1">
      <alignment horizontal="left" vertical="center" wrapText="1"/>
    </xf>
    <xf numFmtId="0" fontId="70" fillId="2" borderId="4" xfId="0" applyFont="1" applyFill="1" applyBorder="1" applyAlignment="1">
      <alignment horizontal="left" vertical="center" wrapText="1"/>
    </xf>
    <xf numFmtId="0" fontId="80" fillId="45" borderId="28" xfId="0" applyFont="1" applyFill="1" applyBorder="1" applyAlignment="1">
      <alignment horizontal="center" vertical="center"/>
    </xf>
    <xf numFmtId="0" fontId="80" fillId="45" borderId="29" xfId="0" applyFont="1" applyFill="1" applyBorder="1" applyAlignment="1">
      <alignment horizontal="center" vertical="center"/>
    </xf>
    <xf numFmtId="0" fontId="80" fillId="0" borderId="0" xfId="191" applyFont="1" applyAlignment="1">
      <alignment horizontal="center" vertical="center" wrapText="1"/>
    </xf>
    <xf numFmtId="0" fontId="13" fillId="0" borderId="0" xfId="191" applyFont="1" applyAlignment="1">
      <alignment horizontal="center" vertical="center" wrapText="1"/>
    </xf>
    <xf numFmtId="0" fontId="14" fillId="0" borderId="31" xfId="191" applyFont="1" applyBorder="1" applyAlignment="1">
      <alignment horizontal="left" vertical="center" wrapText="1"/>
    </xf>
    <xf numFmtId="0" fontId="14" fillId="0" borderId="6" xfId="191" applyFont="1" applyBorder="1" applyAlignment="1">
      <alignment horizontal="left" vertical="center" wrapText="1"/>
    </xf>
    <xf numFmtId="0" fontId="14" fillId="0" borderId="3" xfId="191" applyFont="1" applyBorder="1" applyAlignment="1">
      <alignment horizontal="left" vertical="center" wrapText="1"/>
    </xf>
    <xf numFmtId="0" fontId="73" fillId="0" borderId="0" xfId="193" applyFont="1" applyAlignment="1">
      <alignment horizontal="center" vertical="center" wrapText="1"/>
    </xf>
    <xf numFmtId="0" fontId="74" fillId="0" borderId="0" xfId="193" applyFont="1" applyAlignment="1">
      <alignment horizontal="left" vertical="center" wrapText="1"/>
    </xf>
    <xf numFmtId="0" fontId="73" fillId="0" borderId="0" xfId="193" applyFont="1" applyAlignment="1">
      <alignment horizontal="left" vertical="center" wrapText="1"/>
    </xf>
    <xf numFmtId="0" fontId="73" fillId="0" borderId="17" xfId="193" applyFont="1" applyBorder="1" applyAlignment="1">
      <alignment horizontal="center" vertical="center" wrapText="1"/>
    </xf>
    <xf numFmtId="0" fontId="73" fillId="0" borderId="18" xfId="193" applyFont="1" applyBorder="1" applyAlignment="1">
      <alignment horizontal="center" vertical="center" wrapText="1"/>
    </xf>
    <xf numFmtId="0" fontId="73" fillId="0" borderId="19" xfId="193" applyFont="1" applyBorder="1" applyAlignment="1">
      <alignment horizontal="center" vertical="center" wrapText="1"/>
    </xf>
    <xf numFmtId="0" fontId="70" fillId="0" borderId="0" xfId="193" applyFont="1" applyAlignment="1">
      <alignment vertical="center" wrapText="1"/>
    </xf>
    <xf numFmtId="173" fontId="70" fillId="0" borderId="4" xfId="1" applyNumberFormat="1" applyFont="1" applyBorder="1" applyAlignment="1">
      <alignment horizontal="center" vertical="center" wrapText="1"/>
    </xf>
    <xf numFmtId="173" fontId="71" fillId="0" borderId="4" xfId="1" applyNumberFormat="1" applyFont="1" applyFill="1" applyBorder="1" applyAlignment="1">
      <alignment horizontal="center" vertical="center" wrapText="1"/>
    </xf>
    <xf numFmtId="173" fontId="70" fillId="0" borderId="28" xfId="1" applyNumberFormat="1" applyFont="1" applyBorder="1" applyAlignment="1">
      <alignment horizontal="center" vertical="center" wrapText="1"/>
    </xf>
    <xf numFmtId="173" fontId="70" fillId="0" borderId="30" xfId="1" applyNumberFormat="1" applyFont="1" applyBorder="1" applyAlignment="1">
      <alignment horizontal="center" vertical="center" wrapText="1"/>
    </xf>
    <xf numFmtId="173" fontId="71" fillId="0" borderId="28" xfId="1" applyNumberFormat="1" applyFont="1" applyFill="1" applyBorder="1" applyAlignment="1">
      <alignment horizontal="center" vertical="center" wrapText="1"/>
    </xf>
    <xf numFmtId="173" fontId="71" fillId="0" borderId="30" xfId="1" applyNumberFormat="1" applyFont="1" applyFill="1" applyBorder="1" applyAlignment="1">
      <alignment horizontal="center" vertical="center" wrapText="1"/>
    </xf>
    <xf numFmtId="0" fontId="100" fillId="0" borderId="33" xfId="218" applyFont="1" applyBorder="1" applyAlignment="1">
      <alignment horizontal="center"/>
    </xf>
    <xf numFmtId="0" fontId="101" fillId="0" borderId="33" xfId="218" applyFont="1" applyBorder="1"/>
    <xf numFmtId="0" fontId="95" fillId="0" borderId="0" xfId="214" applyFont="1" applyAlignment="1">
      <alignment horizontal="center" vertical="center"/>
    </xf>
    <xf numFmtId="173" fontId="106" fillId="0" borderId="6" xfId="220" applyNumberFormat="1" applyFont="1" applyBorder="1" applyAlignment="1">
      <alignment horizontal="center" vertical="center" wrapText="1"/>
    </xf>
    <xf numFmtId="0" fontId="94" fillId="0" borderId="4" xfId="0" applyFont="1" applyBorder="1" applyAlignment="1">
      <alignment horizontal="center" vertical="center"/>
    </xf>
    <xf numFmtId="0" fontId="94" fillId="0" borderId="28" xfId="0" applyFont="1" applyBorder="1" applyAlignment="1">
      <alignment horizontal="center" vertical="center"/>
    </xf>
    <xf numFmtId="0" fontId="94" fillId="0" borderId="29" xfId="0" applyFont="1" applyBorder="1" applyAlignment="1">
      <alignment horizontal="center" vertical="center"/>
    </xf>
    <xf numFmtId="0" fontId="94" fillId="0" borderId="30" xfId="0" applyFont="1" applyBorder="1" applyAlignment="1">
      <alignment horizontal="center" vertical="center"/>
    </xf>
    <xf numFmtId="0" fontId="92" fillId="0" borderId="31" xfId="0" applyFont="1" applyBorder="1" applyAlignment="1">
      <alignment horizontal="center" vertical="center"/>
    </xf>
    <xf numFmtId="0" fontId="92" fillId="0" borderId="6" xfId="0" applyFont="1" applyBorder="1" applyAlignment="1">
      <alignment horizontal="center" vertical="center"/>
    </xf>
    <xf numFmtId="0" fontId="92" fillId="0" borderId="31" xfId="0" applyFont="1" applyBorder="1" applyAlignment="1">
      <alignment horizontal="center" vertical="center" wrapText="1"/>
    </xf>
    <xf numFmtId="0" fontId="92" fillId="0" borderId="6" xfId="0" applyFont="1" applyBorder="1" applyAlignment="1">
      <alignment horizontal="center" vertical="center" wrapText="1"/>
    </xf>
    <xf numFmtId="0" fontId="92" fillId="0" borderId="31" xfId="0" applyFont="1" applyBorder="1" applyAlignment="1">
      <alignment horizontal="left" vertical="center"/>
    </xf>
    <xf numFmtId="0" fontId="92" fillId="0" borderId="3" xfId="0" applyFont="1" applyBorder="1" applyAlignment="1">
      <alignment horizontal="left" vertical="center"/>
    </xf>
    <xf numFmtId="0" fontId="94" fillId="0" borderId="0" xfId="221" applyFont="1" applyAlignment="1">
      <alignment horizontal="left" vertical="center"/>
    </xf>
  </cellXfs>
  <cellStyles count="238">
    <cellStyle name="_x000d__x000a_JournalTemplate=C:\COMFO\CTALK\JOURSTD.TPL_x000d__x000a_LbStateAddress=3 3 0 251 1 89 2 311_x000d__x000a_LbStateJou" xfId="10" xr:uid="{00000000-0005-0000-0000-000000000000}"/>
    <cellStyle name="??&amp;O?&amp;H?_x0008__x000f__x0007_?_x0007__x0001__x0001_" xfId="11" xr:uid="{00000000-0005-0000-0000-000001000000}"/>
    <cellStyle name="??&amp;O?&amp;H?_x0008_??_x0007__x0001__x0001_" xfId="12" xr:uid="{00000000-0005-0000-0000-000002000000}"/>
    <cellStyle name="_Bao gia camera" xfId="13" xr:uid="{00000000-0005-0000-0000-000003000000}"/>
    <cellStyle name="_Bao gia camera_Bao gia xay dung mo hinh mot cua - EFY" xfId="14" xr:uid="{00000000-0005-0000-0000-000004000000}"/>
    <cellStyle name="_Bao gia camera_Bao gia xay dung mo hinh mot cua - EFY_Cap Tinh-Thiet ke du toan phan mem KNTC Quang Binh" xfId="15" xr:uid="{00000000-0005-0000-0000-000005000000}"/>
    <cellStyle name="_Bao gia camera_Cap So-Thiet ke du toan phan mem KNTC Quang Binh" xfId="16" xr:uid="{00000000-0005-0000-0000-000006000000}"/>
    <cellStyle name="_Bao gia camera_Thiet ke du toan DHTN" xfId="17" xr:uid="{00000000-0005-0000-0000-000007000000}"/>
    <cellStyle name="_Bao gia camera_Thiet ke du toan DHTN_Cap So-Thiet ke du toan phan mem KNTC Quang Binh" xfId="18" xr:uid="{00000000-0005-0000-0000-000008000000}"/>
    <cellStyle name="_Bao gia camera_Tong du toan mot cua - So TTTT Hung Yen" xfId="19" xr:uid="{00000000-0005-0000-0000-000009000000}"/>
    <cellStyle name="_Bao gia camera_Tong du toan mot cua - So TTTT Hung Yen_Cap Tinh-Thiet ke du toan phan mem KNTC Quang Binh" xfId="20" xr:uid="{00000000-0005-0000-0000-00000A000000}"/>
    <cellStyle name="_Book1" xfId="21" xr:uid="{00000000-0005-0000-0000-00000B000000}"/>
    <cellStyle name="_Copy of Tadimex_BOM_Rev01" xfId="22" xr:uid="{00000000-0005-0000-0000-00000C000000}"/>
    <cellStyle name="_Rocky Preliminary Specification_0129" xfId="23" xr:uid="{00000000-0005-0000-0000-00000D000000}"/>
    <cellStyle name="_Specs" xfId="24" xr:uid="{00000000-0005-0000-0000-00000E000000}"/>
    <cellStyle name="_Tadimex_BOM_Rev02" xfId="25" xr:uid="{00000000-0005-0000-0000-00000F000000}"/>
    <cellStyle name="_Tong_du_toan_VDB_V4.1" xfId="26" xr:uid="{00000000-0005-0000-0000-000010000000}"/>
    <cellStyle name="0,0_x000a__x000a_NA_x000a__x000a_" xfId="27" xr:uid="{00000000-0005-0000-0000-000011000000}"/>
    <cellStyle name="0,0_x000d__x000a_NA_x000d__x000a_" xfId="28" xr:uid="{00000000-0005-0000-0000-000012000000}"/>
    <cellStyle name="¹eºÐA²_±aA¸" xfId="29" xr:uid="{00000000-0005-0000-0000-000013000000}"/>
    <cellStyle name="20% - Accent1 2" xfId="30" xr:uid="{00000000-0005-0000-0000-000014000000}"/>
    <cellStyle name="20% - Accent2 2" xfId="31" xr:uid="{00000000-0005-0000-0000-000015000000}"/>
    <cellStyle name="20% - Accent3 2" xfId="32" xr:uid="{00000000-0005-0000-0000-000016000000}"/>
    <cellStyle name="20% - Accent4 2" xfId="33" xr:uid="{00000000-0005-0000-0000-000017000000}"/>
    <cellStyle name="20% - Accent5 2" xfId="34" xr:uid="{00000000-0005-0000-0000-000018000000}"/>
    <cellStyle name="20% - Accent6 2" xfId="35" xr:uid="{00000000-0005-0000-0000-000019000000}"/>
    <cellStyle name="40% - Accent1 2" xfId="36" xr:uid="{00000000-0005-0000-0000-00001A000000}"/>
    <cellStyle name="40% - Accent2 2" xfId="37" xr:uid="{00000000-0005-0000-0000-00001B000000}"/>
    <cellStyle name="40% - Accent3 2" xfId="38" xr:uid="{00000000-0005-0000-0000-00001C000000}"/>
    <cellStyle name="40% - Accent4 2" xfId="39" xr:uid="{00000000-0005-0000-0000-00001D000000}"/>
    <cellStyle name="40% - Accent5 2" xfId="40" xr:uid="{00000000-0005-0000-0000-00001E000000}"/>
    <cellStyle name="40% - Accent6 2" xfId="41" xr:uid="{00000000-0005-0000-0000-00001F000000}"/>
    <cellStyle name="60% - Accent1 2" xfId="42" xr:uid="{00000000-0005-0000-0000-000020000000}"/>
    <cellStyle name="60% - Accent2 2" xfId="43" xr:uid="{00000000-0005-0000-0000-000021000000}"/>
    <cellStyle name="60% - Accent3 2" xfId="44" xr:uid="{00000000-0005-0000-0000-000022000000}"/>
    <cellStyle name="60% - Accent4 2" xfId="45" xr:uid="{00000000-0005-0000-0000-000023000000}"/>
    <cellStyle name="60% - Accent5 2" xfId="46" xr:uid="{00000000-0005-0000-0000-000024000000}"/>
    <cellStyle name="60% - Accent6 2" xfId="47" xr:uid="{00000000-0005-0000-0000-000025000000}"/>
    <cellStyle name="Accent1 - 20%" xfId="48" xr:uid="{00000000-0005-0000-0000-000026000000}"/>
    <cellStyle name="Accent1 - 40%" xfId="49" xr:uid="{00000000-0005-0000-0000-000027000000}"/>
    <cellStyle name="Accent1 - 60%" xfId="50" xr:uid="{00000000-0005-0000-0000-000028000000}"/>
    <cellStyle name="Accent1 2" xfId="51" xr:uid="{00000000-0005-0000-0000-000029000000}"/>
    <cellStyle name="Accent2 - 20%" xfId="52" xr:uid="{00000000-0005-0000-0000-00002A000000}"/>
    <cellStyle name="Accent2 - 40%" xfId="53" xr:uid="{00000000-0005-0000-0000-00002B000000}"/>
    <cellStyle name="Accent2 - 60%" xfId="54" xr:uid="{00000000-0005-0000-0000-00002C000000}"/>
    <cellStyle name="Accent2 2" xfId="55" xr:uid="{00000000-0005-0000-0000-00002D000000}"/>
    <cellStyle name="Accent3 - 20%" xfId="56" xr:uid="{00000000-0005-0000-0000-00002E000000}"/>
    <cellStyle name="Accent3 - 40%" xfId="57" xr:uid="{00000000-0005-0000-0000-00002F000000}"/>
    <cellStyle name="Accent3 - 60%" xfId="58" xr:uid="{00000000-0005-0000-0000-000030000000}"/>
    <cellStyle name="Accent3 2" xfId="59" xr:uid="{00000000-0005-0000-0000-000031000000}"/>
    <cellStyle name="Accent4 - 20%" xfId="60" xr:uid="{00000000-0005-0000-0000-000032000000}"/>
    <cellStyle name="Accent4 - 40%" xfId="61" xr:uid="{00000000-0005-0000-0000-000033000000}"/>
    <cellStyle name="Accent4 - 60%" xfId="62" xr:uid="{00000000-0005-0000-0000-000034000000}"/>
    <cellStyle name="Accent4 2" xfId="63" xr:uid="{00000000-0005-0000-0000-000035000000}"/>
    <cellStyle name="Accent5 - 20%" xfId="64" xr:uid="{00000000-0005-0000-0000-000036000000}"/>
    <cellStyle name="Accent5 - 40%" xfId="65" xr:uid="{00000000-0005-0000-0000-000037000000}"/>
    <cellStyle name="Accent5 - 60%" xfId="66" xr:uid="{00000000-0005-0000-0000-000038000000}"/>
    <cellStyle name="Accent5 2" xfId="67" xr:uid="{00000000-0005-0000-0000-000039000000}"/>
    <cellStyle name="Accent6 - 20%" xfId="68" xr:uid="{00000000-0005-0000-0000-00003A000000}"/>
    <cellStyle name="Accent6 - 40%" xfId="69" xr:uid="{00000000-0005-0000-0000-00003B000000}"/>
    <cellStyle name="Accent6 - 60%" xfId="70" xr:uid="{00000000-0005-0000-0000-00003C000000}"/>
    <cellStyle name="Accent6 2" xfId="71" xr:uid="{00000000-0005-0000-0000-00003D000000}"/>
    <cellStyle name="AeE­ [0]_´eCu≫cAa" xfId="72" xr:uid="{00000000-0005-0000-0000-00003E000000}"/>
    <cellStyle name="AeE­_´eCu≫cAa" xfId="73" xr:uid="{00000000-0005-0000-0000-00003F000000}"/>
    <cellStyle name="AÞ¸¶ [0]_´eCu≫cAa" xfId="74" xr:uid="{00000000-0005-0000-0000-000040000000}"/>
    <cellStyle name="AÞ¸¶_´eCu≫cAa" xfId="75" xr:uid="{00000000-0005-0000-0000-000041000000}"/>
    <cellStyle name="Bad 2" xfId="76" xr:uid="{00000000-0005-0000-0000-000042000000}"/>
    <cellStyle name="C￥AØ_´eCu≫cAa" xfId="77" xr:uid="{00000000-0005-0000-0000-000043000000}"/>
    <cellStyle name="Calculation 2" xfId="78" xr:uid="{00000000-0005-0000-0000-000044000000}"/>
    <cellStyle name="category" xfId="79" xr:uid="{00000000-0005-0000-0000-000045000000}"/>
    <cellStyle name="Check Cell 2" xfId="80" xr:uid="{00000000-0005-0000-0000-000046000000}"/>
    <cellStyle name="Comma" xfId="1" builtinId="3"/>
    <cellStyle name="Comma [0] 2" xfId="195" xr:uid="{00000000-0005-0000-0000-000048000000}"/>
    <cellStyle name="Comma 10" xfId="81" xr:uid="{00000000-0005-0000-0000-000049000000}"/>
    <cellStyle name="Comma 10 2" xfId="82" xr:uid="{00000000-0005-0000-0000-00004A000000}"/>
    <cellStyle name="Comma 11" xfId="83" xr:uid="{00000000-0005-0000-0000-00004B000000}"/>
    <cellStyle name="Comma 12" xfId="84" xr:uid="{00000000-0005-0000-0000-00004C000000}"/>
    <cellStyle name="Comma 13" xfId="212" xr:uid="{00000000-0005-0000-0000-00004D000000}"/>
    <cellStyle name="Comma 13 2" xfId="196" xr:uid="{00000000-0005-0000-0000-00004E000000}"/>
    <cellStyle name="Comma 14" xfId="197" xr:uid="{00000000-0005-0000-0000-00004F000000}"/>
    <cellStyle name="Comma 15" xfId="194" xr:uid="{00000000-0005-0000-0000-000050000000}"/>
    <cellStyle name="Comma 16" xfId="217" xr:uid="{00000000-0005-0000-0000-000051000000}"/>
    <cellStyle name="Comma 17" xfId="226" xr:uid="{00000000-0005-0000-0000-000052000000}"/>
    <cellStyle name="Comma 18" xfId="228" xr:uid="{00000000-0005-0000-0000-000053000000}"/>
    <cellStyle name="Comma 19" xfId="230" xr:uid="{00000000-0005-0000-0000-000054000000}"/>
    <cellStyle name="Comma 2" xfId="85" xr:uid="{00000000-0005-0000-0000-000055000000}"/>
    <cellStyle name="Comma 2 2" xfId="86" xr:uid="{00000000-0005-0000-0000-000056000000}"/>
    <cellStyle name="Comma 2 2 2" xfId="207" xr:uid="{00000000-0005-0000-0000-000057000000}"/>
    <cellStyle name="Comma 2 3" xfId="198" xr:uid="{00000000-0005-0000-0000-000058000000}"/>
    <cellStyle name="Comma 2 3 2" xfId="220" xr:uid="{00000000-0005-0000-0000-000059000000}"/>
    <cellStyle name="Comma 2 3 2 2" xfId="199" xr:uid="{00000000-0005-0000-0000-00005A000000}"/>
    <cellStyle name="Comma 2 4" xfId="208" xr:uid="{00000000-0005-0000-0000-00005B000000}"/>
    <cellStyle name="Comma 20" xfId="232" xr:uid="{00000000-0005-0000-0000-00005C000000}"/>
    <cellStyle name="Comma 3" xfId="87" xr:uid="{00000000-0005-0000-0000-00005D000000}"/>
    <cellStyle name="Comma 3 2 2" xfId="88" xr:uid="{00000000-0005-0000-0000-00005E000000}"/>
    <cellStyle name="Comma 4" xfId="89" xr:uid="{00000000-0005-0000-0000-00005F000000}"/>
    <cellStyle name="Comma 5" xfId="90" xr:uid="{00000000-0005-0000-0000-000060000000}"/>
    <cellStyle name="Comma 5 2" xfId="91" xr:uid="{00000000-0005-0000-0000-000061000000}"/>
    <cellStyle name="Comma 5 3" xfId="215" xr:uid="{00000000-0005-0000-0000-000062000000}"/>
    <cellStyle name="Comma 6" xfId="92" xr:uid="{00000000-0005-0000-0000-000063000000}"/>
    <cellStyle name="Comma 7" xfId="93" xr:uid="{00000000-0005-0000-0000-000064000000}"/>
    <cellStyle name="Comma 7 2" xfId="6" xr:uid="{00000000-0005-0000-0000-000065000000}"/>
    <cellStyle name="Comma 7 3" xfId="94" xr:uid="{00000000-0005-0000-0000-000066000000}"/>
    <cellStyle name="Comma 8" xfId="9" xr:uid="{00000000-0005-0000-0000-000067000000}"/>
    <cellStyle name="Comma 9" xfId="95" xr:uid="{00000000-0005-0000-0000-000068000000}"/>
    <cellStyle name="Comma0" xfId="96" xr:uid="{00000000-0005-0000-0000-000069000000}"/>
    <cellStyle name="Currency 2" xfId="97" xr:uid="{00000000-0005-0000-0000-00006A000000}"/>
    <cellStyle name="Currency 2 2" xfId="98" xr:uid="{00000000-0005-0000-0000-00006B000000}"/>
    <cellStyle name="Currency 3" xfId="99" xr:uid="{00000000-0005-0000-0000-00006C000000}"/>
    <cellStyle name="Currency 4" xfId="100" xr:uid="{00000000-0005-0000-0000-00006D000000}"/>
    <cellStyle name="Currency 5" xfId="101" xr:uid="{00000000-0005-0000-0000-00006E000000}"/>
    <cellStyle name="Currency0" xfId="102" xr:uid="{00000000-0005-0000-0000-00006F000000}"/>
    <cellStyle name="Date" xfId="103" xr:uid="{00000000-0005-0000-0000-000070000000}"/>
    <cellStyle name="Emphasis 1" xfId="104" xr:uid="{00000000-0005-0000-0000-000071000000}"/>
    <cellStyle name="Emphasis 2" xfId="105" xr:uid="{00000000-0005-0000-0000-000072000000}"/>
    <cellStyle name="Emphasis 3" xfId="106" xr:uid="{00000000-0005-0000-0000-000073000000}"/>
    <cellStyle name="Explanatory Text 2" xfId="107" xr:uid="{00000000-0005-0000-0000-000074000000}"/>
    <cellStyle name="Fixed" xfId="108" xr:uid="{00000000-0005-0000-0000-000075000000}"/>
    <cellStyle name="Good 2" xfId="109" xr:uid="{00000000-0005-0000-0000-000076000000}"/>
    <cellStyle name="Grey" xfId="110" xr:uid="{00000000-0005-0000-0000-000077000000}"/>
    <cellStyle name="HEADER" xfId="111" xr:uid="{00000000-0005-0000-0000-000078000000}"/>
    <cellStyle name="Header1" xfId="112" xr:uid="{00000000-0005-0000-0000-000079000000}"/>
    <cellStyle name="Header2" xfId="113" xr:uid="{00000000-0005-0000-0000-00007A000000}"/>
    <cellStyle name="Heading 1 2" xfId="114" xr:uid="{00000000-0005-0000-0000-00007B000000}"/>
    <cellStyle name="Heading 2 2" xfId="115" xr:uid="{00000000-0005-0000-0000-00007C000000}"/>
    <cellStyle name="Heading 3 2" xfId="116" xr:uid="{00000000-0005-0000-0000-00007D000000}"/>
    <cellStyle name="Heading 4 2" xfId="117" xr:uid="{00000000-0005-0000-0000-00007E000000}"/>
    <cellStyle name="headoption" xfId="118" xr:uid="{00000000-0005-0000-0000-00007F000000}"/>
    <cellStyle name="Hyperlink 2" xfId="119" xr:uid="{00000000-0005-0000-0000-000080000000}"/>
    <cellStyle name="Input [yellow]" xfId="120" xr:uid="{00000000-0005-0000-0000-000081000000}"/>
    <cellStyle name="Input 2" xfId="121" xr:uid="{00000000-0005-0000-0000-000082000000}"/>
    <cellStyle name="Input 3" xfId="122" xr:uid="{00000000-0005-0000-0000-000083000000}"/>
    <cellStyle name="Input 4" xfId="123" xr:uid="{00000000-0005-0000-0000-000084000000}"/>
    <cellStyle name="Jun" xfId="124" xr:uid="{00000000-0005-0000-0000-000085000000}"/>
    <cellStyle name="Ledger 17 x 11 in" xfId="2" xr:uid="{00000000-0005-0000-0000-000086000000}"/>
    <cellStyle name="Ledger 17 x 11 in 2" xfId="125" xr:uid="{00000000-0005-0000-0000-000087000000}"/>
    <cellStyle name="Ledger 17 x 11 in 2 2" xfId="126" xr:uid="{00000000-0005-0000-0000-000088000000}"/>
    <cellStyle name="Ledger 17 x 11 in 3" xfId="127" xr:uid="{00000000-0005-0000-0000-000089000000}"/>
    <cellStyle name="Ledger 17 x 11 in 4" xfId="128" xr:uid="{00000000-0005-0000-0000-00008A000000}"/>
    <cellStyle name="Ledger 17 x 11 in_1.KinhphiTKTC2107" xfId="129" xr:uid="{00000000-0005-0000-0000-00008B000000}"/>
    <cellStyle name="Linked Cell 2" xfId="130" xr:uid="{00000000-0005-0000-0000-00008C000000}"/>
    <cellStyle name="Model" xfId="131" xr:uid="{00000000-0005-0000-0000-00008D000000}"/>
    <cellStyle name="Neutral 2" xfId="132" xr:uid="{00000000-0005-0000-0000-00008E000000}"/>
    <cellStyle name="Normal" xfId="0" builtinId="0"/>
    <cellStyle name="Normal - Style1" xfId="133" xr:uid="{00000000-0005-0000-0000-000090000000}"/>
    <cellStyle name="Normal 10" xfId="191" xr:uid="{00000000-0005-0000-0000-000091000000}"/>
    <cellStyle name="Normal 10 2" xfId="200" xr:uid="{00000000-0005-0000-0000-000092000000}"/>
    <cellStyle name="Normal 10 2 2" xfId="219" xr:uid="{00000000-0005-0000-0000-000093000000}"/>
    <cellStyle name="Normal 10 2 2 2" xfId="236" xr:uid="{00000000-0005-0000-0000-000094000000}"/>
    <cellStyle name="Normal 10 3" xfId="214" xr:uid="{00000000-0005-0000-0000-000095000000}"/>
    <cellStyle name="Normal 11" xfId="205" xr:uid="{00000000-0005-0000-0000-000096000000}"/>
    <cellStyle name="Normal 11 2" xfId="213" xr:uid="{00000000-0005-0000-0000-000097000000}"/>
    <cellStyle name="Normal 12" xfId="210" xr:uid="{00000000-0005-0000-0000-000098000000}"/>
    <cellStyle name="Normal 12 2" xfId="216" xr:uid="{00000000-0005-0000-0000-000099000000}"/>
    <cellStyle name="Normal 12 2 2" xfId="223" xr:uid="{00000000-0005-0000-0000-00009A000000}"/>
    <cellStyle name="Normal 13" xfId="221" xr:uid="{00000000-0005-0000-0000-00009B000000}"/>
    <cellStyle name="Normal 14" xfId="224" xr:uid="{00000000-0005-0000-0000-00009C000000}"/>
    <cellStyle name="Normal 15" xfId="225" xr:uid="{00000000-0005-0000-0000-00009D000000}"/>
    <cellStyle name="Normal 16" xfId="134" xr:uid="{00000000-0005-0000-0000-00009E000000}"/>
    <cellStyle name="Normal 16 2" xfId="3" xr:uid="{00000000-0005-0000-0000-00009F000000}"/>
    <cellStyle name="Normal 16 2 2" xfId="234" xr:uid="{00000000-0005-0000-0000-0000A0000000}"/>
    <cellStyle name="Normal 16 2 2 3" xfId="233" xr:uid="{00000000-0005-0000-0000-0000A1000000}"/>
    <cellStyle name="Normal 17" xfId="227" xr:uid="{00000000-0005-0000-0000-0000A2000000}"/>
    <cellStyle name="Normal 18" xfId="229" xr:uid="{00000000-0005-0000-0000-0000A3000000}"/>
    <cellStyle name="Normal 19" xfId="201" xr:uid="{00000000-0005-0000-0000-0000A4000000}"/>
    <cellStyle name="Normal 2" xfId="4" xr:uid="{00000000-0005-0000-0000-0000A5000000}"/>
    <cellStyle name="Normal 2 10" xfId="222" xr:uid="{00000000-0005-0000-0000-0000A6000000}"/>
    <cellStyle name="Normal 2 2" xfId="135" xr:uid="{00000000-0005-0000-0000-0000A7000000}"/>
    <cellStyle name="Normal 2 2 2" xfId="206" xr:uid="{00000000-0005-0000-0000-0000A8000000}"/>
    <cellStyle name="Normal 2 2 2 2" xfId="237" xr:uid="{00000000-0005-0000-0000-0000A9000000}"/>
    <cellStyle name="Normal 2 2 3" xfId="202" xr:uid="{00000000-0005-0000-0000-0000AA000000}"/>
    <cellStyle name="Normal 2 3" xfId="192" xr:uid="{00000000-0005-0000-0000-0000AB000000}"/>
    <cellStyle name="Normal 2 4" xfId="235" xr:uid="{00000000-0005-0000-0000-0000AC000000}"/>
    <cellStyle name="Normal 2 5" xfId="193" xr:uid="{00000000-0005-0000-0000-0000AD000000}"/>
    <cellStyle name="Normal 20" xfId="231" xr:uid="{00000000-0005-0000-0000-0000AE000000}"/>
    <cellStyle name="Normal 3" xfId="7" xr:uid="{00000000-0005-0000-0000-0000AF000000}"/>
    <cellStyle name="Normal 3 2" xfId="203" xr:uid="{00000000-0005-0000-0000-0000B0000000}"/>
    <cellStyle name="Normal 4" xfId="136" xr:uid="{00000000-0005-0000-0000-0000B1000000}"/>
    <cellStyle name="Normal 4 2" xfId="209" xr:uid="{00000000-0005-0000-0000-0000B2000000}"/>
    <cellStyle name="Normal 5" xfId="137" xr:uid="{00000000-0005-0000-0000-0000B3000000}"/>
    <cellStyle name="Normal 5 2" xfId="5" xr:uid="{00000000-0005-0000-0000-0000B4000000}"/>
    <cellStyle name="Normal 5_2.DT_PCGD(2.9)" xfId="8" xr:uid="{00000000-0005-0000-0000-0000B5000000}"/>
    <cellStyle name="Normal 6" xfId="138" xr:uid="{00000000-0005-0000-0000-0000B6000000}"/>
    <cellStyle name="Normal 7" xfId="139" xr:uid="{00000000-0005-0000-0000-0000B7000000}"/>
    <cellStyle name="Normal 77" xfId="218" xr:uid="{00000000-0005-0000-0000-0000B8000000}"/>
    <cellStyle name="Normal 8" xfId="140" xr:uid="{00000000-0005-0000-0000-0000B9000000}"/>
    <cellStyle name="Normal 8 2" xfId="141" xr:uid="{00000000-0005-0000-0000-0000BA000000}"/>
    <cellStyle name="Normal 9" xfId="142" xr:uid="{00000000-0005-0000-0000-0000BB000000}"/>
    <cellStyle name="Normal 9 2" xfId="211" xr:uid="{00000000-0005-0000-0000-0000BC000000}"/>
    <cellStyle name="Note 2" xfId="143" xr:uid="{00000000-0005-0000-0000-0000BE000000}"/>
    <cellStyle name="Output 2" xfId="144" xr:uid="{00000000-0005-0000-0000-0000BF000000}"/>
    <cellStyle name="Percent [2]" xfId="145" xr:uid="{00000000-0005-0000-0000-0000C0000000}"/>
    <cellStyle name="Percent 2" xfId="146" xr:uid="{00000000-0005-0000-0000-0000C1000000}"/>
    <cellStyle name="Percent 3" xfId="147" xr:uid="{00000000-0005-0000-0000-0000C2000000}"/>
    <cellStyle name="Percent 4" xfId="148" xr:uid="{00000000-0005-0000-0000-0000C3000000}"/>
    <cellStyle name="Percent 5" xfId="149" xr:uid="{00000000-0005-0000-0000-0000C4000000}"/>
    <cellStyle name="Sheet Title" xfId="150" xr:uid="{00000000-0005-0000-0000-0000C5000000}"/>
    <cellStyle name="Style 1" xfId="151" xr:uid="{00000000-0005-0000-0000-0000C6000000}"/>
    <cellStyle name="Style 1 2" xfId="152" xr:uid="{00000000-0005-0000-0000-0000C7000000}"/>
    <cellStyle name="Style 1 3" xfId="153" xr:uid="{00000000-0005-0000-0000-0000C8000000}"/>
    <cellStyle name="Style 1_2.DT_PCGD(5.7)" xfId="154" xr:uid="{00000000-0005-0000-0000-0000C9000000}"/>
    <cellStyle name="Style 2" xfId="204" xr:uid="{00000000-0005-0000-0000-0000CA000000}"/>
    <cellStyle name="subhead" xfId="155" xr:uid="{00000000-0005-0000-0000-0000CB000000}"/>
    <cellStyle name="SubTotal1Text" xfId="156" xr:uid="{00000000-0005-0000-0000-0000CC000000}"/>
    <cellStyle name="þ_x001d_ð'&amp;Oy?Hy9_x0008__x000f__x0007_æ_x0007__x0007__x0001__x0001_" xfId="157" xr:uid="{00000000-0005-0000-0000-0000CD000000}"/>
    <cellStyle name="Title 2" xfId="158" xr:uid="{00000000-0005-0000-0000-0000CE000000}"/>
    <cellStyle name="Total 2" xfId="159" xr:uid="{00000000-0005-0000-0000-0000CF000000}"/>
    <cellStyle name="vnbo" xfId="160" xr:uid="{00000000-0005-0000-0000-0000D0000000}"/>
    <cellStyle name="vnhead1" xfId="161" xr:uid="{00000000-0005-0000-0000-0000D1000000}"/>
    <cellStyle name="vnhead2" xfId="162" xr:uid="{00000000-0005-0000-0000-0000D2000000}"/>
    <cellStyle name="vnhead3" xfId="163" xr:uid="{00000000-0005-0000-0000-0000D3000000}"/>
    <cellStyle name="vnhead3 2" xfId="164" xr:uid="{00000000-0005-0000-0000-0000D4000000}"/>
    <cellStyle name="vnhead3 3" xfId="165" xr:uid="{00000000-0005-0000-0000-0000D5000000}"/>
    <cellStyle name="vnhead3_Template PL_2009_R3" xfId="166" xr:uid="{00000000-0005-0000-0000-0000D6000000}"/>
    <cellStyle name="vnhead4" xfId="167" xr:uid="{00000000-0005-0000-0000-0000D7000000}"/>
    <cellStyle name="vntxt1" xfId="168" xr:uid="{00000000-0005-0000-0000-0000D8000000}"/>
    <cellStyle name="vntxt2" xfId="169" xr:uid="{00000000-0005-0000-0000-0000D9000000}"/>
    <cellStyle name="Warning Text 2" xfId="170" xr:uid="{00000000-0005-0000-0000-0000DA000000}"/>
    <cellStyle name="뒤에 오는 하이퍼링크_ZEUS Master Spec V 1.1" xfId="171" xr:uid="{00000000-0005-0000-0000-0000DB000000}"/>
    <cellStyle name="똿뗦먛귟 [0.00]_PRODUCT DETAIL Q1" xfId="172" xr:uid="{00000000-0005-0000-0000-0000DC000000}"/>
    <cellStyle name="똿뗦먛귟_PRODUCT DETAIL Q1" xfId="173" xr:uid="{00000000-0005-0000-0000-0000DD000000}"/>
    <cellStyle name="믅됞 [0.00]_PRODUCT DETAIL Q1" xfId="174" xr:uid="{00000000-0005-0000-0000-0000DE000000}"/>
    <cellStyle name="믅됞_PRODUCT DETAIL Q1" xfId="175" xr:uid="{00000000-0005-0000-0000-0000DF000000}"/>
    <cellStyle name="백분율_95" xfId="176" xr:uid="{00000000-0005-0000-0000-0000E0000000}"/>
    <cellStyle name="뷭?_BOOKSHIP" xfId="177" xr:uid="{00000000-0005-0000-0000-0000E1000000}"/>
    <cellStyle name="스타일 1" xfId="178" xr:uid="{00000000-0005-0000-0000-0000E2000000}"/>
    <cellStyle name="콤마 [0]_  종  합  " xfId="179" xr:uid="{00000000-0005-0000-0000-0000E3000000}"/>
    <cellStyle name="콤마_  종  합  " xfId="180" xr:uid="{00000000-0005-0000-0000-0000E4000000}"/>
    <cellStyle name="통화 [0]_1202" xfId="181" xr:uid="{00000000-0005-0000-0000-0000E5000000}"/>
    <cellStyle name="통화_1202" xfId="182" xr:uid="{00000000-0005-0000-0000-0000E6000000}"/>
    <cellStyle name="표준_(정보부문)월별인원계획" xfId="183" xr:uid="{00000000-0005-0000-0000-0000E7000000}"/>
    <cellStyle name="一般_Book1" xfId="184" xr:uid="{00000000-0005-0000-0000-0000E8000000}"/>
    <cellStyle name="千分位[0]_Book1" xfId="185" xr:uid="{00000000-0005-0000-0000-0000E9000000}"/>
    <cellStyle name="千分位_Book1" xfId="186" xr:uid="{00000000-0005-0000-0000-0000EA000000}"/>
    <cellStyle name="常规_河北联通165三期-2 20030127" xfId="187" xr:uid="{00000000-0005-0000-0000-0000EB000000}"/>
    <cellStyle name="標準_Akia(F）-8" xfId="188" xr:uid="{00000000-0005-0000-0000-0000EC000000}"/>
    <cellStyle name="貨幣 [0]_Book1" xfId="189" xr:uid="{00000000-0005-0000-0000-0000ED000000}"/>
    <cellStyle name="貨幣_Book1" xfId="190" xr:uid="{00000000-0005-0000-0000-0000EE000000}"/>
  </cellStyles>
  <dxfs count="2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externalLink" Target="externalLinks/externalLink16.xml"/><Relationship Id="rId39" Type="http://schemas.openxmlformats.org/officeDocument/2006/relationships/externalLink" Target="externalLinks/externalLink29.xml"/><Relationship Id="rId21" Type="http://schemas.openxmlformats.org/officeDocument/2006/relationships/externalLink" Target="externalLinks/externalLink11.xml"/><Relationship Id="rId34" Type="http://schemas.openxmlformats.org/officeDocument/2006/relationships/externalLink" Target="externalLinks/externalLink24.xml"/><Relationship Id="rId42" Type="http://schemas.openxmlformats.org/officeDocument/2006/relationships/externalLink" Target="externalLinks/externalLink32.xml"/><Relationship Id="rId47" Type="http://schemas.openxmlformats.org/officeDocument/2006/relationships/externalLink" Target="externalLinks/externalLink37.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6.xml"/><Relationship Id="rId29" Type="http://schemas.openxmlformats.org/officeDocument/2006/relationships/externalLink" Target="externalLinks/externalLink19.xml"/><Relationship Id="rId11" Type="http://schemas.openxmlformats.org/officeDocument/2006/relationships/externalLink" Target="externalLinks/externalLink1.xml"/><Relationship Id="rId24" Type="http://schemas.openxmlformats.org/officeDocument/2006/relationships/externalLink" Target="externalLinks/externalLink14.xml"/><Relationship Id="rId32" Type="http://schemas.openxmlformats.org/officeDocument/2006/relationships/externalLink" Target="externalLinks/externalLink22.xml"/><Relationship Id="rId37" Type="http://schemas.openxmlformats.org/officeDocument/2006/relationships/externalLink" Target="externalLinks/externalLink27.xml"/><Relationship Id="rId40" Type="http://schemas.openxmlformats.org/officeDocument/2006/relationships/externalLink" Target="externalLinks/externalLink30.xml"/><Relationship Id="rId45" Type="http://schemas.openxmlformats.org/officeDocument/2006/relationships/externalLink" Target="externalLinks/externalLink35.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externalLink" Target="externalLinks/externalLink13.xml"/><Relationship Id="rId28" Type="http://schemas.openxmlformats.org/officeDocument/2006/relationships/externalLink" Target="externalLinks/externalLink18.xml"/><Relationship Id="rId36" Type="http://schemas.openxmlformats.org/officeDocument/2006/relationships/externalLink" Target="externalLinks/externalLink2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9.xml"/><Relationship Id="rId31" Type="http://schemas.openxmlformats.org/officeDocument/2006/relationships/externalLink" Target="externalLinks/externalLink21.xml"/><Relationship Id="rId44" Type="http://schemas.openxmlformats.org/officeDocument/2006/relationships/externalLink" Target="externalLinks/externalLink3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externalLink" Target="externalLinks/externalLink12.xml"/><Relationship Id="rId27" Type="http://schemas.openxmlformats.org/officeDocument/2006/relationships/externalLink" Target="externalLinks/externalLink17.xml"/><Relationship Id="rId30" Type="http://schemas.openxmlformats.org/officeDocument/2006/relationships/externalLink" Target="externalLinks/externalLink20.xml"/><Relationship Id="rId35" Type="http://schemas.openxmlformats.org/officeDocument/2006/relationships/externalLink" Target="externalLinks/externalLink25.xml"/><Relationship Id="rId43" Type="http://schemas.openxmlformats.org/officeDocument/2006/relationships/externalLink" Target="externalLinks/externalLink3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externalLink" Target="externalLinks/externalLink15.xml"/><Relationship Id="rId33" Type="http://schemas.openxmlformats.org/officeDocument/2006/relationships/externalLink" Target="externalLinks/externalLink23.xml"/><Relationship Id="rId38" Type="http://schemas.openxmlformats.org/officeDocument/2006/relationships/externalLink" Target="externalLinks/externalLink28.xml"/><Relationship Id="rId46" Type="http://schemas.openxmlformats.org/officeDocument/2006/relationships/externalLink" Target="externalLinks/externalLink36.xml"/><Relationship Id="rId20" Type="http://schemas.openxmlformats.org/officeDocument/2006/relationships/externalLink" Target="externalLinks/externalLink10.xml"/><Relationship Id="rId41" Type="http://schemas.openxmlformats.org/officeDocument/2006/relationships/externalLink" Target="externalLinks/externalLink31.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fsitechnology-my.sharepoint.com/D:/192.168.9.11/isacom/Hung/BAOHANH/Dung%20Quat/Goi3/PNT-P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Projects\T2B_TCT\WIP\Contract\BCKT_2016T5\C\K\Documents%20and%20Settings\PKH\Desktop\HUONG\KKTHUE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Projects\T2B_TCT\WIP\Contract\BCKT_2016T5\C\K\Documents%20and%20Settings\PKH\Desktop\TTCP-LI.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fsitechnology-my.sharepoint.com/D:/D:/Documents%20and%20Settings/PKH/Desktop/HUONG/KKTHUE0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fsitechnology-my.sharepoint.com/D:/D:/Documents%20and%20Settings/PKH/Desktop/TTCP-LI.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Projects\T2B_TCT\WIP\Contract\BCKT_2016T5\C\K\ShareDoc\DOCUMENT\DAUTHAU\Dungquat\GOI3\DUNGQUAT-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fsitechnology-my.sharepoint.com/D:/A:/Phuong1/DOCUMENT/DAUTHAU/Dungquat/GOI3/DUNGQUAT-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fsitechnology-my.sharepoint.com/E176B66F/BC%20TKKT%20TDT%20"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E091C860\Du%20toan%20TKTCTDT%20P-MOIT%20draft%2013-4-201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fsitechnology-my.sharepoint.com/D:/D:/Working/DA%20V26/V26%20Final%20ngay%20021006/DutoanKP-V26-V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Projects\T2B_TCT\WIP\Contract\BCKT_2016T5\C\Volumes\Data\Working\9.%20ST\Hop%20Dong\Hop%20dong%20012014-ETS\V13\INSUL.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fsitechnology-my.sharepoint.com/D:/Lich/bao%20gia/Nam%202002/Bao%20gia/Bao%20gia/BAOGIA/Kd_Bgc/10-2K1_bgc_ndducV1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fsitechnology-my.sharepoint.com/D:/D:/Program%20Files/pc_conf/Templates/offer.xlt"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fsitechnology-my.sharepoint.com/F:/Users/admin/Downloads/DuPMtoan%20du%20an_DienLuc.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Projects\T2B_TCT\WIP\Contract\BCKT_2016T5\C\Volumes\Data\Working\9.%20ST\Hop%20Dong\Hop%20dong%20012014-ETS\V13\PIPE-03E.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Projects\T2B_TCT\WIP\Contract\BCKT_2016T5\C\K\ShareDoc\Dung%20Quat\Goi3\PNT-P3.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1AB18CA7\Du%20toan%20TKTCTDT%20P-MOIT%20draft%2013-4-201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fsitechnology-my.sharepoint.com/D:/D:/Working/DA%20V26/V26%20Final%20ngay%20021006/DutoanKP-V26-V1-GD2.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Projects\T2B_TCT\WIP\Contract\BCKT_2016T5\C\K\ShareDoc\Dung%20Quat\Nhom%20GC\New%20Folder\My%20Documents\3533\96Q\96q2588\PANEL.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fsitechnology-my.sharepoint.com/D:/D:/Users/Admin/AppData/Local/Temp/Rar$DI00.403/Dutoan_So%20GTVT%20Ha%20Noi_05%202012.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fsitechnology-my.sharepoint.com/D:/Duy/d/HAIPHONG/TRUSO/CHINHLY/CTCLCH~1.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E:\Projects\T2B_TCT\WIP\Contract\BCKT_2016T5\C\K\ShareDoc\CS3408\Standard\RP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fsitechnology-my.sharepoint.com/D:/svpdc/vss/Documents/Van%20ban%20phap%20quy/Mau%20du%20toan%20xay%20dung.xls"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M%2067"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fsitechnology-my.sharepoint.com/D:/D:/Documents%20and%20Settings/PKH/Desktop/Tung/Dang-lam/Qtrung-Caicui/TKKT/Khoiluong_TKKT(new).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fsitechnology-my.sharepoint.com/D:/D:/Documents%20and%20Settings/owner/Desktop/D&#7921;%20to&#225;n%20chi%20ti&#7871;t%20th&#7849;m%20tra%20HN-H&#272;%20Cty%20TVDS.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fsitechnology-my.sharepoint.com/D:/192.168.9.11/isacom/Hung/BAOHANH/WINDOWS/TEMP/IBASE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fsitechnology-my.sharepoint.com/D:/A:/Phuong1/CS3408/Standard/RPT.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fsitechnology-my.sharepoint.com/D:/192.168.131.77/htht/temp/Working/MPS-Other%20Prjs/V26/BC%20NCKT/KP_TTDT%20V0.233.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fsitechnology-my.sharepoint.com/D:/Svpdc/VSS/temp/Du%20Toan%20Kinh%20Phi%20tp%20Vinh%20gui.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C:\06D68E9C\TKKT-TDT-cap%20DKKD-So%20KH&amp;DT-v1_0.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C:\91B1CEBC\TKKT-TDT-cap%20DKKD-So%20KH&amp;DT-v1_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fsitechnology-my.sharepoint.com/D:/A:/My%20Document/Takhoa/TAKHOA1.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fsitechnology-my.sharepoint.com/D:/192.168.131.77/htht/temp/sst9.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fsitechnology-my.sharepoint.com/D:/server/luu%20file/DOCUME~1/ngzupt/LOCALS~1/Temp/unicode.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fsitechnology-my.sharepoint.com/D:/D:/Cong%20viec/Dropbox/Ban%20Do%20So/Copy%20of%20Du%20toan%20phi%20chuan%20bi%20dau%20tu%20So%20GTVTHN%20gui%20phe%20duyet%20v1.4%2013-10-2012%20(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http://192.168.50.1:2000/DOCUME~1/pqminh/LOCALS~1/Temp/Du%20tru%20kinh%20phi%20v4.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KHAI"/>
      <sheetName val="5%"/>
      <sheetName val="10%"/>
      <sheetName val="Sheet1"/>
      <sheetName val="XL4Poppy"/>
    </sheetNames>
    <sheetDataSet>
      <sheetData sheetId="0"/>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en-do"/>
      <sheetName val="T.toan"/>
      <sheetName val="EIRR"/>
      <sheetName val="Cp&gt;20"/>
      <sheetName val="EIRR&gt; 2"/>
      <sheetName val="Ln&lt;10"/>
      <sheetName val="EIRR&lt; 1"/>
      <sheetName val="Ln&lt;20"/>
      <sheetName val="EIRR&lt;2"/>
      <sheetName val="Cp&gt;10-Ln&lt;10"/>
      <sheetName val="EIRR&gt;1&lt;1"/>
    </sheetNames>
    <sheetDataSet>
      <sheetData sheetId="0" refreshError="1"/>
      <sheetData sheetId="1"/>
      <sheetData sheetId="2"/>
      <sheetData sheetId="3"/>
      <sheetData sheetId="4"/>
      <sheetData sheetId="5"/>
      <sheetData sheetId="6"/>
      <sheetData sheetId="7"/>
      <sheetData sheetId="8"/>
      <sheetData sheetId="9"/>
      <sheetData sheetId="1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KHAI"/>
      <sheetName val="5%"/>
      <sheetName val="10%"/>
      <sheetName val="Sheet1"/>
      <sheetName val="XL4Poppy"/>
    </sheetNames>
    <sheetDataSet>
      <sheetData sheetId="0"/>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en-do"/>
      <sheetName val="T.toan"/>
      <sheetName val="EIRR"/>
      <sheetName val="Cp&gt;20"/>
      <sheetName val="EIRR&gt; 2"/>
      <sheetName val="Ln&lt;10"/>
      <sheetName val="EIRR&lt; 1"/>
      <sheetName val="Ln&lt;20"/>
      <sheetName val="EIRR&lt;2"/>
      <sheetName val="Cp&gt;10-Ln&lt;10"/>
      <sheetName val="EIRR&gt;1&lt;1"/>
    </sheetNames>
    <sheetDataSet>
      <sheetData sheetId="0" refreshError="1"/>
      <sheetData sheetId="1"/>
      <sheetData sheetId="2"/>
      <sheetData sheetId="3"/>
      <sheetData sheetId="4"/>
      <sheetData sheetId="5"/>
      <sheetData sheetId="6"/>
      <sheetData sheetId="7"/>
      <sheetData sheetId="8"/>
      <sheetData sheetId="9"/>
      <sheetData sheetId="1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L$-INTER"/>
      <sheetName val="MTL$-TRUNCK-AG"/>
      <sheetName val="MTL$-PRODTANK-UG"/>
      <sheetName val="MTL$-PRODTANK-AG"/>
      <sheetName val="MTL$-JETTY"/>
      <sheetName val="MTL$-TRUNCK-UG"/>
      <sheetName val="XL4Poppy"/>
      <sheetName val="MTO REV.2(ARMOR)"/>
    </sheetNames>
    <sheetDataSet>
      <sheetData sheetId="0"/>
      <sheetData sheetId="1"/>
      <sheetData sheetId="2"/>
      <sheetData sheetId="3"/>
      <sheetData sheetId="4"/>
      <sheetData sheetId="5"/>
      <sheetData sheetId="6"/>
      <sheetData sheetId="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L$-INTER"/>
      <sheetName val="MTL$-TRUNCK-AG"/>
      <sheetName val="MTL$-PRODTANK-UG"/>
      <sheetName val="MTL$-PRODTANK-AG"/>
      <sheetName val="MTL$-JETTY"/>
      <sheetName val="MTL$-TRUNCK-UG"/>
      <sheetName val="XL4Poppy"/>
      <sheetName val="MTL__INTER"/>
    </sheetNames>
    <sheetDataSet>
      <sheetData sheetId="0"/>
      <sheetData sheetId="1"/>
      <sheetData sheetId="2"/>
      <sheetData sheetId="3"/>
      <sheetData sheetId="4"/>
      <sheetData sheetId="5"/>
      <sheetData sheetId="6"/>
      <sheetData sheetId="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T"/>
      <sheetName val="Appendix 2"/>
      <sheetName val="Appendix 3"/>
      <sheetName val="Appendix 4"/>
      <sheetName val="Du toan"/>
    </sheetNames>
    <sheetDataSet>
      <sheetData sheetId="0" refreshError="1"/>
      <sheetData sheetId="1" refreshError="1"/>
      <sheetData sheetId="2" refreshError="1"/>
      <sheetData sheetId="3" refreshError="1"/>
      <sheetData sheetId="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T"/>
      <sheetName val="Appendix 2"/>
      <sheetName val="Appendix 3"/>
      <sheetName val="Appendix 4"/>
      <sheetName val="Du toan"/>
    </sheetNames>
    <sheetDataSet>
      <sheetData sheetId="0" refreshError="1"/>
      <sheetData sheetId="1" refreshError="1"/>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a1"/>
      <sheetName val="Bia"/>
      <sheetName val="Mucluc"/>
      <sheetName val="Tong hopKP"/>
      <sheetName val="TongHop theo Don vi &amp; Giai doan"/>
      <sheetName val="TS Cau hinh-GD1"/>
      <sheetName val="Cauhinh_Dongiachuan"/>
      <sheetName val="Tong hopKP-GD1"/>
      <sheetName val="Thietbi-GD1"/>
      <sheetName val="PPM Hethong-GD1"/>
      <sheetName val="PM Ung dung-GD1"/>
      <sheetName val="TrKhai-GD1"/>
      <sheetName val="CongngheDacthu-GD1"/>
      <sheetName val="TS CauhinhWAN"/>
      <sheetName val="Don gia PM112"/>
      <sheetName val="CPKhac"/>
      <sheetName val="000000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O REV.0"/>
      <sheetName val="RFP003E"/>
      <sheetName val="TOTAL"/>
      <sheetName val="Pivot(Silicate)"/>
      <sheetName val="Pivot(RockWool)"/>
      <sheetName val="Pivot(Form Glass)"/>
      <sheetName val="Pivot(Urethan)"/>
      <sheetName val="Pivot(Glass Wool)"/>
      <sheetName val="ROCK WOOL"/>
      <sheetName val="SILICATE"/>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Sheet3"/>
      <sheetName val="Sheet2"/>
      <sheetName val="Sheet1"/>
      <sheetName val="XL4Poppy"/>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00000000"/>
      <sheetName val="Q1-02"/>
      <sheetName val="Q2-02"/>
      <sheetName val="Q3-02"/>
      <sheetName val="Outlets"/>
      <sheetName val="PGs"/>
      <sheetName val="TAI"/>
      <sheetName val="BANLE"/>
      <sheetName val="t.kho"/>
      <sheetName val="CLB"/>
      <sheetName val="phong"/>
      <sheetName val="hoat"/>
      <sheetName val="tong BH"/>
      <sheetName val="nhapkho"/>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XXXXXXXX"/>
      <sheetName val="10000000"/>
      <sheetName val="C45"/>
      <sheetName val="C47A"/>
      <sheetName val="C47B"/>
      <sheetName val="C46"/>
      <sheetName val="DsachYT"/>
      <sheetName val="00"/>
      <sheetName val="Bhxhoi"/>
      <sheetName val="Instr'n"/>
      <sheetName val="RFP002"/>
      <sheetName val="RFP003F"/>
      <sheetName val="RFP004"/>
      <sheetName val="RFP005"/>
      <sheetName val="RFP006"/>
      <sheetName val="RFP007"/>
      <sheetName val="RFP008"/>
      <sheetName val="RFP009"/>
      <sheetName val="RFP010"/>
      <sheetName val="RFP011"/>
      <sheetName val="RFP11(1)"/>
      <sheetName val="RFP11(2)"/>
      <sheetName val="RFP11(3)"/>
      <sheetName val="RFP012"/>
      <sheetName val="RFP013"/>
      <sheetName val="RFP014"/>
      <sheetName val="RFP015"/>
      <sheetName val="Trinh duyet LNS"/>
      <sheetName val="SN CBCNV"/>
      <sheetName val="tong luong ban"/>
      <sheetName val="DU TRU LUONG 06 THANG"/>
      <sheetName val="DU TRU CP 06 THANG"/>
      <sheetName val="AN CA THANG 08"/>
      <sheetName val="AN CA TH 09"/>
      <sheetName val="AN CA TH 10"/>
      <sheetName val="an ca th 11"/>
      <sheetName val="TAM UNG LNS TH 08"/>
      <sheetName val="PP tinh thue thu nhap"/>
      <sheetName val="Luong TG thang 08"/>
      <sheetName val="bo xung"/>
      <sheetName val="truy thu"/>
      <sheetName val="Luong TG thang 09"/>
      <sheetName val="Luong thoi gian th 10"/>
      <sheetName val="Luong thoi gian th 11"/>
      <sheetName val="QT LUONG NS T 07"/>
      <sheetName val="QT LNS TH 08"/>
      <sheetName val="QT LNS TH 09"/>
      <sheetName val="qt lns th 10"/>
      <sheetName val="TAM UNG LUONG NS TH 10"/>
      <sheetName val="tam ung LNS th 11"/>
      <sheetName val="VV-NTKL MUONG DOT 3"/>
      <sheetName val="CAPTHOAT"/>
      <sheetName val="kl lap nha kho "/>
      <sheetName val="KL LAP TH KHO"/>
      <sheetName val="kl chi tiet kho3"/>
      <sheetName val="kl th kho3"/>
      <sheetName val="VV-NTKL NHA KHO DOT 2"/>
      <sheetName val="kl th sxc3"/>
      <sheetName val="kl ct sxc3"/>
      <sheetName val="klthep"/>
      <sheetName val="hoc han"/>
      <sheetName val=" thoat nuoc nc"/>
      <sheetName val="cap thoat nuoc"/>
      <sheetName val="TH QT"/>
      <sheetName val="KE QT"/>
      <sheetName val="T6"/>
      <sheetName val="Mau"/>
      <sheetName val="KH LDTL"/>
      <sheetName val="SILICAT_x0003_"/>
      <sheetName val="XL4Test5"/>
      <sheetName val="LUONG CHO HUU"/>
      <sheetName val="thu BHXH,YT"/>
      <sheetName val="Phan bo"/>
      <sheetName val="MTL$-INTER"/>
      <sheetName val="1-12"/>
      <sheetName val="TH"/>
      <sheetName val="Chia T1"/>
      <sheetName val="Chia T2"/>
      <sheetName val="Chia T3"/>
      <sheetName val="TH11"/>
      <sheetName val="TH T11"/>
      <sheetName val="TH T1"/>
      <sheetName val="Bang chia "/>
      <sheetName val="CN HD"/>
      <sheetName val="VC thg 2"/>
      <sheetName val="BB dcTT"/>
      <sheetName val="TT"/>
      <sheetName val="VC TCao"/>
      <sheetName val="VC o Hien"/>
      <sheetName val="VC oDuong"/>
      <sheetName val=" PHoang"/>
      <sheetName val="TT-PLuc"/>
      <sheetName val="TH thanh toan"/>
      <sheetName val="TH1"/>
      <sheetName val="TH2"/>
      <sheetName val="TH3"/>
      <sheetName val="TH4"/>
      <sheetName val="TH5"/>
      <sheetName val="ChiaT1"/>
      <sheetName val="ChiaT2"/>
      <sheetName val="ChiaT3"/>
      <sheetName val="ChiaT4"/>
      <sheetName val="ChiaT5"/>
      <sheetName val="MauTH"/>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SP-KH"/>
      <sheetName val="Xuatkho"/>
      <sheetName val="PT"/>
      <sheetName val="Pivot(Silica|e)"/>
      <sheetName val="Summary"/>
      <sheetName val="Design &amp; Applications"/>
      <sheetName val="Building Summary"/>
      <sheetName val="Building"/>
      <sheetName val="External Works"/>
      <sheetName val="bcth.Hoang"/>
      <sheetName val="bcth.Nhung"/>
      <sheetName val="bcth.Ngoc"/>
      <sheetName val="bcth.Vu"/>
      <sheetName val="CDQDT"/>
      <sheetName val="XNT"/>
      <sheetName val="01"/>
      <sheetName val="02"/>
      <sheetName val="03"/>
      <sheetName val="04"/>
      <sheetName val="05"/>
      <sheetName val="06"/>
      <sheetName val="07"/>
      <sheetName val="08"/>
      <sheetName val="09"/>
      <sheetName val="10"/>
      <sheetName val=" 10 ngày"/>
      <sheetName val="11"/>
      <sheetName val="12"/>
      <sheetName val="13"/>
      <sheetName val="14"/>
      <sheetName val="15"/>
      <sheetName val="16"/>
      <sheetName val="17"/>
      <sheetName val="18"/>
      <sheetName val="19"/>
      <sheetName val="20"/>
      <sheetName val="20ngay"/>
      <sheetName val="21"/>
      <sheetName val="22"/>
      <sheetName val="23"/>
      <sheetName val="24"/>
      <sheetName val="25"/>
      <sheetName val="26"/>
      <sheetName val="27"/>
      <sheetName val="28"/>
      <sheetName val="29"/>
      <sheetName val="30"/>
      <sheetName val="31"/>
      <sheetName val="31 ngày"/>
      <sheetName val="bcthang"/>
      <sheetName val="báo cáo thang11 mới"/>
      <sheetName val="??-BLDG"/>
      <sheetName val="Macro1"/>
      <sheetName val="Macro2"/>
      <sheetName val="Macro3"/>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Chiet tinh dz22"/>
      <sheetName val="Pivot(RckWool)"/>
      <sheetName val="gvl"/>
      <sheetName val="???????-BLDG"/>
      <sheetName val="Pi6ot(Urethan)"/>
      <sheetName val="S¶_x001d_et2"/>
      <sheetName val="ROCK WO_x0003__x0000_"/>
      <sheetName val="vi_du_n"/>
      <sheetName val="vi_du"/>
      <sheetName val="Bieu 2"/>
      <sheetName val="biªu 3"/>
      <sheetName val="bieu1 CTy"/>
      <sheetName val="b2 cty"/>
      <sheetName val="b 3 cty"/>
      <sheetName val="bieu 7"/>
      <sheetName val="bieu 9"/>
      <sheetName val="b14"/>
      <sheetName val="Sheet12"/>
      <sheetName val="Q2-00"/>
      <sheetName val="TH VL, NC, DDHT Thanhphuoc"/>
      <sheetName val="Chart2"/>
      <sheetName val="Chart1"/>
      <sheetName val="th«ng tri chuÈn xe"/>
      <sheetName val="vat tu 2001 cuoi nam"/>
      <sheetName val="bang phan bo VL xuat"/>
      <sheetName val="vat tu 2001"/>
      <sheetName val="qt vt­ xe"/>
      <sheetName val="táng QT 245 (14Xe("/>
      <sheetName val="Xe mua ngoµi"/>
      <sheetName val="B¸o c¸o HQ chi tiªu n¨m 2000"/>
      <sheetName val="뜃맟뭁돽띿맟?-BLDG"/>
      <sheetName val="CAT_5"/>
      <sheetName val="현장관리비"/>
      <sheetName val="실행내역"/>
      <sheetName val="#REF"/>
      <sheetName val="적용환율"/>
      <sheetName val="合成単価作成表-BLDG"/>
      <sheetName val="DU TRU LUONG 06 TH@NG"/>
      <sheetName val="AN CA DH 10"/>
      <sheetName val="TAM UNG LNC TH 08"/>
      <sheetName val="Leong thoi gian th 10"/>
      <sheetName val="Luong thoa gian th 11"/>
      <sheetName val="at lns th 10"/>
      <sheetName val="tam ung DNS th 11"/>
      <sheetName val="XL4Test4"/>
      <sheetName val="NEW-PANEL"/>
      <sheetName val="TH T19"/>
      <sheetName val="_x0000__x0000__x0000__x0000__x0000__x0000_"/>
      <sheetName val="Sheev6"/>
      <sheetName val="Nhap fon gia VL dia phuong"/>
      <sheetName val="Dieu chinh"/>
      <sheetName val="So -03"/>
      <sheetName val="SoLD"/>
      <sheetName val="So-02"/>
      <sheetName val="Luong moÿÿngay cong khao sat"/>
      <sheetName val="INSUL"/>
      <sheetName val="PACK"/>
      <sheetName val="INV"/>
      <sheetName val="TK-XUAT"/>
      <sheetName val="TK-NHAP"/>
      <sheetName val="DT 1"/>
      <sheetName val="DT 2"/>
      <sheetName val="DT 3"/>
      <sheetName val="DM"/>
      <sheetName val="SP"/>
      <sheetName val="NPL"/>
      <sheetName val="N"/>
      <sheetName val="X"/>
      <sheetName val="Piwot(Silicate)"/>
      <sheetName val="thong tin cty"/>
      <sheetName val="TK-in"/>
      <sheetName val="TKTH"/>
      <sheetName val="BR"/>
      <sheetName val="MV"/>
      <sheetName val="mvtt"/>
      <sheetName val="HDKT"/>
      <sheetName val="Linh tinh"/>
      <sheetName val="nk"/>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refreshError="1"/>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sheetData sheetId="282" refreshError="1"/>
      <sheetData sheetId="283" refreshError="1"/>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sheetData sheetId="303"/>
      <sheetData sheetId="304"/>
      <sheetData sheetId="305"/>
      <sheetData sheetId="306"/>
      <sheetData sheetId="307"/>
      <sheetData sheetId="308"/>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refreshError="1"/>
      <sheetData sheetId="326"/>
      <sheetData sheetId="327" refreshError="1"/>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BG "/>
      <sheetName val="OLYMPIA"/>
      <sheetName val="X_MEDIA"/>
      <sheetName val="POWERCOM"/>
      <sheetName val="LEADER"/>
      <sheetName val="SOLOMON"/>
      <sheetName val="DATA"/>
      <sheetName val="PROJECT"/>
      <sheetName val="SPUTNIK"/>
      <sheetName val="tra-vat-lieu"/>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Sheet41"/>
      <sheetName val="Sheet42"/>
      <sheetName val="Sheet43"/>
      <sheetName val="Sheet44"/>
      <sheetName val="Sheet45"/>
      <sheetName val="Sheet46"/>
      <sheetName val="Sheet47"/>
      <sheetName val="Sheet48"/>
      <sheetName val="chiet tinh"/>
      <sheetName val="MList"/>
      <sheetName val="Trinh BC"/>
      <sheetName val="DK"/>
      <sheetName val="Luu"/>
      <sheetName val="Tra"/>
      <sheetName val="To phu"/>
      <sheetName val="Data-PT"/>
      <sheetName val="Nhan"/>
      <sheetName val="New"/>
      <sheetName val="Ma linh kien"/>
      <sheetName val="Nhan (2)"/>
    </sheetNames>
    <sheetDataSet>
      <sheetData sheetId="0"/>
      <sheetData sheetId="1"/>
      <sheetData sheetId="2"/>
      <sheetData sheetId="3"/>
      <sheetData sheetId="4"/>
      <sheetData sheetId="5"/>
      <sheetData sheetId="6"/>
      <sheetData sheetId="7"/>
      <sheetData sheetId="8"/>
      <sheetData sheetId="9"/>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sheetData sheetId="61"/>
      <sheetData sheetId="62"/>
      <sheetData sheetId="63"/>
      <sheetData sheetId="64"/>
      <sheetData sheetId="65"/>
      <sheetData sheetId="66"/>
      <sheetData sheetId="67"/>
      <sheetData sheetId="68"/>
      <sheetData sheetId="69"/>
      <sheetData sheetId="7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stem"/>
      <sheetName val="Hints"/>
      <sheetName val="Graphics"/>
      <sheetName val="Overview"/>
      <sheetName val="Partition"/>
      <sheetName val="Warnings"/>
      <sheetName val="Slots"/>
      <sheetName val="Cableplan"/>
      <sheetName val="Planning"/>
      <sheetName val="Cableplan2"/>
      <sheetName val="House network"/>
      <sheetName val="MirrorMode"/>
      <sheetName val="Module"/>
      <sheetName val="Storage"/>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hop"/>
      <sheetName val="TongHopThietBi"/>
      <sheetName val="TuVanKhaoSatLapBCNCKT"/>
      <sheetName val="Thiet bi"/>
      <sheetName val="Licence"/>
      <sheetName val="Daotao"/>
      <sheetName val="Nhap du lieu"/>
      <sheetName val="DVC 3"/>
      <sheetName val="CPTK-pm"/>
      <sheetName val="DVC-CDTHSD"/>
      <sheetName val="DVC-USECASE"/>
      <sheetName val="Actor"/>
      <sheetName val="DUSECASE"/>
      <sheetName val="TFW"/>
      <sheetName val="EFW"/>
      <sheetName val="Luong"/>
      <sheetName val="Tong Chi phi phan mem"/>
      <sheetName val="Sheet5"/>
      <sheetName val="Sheet1"/>
      <sheetName val="Tien do"/>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LICATE"/>
      <sheetName val="PIPE-03E"/>
      <sheetName val="Sheet1"/>
      <sheetName val="Sheet2"/>
      <sheetName val="Sheet3"/>
      <sheetName val="XL4Poppy"/>
      <sheetName val="MD"/>
      <sheetName val="ND"/>
      <sheetName val="CONG"/>
      <sheetName val="DGCT"/>
      <sheetName val="KLHT"/>
      <sheetName val="THKP"/>
      <sheetName val="KL XL2000"/>
      <sheetName val="KLXL2001"/>
      <sheetName val="THKP2001"/>
      <sheetName val="KLphanbo"/>
      <sheetName val="Chiet tinh"/>
      <sheetName val="Van chuyen"/>
      <sheetName val="THKP (2)"/>
      <sheetName val="T.Bi"/>
      <sheetName val="Thiet ke"/>
      <sheetName val="CT"/>
      <sheetName val="K.luong"/>
      <sheetName val="Sheet4"/>
      <sheetName val="TT L2"/>
      <sheetName val="TT L1"/>
      <sheetName val="Thue Ngoai"/>
      <sheetName val="KH"/>
      <sheetName val="DM"/>
      <sheetName val="DD&amp;TV"/>
      <sheetName val="CDSL"/>
      <sheetName val="PTSL"/>
      <sheetName val="THCP"/>
      <sheetName val="VT"/>
      <sheetName val="NL"/>
      <sheetName val="SoSanh"/>
      <sheetName val="QTVT"/>
      <sheetName val="QTNC"/>
      <sheetName val="Sheet5"/>
      <sheetName val="Sheet6"/>
      <sheetName val="Sheet7"/>
      <sheetName val="Sheet8"/>
      <sheetName val="Sheet9"/>
      <sheetName val="Sheet10"/>
      <sheetName val="Sheet11"/>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Chi tiet - Dv lap"/>
      <sheetName val="TH KHTC"/>
      <sheetName val="000"/>
      <sheetName val="00000000"/>
      <sheetName val="Dong Dau"/>
      <sheetName val="Dong Dau (2)"/>
      <sheetName val="Sau dong"/>
      <sheetName val="Ma xa"/>
      <sheetName val="My dinh"/>
      <sheetName val="Tong cong"/>
      <sheetName val="VL"/>
      <sheetName val="CTXD"/>
      <sheetName val=".."/>
      <sheetName val="CTDN"/>
      <sheetName val="san vuon"/>
      <sheetName val="khu phu tro"/>
      <sheetName val="TH"/>
      <sheetName val="BC_KKTSCD"/>
      <sheetName val="Chitiet"/>
      <sheetName val="Sheet2 (2)"/>
      <sheetName val="Mau_BC_KKTSCD"/>
      <sheetName val="KH 2003 (moi max)"/>
      <sheetName val="Chart2"/>
      <sheetName val="Chart1"/>
      <sheetName val="Phu luc"/>
      <sheetName val="Gia trÞ"/>
      <sheetName val="XXXXXXXX"/>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Interim payment"/>
      <sheetName val="Letter"/>
      <sheetName val="Bid Sum"/>
      <sheetName val="Item B"/>
      <sheetName val="Dg A"/>
      <sheetName val="Dg B&amp;C"/>
      <sheetName val="Rates&amp;Prices"/>
      <sheetName val="Material at site"/>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Gia VL"/>
      <sheetName val="Bang gia ca may"/>
      <sheetName val="Bang luong CB"/>
      <sheetName val="Bang P.tich CT"/>
      <sheetName val="D.toan chi tiet"/>
      <sheetName val="Bang TH Dtoan"/>
      <sheetName val="1"/>
      <sheetName val="be tong"/>
      <sheetName val="Thep"/>
      <sheetName val="Tong hop thep"/>
      <sheetName val="KH12"/>
      <sheetName val="CN12"/>
      <sheetName val="HD12"/>
      <sheetName val="KH1"/>
      <sheetName val="Thuyet minh"/>
      <sheetName val="CQ-HQ"/>
      <sheetName val="Congty"/>
      <sheetName val="VPPN"/>
      <sheetName val="XN74"/>
      <sheetName val="XN54"/>
      <sheetName val="XN33"/>
      <sheetName val="NK96"/>
      <sheetName val="XL4Test5"/>
      <sheetName val="THCT"/>
      <sheetName val="cap cho cac DT"/>
      <sheetName val="Ung - hoan"/>
      <sheetName val="CP may"/>
      <sheetName val="SS"/>
      <sheetName val="NVL"/>
      <sheetName val="10000000"/>
      <sheetName val="Thep "/>
      <sheetName val="Chi tiet Khoi luong"/>
      <sheetName val="TH khoi luong"/>
      <sheetName val="Chiet tinh vat lieu "/>
      <sheetName val="TH KL VL"/>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Sheet17"/>
      <sheetName val="DS them luong qui 4-2002"/>
      <sheetName val="Phuc loi 2-9-02"/>
      <sheetName val="PCLB-2002"/>
      <sheetName val="Thuong nhan dip 21-12-02"/>
      <sheetName val="Thuong dip nhan danh hieu AHL§"/>
      <sheetName val="Thang luong thu 13 nam 2002"/>
      <sheetName val="Luong SX# dip Tet Qui Mui(dong)"/>
      <sheetName val="Sheet13"/>
      <sheetName val="Sheet14"/>
      <sheetName val="Sheet15"/>
      <sheetName val="Sheet16"/>
      <sheetName val="dutoan1"/>
      <sheetName val="Anhtoan"/>
      <sheetName val="dutoan2"/>
      <sheetName val="vat tu"/>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Tonghop"/>
      <sheetName val="TM"/>
      <sheetName val="Bia"/>
      <sheetName val="BU-gian"/>
      <sheetName val="Bu-Ha"/>
      <sheetName val="PTVT"/>
      <sheetName val="Gia DAN"/>
      <sheetName val="Dan"/>
      <sheetName val="Cuoc"/>
      <sheetName val="Bugia"/>
      <sheetName val="KL57"/>
      <sheetName val="CHIT"/>
      <sheetName val="THXH"/>
      <sheetName val="BHXH"/>
      <sheetName val="PTCT"/>
      <sheetName val="CDghino"/>
      <sheetName val="TH (T1-6)"/>
      <sheetName val="ThueTB"/>
      <sheetName val="SCD5"/>
      <sheetName val=" NL"/>
      <sheetName val="CPVL-CPM"/>
      <sheetName val="PTVL"/>
      <sheetName val="CD1"/>
      <sheetName val=" NL (2)"/>
      <sheetName val="CDTHCT"/>
      <sheetName val="CDTHCT (3)"/>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T1(T1)04"/>
      <sheetName val="DTHH"/>
      <sheetName val="Bang1"/>
      <sheetName val="TAI TRONG"/>
      <sheetName val="NOI LUC"/>
      <sheetName val="TINH DUYET THTT CHINH"/>
      <sheetName val="TDUYET THTT PHU"/>
      <sheetName val="TINH DAO DONG VA DO VONG"/>
      <sheetName val="TINH NEO"/>
      <sheetName val="Quang Tri"/>
      <sheetName val="TTHue"/>
      <sheetName val="Da Nang"/>
      <sheetName val="Quang Nam"/>
      <sheetName val="Quang Ngai"/>
      <sheetName val="TH DH-QN"/>
      <sheetName val="KP HD"/>
      <sheetName val="DB HD"/>
      <sheetName val="TSCD"/>
      <sheetName val="C.TIEU"/>
      <sheetName val="CPNLTT"/>
      <sheetName val="T.Luong"/>
      <sheetName val="CPSX"/>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Km0-Km1"/>
      <sheetName val="Km1-Km2"/>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KL tong"/>
      <sheetName val="Caodo"/>
      <sheetName val="Dat"/>
      <sheetName val="KL-CTTK"/>
      <sheetName val="BTH"/>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00000001"/>
      <sheetName val="00000002"/>
      <sheetName val="00000003"/>
      <sheetName val="00000004"/>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Jan22"/>
      <sheetName val="Jan23"/>
      <sheetName val="Jan24"/>
      <sheetName val="Jan25"/>
      <sheetName val="Jan27"/>
      <sheetName val="Jan28"/>
      <sheetName val="9"/>
      <sheetName val="10"/>
      <sheetName val="NRC"/>
      <sheetName val="DG SOC"/>
      <sheetName val="DG HQ"/>
      <sheetName val="ENFALUX"/>
      <sheetName val="NHXP"/>
      <sheetName val="KGIAT"/>
      <sheetName val="KDR"/>
      <sheetName val="JAVEL"/>
      <sheetName val="vita"/>
      <sheetName val="TPXM"/>
      <sheetName val="XM"/>
      <sheetName val="Bot Giat C"/>
      <sheetName val="Bot Giat P "/>
      <sheetName val="TP"/>
      <sheetName val="BRTAICHE"/>
      <sheetName val="THBKEO"/>
      <sheetName val="PBBKEO"/>
      <sheetName val="THAY THUNG H"/>
      <sheetName val="BBKK"/>
      <sheetName val="thi nghiem"/>
      <sheetName val="CBQT"/>
      <sheetName val="cd viaK0-T6"/>
      <sheetName val="cdvia T6-Tc24"/>
      <sheetName val="cdvia Tc24-T46"/>
      <sheetName val="cdbtnL2ko-k0+361"/>
      <sheetName val="cd btnL2k0+361-T19"/>
      <sheetName val="01"/>
      <sheetName val="02"/>
      <sheetName val="03"/>
      <sheetName val="04"/>
      <sheetName val="05"/>
      <sheetName val="Sheet18"/>
      <sheetName val="Sheet19"/>
      <sheetName val="Sheet20"/>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CT Duong"/>
      <sheetName val="D.gia"/>
      <sheetName val="T.hop"/>
      <sheetName val="Khoan"/>
      <sheetName val="CtP.tro"/>
      <sheetName val="Nha moi"/>
      <sheetName val="NamBanThach"/>
      <sheetName val="KhoanDuong"/>
      <sheetName val="DeNghiDuong"/>
      <sheetName val="TT-BDH-B1"/>
      <sheetName val="TT-T.Tron So 2"/>
      <sheetName val="TT-Doi6-Dot-1"/>
      <sheetName val="ChietTinh"/>
      <sheetName val="Ct.Dam "/>
      <sheetName val="Ct.Duoi"/>
      <sheetName val="Ct.Tren"/>
      <sheetName val="CtVKdam"/>
      <sheetName val="asphal"/>
      <sheetName val="Gvua"/>
      <sheetName val="D.giaMay"/>
      <sheetName val="KM"/>
      <sheetName val="KHOANMUC"/>
      <sheetName val="CPQL"/>
      <sheetName val="SANLUONG"/>
      <sheetName val="SSCP-SL"/>
      <sheetName val="KQKD"/>
      <sheetName val="CDSL (2)"/>
      <sheetName val="CT xa"/>
      <sheetName val="TLGC"/>
      <sheetName val="BL"/>
      <sheetName val="Q1-02"/>
      <sheetName val="Q2-02"/>
      <sheetName val="Q3-02"/>
      <sheetName val="sent to"/>
      <sheetName val="Quyet toan"/>
      <sheetName val="Thu hoi"/>
      <sheetName val="Lai vay"/>
      <sheetName val="Tien vay"/>
      <sheetName val="Cong no"/>
      <sheetName val="Cop pha"/>
      <sheetName val="20000000"/>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Xep hang 201"/>
      <sheetName val="toan Cty"/>
      <sheetName val="Cong ty"/>
      <sheetName val="XN 2"/>
      <sheetName val="XN ong CHi"/>
      <sheetName val="N XDCT&amp; XKLD"/>
      <sheetName val="CN HCM"/>
      <sheetName val="HITECO"/>
      <sheetName val="TT XKLD(Nhan)"/>
      <sheetName val="Ong Hong"/>
      <sheetName val="CN hung yen"/>
      <sheetName val="Dong nai"/>
      <sheetName val="LUU1704"/>
      <sheetName val="DT"/>
      <sheetName val="THND"/>
      <sheetName val="THMD"/>
      <sheetName val="Phtro1"/>
      <sheetName val="DTKS1"/>
      <sheetName val="CT1m"/>
      <sheetName val="KL VL"/>
      <sheetName val="KHCTiet"/>
      <sheetName val="QT 9-6"/>
      <sheetName val="Thuong luu HB"/>
      <sheetName val="QT03"/>
      <sheetName val="QT"/>
      <sheetName val="PTmay"/>
      <sheetName val="KK"/>
      <sheetName val="QT Ky T"/>
      <sheetName val="BCKT"/>
      <sheetName val="bc vt TON BAI"/>
      <sheetName val="XXXXXXX0"/>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cong Q2"/>
      <sheetName val="T.U luong Q1"/>
      <sheetName val="T.U luong Q2"/>
      <sheetName val="T.U luong Q3"/>
      <sheetName val="CDTHU CHI T1"/>
      <sheetName val="THUCHI 2"/>
      <sheetName val="THU CHI3"/>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T"/>
      <sheetName val="Appendix 2"/>
      <sheetName val="Appendix 3"/>
      <sheetName val="Appendix 4"/>
      <sheetName val="Du toan"/>
    </sheetNames>
    <sheetDataSet>
      <sheetData sheetId="0" refreshError="1"/>
      <sheetData sheetId="1" refreshError="1"/>
      <sheetData sheetId="2" refreshError="1"/>
      <sheetData sheetId="3" refreshError="1"/>
      <sheetData sheetId="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Cau hinh-GD2"/>
      <sheetName val="Tong hopKP-GD2"/>
      <sheetName val="Thietbi-GD2"/>
      <sheetName val="PPM Hethong-GD2"/>
      <sheetName val="PM Ung dung-GD2"/>
      <sheetName val="TrKhai-GD2"/>
      <sheetName val="CongngheDacthu-GD2"/>
    </sheetNames>
    <sheetDataSet>
      <sheetData sheetId="0"/>
      <sheetData sheetId="1">
        <row r="2">
          <cell r="D2">
            <v>16050</v>
          </cell>
        </row>
      </sheetData>
      <sheetData sheetId="2"/>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ANEL 南區焚化爐"/>
      <sheetName val="NEW-PANEL"/>
      <sheetName val="MV-PANEL"/>
      <sheetName val="PANEL"/>
      <sheetName val="\ShareDoc\Dung Quat\Nhom GC\New"/>
      <sheetName val="PANEL.XLS"/>
      <sheetName val="\K\ShareDoc\Dung Quat\Nhom GC\N"/>
    </sheetNames>
    <definedNames>
      <definedName name="DataFilter"/>
      <definedName name="DataSort"/>
      <definedName name="GoBack" sheetId="0"/>
    </definedNames>
    <sheetDataSet>
      <sheetData sheetId="0"/>
      <sheetData sheetId="1"/>
      <sheetData sheetId="2"/>
      <sheetData sheetId="3"/>
      <sheetData sheetId="4" refreshError="1"/>
      <sheetData sheetId="5" refreshError="1"/>
      <sheetData sheetId="6" refreshError="1"/>
      <sheetData sheetId="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u hinh"/>
      <sheetName val="Bia1"/>
      <sheetName val="B1 TDT_DA"/>
      <sheetName val="B2 Thiet bi &amp; PM He thong"/>
      <sheetName val="B3 Xay dung PM"/>
      <sheetName val="B4 Ha Tang phuc vu"/>
      <sheetName val="B5 Duongtruyen"/>
      <sheetName val="B6 CĐDL"/>
      <sheetName val="B7 Trien khai"/>
      <sheetName val="B8 Chiphituvan HN"/>
    </sheetNames>
    <sheetDataSet>
      <sheetData sheetId="0">
        <row r="2">
          <cell r="C2">
            <v>2</v>
          </cell>
        </row>
      </sheetData>
      <sheetData sheetId="1" refreshError="1"/>
      <sheetData sheetId="2" refreshError="1"/>
      <sheetData sheetId="3"/>
      <sheetData sheetId="4"/>
      <sheetData sheetId="5"/>
      <sheetData sheetId="6"/>
      <sheetData sheetId="7">
        <row r="23">
          <cell r="I23">
            <v>1600</v>
          </cell>
        </row>
      </sheetData>
      <sheetData sheetId="8"/>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 AM DT"/>
      <sheetName val="C,PHI"/>
      <sheetName val="catnen"/>
    </sheetNames>
    <sheetDataSet>
      <sheetData sheetId="0" refreshError="1"/>
      <sheetData sheetId="1" refreshError="1"/>
      <sheetData sheetId="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切割 MTL"/>
      <sheetName val="切割 DI"/>
      <sheetName val="ESTI."/>
      <sheetName val="DI-ESTI"/>
      <sheetName val="IBASE"/>
      <sheetName val="NEW-PANEL"/>
    </sheetNames>
    <sheetDataSet>
      <sheetData sheetId="0" refreshError="1"/>
      <sheetData sheetId="1" refreshError="1"/>
      <sheetData sheetId="2"/>
      <sheetData sheetId="3" refreshError="1"/>
      <sheetData sheetId="4" refreshError="1"/>
      <sheetData sheetId="5"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khoi luong"/>
      <sheetName val="Bang phan tich"/>
      <sheetName val="TH vat tu"/>
      <sheetName val="Bang tinh gia VL"/>
      <sheetName val="TH Kinh phi"/>
      <sheetName val="TH thiet bi"/>
      <sheetName val="TH may TC"/>
      <sheetName val="TH Nhan cong"/>
      <sheetName val="DM Chi phi"/>
    </sheetNames>
    <sheetDataSet>
      <sheetData sheetId="0"/>
      <sheetData sheetId="1"/>
      <sheetData sheetId="2"/>
      <sheetData sheetId="3"/>
      <sheetData sheetId="4">
        <row r="42">
          <cell r="G42">
            <v>0</v>
          </cell>
        </row>
      </sheetData>
      <sheetData sheetId="5"/>
      <sheetData sheetId="6"/>
      <sheetData sheetId="7"/>
      <sheetData sheetId="8"/>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 67"/>
      <sheetName val="XL4Poppy"/>
      <sheetName val="T.GIANG"/>
      <sheetName val="TTDZ22"/>
      <sheetName val="THCT"/>
      <sheetName val="THDZ0,4"/>
      <sheetName val="TH DZ35"/>
      <sheetName val="THTram"/>
      <sheetName val="DG vat tu"/>
      <sheetName val="Chung"/>
      <sheetName val="Sheet1"/>
      <sheetName val="HG"/>
      <sheetName val="Weather"/>
      <sheetName val="Nghỉ lễ"/>
      <sheetName val="Sheet2"/>
      <sheetName val="6호기"/>
      <sheetName val="NHAP DU LIEU"/>
      <sheetName val="UP"/>
      <sheetName val="T.So_chung"/>
      <sheetName val="INDOICHIEU"/>
      <sheetName val="149-2"/>
      <sheetName val="HE SO"/>
      <sheetName val="Main"/>
      <sheetName val="khung ten TD"/>
      <sheetName val="ChiTietDZ"/>
      <sheetName val="VuaBT"/>
      <sheetName val="#REF"/>
      <sheetName val="ESTI."/>
      <sheetName val="DI-EST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em"/>
      <sheetName val="Km0-1"/>
      <sheetName val="KM1-2"/>
      <sheetName val="Km2-3"/>
      <sheetName val="Km3-4"/>
      <sheetName val="Km4-5"/>
      <sheetName val="Km5-6"/>
      <sheetName val="Km6-7"/>
      <sheetName val="Km7-8"/>
      <sheetName val="Tonghop-bt"/>
      <sheetName val="Tonghop-cc"/>
      <sheetName val="Ny-Km1-4"/>
      <sheetName val="Ny-Km4-6"/>
      <sheetName val="Ny-Km6-8"/>
      <sheetName val="Temp"/>
      <sheetName val="KLM"/>
      <sheetName val="Coc tieu-rao chan"/>
      <sheetName val="Ny-Km1-4 (cc)"/>
      <sheetName val="Ny-Km4-6 (cc)"/>
      <sheetName val="Ny-Km6-8 (cc)"/>
      <sheetName val="CC"/>
      <sheetName val="Phdoan-bt"/>
      <sheetName val="Phdoan-c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3">
          <cell r="B3">
            <v>0.6</v>
          </cell>
        </row>
        <row r="4">
          <cell r="B4">
            <v>1</v>
          </cell>
        </row>
        <row r="6">
          <cell r="B6">
            <v>1.4</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e hoach nhan su_17-9-2007"/>
      <sheetName val="tonghop"/>
      <sheetName val="Nhâncông"/>
      <sheetName val="maytinh"/>
      <sheetName val="Luongtoithieu"/>
      <sheetName val="Sheet1"/>
      <sheetName val="00000000"/>
      <sheetName val="00000001"/>
      <sheetName val="xxxxxxxx"/>
      <sheetName val="10000000"/>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ASE"/>
    </sheetNames>
    <sheetDataSet>
      <sheetData sheetId="0">
        <row r="7">
          <cell r="AH7" t="str">
            <v>SP1</v>
          </cell>
          <cell r="AI7" t="str">
            <v>SOLVENT CLEANING   (SSPC-SP-1)</v>
          </cell>
          <cell r="AJ7">
            <v>60</v>
          </cell>
          <cell r="AK7">
            <v>60</v>
          </cell>
          <cell r="AL7">
            <v>60</v>
          </cell>
        </row>
        <row r="8">
          <cell r="AH8" t="str">
            <v>SP2</v>
          </cell>
          <cell r="AI8" t="str">
            <v>HAND CLEANING   (SSPC-SP-2)</v>
          </cell>
          <cell r="AJ8">
            <v>50</v>
          </cell>
          <cell r="AK8">
            <v>50</v>
          </cell>
          <cell r="AL8">
            <v>50</v>
          </cell>
        </row>
        <row r="9">
          <cell r="AH9" t="str">
            <v>SP3</v>
          </cell>
          <cell r="AI9" t="str">
            <v>POWER CLEANING   (SSPC-SP-3)</v>
          </cell>
          <cell r="AJ9">
            <v>50</v>
          </cell>
          <cell r="AK9">
            <v>50</v>
          </cell>
          <cell r="AL9">
            <v>50</v>
          </cell>
        </row>
        <row r="10">
          <cell r="AH10" t="str">
            <v>SP5</v>
          </cell>
          <cell r="AI10" t="str">
            <v>WHITE METAL BLAST   (SSPC-SP-5)</v>
          </cell>
          <cell r="AJ10">
            <v>90</v>
          </cell>
          <cell r="AK10">
            <v>90</v>
          </cell>
          <cell r="AL10">
            <v>90</v>
          </cell>
        </row>
        <row r="11">
          <cell r="AH11" t="str">
            <v>SP6</v>
          </cell>
          <cell r="AI11" t="str">
            <v>COMMERCIAL BLAST (SSPC-SP-6)</v>
          </cell>
          <cell r="AJ11">
            <v>70</v>
          </cell>
          <cell r="AK11">
            <v>70</v>
          </cell>
          <cell r="AL11">
            <v>70</v>
          </cell>
        </row>
        <row r="12">
          <cell r="AH12" t="str">
            <v>SP7</v>
          </cell>
          <cell r="AI12" t="str">
            <v>BRUSH OFF BLAST CLEANING (SSPC-SP7)</v>
          </cell>
          <cell r="AJ12">
            <v>50</v>
          </cell>
          <cell r="AK12">
            <v>50</v>
          </cell>
          <cell r="AL12">
            <v>50</v>
          </cell>
        </row>
        <row r="13">
          <cell r="AH13" t="str">
            <v>SP8</v>
          </cell>
          <cell r="AI13" t="str">
            <v>PICKLING  (SSPC-SP-8)</v>
          </cell>
          <cell r="AJ13">
            <v>350</v>
          </cell>
          <cell r="AK13">
            <v>350</v>
          </cell>
          <cell r="AL13">
            <v>350</v>
          </cell>
        </row>
        <row r="14">
          <cell r="AH14" t="str">
            <v>SP10</v>
          </cell>
          <cell r="AI14" t="str">
            <v>NEAR WHITE BLAST (SSPC-SP-10)</v>
          </cell>
          <cell r="AJ14">
            <v>80</v>
          </cell>
          <cell r="AK14">
            <v>80</v>
          </cell>
          <cell r="AL14">
            <v>80</v>
          </cell>
        </row>
        <row r="16">
          <cell r="AH16" t="str">
            <v>RLP</v>
          </cell>
          <cell r="AI16" t="str">
            <v>RED LEAD PRIMER</v>
          </cell>
          <cell r="AJ16" t="str">
            <v>0101</v>
          </cell>
          <cell r="AK16" t="str">
            <v>905(OP-91)</v>
          </cell>
          <cell r="AL16" t="str">
            <v>210</v>
          </cell>
          <cell r="AM16">
            <v>1</v>
          </cell>
          <cell r="AN16">
            <v>9.1999999999999993</v>
          </cell>
          <cell r="AO16">
            <v>9.6999999999999993</v>
          </cell>
          <cell r="AP16">
            <v>14.8</v>
          </cell>
          <cell r="AQ16">
            <v>47.83</v>
          </cell>
          <cell r="AR16">
            <v>45.36</v>
          </cell>
          <cell r="AS16">
            <v>38.51</v>
          </cell>
          <cell r="AT16">
            <v>440</v>
          </cell>
          <cell r="AU16">
            <v>440</v>
          </cell>
          <cell r="AV16">
            <v>570</v>
          </cell>
        </row>
        <row r="17">
          <cell r="AI17" t="str">
            <v>RED LEAD PRIMER</v>
          </cell>
          <cell r="AJ17" t="str">
            <v>0102</v>
          </cell>
          <cell r="AK17" t="str">
            <v>906(OP-92)</v>
          </cell>
          <cell r="AL17" t="str">
            <v>220</v>
          </cell>
          <cell r="AM17">
            <v>1</v>
          </cell>
          <cell r="AN17">
            <v>8.7799999999999994</v>
          </cell>
          <cell r="AO17">
            <v>10</v>
          </cell>
          <cell r="AP17">
            <v>12.4</v>
          </cell>
          <cell r="AQ17">
            <v>47.83</v>
          </cell>
          <cell r="AR17">
            <v>42</v>
          </cell>
          <cell r="AS17">
            <v>38.71</v>
          </cell>
          <cell r="AT17">
            <v>420</v>
          </cell>
          <cell r="AU17">
            <v>420</v>
          </cell>
          <cell r="AV17">
            <v>480</v>
          </cell>
        </row>
        <row r="18">
          <cell r="AI18" t="str">
            <v>B P RED LEAD PRIMER</v>
          </cell>
          <cell r="AJ18" t="str">
            <v>0103</v>
          </cell>
          <cell r="AK18" t="str">
            <v>911</v>
          </cell>
          <cell r="AM18">
            <v>1</v>
          </cell>
          <cell r="AN18">
            <v>8.44</v>
          </cell>
          <cell r="AO18">
            <v>9</v>
          </cell>
          <cell r="AQ18">
            <v>45</v>
          </cell>
          <cell r="AR18">
            <v>42.22</v>
          </cell>
          <cell r="AT18">
            <v>380</v>
          </cell>
          <cell r="AU18">
            <v>380</v>
          </cell>
        </row>
        <row r="19">
          <cell r="AH19" t="str">
            <v>ATP</v>
          </cell>
          <cell r="AI19" t="str">
            <v xml:space="preserve">ALUMINUM TRIPOLYPHOSPHATE PRIMER </v>
          </cell>
          <cell r="AJ19" t="str">
            <v>0107</v>
          </cell>
          <cell r="AK19" t="str">
            <v>992</v>
          </cell>
          <cell r="AL19" t="str">
            <v>221</v>
          </cell>
          <cell r="AM19">
            <v>1</v>
          </cell>
          <cell r="AN19">
            <v>12.6</v>
          </cell>
          <cell r="AO19">
            <v>7.09</v>
          </cell>
          <cell r="AP19">
            <v>11.4</v>
          </cell>
          <cell r="AQ19">
            <v>39.68</v>
          </cell>
          <cell r="AR19">
            <v>42.31</v>
          </cell>
          <cell r="AS19">
            <v>38.6</v>
          </cell>
          <cell r="AT19">
            <v>500</v>
          </cell>
          <cell r="AU19">
            <v>300</v>
          </cell>
          <cell r="AV19">
            <v>440</v>
          </cell>
        </row>
        <row r="20">
          <cell r="AH20" t="str">
            <v>AZCP</v>
          </cell>
          <cell r="AI20" t="str">
            <v xml:space="preserve">ALKYD ZINC CHROMATE PRIMER </v>
          </cell>
          <cell r="AJ20" t="str">
            <v>0111</v>
          </cell>
          <cell r="AK20" t="str">
            <v>907(OP-93)</v>
          </cell>
          <cell r="AL20" t="str">
            <v>240</v>
          </cell>
          <cell r="AM20">
            <v>1</v>
          </cell>
          <cell r="AN20">
            <v>10.9</v>
          </cell>
          <cell r="AO20">
            <v>10.6</v>
          </cell>
          <cell r="AP20">
            <v>9</v>
          </cell>
          <cell r="AQ20">
            <v>40.369999999999997</v>
          </cell>
          <cell r="AR20">
            <v>41.51</v>
          </cell>
          <cell r="AS20">
            <v>40.89</v>
          </cell>
          <cell r="AT20">
            <v>440</v>
          </cell>
          <cell r="AU20">
            <v>440</v>
          </cell>
          <cell r="AV20">
            <v>368</v>
          </cell>
        </row>
        <row r="21">
          <cell r="AH21" t="str">
            <v>ROP</v>
          </cell>
          <cell r="AI21" t="str">
            <v xml:space="preserve">RED OXIDE PRIMER </v>
          </cell>
          <cell r="AJ21" t="str">
            <v>0121</v>
          </cell>
          <cell r="AK21" t="str">
            <v>904(OP-95)</v>
          </cell>
          <cell r="AL21" t="str">
            <v>230</v>
          </cell>
          <cell r="AM21">
            <v>1</v>
          </cell>
          <cell r="AN21">
            <v>6.5</v>
          </cell>
          <cell r="AO21">
            <v>8.1999999999999993</v>
          </cell>
          <cell r="AP21">
            <v>5.2</v>
          </cell>
          <cell r="AQ21">
            <v>46.15</v>
          </cell>
          <cell r="AR21">
            <v>41.46</v>
          </cell>
          <cell r="AS21">
            <v>57.12</v>
          </cell>
          <cell r="AT21">
            <v>300</v>
          </cell>
          <cell r="AU21">
            <v>340</v>
          </cell>
          <cell r="AV21">
            <v>297</v>
          </cell>
        </row>
        <row r="22">
          <cell r="AH22" t="str">
            <v>GS</v>
          </cell>
          <cell r="AI22" t="str">
            <v xml:space="preserve">GRAY SURFACE </v>
          </cell>
          <cell r="AJ22" t="str">
            <v>0141</v>
          </cell>
          <cell r="AK22" t="str">
            <v>501</v>
          </cell>
          <cell r="AL22" t="str">
            <v>090</v>
          </cell>
          <cell r="AM22">
            <v>1</v>
          </cell>
          <cell r="AN22">
            <v>8.1</v>
          </cell>
          <cell r="AO22">
            <v>12.1</v>
          </cell>
          <cell r="AP22">
            <v>12.6</v>
          </cell>
          <cell r="AQ22">
            <v>37.04</v>
          </cell>
          <cell r="AR22">
            <v>37.19</v>
          </cell>
          <cell r="AS22">
            <v>37.94</v>
          </cell>
          <cell r="AT22">
            <v>300</v>
          </cell>
          <cell r="AU22">
            <v>450</v>
          </cell>
          <cell r="AV22">
            <v>478</v>
          </cell>
        </row>
        <row r="23">
          <cell r="AH23" t="str">
            <v>RMP</v>
          </cell>
          <cell r="AI23" t="str">
            <v>READY-MIXED PAINT</v>
          </cell>
          <cell r="AJ23" t="str">
            <v>0151</v>
          </cell>
          <cell r="AK23" t="str">
            <v>111</v>
          </cell>
          <cell r="AL23" t="str">
            <v>100</v>
          </cell>
          <cell r="AM23">
            <v>1</v>
          </cell>
          <cell r="AN23">
            <v>10.9</v>
          </cell>
          <cell r="AO23">
            <v>9.6</v>
          </cell>
          <cell r="AP23">
            <v>10</v>
          </cell>
          <cell r="AQ23">
            <v>41.28</v>
          </cell>
          <cell r="AR23">
            <v>41.67</v>
          </cell>
          <cell r="AS23">
            <v>38</v>
          </cell>
          <cell r="AT23">
            <v>450</v>
          </cell>
          <cell r="AU23">
            <v>400</v>
          </cell>
          <cell r="AV23">
            <v>380</v>
          </cell>
        </row>
        <row r="24">
          <cell r="AH24" t="str">
            <v>FRMP</v>
          </cell>
          <cell r="AI24" t="str">
            <v xml:space="preserve">FLAT READY-MIXED PAINT </v>
          </cell>
          <cell r="AJ24" t="str">
            <v>0153</v>
          </cell>
          <cell r="AK24" t="str">
            <v>508</v>
          </cell>
          <cell r="AM24">
            <v>1</v>
          </cell>
          <cell r="AN24">
            <v>11.8</v>
          </cell>
          <cell r="AO24">
            <v>9.4</v>
          </cell>
          <cell r="AQ24">
            <v>36.44</v>
          </cell>
          <cell r="AR24">
            <v>37.229999999999997</v>
          </cell>
          <cell r="AT24">
            <v>430</v>
          </cell>
          <cell r="AU24">
            <v>350</v>
          </cell>
        </row>
        <row r="25">
          <cell r="AH25" t="str">
            <v>AE</v>
          </cell>
          <cell r="AI25" t="str">
            <v xml:space="preserve">ALKYD ENAMEL </v>
          </cell>
          <cell r="AJ25" t="str">
            <v>0162</v>
          </cell>
          <cell r="AK25" t="str">
            <v>502</v>
          </cell>
          <cell r="AL25" t="str">
            <v>110</v>
          </cell>
          <cell r="AM25">
            <v>1</v>
          </cell>
          <cell r="AN25">
            <v>11.9</v>
          </cell>
          <cell r="AO25">
            <v>12.4</v>
          </cell>
          <cell r="AP25">
            <v>12</v>
          </cell>
          <cell r="AQ25">
            <v>35.29</v>
          </cell>
          <cell r="AR25">
            <v>37.1</v>
          </cell>
          <cell r="AS25">
            <v>37.92</v>
          </cell>
          <cell r="AT25">
            <v>420</v>
          </cell>
          <cell r="AU25">
            <v>460</v>
          </cell>
          <cell r="AV25">
            <v>455</v>
          </cell>
        </row>
        <row r="26">
          <cell r="AH26" t="str">
            <v>AP</v>
          </cell>
          <cell r="AI26" t="str">
            <v>ALUMIN PAINT</v>
          </cell>
          <cell r="AJ26" t="str">
            <v>0152</v>
          </cell>
          <cell r="AK26" t="str">
            <v>103</v>
          </cell>
          <cell r="AL26" t="str">
            <v>310</v>
          </cell>
          <cell r="AM26">
            <v>1</v>
          </cell>
          <cell r="AN26">
            <v>10.9</v>
          </cell>
          <cell r="AO26">
            <v>13.5</v>
          </cell>
          <cell r="AP26">
            <v>13.5</v>
          </cell>
          <cell r="AQ26">
            <v>36.700000000000003</v>
          </cell>
          <cell r="AR26">
            <v>34.07</v>
          </cell>
          <cell r="AS26">
            <v>32.44</v>
          </cell>
          <cell r="AT26">
            <v>400</v>
          </cell>
          <cell r="AU26">
            <v>460</v>
          </cell>
          <cell r="AV26">
            <v>438</v>
          </cell>
        </row>
        <row r="27">
          <cell r="AH27" t="str">
            <v>AMF</v>
          </cell>
          <cell r="AI27" t="str">
            <v>PHEN0LIC-MODIFIED ALKYD M.I.O.FINISH</v>
          </cell>
          <cell r="AJ27" t="str">
            <v>4690(Ar-900)</v>
          </cell>
          <cell r="AL27" t="str">
            <v>800</v>
          </cell>
          <cell r="AM27">
            <v>1</v>
          </cell>
          <cell r="AN27">
            <v>19.16</v>
          </cell>
          <cell r="AP27">
            <v>17.8</v>
          </cell>
          <cell r="AQ27">
            <v>26.1</v>
          </cell>
          <cell r="AS27">
            <v>37.869999999999997</v>
          </cell>
          <cell r="AT27">
            <v>500</v>
          </cell>
          <cell r="AV27">
            <v>674</v>
          </cell>
        </row>
        <row r="28">
          <cell r="AH28" t="str">
            <v>GP</v>
          </cell>
          <cell r="AI28" t="str">
            <v xml:space="preserve">GALVAN. STEEL SHEET EHULSION PAINT </v>
          </cell>
          <cell r="AK28" t="str">
            <v>100(OM-12)</v>
          </cell>
          <cell r="AM28">
            <v>1</v>
          </cell>
          <cell r="AO28">
            <v>14.3</v>
          </cell>
          <cell r="AR28">
            <v>47.55</v>
          </cell>
          <cell r="AU28">
            <v>680</v>
          </cell>
        </row>
        <row r="29">
          <cell r="AI29" t="str">
            <v xml:space="preserve">EPOXY RESIN </v>
          </cell>
        </row>
        <row r="30">
          <cell r="AH30" t="str">
            <v>ERLP</v>
          </cell>
          <cell r="AI30" t="str">
            <v xml:space="preserve">EPOXY RED LEAD PRIMER </v>
          </cell>
          <cell r="AJ30" t="str">
            <v>0401</v>
          </cell>
          <cell r="AK30" t="str">
            <v>1007(EP-01)</v>
          </cell>
          <cell r="AM30">
            <v>1</v>
          </cell>
          <cell r="AN30">
            <v>13.7</v>
          </cell>
          <cell r="AO30">
            <v>11.9</v>
          </cell>
          <cell r="AQ30">
            <v>41.61</v>
          </cell>
          <cell r="AR30">
            <v>47.9</v>
          </cell>
          <cell r="AT30">
            <v>570</v>
          </cell>
          <cell r="AU30">
            <v>570</v>
          </cell>
        </row>
        <row r="31">
          <cell r="AH31" t="str">
            <v>EZCP</v>
          </cell>
          <cell r="AI31" t="str">
            <v xml:space="preserve">EPOXY ZINC CHROMATE PRIMER </v>
          </cell>
          <cell r="AJ31" t="str">
            <v>0411</v>
          </cell>
          <cell r="AK31" t="str">
            <v>1008(EP-09)</v>
          </cell>
          <cell r="AL31" t="str">
            <v>56</v>
          </cell>
          <cell r="AM31">
            <v>1</v>
          </cell>
          <cell r="AN31">
            <v>13.7</v>
          </cell>
          <cell r="AO31">
            <v>13.2</v>
          </cell>
          <cell r="AP31">
            <v>15.7</v>
          </cell>
          <cell r="AQ31">
            <v>41.61</v>
          </cell>
          <cell r="AR31">
            <v>43.18</v>
          </cell>
          <cell r="AS31">
            <v>57.32</v>
          </cell>
          <cell r="AT31">
            <v>570</v>
          </cell>
          <cell r="AU31">
            <v>570</v>
          </cell>
          <cell r="AV31">
            <v>900</v>
          </cell>
        </row>
        <row r="32">
          <cell r="AH32" t="str">
            <v>EZRP</v>
          </cell>
          <cell r="AI32" t="str">
            <v xml:space="preserve">EPOXY ZINC RICH PRIMER </v>
          </cell>
          <cell r="AJ32" t="str">
            <v>0416</v>
          </cell>
          <cell r="AK32" t="str">
            <v>1006(EP-03)</v>
          </cell>
          <cell r="AL32" t="str">
            <v>63</v>
          </cell>
          <cell r="AM32">
            <v>1</v>
          </cell>
          <cell r="AN32">
            <v>24.9</v>
          </cell>
          <cell r="AO32">
            <v>18.899999999999999</v>
          </cell>
          <cell r="AP32">
            <v>44.29</v>
          </cell>
          <cell r="AQ32">
            <v>44.18</v>
          </cell>
          <cell r="AR32">
            <v>52.91</v>
          </cell>
          <cell r="AS32">
            <v>29.35</v>
          </cell>
          <cell r="AT32">
            <v>1100</v>
          </cell>
          <cell r="AU32">
            <v>1000</v>
          </cell>
          <cell r="AV32">
            <v>1300</v>
          </cell>
        </row>
        <row r="33">
          <cell r="AH33" t="str">
            <v>EROP</v>
          </cell>
          <cell r="AI33" t="str">
            <v xml:space="preserve">EPOXY RED OXIDE PRIMER </v>
          </cell>
          <cell r="AJ33" t="str">
            <v>0421(Z-500)</v>
          </cell>
          <cell r="AK33" t="str">
            <v>1009(EP-02)</v>
          </cell>
          <cell r="AL33" t="str">
            <v>87</v>
          </cell>
          <cell r="AM33">
            <v>1</v>
          </cell>
          <cell r="AN33">
            <v>11.3</v>
          </cell>
          <cell r="AO33">
            <v>10.9</v>
          </cell>
          <cell r="AP33">
            <v>28.1</v>
          </cell>
          <cell r="AQ33">
            <v>41.59</v>
          </cell>
          <cell r="AR33">
            <v>43.12</v>
          </cell>
          <cell r="AS33">
            <v>39.15</v>
          </cell>
          <cell r="AT33">
            <v>470</v>
          </cell>
          <cell r="AU33">
            <v>470</v>
          </cell>
          <cell r="AV33">
            <v>1100</v>
          </cell>
        </row>
        <row r="34">
          <cell r="AH34" t="str">
            <v>EV</v>
          </cell>
          <cell r="AI34" t="str">
            <v xml:space="preserve">EPOXY VARNISH </v>
          </cell>
          <cell r="AJ34" t="str">
            <v>0450</v>
          </cell>
          <cell r="AK34" t="str">
            <v>1010</v>
          </cell>
          <cell r="AL34" t="str">
            <v>46</v>
          </cell>
          <cell r="AM34">
            <v>1</v>
          </cell>
          <cell r="AN34">
            <v>19</v>
          </cell>
          <cell r="AO34">
            <v>19.399999999999999</v>
          </cell>
          <cell r="AP34">
            <v>21.1</v>
          </cell>
          <cell r="AQ34">
            <v>28.95</v>
          </cell>
          <cell r="AR34">
            <v>28.35</v>
          </cell>
          <cell r="AS34">
            <v>26.07</v>
          </cell>
          <cell r="AT34">
            <v>550</v>
          </cell>
          <cell r="AU34">
            <v>550</v>
          </cell>
          <cell r="AV34">
            <v>550</v>
          </cell>
        </row>
        <row r="35">
          <cell r="AH35" t="str">
            <v>EFC</v>
          </cell>
          <cell r="AI35" t="str">
            <v xml:space="preserve">EPOXY FINISH COATING </v>
          </cell>
          <cell r="AJ35" t="str">
            <v>0451</v>
          </cell>
          <cell r="AK35" t="str">
            <v>1001(EP-04)</v>
          </cell>
          <cell r="AL35" t="str">
            <v>86</v>
          </cell>
          <cell r="AM35">
            <v>1</v>
          </cell>
          <cell r="AN35">
            <v>16.8</v>
          </cell>
          <cell r="AO35">
            <v>18.3</v>
          </cell>
          <cell r="AP35">
            <v>34.9</v>
          </cell>
          <cell r="AQ35">
            <v>41.67</v>
          </cell>
          <cell r="AR35">
            <v>38.25</v>
          </cell>
          <cell r="AS35">
            <v>22.92</v>
          </cell>
          <cell r="AT35">
            <v>700</v>
          </cell>
          <cell r="AU35">
            <v>700</v>
          </cell>
          <cell r="AV35">
            <v>800</v>
          </cell>
        </row>
        <row r="36">
          <cell r="AH36" t="str">
            <v>CTE</v>
          </cell>
          <cell r="AI36" t="str">
            <v xml:space="preserve">COAL TAR EPOXY HB </v>
          </cell>
          <cell r="AJ36" t="str">
            <v>0459</v>
          </cell>
          <cell r="AK36" t="str">
            <v>1004(EP-06)</v>
          </cell>
          <cell r="AL36" t="str">
            <v>58</v>
          </cell>
          <cell r="AM36">
            <v>1</v>
          </cell>
          <cell r="AN36">
            <v>7.9</v>
          </cell>
          <cell r="AO36">
            <v>7.6</v>
          </cell>
          <cell r="AQ36">
            <v>50.63</v>
          </cell>
          <cell r="AR36">
            <v>52.63</v>
          </cell>
          <cell r="AT36">
            <v>400</v>
          </cell>
          <cell r="AU36">
            <v>400</v>
          </cell>
          <cell r="AV36">
            <v>700</v>
          </cell>
        </row>
        <row r="37">
          <cell r="AH37" t="str">
            <v>IZRP</v>
          </cell>
          <cell r="AI37" t="str">
            <v xml:space="preserve">INORGANIC ZINC RICH PRIMER </v>
          </cell>
          <cell r="AJ37" t="str">
            <v>4120(Z-120HB)</v>
          </cell>
          <cell r="AK37" t="str">
            <v>1011(IZ-01)</v>
          </cell>
          <cell r="AL37" t="str">
            <v>33</v>
          </cell>
          <cell r="AM37">
            <v>1</v>
          </cell>
          <cell r="AN37">
            <v>19.399999999999999</v>
          </cell>
          <cell r="AO37">
            <v>15.6</v>
          </cell>
          <cell r="AP37">
            <v>30.3</v>
          </cell>
          <cell r="AQ37">
            <v>56.7</v>
          </cell>
          <cell r="AR37">
            <v>64.099999999999994</v>
          </cell>
          <cell r="AS37">
            <v>42.9</v>
          </cell>
          <cell r="AT37">
            <v>1100</v>
          </cell>
          <cell r="AU37">
            <v>1000</v>
          </cell>
          <cell r="AV37">
            <v>1300</v>
          </cell>
        </row>
        <row r="38">
          <cell r="AH38" t="str">
            <v>EATP</v>
          </cell>
          <cell r="AI38" t="str">
            <v>EPOXY ALUMINUM TRIPOLYPHOSPHATE PRIMER</v>
          </cell>
          <cell r="AJ38" t="str">
            <v>A-536</v>
          </cell>
          <cell r="AK38" t="str">
            <v>1075</v>
          </cell>
          <cell r="AL38" t="str">
            <v>57</v>
          </cell>
          <cell r="AM38">
            <v>1</v>
          </cell>
          <cell r="AN38">
            <v>18.7</v>
          </cell>
          <cell r="AO38">
            <v>14.7</v>
          </cell>
          <cell r="AP38">
            <v>15.5</v>
          </cell>
          <cell r="AQ38">
            <v>42.78</v>
          </cell>
          <cell r="AR38">
            <v>42.86</v>
          </cell>
          <cell r="AS38">
            <v>39.03</v>
          </cell>
          <cell r="AT38">
            <v>800</v>
          </cell>
          <cell r="AU38">
            <v>630</v>
          </cell>
          <cell r="AV38">
            <v>605</v>
          </cell>
        </row>
        <row r="39">
          <cell r="AH39" t="str">
            <v>EBZRP</v>
          </cell>
          <cell r="AI39" t="str">
            <v xml:space="preserve">EPOXY CURED BASED ZINC RICH PRIMER </v>
          </cell>
          <cell r="AJ39" t="str">
            <v>4180(Z-800)</v>
          </cell>
          <cell r="AK39" t="str">
            <v>1002</v>
          </cell>
          <cell r="AM39">
            <v>1</v>
          </cell>
          <cell r="AN39">
            <v>27.3</v>
          </cell>
          <cell r="AO39">
            <v>15.7</v>
          </cell>
          <cell r="AQ39">
            <v>40.29</v>
          </cell>
          <cell r="AR39">
            <v>38.22</v>
          </cell>
          <cell r="AT39">
            <v>1100</v>
          </cell>
          <cell r="AU39">
            <v>600</v>
          </cell>
        </row>
        <row r="40">
          <cell r="AH40" t="str">
            <v>HBEP</v>
          </cell>
          <cell r="AI40" t="str">
            <v>HIGH BUILD EPOXY POLYAMINE CURED</v>
          </cell>
          <cell r="AJ40" t="str">
            <v>4418(A-418)</v>
          </cell>
          <cell r="AK40" t="str">
            <v>1015</v>
          </cell>
          <cell r="AM40">
            <v>1</v>
          </cell>
          <cell r="AN40">
            <v>18.3</v>
          </cell>
          <cell r="AO40">
            <v>13.1</v>
          </cell>
          <cell r="AQ40">
            <v>65.569999999999993</v>
          </cell>
          <cell r="AR40">
            <v>83.97</v>
          </cell>
          <cell r="AT40">
            <v>1200</v>
          </cell>
          <cell r="AU40">
            <v>1100</v>
          </cell>
        </row>
        <row r="41">
          <cell r="AH41" t="str">
            <v>HSCP</v>
          </cell>
          <cell r="AI41" t="str">
            <v>HIGH SOILD EPOXY POLYAMINE CURED PRIMER</v>
          </cell>
          <cell r="AJ41" t="str">
            <v>4418(A-448)</v>
          </cell>
          <cell r="AK41">
            <v>1017</v>
          </cell>
          <cell r="AM41">
            <v>1</v>
          </cell>
          <cell r="AN41">
            <v>20.309999999999999</v>
          </cell>
          <cell r="AO41">
            <v>13.1</v>
          </cell>
          <cell r="AQ41">
            <v>64</v>
          </cell>
          <cell r="AR41">
            <v>83.97</v>
          </cell>
          <cell r="AT41">
            <v>1300</v>
          </cell>
          <cell r="AU41">
            <v>1100</v>
          </cell>
        </row>
        <row r="42">
          <cell r="AH42" t="str">
            <v>EEA</v>
          </cell>
          <cell r="AI42" t="str">
            <v>EPOXY ENAMEL AMINE ADDUCT CURED</v>
          </cell>
          <cell r="AJ42" t="str">
            <v>4450(A-500)</v>
          </cell>
          <cell r="AK42" t="str">
            <v>1014</v>
          </cell>
          <cell r="AM42">
            <v>1</v>
          </cell>
          <cell r="AN42">
            <v>23.8</v>
          </cell>
          <cell r="AO42">
            <v>11.4</v>
          </cell>
          <cell r="AQ42">
            <v>37.82</v>
          </cell>
          <cell r="AR42">
            <v>83.33</v>
          </cell>
          <cell r="AT42">
            <v>900</v>
          </cell>
          <cell r="AU42">
            <v>950</v>
          </cell>
        </row>
        <row r="43">
          <cell r="AH43" t="str">
            <v>NEP</v>
          </cell>
          <cell r="AI43" t="str">
            <v>NON-REACTIVE EPOXY PRIMER</v>
          </cell>
          <cell r="AJ43" t="str">
            <v>4405(A-505)</v>
          </cell>
          <cell r="AM43">
            <v>1</v>
          </cell>
          <cell r="AN43">
            <v>19.2</v>
          </cell>
          <cell r="AQ43">
            <v>41.67</v>
          </cell>
          <cell r="AT43">
            <v>800</v>
          </cell>
        </row>
        <row r="44">
          <cell r="AH44" t="str">
            <v>ZCOP</v>
          </cell>
          <cell r="AI44" t="str">
            <v xml:space="preserve">ZINC CHROMATE-RED OXIDE/EPOXY PRIMER </v>
          </cell>
          <cell r="AJ44" t="str">
            <v>4451(A-510)</v>
          </cell>
          <cell r="AK44" t="str">
            <v>1016</v>
          </cell>
          <cell r="AM44">
            <v>1</v>
          </cell>
          <cell r="AN44">
            <v>18.2</v>
          </cell>
          <cell r="AO44">
            <v>8.1999999999999993</v>
          </cell>
          <cell r="AQ44">
            <v>42.86</v>
          </cell>
          <cell r="AR44">
            <v>85.37</v>
          </cell>
          <cell r="AT44">
            <v>780</v>
          </cell>
          <cell r="AU44">
            <v>700</v>
          </cell>
        </row>
        <row r="45">
          <cell r="AH45" t="str">
            <v>EPC</v>
          </cell>
          <cell r="AI45" t="str">
            <v xml:space="preserve">EPOXY ENAMEL/POLYAMIDE CURED </v>
          </cell>
          <cell r="AJ45" t="str">
            <v>4415(A-515)</v>
          </cell>
          <cell r="AM45">
            <v>1</v>
          </cell>
          <cell r="AN45">
            <v>19.8</v>
          </cell>
          <cell r="AQ45">
            <v>42.93</v>
          </cell>
          <cell r="AT45">
            <v>850</v>
          </cell>
        </row>
        <row r="46">
          <cell r="AI46" t="str">
            <v>EPOXY NON-SKID SURFACING</v>
          </cell>
          <cell r="AJ46" t="str">
            <v>4425(A-525)</v>
          </cell>
          <cell r="AK46" t="str">
            <v>1018</v>
          </cell>
          <cell r="AM46">
            <v>1</v>
          </cell>
          <cell r="AN46">
            <v>18</v>
          </cell>
          <cell r="AO46">
            <v>31.3</v>
          </cell>
          <cell r="AQ46">
            <v>37.78</v>
          </cell>
          <cell r="AR46">
            <v>47.92</v>
          </cell>
          <cell r="AT46">
            <v>680</v>
          </cell>
          <cell r="AU46">
            <v>1500</v>
          </cell>
        </row>
        <row r="47">
          <cell r="AH47" t="str">
            <v>EPAP</v>
          </cell>
          <cell r="AI47" t="str">
            <v>EPOXY-POLYAMIDE,ALLOY PRIMER.</v>
          </cell>
          <cell r="AJ47" t="str">
            <v>4465(A-650)</v>
          </cell>
          <cell r="AK47">
            <v>1020</v>
          </cell>
          <cell r="AM47">
            <v>1</v>
          </cell>
          <cell r="AN47">
            <v>21</v>
          </cell>
          <cell r="AO47">
            <v>26.92</v>
          </cell>
          <cell r="AQ47">
            <v>42.86</v>
          </cell>
          <cell r="AR47">
            <v>13</v>
          </cell>
          <cell r="AT47">
            <v>900</v>
          </cell>
          <cell r="AU47">
            <v>350</v>
          </cell>
        </row>
        <row r="48">
          <cell r="AI48" t="str">
            <v>LEAD SILICO CHROMATE EP.PRI./POLYAMIDE CURED</v>
          </cell>
          <cell r="AJ48" t="str">
            <v>4430(A-530)</v>
          </cell>
          <cell r="AM48">
            <v>1</v>
          </cell>
          <cell r="AN48">
            <v>21.97</v>
          </cell>
          <cell r="AQ48">
            <v>37.78</v>
          </cell>
          <cell r="AT48">
            <v>830</v>
          </cell>
        </row>
        <row r="49">
          <cell r="AH49" t="str">
            <v>ERLP</v>
          </cell>
          <cell r="AI49" t="str">
            <v>EPOXY RED LEAD POLYAMIDE CURED PRIMER</v>
          </cell>
          <cell r="AJ49" t="str">
            <v>4440(A-540)</v>
          </cell>
          <cell r="AK49" t="str">
            <v>1051</v>
          </cell>
          <cell r="AM49">
            <v>1</v>
          </cell>
          <cell r="AN49">
            <v>19.399999999999999</v>
          </cell>
          <cell r="AO49">
            <v>15.8</v>
          </cell>
          <cell r="AQ49">
            <v>42.78</v>
          </cell>
          <cell r="AR49">
            <v>43.04</v>
          </cell>
          <cell r="AT49">
            <v>830</v>
          </cell>
          <cell r="AU49">
            <v>680</v>
          </cell>
        </row>
        <row r="50">
          <cell r="AH50" t="str">
            <v>EROP</v>
          </cell>
          <cell r="AI50" t="str">
            <v>RED LEAD-RED OXIDE EP./POLYAMIDE CURED PRI.</v>
          </cell>
          <cell r="AJ50" t="str">
            <v>4445(A-545)</v>
          </cell>
          <cell r="AK50" t="str">
            <v>1060</v>
          </cell>
          <cell r="AM50">
            <v>1</v>
          </cell>
          <cell r="AN50">
            <v>18.7</v>
          </cell>
          <cell r="AO50">
            <v>20.9</v>
          </cell>
          <cell r="AQ50">
            <v>42.78</v>
          </cell>
          <cell r="AR50">
            <v>28.71</v>
          </cell>
          <cell r="AT50">
            <v>800</v>
          </cell>
          <cell r="AU50">
            <v>600</v>
          </cell>
        </row>
        <row r="51">
          <cell r="AH51" t="str">
            <v>ETC</v>
          </cell>
          <cell r="AI51" t="str">
            <v>TAR EPOXY COATING/AMINE CURED</v>
          </cell>
          <cell r="AJ51" t="str">
            <v>4460(A-560)</v>
          </cell>
          <cell r="AK51" t="str">
            <v>1070(EP-10)</v>
          </cell>
          <cell r="AM51">
            <v>1</v>
          </cell>
          <cell r="AN51">
            <v>11.69</v>
          </cell>
          <cell r="AO51">
            <v>12.2</v>
          </cell>
          <cell r="AQ51">
            <v>42.78</v>
          </cell>
          <cell r="AR51">
            <v>57.38</v>
          </cell>
          <cell r="AT51">
            <v>500</v>
          </cell>
          <cell r="AU51">
            <v>700</v>
          </cell>
        </row>
        <row r="52">
          <cell r="AH52" t="str">
            <v>EWB</v>
          </cell>
          <cell r="AI52" t="str">
            <v>WATER BASE EPOXY ENAMEL/POLTAMINE CURED</v>
          </cell>
          <cell r="AJ52" t="str">
            <v>4458(A-580)</v>
          </cell>
          <cell r="AK52" t="str">
            <v>1017(EP-07)</v>
          </cell>
          <cell r="AL52" t="str">
            <v>96</v>
          </cell>
          <cell r="AM52">
            <v>1</v>
          </cell>
          <cell r="AN52">
            <v>34.4</v>
          </cell>
          <cell r="AO52">
            <v>16</v>
          </cell>
          <cell r="AP52">
            <v>32.700000000000003</v>
          </cell>
          <cell r="AQ52">
            <v>37.79</v>
          </cell>
          <cell r="AR52">
            <v>43.75</v>
          </cell>
          <cell r="AS52">
            <v>45.87</v>
          </cell>
          <cell r="AT52">
            <v>1300</v>
          </cell>
          <cell r="AU52">
            <v>700</v>
          </cell>
          <cell r="AV52">
            <v>1500</v>
          </cell>
        </row>
        <row r="53">
          <cell r="AH53" t="str">
            <v>CCTE</v>
          </cell>
          <cell r="AI53" t="str">
            <v>CATALYZED COAL TAR EPOXY POLYAMINE CURED</v>
          </cell>
          <cell r="AJ53" t="str">
            <v>4459(A-590)</v>
          </cell>
          <cell r="AK53" t="str">
            <v>SP-06</v>
          </cell>
          <cell r="AM53">
            <v>1</v>
          </cell>
          <cell r="AN53">
            <v>12.6</v>
          </cell>
          <cell r="AO53">
            <v>32.1</v>
          </cell>
          <cell r="AQ53">
            <v>55.56</v>
          </cell>
          <cell r="AR53">
            <v>42.37</v>
          </cell>
          <cell r="AT53">
            <v>700</v>
          </cell>
          <cell r="AU53">
            <v>1360</v>
          </cell>
        </row>
        <row r="54">
          <cell r="AH54" t="str">
            <v>EPF</v>
          </cell>
          <cell r="AI54" t="str">
            <v>EPOXY-POLYAMINE,FINISH</v>
          </cell>
          <cell r="AJ54" t="str">
            <v>4465(A-650)</v>
          </cell>
          <cell r="AK54" t="str">
            <v>SP-08</v>
          </cell>
          <cell r="AM54">
            <v>1</v>
          </cell>
          <cell r="AN54">
            <v>21</v>
          </cell>
          <cell r="AO54">
            <v>24.4</v>
          </cell>
          <cell r="AQ54">
            <v>42.86</v>
          </cell>
          <cell r="AR54">
            <v>25</v>
          </cell>
          <cell r="AT54">
            <v>900</v>
          </cell>
          <cell r="AU54">
            <v>610</v>
          </cell>
        </row>
        <row r="55">
          <cell r="AH55" t="str">
            <v>EPRLP</v>
          </cell>
          <cell r="AI55" t="str">
            <v>EPOXY/POLYAMINE,RED LEAD PRIMER</v>
          </cell>
          <cell r="AJ55" t="str">
            <v>4570(A-700)</v>
          </cell>
          <cell r="AK55" t="str">
            <v>SP-09</v>
          </cell>
          <cell r="AM55">
            <v>1</v>
          </cell>
          <cell r="AN55">
            <v>21</v>
          </cell>
          <cell r="AO55">
            <v>32</v>
          </cell>
          <cell r="AQ55">
            <v>42.86</v>
          </cell>
          <cell r="AR55">
            <v>23.75</v>
          </cell>
          <cell r="AT55">
            <v>900</v>
          </cell>
          <cell r="AU55">
            <v>760</v>
          </cell>
        </row>
        <row r="56">
          <cell r="AH56" t="str">
            <v>EMOP</v>
          </cell>
          <cell r="AI56" t="str">
            <v xml:space="preserve">EPOXY MIO PRIMER </v>
          </cell>
          <cell r="AJ56" t="str">
            <v>4691(Ar-910)</v>
          </cell>
          <cell r="AK56" t="str">
            <v>1050(EP-20)</v>
          </cell>
          <cell r="AL56" t="str">
            <v>76</v>
          </cell>
          <cell r="AM56">
            <v>1</v>
          </cell>
          <cell r="AN56">
            <v>17.3</v>
          </cell>
          <cell r="AO56">
            <v>9.2799999999999994</v>
          </cell>
          <cell r="AP56">
            <v>30.9</v>
          </cell>
          <cell r="AQ56">
            <v>43.35</v>
          </cell>
          <cell r="AR56">
            <v>31.25</v>
          </cell>
          <cell r="AS56">
            <v>25.89</v>
          </cell>
          <cell r="AT56">
            <v>750</v>
          </cell>
          <cell r="AU56">
            <v>290</v>
          </cell>
          <cell r="AV56">
            <v>800</v>
          </cell>
        </row>
        <row r="57">
          <cell r="AH57" t="str">
            <v>EPCP</v>
          </cell>
          <cell r="AI57" t="str">
            <v>EPOXY-PHENOLIC CURED PRIMER .</v>
          </cell>
          <cell r="AJ57" t="str">
            <v>4691(Ar-910)</v>
          </cell>
          <cell r="AK57" t="str">
            <v>1060</v>
          </cell>
          <cell r="AL57" t="str">
            <v>76</v>
          </cell>
          <cell r="AM57">
            <v>1</v>
          </cell>
          <cell r="AN57">
            <v>17.3</v>
          </cell>
          <cell r="AO57">
            <v>19.2</v>
          </cell>
          <cell r="AP57">
            <v>30.9</v>
          </cell>
          <cell r="AQ57">
            <v>43.35</v>
          </cell>
          <cell r="AR57">
            <v>31.25</v>
          </cell>
          <cell r="AS57">
            <v>25.89</v>
          </cell>
          <cell r="AT57">
            <v>750</v>
          </cell>
          <cell r="AU57">
            <v>600</v>
          </cell>
          <cell r="AV57">
            <v>800</v>
          </cell>
        </row>
        <row r="59">
          <cell r="AI59" t="str">
            <v xml:space="preserve">CHLORINATED RUBBER RESIN </v>
          </cell>
        </row>
        <row r="60">
          <cell r="AH60" t="str">
            <v>CRRLP</v>
          </cell>
          <cell r="AI60" t="str">
            <v xml:space="preserve">CALORINATED RUBBER RED LEAD PRIMER </v>
          </cell>
          <cell r="AJ60" t="str">
            <v>0201</v>
          </cell>
          <cell r="AK60" t="str">
            <v>1402(RF-63)</v>
          </cell>
          <cell r="AL60" t="str">
            <v>530</v>
          </cell>
          <cell r="AM60">
            <v>1</v>
          </cell>
          <cell r="AN60">
            <v>14.7</v>
          </cell>
          <cell r="AO60">
            <v>12.9</v>
          </cell>
          <cell r="AP60">
            <v>15.5</v>
          </cell>
          <cell r="AQ60">
            <v>32.65</v>
          </cell>
          <cell r="AR60">
            <v>37.979999999999997</v>
          </cell>
          <cell r="AS60">
            <v>36.450000000000003</v>
          </cell>
          <cell r="AT60">
            <v>480</v>
          </cell>
          <cell r="AU60">
            <v>490</v>
          </cell>
          <cell r="AV60">
            <v>565</v>
          </cell>
        </row>
        <row r="61">
          <cell r="AH61" t="str">
            <v>CRZCP</v>
          </cell>
          <cell r="AI61" t="str">
            <v>CHLORINATED RUBBER PRIMER ZINC CHROMATE PR.</v>
          </cell>
          <cell r="AJ61" t="str">
            <v>0211</v>
          </cell>
          <cell r="AK61" t="str">
            <v>1450(RF-67)</v>
          </cell>
          <cell r="AL61" t="str">
            <v>540</v>
          </cell>
          <cell r="AM61">
            <v>1</v>
          </cell>
          <cell r="AN61">
            <v>15.5</v>
          </cell>
          <cell r="AO61">
            <v>11.3</v>
          </cell>
          <cell r="AP61">
            <v>14.1</v>
          </cell>
          <cell r="AQ61">
            <v>30.97</v>
          </cell>
          <cell r="AR61">
            <v>42.48</v>
          </cell>
          <cell r="AS61">
            <v>36.450000000000003</v>
          </cell>
          <cell r="AT61">
            <v>480</v>
          </cell>
          <cell r="AU61">
            <v>480</v>
          </cell>
          <cell r="AV61">
            <v>514</v>
          </cell>
        </row>
        <row r="62">
          <cell r="AH62" t="str">
            <v>CRROP</v>
          </cell>
          <cell r="AI62" t="str">
            <v xml:space="preserve">CHLORINATED RUBBER RED OXIDE PRIMER </v>
          </cell>
          <cell r="AJ62" t="str">
            <v>0221</v>
          </cell>
          <cell r="AK62" t="str">
            <v>1403(RF-65)</v>
          </cell>
          <cell r="AL62" t="str">
            <v>510</v>
          </cell>
          <cell r="AM62">
            <v>1</v>
          </cell>
          <cell r="AN62">
            <v>14.6</v>
          </cell>
          <cell r="AO62">
            <v>12.1</v>
          </cell>
          <cell r="AP62">
            <v>31</v>
          </cell>
          <cell r="AQ62">
            <v>30.82</v>
          </cell>
          <cell r="AR62">
            <v>38.020000000000003</v>
          </cell>
          <cell r="AS62">
            <v>38.549999999999997</v>
          </cell>
          <cell r="AT62">
            <v>450</v>
          </cell>
          <cell r="AU62">
            <v>460</v>
          </cell>
          <cell r="AV62">
            <v>1195</v>
          </cell>
        </row>
        <row r="63">
          <cell r="AH63" t="str">
            <v>CRF</v>
          </cell>
          <cell r="AI63" t="str">
            <v xml:space="preserve">CHLORINATED RUBBER FINISH </v>
          </cell>
          <cell r="AJ63" t="str">
            <v>0251</v>
          </cell>
          <cell r="AK63" t="str">
            <v>1401</v>
          </cell>
          <cell r="AL63" t="str">
            <v>520</v>
          </cell>
          <cell r="AM63">
            <v>1</v>
          </cell>
          <cell r="AN63">
            <v>18.899999999999999</v>
          </cell>
          <cell r="AO63">
            <v>15.8</v>
          </cell>
          <cell r="AP63">
            <v>16.7</v>
          </cell>
          <cell r="AQ63">
            <v>31.75</v>
          </cell>
          <cell r="AR63">
            <v>34.18</v>
          </cell>
          <cell r="AS63">
            <v>33.83</v>
          </cell>
          <cell r="AT63">
            <v>600</v>
          </cell>
          <cell r="AU63">
            <v>540</v>
          </cell>
          <cell r="AV63">
            <v>565</v>
          </cell>
        </row>
        <row r="64">
          <cell r="AH64" t="str">
            <v>CRATP</v>
          </cell>
          <cell r="AI64" t="str">
            <v>C RUBBER ALUMINUM TRIPOLYPHOSPHATE PRIMER</v>
          </cell>
          <cell r="AJ64" t="str">
            <v>0203</v>
          </cell>
          <cell r="AL64" t="str">
            <v>531</v>
          </cell>
          <cell r="AM64">
            <v>1</v>
          </cell>
          <cell r="AN64">
            <v>13.4</v>
          </cell>
          <cell r="AP64">
            <v>14.5</v>
          </cell>
          <cell r="AQ64">
            <v>37.31</v>
          </cell>
          <cell r="AS64">
            <v>36.409999999999997</v>
          </cell>
          <cell r="AT64">
            <v>500</v>
          </cell>
          <cell r="AV64">
            <v>528</v>
          </cell>
        </row>
        <row r="65">
          <cell r="AH65" t="str">
            <v>PCRF</v>
          </cell>
          <cell r="AI65" t="str">
            <v>PIGMENTED CHLORINATED RUBBER FINISH</v>
          </cell>
          <cell r="AJ65" t="str">
            <v>4470(C-700)</v>
          </cell>
          <cell r="AK65" t="str">
            <v>RF-51~56</v>
          </cell>
          <cell r="AL65" t="str">
            <v>560</v>
          </cell>
          <cell r="AM65">
            <v>1</v>
          </cell>
          <cell r="AN65">
            <v>27.1</v>
          </cell>
          <cell r="AO65">
            <v>12.3</v>
          </cell>
          <cell r="AP65">
            <v>13.5</v>
          </cell>
          <cell r="AQ65">
            <v>33.21</v>
          </cell>
          <cell r="AR65">
            <v>38.21</v>
          </cell>
          <cell r="AS65">
            <v>33.78</v>
          </cell>
          <cell r="AT65">
            <v>900</v>
          </cell>
          <cell r="AU65">
            <v>470</v>
          </cell>
          <cell r="AV65">
            <v>456</v>
          </cell>
        </row>
        <row r="66">
          <cell r="AH66" t="str">
            <v>CRRLP</v>
          </cell>
          <cell r="AI66" t="str">
            <v xml:space="preserve">CHLORINATED RUBBER RED LEAD PRIMER </v>
          </cell>
          <cell r="AJ66" t="str">
            <v>4575(C-750)</v>
          </cell>
          <cell r="AL66" t="str">
            <v>500</v>
          </cell>
          <cell r="AM66">
            <v>1</v>
          </cell>
          <cell r="AN66">
            <v>17.2</v>
          </cell>
          <cell r="AP66">
            <v>15</v>
          </cell>
          <cell r="AQ66">
            <v>37.79</v>
          </cell>
          <cell r="AS66">
            <v>30.4</v>
          </cell>
          <cell r="AT66">
            <v>650</v>
          </cell>
          <cell r="AV66">
            <v>456</v>
          </cell>
        </row>
        <row r="67">
          <cell r="AH67" t="str">
            <v>CRROP</v>
          </cell>
          <cell r="AI67" t="str">
            <v xml:space="preserve">CHLORINATED RUBBER RED LEAD-RED OXIDE PRIMER </v>
          </cell>
          <cell r="AJ67" t="str">
            <v>4576(C-760)</v>
          </cell>
          <cell r="AL67" t="str">
            <v>550</v>
          </cell>
          <cell r="AM67">
            <v>1</v>
          </cell>
          <cell r="AN67">
            <v>15.9</v>
          </cell>
          <cell r="AP67">
            <v>14.8</v>
          </cell>
          <cell r="AQ67">
            <v>38.99</v>
          </cell>
          <cell r="AS67">
            <v>33.78</v>
          </cell>
          <cell r="AT67">
            <v>620</v>
          </cell>
          <cell r="AV67">
            <v>500</v>
          </cell>
        </row>
        <row r="68">
          <cell r="AI68" t="str">
            <v>CHLORINATED RUBBER BASE M.I.O.COATING</v>
          </cell>
          <cell r="AJ68" t="str">
            <v>4693(Ar-930)</v>
          </cell>
          <cell r="AK68" t="str">
            <v>1452(RF-68)</v>
          </cell>
          <cell r="AL68" t="str">
            <v>600</v>
          </cell>
          <cell r="AM68">
            <v>1</v>
          </cell>
          <cell r="AN68">
            <v>16.399999999999999</v>
          </cell>
          <cell r="AO68">
            <v>13.2</v>
          </cell>
          <cell r="AP68">
            <v>14.8</v>
          </cell>
          <cell r="AQ68">
            <v>37.799999999999997</v>
          </cell>
          <cell r="AR68">
            <v>37.880000000000003</v>
          </cell>
          <cell r="AS68">
            <v>33.72</v>
          </cell>
          <cell r="AT68">
            <v>620</v>
          </cell>
          <cell r="AU68">
            <v>500</v>
          </cell>
          <cell r="AV68">
            <v>499</v>
          </cell>
        </row>
        <row r="71">
          <cell r="AI71" t="str">
            <v xml:space="preserve">SILICONE RESIN </v>
          </cell>
        </row>
        <row r="72">
          <cell r="AH72" t="str">
            <v>HP200</v>
          </cell>
          <cell r="AI72" t="str">
            <v>HEAT-RESISTING PRIMER 200'C ,SILICONE SERIES.</v>
          </cell>
          <cell r="AJ72" t="str">
            <v>0631</v>
          </cell>
          <cell r="AK72" t="str">
            <v>1512</v>
          </cell>
          <cell r="AM72">
            <v>1</v>
          </cell>
          <cell r="AN72">
            <v>16.5</v>
          </cell>
          <cell r="AO72">
            <v>26.2</v>
          </cell>
          <cell r="AQ72">
            <v>36.36</v>
          </cell>
          <cell r="AR72">
            <v>38.17</v>
          </cell>
          <cell r="AT72">
            <v>600</v>
          </cell>
          <cell r="AU72">
            <v>1000</v>
          </cell>
        </row>
        <row r="73">
          <cell r="AH73" t="str">
            <v>HP300</v>
          </cell>
          <cell r="AI73" t="str">
            <v xml:space="preserve">HEAT-RESISTING PRIMER 300'C </v>
          </cell>
          <cell r="AJ73" t="str">
            <v>0632</v>
          </cell>
          <cell r="AK73" t="str">
            <v>1507</v>
          </cell>
          <cell r="AL73" t="str">
            <v>330-1</v>
          </cell>
          <cell r="AM73">
            <v>1</v>
          </cell>
          <cell r="AN73">
            <v>20.7</v>
          </cell>
          <cell r="AO73">
            <v>20.399999999999999</v>
          </cell>
          <cell r="AP73">
            <v>29</v>
          </cell>
          <cell r="AQ73">
            <v>36.229999999999997</v>
          </cell>
          <cell r="AR73">
            <v>38.24</v>
          </cell>
          <cell r="AS73">
            <v>33.76</v>
          </cell>
          <cell r="AT73">
            <v>750</v>
          </cell>
          <cell r="AU73">
            <v>780</v>
          </cell>
          <cell r="AV73">
            <v>979</v>
          </cell>
        </row>
        <row r="74">
          <cell r="AH74" t="str">
            <v>HP500</v>
          </cell>
          <cell r="AI74" t="str">
            <v>HEAT-RESISTING PRIMER 500'C</v>
          </cell>
          <cell r="AJ74" t="str">
            <v>0634</v>
          </cell>
          <cell r="AK74" t="str">
            <v>1501</v>
          </cell>
          <cell r="AM74">
            <v>1</v>
          </cell>
          <cell r="AN74">
            <v>35.799999999999997</v>
          </cell>
          <cell r="AO74">
            <v>34.1</v>
          </cell>
          <cell r="AQ74">
            <v>36.31</v>
          </cell>
          <cell r="AR74">
            <v>38.119999999999997</v>
          </cell>
          <cell r="AT74">
            <v>1300</v>
          </cell>
          <cell r="AU74">
            <v>1300</v>
          </cell>
        </row>
        <row r="75">
          <cell r="AH75" t="str">
            <v>HP600</v>
          </cell>
          <cell r="AI75" t="str">
            <v>HEAT-RESISTING PRIMER 600'C</v>
          </cell>
          <cell r="AJ75" t="str">
            <v>0635</v>
          </cell>
          <cell r="AK75" t="str">
            <v>1500</v>
          </cell>
          <cell r="AL75" t="str">
            <v>320-1</v>
          </cell>
          <cell r="AM75">
            <v>1</v>
          </cell>
          <cell r="AN75">
            <v>44.09</v>
          </cell>
          <cell r="AO75">
            <v>34.1</v>
          </cell>
          <cell r="AP75">
            <v>44.4</v>
          </cell>
          <cell r="AQ75">
            <v>31.75</v>
          </cell>
          <cell r="AR75">
            <v>38.119999999999997</v>
          </cell>
          <cell r="AS75">
            <v>33.78</v>
          </cell>
          <cell r="AT75">
            <v>1400</v>
          </cell>
          <cell r="AU75">
            <v>1300</v>
          </cell>
          <cell r="AV75">
            <v>1500</v>
          </cell>
        </row>
        <row r="76">
          <cell r="AH76" t="str">
            <v>HF200</v>
          </cell>
          <cell r="AI76" t="str">
            <v>HEAT-RESISTING PAINT 200'C SILICONE SREIES.</v>
          </cell>
          <cell r="AJ76" t="str">
            <v>0651</v>
          </cell>
          <cell r="AK76" t="str">
            <v>1504</v>
          </cell>
          <cell r="AM76">
            <v>1</v>
          </cell>
          <cell r="AN76">
            <v>17.5</v>
          </cell>
          <cell r="AO76">
            <v>27.3</v>
          </cell>
          <cell r="AQ76">
            <v>30.29</v>
          </cell>
          <cell r="AR76">
            <v>28.57</v>
          </cell>
          <cell r="AT76">
            <v>530</v>
          </cell>
          <cell r="AU76">
            <v>780</v>
          </cell>
        </row>
        <row r="77">
          <cell r="AH77" t="str">
            <v>HF300</v>
          </cell>
          <cell r="AI77" t="str">
            <v>HEAT-RESISTING PAINT 300'C</v>
          </cell>
          <cell r="AJ77" t="str">
            <v>0652</v>
          </cell>
          <cell r="AK77" t="str">
            <v>1505</v>
          </cell>
          <cell r="AL77" t="str">
            <v>330</v>
          </cell>
          <cell r="AM77">
            <v>1</v>
          </cell>
          <cell r="AN77">
            <v>27.6</v>
          </cell>
          <cell r="AO77">
            <v>27.3</v>
          </cell>
          <cell r="AP77">
            <v>28.4</v>
          </cell>
          <cell r="AQ77">
            <v>27.17</v>
          </cell>
          <cell r="AR77">
            <v>28.57</v>
          </cell>
          <cell r="AS77">
            <v>32.54</v>
          </cell>
          <cell r="AT77">
            <v>750</v>
          </cell>
          <cell r="AU77">
            <v>780</v>
          </cell>
          <cell r="AV77">
            <v>924</v>
          </cell>
        </row>
        <row r="78">
          <cell r="AH78" t="str">
            <v>HF400</v>
          </cell>
          <cell r="AI78" t="str">
            <v>HEAT-RESISTING PAINT 400'C ALUM. SERIES.</v>
          </cell>
          <cell r="AJ78" t="str">
            <v>0654</v>
          </cell>
          <cell r="AK78" t="str">
            <v>1503</v>
          </cell>
          <cell r="AM78">
            <v>1</v>
          </cell>
          <cell r="AN78">
            <v>51.61</v>
          </cell>
          <cell r="AO78">
            <v>59.4</v>
          </cell>
          <cell r="AQ78">
            <v>25.19</v>
          </cell>
          <cell r="AR78">
            <v>28.62</v>
          </cell>
          <cell r="AT78">
            <v>1300</v>
          </cell>
          <cell r="AU78">
            <v>1700</v>
          </cell>
        </row>
        <row r="79">
          <cell r="AH79" t="str">
            <v>HF600</v>
          </cell>
          <cell r="AI79" t="str">
            <v>HEAT-RESISTING PAINT 600'C</v>
          </cell>
          <cell r="AJ79" t="str">
            <v>0655</v>
          </cell>
          <cell r="AK79" t="str">
            <v>1508</v>
          </cell>
          <cell r="AL79" t="str">
            <v>320</v>
          </cell>
          <cell r="AM79">
            <v>1</v>
          </cell>
          <cell r="AN79">
            <v>74.400000000000006</v>
          </cell>
          <cell r="AO79">
            <v>52.39</v>
          </cell>
          <cell r="AP79">
            <v>43.5</v>
          </cell>
          <cell r="AQ79">
            <v>20.16</v>
          </cell>
          <cell r="AR79">
            <v>28.63</v>
          </cell>
          <cell r="AS79">
            <v>32.479999999999997</v>
          </cell>
          <cell r="AT79">
            <v>1500</v>
          </cell>
          <cell r="AU79">
            <v>1500</v>
          </cell>
          <cell r="AV79">
            <v>1413</v>
          </cell>
        </row>
        <row r="80">
          <cell r="AH80" t="str">
            <v>ITIP</v>
          </cell>
          <cell r="AI80" t="str">
            <v>THERMOINDICATIVE PAINT INTERBOND TEMP. INDICATING PAINT</v>
          </cell>
          <cell r="AJ80" t="str">
            <v>0654</v>
          </cell>
          <cell r="AK80" t="str">
            <v>HAA-705</v>
          </cell>
          <cell r="AM80">
            <v>1</v>
          </cell>
          <cell r="AN80">
            <v>51.61</v>
          </cell>
          <cell r="AO80">
            <v>68</v>
          </cell>
          <cell r="AQ80">
            <v>25.19</v>
          </cell>
          <cell r="AR80">
            <v>10</v>
          </cell>
          <cell r="AT80">
            <v>1300</v>
          </cell>
          <cell r="AU80">
            <v>680</v>
          </cell>
        </row>
        <row r="82">
          <cell r="AI82" t="str">
            <v xml:space="preserve">POLY-VINYL BUTYRAL RESIN (PVB) </v>
          </cell>
        </row>
        <row r="83">
          <cell r="AH83" t="str">
            <v>VRLP</v>
          </cell>
          <cell r="AI83" t="str">
            <v>VINYL RED LEAD PRIMER</v>
          </cell>
          <cell r="AJ83" t="str">
            <v>0301</v>
          </cell>
          <cell r="AK83" t="str">
            <v>SP30(VP-71)</v>
          </cell>
          <cell r="AL83" t="str">
            <v xml:space="preserve"> 21</v>
          </cell>
          <cell r="AM83">
            <v>1</v>
          </cell>
          <cell r="AN83">
            <v>21.8</v>
          </cell>
          <cell r="AO83">
            <v>25.3</v>
          </cell>
          <cell r="AP83">
            <v>64.900000000000006</v>
          </cell>
          <cell r="AQ83">
            <v>25.23</v>
          </cell>
          <cell r="AR83">
            <v>23.72</v>
          </cell>
          <cell r="AS83">
            <v>21.57</v>
          </cell>
          <cell r="AT83">
            <v>550</v>
          </cell>
          <cell r="AU83">
            <v>600</v>
          </cell>
          <cell r="AV83">
            <v>1400</v>
          </cell>
        </row>
        <row r="84">
          <cell r="AH84" t="str">
            <v>VZCP</v>
          </cell>
          <cell r="AI84" t="str">
            <v>VINYL ZINC CHRMATE PRIMER</v>
          </cell>
          <cell r="AJ84" t="str">
            <v>0311</v>
          </cell>
          <cell r="AK84" t="str">
            <v>VP-72</v>
          </cell>
          <cell r="AM84">
            <v>1</v>
          </cell>
          <cell r="AN84">
            <v>24.5</v>
          </cell>
          <cell r="AO84">
            <v>28.8</v>
          </cell>
          <cell r="AQ84">
            <v>22.04</v>
          </cell>
          <cell r="AR84">
            <v>19.79</v>
          </cell>
          <cell r="AT84">
            <v>540</v>
          </cell>
          <cell r="AU84">
            <v>570</v>
          </cell>
        </row>
        <row r="85">
          <cell r="AH85" t="str">
            <v>WP</v>
          </cell>
          <cell r="AI85" t="str">
            <v>WASH PRIMER</v>
          </cell>
          <cell r="AJ85" t="str">
            <v>0345</v>
          </cell>
          <cell r="AK85" t="str">
            <v>908(SP-02)</v>
          </cell>
          <cell r="AL85" t="str">
            <v xml:space="preserve"> 11</v>
          </cell>
          <cell r="AM85">
            <v>1</v>
          </cell>
          <cell r="AN85">
            <v>55.83</v>
          </cell>
          <cell r="AO85">
            <v>37.1</v>
          </cell>
          <cell r="AP85">
            <v>78.3</v>
          </cell>
          <cell r="AQ85">
            <v>8.06</v>
          </cell>
          <cell r="AR85">
            <v>11.86</v>
          </cell>
          <cell r="AS85">
            <v>8.94</v>
          </cell>
          <cell r="AT85">
            <v>450</v>
          </cell>
          <cell r="AU85">
            <v>440</v>
          </cell>
          <cell r="AV85">
            <v>700</v>
          </cell>
        </row>
        <row r="86">
          <cell r="AH86" t="str">
            <v>VE</v>
          </cell>
          <cell r="AI86" t="str">
            <v xml:space="preserve">VINYL ENAMEL </v>
          </cell>
          <cell r="AJ86" t="str">
            <v>0351</v>
          </cell>
          <cell r="AK86" t="str">
            <v>SP32(VA-11)</v>
          </cell>
          <cell r="AM86">
            <v>1</v>
          </cell>
          <cell r="AN86">
            <v>29.1</v>
          </cell>
          <cell r="AO86">
            <v>26.21</v>
          </cell>
          <cell r="AQ86">
            <v>18.899999999999999</v>
          </cell>
          <cell r="AR86">
            <v>19.079999999999998</v>
          </cell>
          <cell r="AT86">
            <v>550</v>
          </cell>
          <cell r="AU86">
            <v>500</v>
          </cell>
        </row>
        <row r="87">
          <cell r="AI87" t="str">
            <v>PIGMENTED PVC VINYL FINISH</v>
          </cell>
          <cell r="AJ87" t="str">
            <v>4340(U-400)</v>
          </cell>
          <cell r="AK87" t="str">
            <v>SP34(VA-51)</v>
          </cell>
          <cell r="AM87">
            <v>1</v>
          </cell>
          <cell r="AN87">
            <v>21.2</v>
          </cell>
          <cell r="AO87">
            <v>27.3</v>
          </cell>
          <cell r="AQ87">
            <v>30.19</v>
          </cell>
          <cell r="AR87">
            <v>19.78</v>
          </cell>
          <cell r="AT87">
            <v>640</v>
          </cell>
          <cell r="AU87">
            <v>540</v>
          </cell>
        </row>
        <row r="89">
          <cell r="AI89" t="str">
            <v xml:space="preserve">POLYOL POLYISOCYANATE </v>
          </cell>
        </row>
        <row r="90">
          <cell r="AH90" t="str">
            <v>PCC</v>
          </cell>
          <cell r="AI90" t="str">
            <v xml:space="preserve">POLYURETHANE COATING CLEAR </v>
          </cell>
          <cell r="AJ90" t="str">
            <v>0550</v>
          </cell>
          <cell r="AK90" t="str">
            <v>722</v>
          </cell>
          <cell r="AL90" t="str">
            <v xml:space="preserve"> 67</v>
          </cell>
          <cell r="AM90">
            <v>1</v>
          </cell>
          <cell r="AN90">
            <v>27.8</v>
          </cell>
          <cell r="AO90">
            <v>29.8</v>
          </cell>
          <cell r="AP90">
            <v>81.790000000000006</v>
          </cell>
          <cell r="AQ90">
            <v>25.18</v>
          </cell>
          <cell r="AR90">
            <v>25.17</v>
          </cell>
          <cell r="AS90">
            <v>18.34</v>
          </cell>
          <cell r="AT90">
            <v>700</v>
          </cell>
          <cell r="AU90">
            <v>750</v>
          </cell>
          <cell r="AV90">
            <v>1500</v>
          </cell>
        </row>
        <row r="91">
          <cell r="AH91" t="str">
            <v>PF</v>
          </cell>
          <cell r="AI91" t="str">
            <v>POLYURETHANE COATING</v>
          </cell>
          <cell r="AJ91" t="str">
            <v>0551</v>
          </cell>
          <cell r="AK91" t="str">
            <v>725</v>
          </cell>
          <cell r="AL91" t="str">
            <v xml:space="preserve"> 66</v>
          </cell>
          <cell r="AM91">
            <v>1</v>
          </cell>
          <cell r="AN91">
            <v>33.1</v>
          </cell>
          <cell r="AO91">
            <v>29.8</v>
          </cell>
          <cell r="AP91">
            <v>92.79</v>
          </cell>
          <cell r="AQ91">
            <v>27.19</v>
          </cell>
          <cell r="AR91">
            <v>30.2</v>
          </cell>
          <cell r="AS91">
            <v>18.32</v>
          </cell>
          <cell r="AT91">
            <v>900</v>
          </cell>
          <cell r="AU91">
            <v>900</v>
          </cell>
          <cell r="AV91">
            <v>1700</v>
          </cell>
        </row>
        <row r="92">
          <cell r="AH92" t="str">
            <v>PFC</v>
          </cell>
          <cell r="AI92" t="str">
            <v>POLYURETHANE COATING</v>
          </cell>
          <cell r="AJ92" t="str">
            <v>0551</v>
          </cell>
          <cell r="AK92" t="str">
            <v>UP-04</v>
          </cell>
          <cell r="AL92" t="str">
            <v xml:space="preserve"> 66</v>
          </cell>
          <cell r="AM92">
            <v>1</v>
          </cell>
          <cell r="AN92">
            <v>36.78</v>
          </cell>
          <cell r="AO92">
            <v>16.059999999999999</v>
          </cell>
          <cell r="AP92">
            <v>92.79</v>
          </cell>
          <cell r="AQ92">
            <v>27.19</v>
          </cell>
          <cell r="AR92">
            <v>30.2</v>
          </cell>
          <cell r="AS92">
            <v>18.32</v>
          </cell>
          <cell r="AT92">
            <v>1000</v>
          </cell>
          <cell r="AU92">
            <v>485</v>
          </cell>
          <cell r="AV92">
            <v>1700</v>
          </cell>
        </row>
        <row r="93">
          <cell r="AH93" t="str">
            <v>AICP</v>
          </cell>
          <cell r="AI93" t="str">
            <v>ALIPHATIC ISCYANATE CURED POLYURETHANE FIN.</v>
          </cell>
          <cell r="AJ93" t="str">
            <v>4231(I-300)</v>
          </cell>
          <cell r="AK93" t="str">
            <v>728</v>
          </cell>
          <cell r="AM93">
            <v>1</v>
          </cell>
          <cell r="AN93">
            <v>46.3</v>
          </cell>
          <cell r="AO93">
            <v>56.2</v>
          </cell>
          <cell r="AQ93">
            <v>30.24</v>
          </cell>
          <cell r="AR93">
            <v>30.25</v>
          </cell>
          <cell r="AT93">
            <v>1400</v>
          </cell>
          <cell r="AU93">
            <v>1700</v>
          </cell>
        </row>
        <row r="94">
          <cell r="AI94" t="str">
            <v>POLYURETHANE TANK LINING</v>
          </cell>
          <cell r="AJ94" t="str">
            <v>4230(I-310)</v>
          </cell>
          <cell r="AK94" t="str">
            <v>733</v>
          </cell>
          <cell r="AM94">
            <v>1</v>
          </cell>
          <cell r="AN94">
            <v>37</v>
          </cell>
          <cell r="AO94">
            <v>19.8</v>
          </cell>
          <cell r="AQ94">
            <v>37.840000000000003</v>
          </cell>
          <cell r="AR94">
            <v>28.79</v>
          </cell>
          <cell r="AT94">
            <v>1400</v>
          </cell>
          <cell r="AU94">
            <v>570</v>
          </cell>
        </row>
        <row r="95">
          <cell r="AI95" t="str">
            <v>NON-REACTIVE POLYURETHANE PRIMER</v>
          </cell>
          <cell r="AJ95" t="str">
            <v>4239(I-350)</v>
          </cell>
          <cell r="AM95">
            <v>1</v>
          </cell>
          <cell r="AN95">
            <v>18</v>
          </cell>
          <cell r="AQ95">
            <v>55.56</v>
          </cell>
          <cell r="AT95">
            <v>1000</v>
          </cell>
        </row>
        <row r="96">
          <cell r="AI96" t="str">
            <v>CLEAR POLYURETHANE FINISH</v>
          </cell>
          <cell r="AJ96" t="str">
            <v>4235(I-390)</v>
          </cell>
          <cell r="AK96" t="str">
            <v>1101</v>
          </cell>
          <cell r="AM96">
            <v>1</v>
          </cell>
          <cell r="AN96">
            <v>31.7</v>
          </cell>
          <cell r="AO96">
            <v>17</v>
          </cell>
          <cell r="AQ96">
            <v>37.85</v>
          </cell>
          <cell r="AR96">
            <v>26.47</v>
          </cell>
          <cell r="AT96">
            <v>1200</v>
          </cell>
          <cell r="AU96">
            <v>450</v>
          </cell>
        </row>
        <row r="97">
          <cell r="AI97" t="str">
            <v>URETHANE CHROMATE PRIMER</v>
          </cell>
          <cell r="AJ97" t="str">
            <v>4420(A-200)</v>
          </cell>
          <cell r="AK97" t="str">
            <v>1106</v>
          </cell>
          <cell r="AM97">
            <v>1</v>
          </cell>
          <cell r="AN97">
            <v>21.6</v>
          </cell>
          <cell r="AO97">
            <v>12.5</v>
          </cell>
          <cell r="AQ97">
            <v>37.04</v>
          </cell>
          <cell r="AR97">
            <v>24</v>
          </cell>
          <cell r="AT97">
            <v>800</v>
          </cell>
          <cell r="AU97">
            <v>300</v>
          </cell>
        </row>
        <row r="98">
          <cell r="AI98" t="str">
            <v>ZINC TETROXYCHROMATE BUTYRAL ETCH PRIMER</v>
          </cell>
          <cell r="AJ98" t="str">
            <v>4322(U-220)</v>
          </cell>
          <cell r="AK98" t="str">
            <v>738</v>
          </cell>
          <cell r="AM98">
            <v>1</v>
          </cell>
          <cell r="AN98">
            <v>58.41</v>
          </cell>
          <cell r="AO98">
            <v>69.59</v>
          </cell>
          <cell r="AQ98">
            <v>8.56</v>
          </cell>
          <cell r="AR98">
            <v>28.74</v>
          </cell>
          <cell r="AT98">
            <v>500</v>
          </cell>
          <cell r="AU98">
            <v>2000</v>
          </cell>
        </row>
        <row r="100">
          <cell r="AI100" t="str">
            <v>MASONRY &amp; ACRYLIC PAINT</v>
          </cell>
        </row>
        <row r="101">
          <cell r="AI101" t="str">
            <v>SOLVENT BASE MASONRY PRIMER</v>
          </cell>
          <cell r="AJ101" t="str">
            <v>1541</v>
          </cell>
          <cell r="AL101" t="str">
            <v>140</v>
          </cell>
          <cell r="AM101">
            <v>1</v>
          </cell>
          <cell r="AN101">
            <v>9.6999999999999993</v>
          </cell>
          <cell r="AP101">
            <v>14</v>
          </cell>
          <cell r="AQ101">
            <v>40.21</v>
          </cell>
          <cell r="AS101">
            <v>30.36</v>
          </cell>
          <cell r="AT101">
            <v>390</v>
          </cell>
          <cell r="AV101">
            <v>425</v>
          </cell>
        </row>
        <row r="102">
          <cell r="AI102" t="str">
            <v>WATER BASE MASONRY PRIMER</v>
          </cell>
          <cell r="AJ102" t="str">
            <v>1546</v>
          </cell>
          <cell r="AL102" t="str">
            <v>140-1</v>
          </cell>
          <cell r="AM102">
            <v>1</v>
          </cell>
          <cell r="AN102">
            <v>8.1999999999999993</v>
          </cell>
          <cell r="AP102">
            <v>12</v>
          </cell>
          <cell r="AQ102">
            <v>40.24</v>
          </cell>
          <cell r="AS102">
            <v>33.83</v>
          </cell>
          <cell r="AT102">
            <v>330</v>
          </cell>
          <cell r="AV102">
            <v>406</v>
          </cell>
        </row>
        <row r="103">
          <cell r="AI103" t="str">
            <v>WATER BASE MASONRY PAINT</v>
          </cell>
          <cell r="AJ103" t="str">
            <v>1556</v>
          </cell>
          <cell r="AM103">
            <v>1</v>
          </cell>
          <cell r="AN103">
            <v>11.9</v>
          </cell>
          <cell r="AQ103">
            <v>36.97</v>
          </cell>
          <cell r="AT103">
            <v>440</v>
          </cell>
        </row>
        <row r="104">
          <cell r="AI104" t="str">
            <v xml:space="preserve">ACRYLIC EMULSION PAINT </v>
          </cell>
          <cell r="AJ104" t="str">
            <v>1656</v>
          </cell>
          <cell r="AM104">
            <v>1</v>
          </cell>
          <cell r="AN104">
            <v>9.4</v>
          </cell>
          <cell r="AP104">
            <v>25.8</v>
          </cell>
          <cell r="AQ104">
            <v>38.299999999999997</v>
          </cell>
          <cell r="AS104">
            <v>34.880000000000003</v>
          </cell>
          <cell r="AT104">
            <v>360</v>
          </cell>
          <cell r="AV104">
            <v>900</v>
          </cell>
        </row>
        <row r="105">
          <cell r="AI105" t="str">
            <v xml:space="preserve">EMULSION PAINT </v>
          </cell>
          <cell r="AJ105" t="str">
            <v>1657</v>
          </cell>
          <cell r="AL105" t="str">
            <v>130</v>
          </cell>
          <cell r="AM105">
            <v>1</v>
          </cell>
          <cell r="AN105">
            <v>6.4</v>
          </cell>
          <cell r="AP105">
            <v>5.8</v>
          </cell>
          <cell r="AQ105">
            <v>40.630000000000003</v>
          </cell>
          <cell r="AS105">
            <v>34.83</v>
          </cell>
          <cell r="AT105">
            <v>260</v>
          </cell>
          <cell r="AV105">
            <v>202</v>
          </cell>
        </row>
        <row r="107">
          <cell r="AI107" t="str">
            <v>OTHER PAINT</v>
          </cell>
        </row>
        <row r="108">
          <cell r="AH108" t="str">
            <v>AO</v>
          </cell>
          <cell r="AI108" t="str">
            <v>AMERLOCK-400 100,</v>
          </cell>
          <cell r="AM108">
            <v>1</v>
          </cell>
          <cell r="AO108">
            <v>35</v>
          </cell>
          <cell r="AR108">
            <v>21</v>
          </cell>
          <cell r="AU108">
            <v>735</v>
          </cell>
        </row>
        <row r="109">
          <cell r="AI109" t="str">
            <v>BLACK VARNISH</v>
          </cell>
          <cell r="AJ109" t="str">
            <v>1727</v>
          </cell>
          <cell r="AL109" t="str">
            <v>170</v>
          </cell>
          <cell r="AM109">
            <v>1</v>
          </cell>
          <cell r="AN109">
            <v>5.8</v>
          </cell>
          <cell r="AP109">
            <v>6.2</v>
          </cell>
          <cell r="AQ109">
            <v>34.479999999999997</v>
          </cell>
          <cell r="AS109">
            <v>26.94</v>
          </cell>
          <cell r="AT109">
            <v>200</v>
          </cell>
          <cell r="AV109">
            <v>167</v>
          </cell>
        </row>
        <row r="110">
          <cell r="AI110" t="str">
            <v>NEO WATER PROOF COATING</v>
          </cell>
          <cell r="AJ110" t="str">
            <v>1728</v>
          </cell>
          <cell r="AL110" t="str">
            <v>160</v>
          </cell>
          <cell r="AM110">
            <v>1</v>
          </cell>
          <cell r="AN110">
            <v>4.4000000000000004</v>
          </cell>
          <cell r="AP110">
            <v>6.7</v>
          </cell>
          <cell r="AQ110">
            <v>227.27</v>
          </cell>
          <cell r="AS110">
            <v>28.81</v>
          </cell>
          <cell r="AT110">
            <v>1000</v>
          </cell>
          <cell r="AV110">
            <v>193</v>
          </cell>
        </row>
      </sheetData>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切割 MTL"/>
      <sheetName val="切割 DI"/>
      <sheetName val="ESTI."/>
      <sheetName val="DI-ESTI"/>
      <sheetName val="ESTI_"/>
      <sheetName val="DI_ESTI"/>
    </sheetNames>
    <sheetDataSet>
      <sheetData sheetId="0" refreshError="1"/>
      <sheetData sheetId="1" refreshError="1"/>
      <sheetData sheetId="2" refreshError="1">
        <row r="1">
          <cell r="A1" t="str">
            <v>STATISTICAL ESTIMATION OF FITTINGS AND VALVES FOR PIPING WORK</v>
          </cell>
        </row>
        <row r="2">
          <cell r="A2" t="str">
            <v xml:space="preserve">PROJECT NO : </v>
          </cell>
        </row>
        <row r="3">
          <cell r="A3" t="str">
            <v>Fc =</v>
          </cell>
          <cell r="B3">
            <v>1</v>
          </cell>
          <cell r="C3" t="str">
            <v>Fp =</v>
          </cell>
          <cell r="D3">
            <v>0.1</v>
          </cell>
        </row>
        <row r="4">
          <cell r="F4" t="str">
            <v>FITTING NO</v>
          </cell>
          <cell r="N4" t="str">
            <v>VALVE NO</v>
          </cell>
          <cell r="R4" t="str">
            <v>TOTAL</v>
          </cell>
          <cell r="S4" t="str">
            <v>TOTAL</v>
          </cell>
          <cell r="T4" t="str">
            <v>J/M</v>
          </cell>
          <cell r="U4" t="str">
            <v>J/M</v>
          </cell>
        </row>
        <row r="5">
          <cell r="A5" t="str">
            <v>NO</v>
          </cell>
          <cell r="B5" t="str">
            <v>SIZE</v>
          </cell>
          <cell r="C5" t="str">
            <v>SCH</v>
          </cell>
          <cell r="D5" t="str">
            <v>LG (M)</v>
          </cell>
          <cell r="E5" t="str">
            <v>IN-M</v>
          </cell>
          <cell r="F5" t="str">
            <v>90 ELL</v>
          </cell>
          <cell r="G5" t="str">
            <v>45 ELL</v>
          </cell>
          <cell r="H5" t="str">
            <v>TEE</v>
          </cell>
          <cell r="I5" t="str">
            <v>RED</v>
          </cell>
          <cell r="J5" t="str">
            <v>FLG</v>
          </cell>
          <cell r="K5" t="str">
            <v>CPLG</v>
          </cell>
          <cell r="L5" t="str">
            <v>CAP</v>
          </cell>
          <cell r="M5" t="str">
            <v>TOTAL</v>
          </cell>
          <cell r="N5" t="str">
            <v>BLOCK</v>
          </cell>
          <cell r="O5" t="str">
            <v>CHECK</v>
          </cell>
          <cell r="P5" t="str">
            <v>GLOBE</v>
          </cell>
          <cell r="Q5" t="str">
            <v>TOTAL</v>
          </cell>
          <cell r="R5" t="str">
            <v>JOINT</v>
          </cell>
          <cell r="S5" t="str">
            <v>DI</v>
          </cell>
          <cell r="T5" t="str">
            <v>(JOINT)</v>
          </cell>
          <cell r="U5" t="str">
            <v>(DI)</v>
          </cell>
        </row>
        <row r="6">
          <cell r="A6">
            <v>1</v>
          </cell>
          <cell r="B6">
            <v>0.5</v>
          </cell>
          <cell r="E6" t="str">
            <v xml:space="preserve"> </v>
          </cell>
          <cell r="F6">
            <v>0</v>
          </cell>
          <cell r="G6">
            <v>0</v>
          </cell>
          <cell r="H6">
            <v>0</v>
          </cell>
          <cell r="I6">
            <v>0</v>
          </cell>
          <cell r="J6">
            <v>0</v>
          </cell>
          <cell r="K6">
            <v>0</v>
          </cell>
          <cell r="L6">
            <v>0</v>
          </cell>
          <cell r="M6">
            <v>0</v>
          </cell>
          <cell r="N6">
            <v>0</v>
          </cell>
          <cell r="O6">
            <v>0</v>
          </cell>
          <cell r="P6">
            <v>0</v>
          </cell>
          <cell r="Q6">
            <v>0</v>
          </cell>
          <cell r="R6">
            <v>0</v>
          </cell>
          <cell r="S6">
            <v>0</v>
          </cell>
          <cell r="T6" t="str">
            <v xml:space="preserve"> </v>
          </cell>
          <cell r="U6" t="str">
            <v xml:space="preserve"> </v>
          </cell>
        </row>
        <row r="7">
          <cell r="A7">
            <v>2</v>
          </cell>
          <cell r="B7">
            <v>0.75</v>
          </cell>
          <cell r="E7" t="str">
            <v xml:space="preserve"> </v>
          </cell>
          <cell r="F7">
            <v>0</v>
          </cell>
          <cell r="G7">
            <v>0</v>
          </cell>
          <cell r="H7">
            <v>0</v>
          </cell>
          <cell r="I7">
            <v>0</v>
          </cell>
          <cell r="J7">
            <v>0</v>
          </cell>
          <cell r="K7">
            <v>0</v>
          </cell>
          <cell r="L7">
            <v>0</v>
          </cell>
          <cell r="M7">
            <v>0</v>
          </cell>
          <cell r="N7">
            <v>0</v>
          </cell>
          <cell r="O7">
            <v>0</v>
          </cell>
          <cell r="P7">
            <v>0</v>
          </cell>
          <cell r="Q7">
            <v>0</v>
          </cell>
          <cell r="R7">
            <v>0</v>
          </cell>
          <cell r="S7">
            <v>0</v>
          </cell>
          <cell r="T7" t="str">
            <v xml:space="preserve"> </v>
          </cell>
          <cell r="U7" t="str">
            <v xml:space="preserve"> </v>
          </cell>
        </row>
        <row r="8">
          <cell r="A8">
            <v>3</v>
          </cell>
          <cell r="B8">
            <v>1</v>
          </cell>
          <cell r="E8" t="str">
            <v xml:space="preserve"> </v>
          </cell>
          <cell r="F8">
            <v>0</v>
          </cell>
          <cell r="G8">
            <v>0</v>
          </cell>
          <cell r="H8">
            <v>0</v>
          </cell>
          <cell r="I8">
            <v>0</v>
          </cell>
          <cell r="J8">
            <v>0</v>
          </cell>
          <cell r="K8">
            <v>0</v>
          </cell>
          <cell r="L8">
            <v>0</v>
          </cell>
          <cell r="M8">
            <v>0</v>
          </cell>
          <cell r="N8">
            <v>0</v>
          </cell>
          <cell r="O8">
            <v>0</v>
          </cell>
          <cell r="P8">
            <v>0</v>
          </cell>
          <cell r="Q8">
            <v>0</v>
          </cell>
          <cell r="R8">
            <v>0</v>
          </cell>
          <cell r="S8">
            <v>0</v>
          </cell>
          <cell r="T8" t="str">
            <v xml:space="preserve"> </v>
          </cell>
          <cell r="U8" t="str">
            <v xml:space="preserve"> </v>
          </cell>
        </row>
        <row r="9">
          <cell r="A9">
            <v>4</v>
          </cell>
          <cell r="B9">
            <v>1.5</v>
          </cell>
          <cell r="E9" t="str">
            <v xml:space="preserve"> </v>
          </cell>
          <cell r="F9">
            <v>0</v>
          </cell>
          <cell r="G9">
            <v>0</v>
          </cell>
          <cell r="H9">
            <v>0</v>
          </cell>
          <cell r="I9">
            <v>0</v>
          </cell>
          <cell r="J9">
            <v>0</v>
          </cell>
          <cell r="K9">
            <v>0</v>
          </cell>
          <cell r="L9">
            <v>0</v>
          </cell>
          <cell r="M9">
            <v>0</v>
          </cell>
          <cell r="N9">
            <v>0</v>
          </cell>
          <cell r="O9">
            <v>0</v>
          </cell>
          <cell r="P9">
            <v>0</v>
          </cell>
          <cell r="Q9">
            <v>0</v>
          </cell>
          <cell r="R9">
            <v>0</v>
          </cell>
          <cell r="S9">
            <v>0</v>
          </cell>
          <cell r="T9" t="str">
            <v xml:space="preserve"> </v>
          </cell>
          <cell r="U9" t="str">
            <v xml:space="preserve"> </v>
          </cell>
        </row>
        <row r="10">
          <cell r="A10">
            <v>5</v>
          </cell>
          <cell r="B10">
            <v>2</v>
          </cell>
          <cell r="E10" t="str">
            <v xml:space="preserve"> </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t="str">
            <v xml:space="preserve"> </v>
          </cell>
          <cell r="U10" t="str">
            <v xml:space="preserve"> </v>
          </cell>
        </row>
        <row r="11">
          <cell r="A11">
            <v>6</v>
          </cell>
          <cell r="B11">
            <v>2.5</v>
          </cell>
          <cell r="E11" t="str">
            <v xml:space="preserve"> </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t="str">
            <v xml:space="preserve"> </v>
          </cell>
          <cell r="U11" t="str">
            <v xml:space="preserve"> </v>
          </cell>
        </row>
        <row r="12">
          <cell r="A12">
            <v>7</v>
          </cell>
          <cell r="B12">
            <v>3</v>
          </cell>
          <cell r="E12" t="str">
            <v xml:space="preserve"> </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t="str">
            <v xml:space="preserve"> </v>
          </cell>
          <cell r="U12" t="str">
            <v xml:space="preserve"> </v>
          </cell>
        </row>
        <row r="13">
          <cell r="A13">
            <v>8</v>
          </cell>
          <cell r="B13">
            <v>4</v>
          </cell>
          <cell r="E13" t="str">
            <v xml:space="preserve"> </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t="str">
            <v xml:space="preserve"> </v>
          </cell>
          <cell r="U13" t="str">
            <v xml:space="preserve"> </v>
          </cell>
        </row>
        <row r="14">
          <cell r="A14">
            <v>9</v>
          </cell>
          <cell r="B14">
            <v>5</v>
          </cell>
          <cell r="E14" t="str">
            <v xml:space="preserve"> </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t="str">
            <v xml:space="preserve"> </v>
          </cell>
          <cell r="U14" t="str">
            <v xml:space="preserve"> </v>
          </cell>
        </row>
        <row r="15">
          <cell r="A15">
            <v>10</v>
          </cell>
          <cell r="B15">
            <v>6</v>
          </cell>
          <cell r="E15" t="str">
            <v xml:space="preserve"> </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t="str">
            <v xml:space="preserve"> </v>
          </cell>
          <cell r="U15" t="str">
            <v xml:space="preserve"> </v>
          </cell>
        </row>
        <row r="16">
          <cell r="A16">
            <v>11</v>
          </cell>
          <cell r="B16">
            <v>8</v>
          </cell>
          <cell r="E16" t="str">
            <v xml:space="preserve"> </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t="str">
            <v xml:space="preserve"> </v>
          </cell>
          <cell r="U16" t="str">
            <v xml:space="preserve"> </v>
          </cell>
        </row>
        <row r="17">
          <cell r="A17">
            <v>12</v>
          </cell>
          <cell r="B17">
            <v>10</v>
          </cell>
          <cell r="E17" t="str">
            <v xml:space="preserve"> </v>
          </cell>
          <cell r="F17">
            <v>0</v>
          </cell>
          <cell r="G17">
            <v>0</v>
          </cell>
          <cell r="H17">
            <v>0</v>
          </cell>
          <cell r="I17">
            <v>0</v>
          </cell>
          <cell r="J17">
            <v>0</v>
          </cell>
          <cell r="L17">
            <v>0</v>
          </cell>
          <cell r="M17">
            <v>0</v>
          </cell>
          <cell r="N17">
            <v>0</v>
          </cell>
          <cell r="O17">
            <v>0</v>
          </cell>
          <cell r="P17">
            <v>0</v>
          </cell>
          <cell r="Q17">
            <v>0</v>
          </cell>
          <cell r="R17">
            <v>0</v>
          </cell>
          <cell r="S17">
            <v>0</v>
          </cell>
          <cell r="T17" t="str">
            <v xml:space="preserve"> </v>
          </cell>
          <cell r="U17" t="str">
            <v xml:space="preserve"> </v>
          </cell>
        </row>
        <row r="18">
          <cell r="A18">
            <v>13</v>
          </cell>
          <cell r="B18">
            <v>12</v>
          </cell>
          <cell r="E18" t="str">
            <v xml:space="preserve"> </v>
          </cell>
          <cell r="F18">
            <v>0</v>
          </cell>
          <cell r="G18">
            <v>0</v>
          </cell>
          <cell r="H18">
            <v>0</v>
          </cell>
          <cell r="I18">
            <v>0</v>
          </cell>
          <cell r="J18">
            <v>0</v>
          </cell>
          <cell r="L18">
            <v>0</v>
          </cell>
          <cell r="M18">
            <v>0</v>
          </cell>
          <cell r="N18">
            <v>0</v>
          </cell>
          <cell r="O18">
            <v>0</v>
          </cell>
          <cell r="P18">
            <v>0</v>
          </cell>
          <cell r="Q18">
            <v>0</v>
          </cell>
          <cell r="R18">
            <v>0</v>
          </cell>
          <cell r="S18">
            <v>0</v>
          </cell>
          <cell r="T18" t="str">
            <v xml:space="preserve"> </v>
          </cell>
          <cell r="U18" t="str">
            <v xml:space="preserve"> </v>
          </cell>
        </row>
        <row r="19">
          <cell r="A19">
            <v>14</v>
          </cell>
          <cell r="B19">
            <v>14</v>
          </cell>
          <cell r="E19" t="str">
            <v xml:space="preserve"> </v>
          </cell>
          <cell r="F19">
            <v>0</v>
          </cell>
          <cell r="G19">
            <v>0</v>
          </cell>
          <cell r="H19">
            <v>0</v>
          </cell>
          <cell r="I19">
            <v>0</v>
          </cell>
          <cell r="J19">
            <v>0</v>
          </cell>
          <cell r="L19">
            <v>0</v>
          </cell>
          <cell r="M19">
            <v>0</v>
          </cell>
          <cell r="N19">
            <v>0</v>
          </cell>
          <cell r="O19">
            <v>0</v>
          </cell>
          <cell r="P19">
            <v>0</v>
          </cell>
          <cell r="Q19">
            <v>0</v>
          </cell>
          <cell r="R19">
            <v>0</v>
          </cell>
          <cell r="S19">
            <v>0</v>
          </cell>
          <cell r="T19" t="str">
            <v xml:space="preserve"> </v>
          </cell>
          <cell r="U19" t="str">
            <v xml:space="preserve"> </v>
          </cell>
        </row>
        <row r="20">
          <cell r="A20">
            <v>15</v>
          </cell>
          <cell r="B20">
            <v>16</v>
          </cell>
          <cell r="E20" t="str">
            <v xml:space="preserve"> </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t="str">
            <v xml:space="preserve"> </v>
          </cell>
          <cell r="U20" t="str">
            <v xml:space="preserve"> </v>
          </cell>
        </row>
        <row r="21">
          <cell r="A21">
            <v>16</v>
          </cell>
          <cell r="B21">
            <v>18</v>
          </cell>
          <cell r="E21" t="str">
            <v xml:space="preserve"> </v>
          </cell>
          <cell r="F21">
            <v>0</v>
          </cell>
          <cell r="G21">
            <v>0</v>
          </cell>
          <cell r="H21">
            <v>0</v>
          </cell>
          <cell r="I21">
            <v>0</v>
          </cell>
          <cell r="J21">
            <v>0</v>
          </cell>
          <cell r="L21">
            <v>0</v>
          </cell>
          <cell r="M21">
            <v>0</v>
          </cell>
          <cell r="N21">
            <v>0</v>
          </cell>
          <cell r="O21">
            <v>0</v>
          </cell>
          <cell r="P21">
            <v>0</v>
          </cell>
          <cell r="Q21">
            <v>0</v>
          </cell>
          <cell r="R21">
            <v>0</v>
          </cell>
          <cell r="S21">
            <v>0</v>
          </cell>
          <cell r="T21" t="str">
            <v xml:space="preserve"> </v>
          </cell>
          <cell r="U21" t="str">
            <v xml:space="preserve"> </v>
          </cell>
        </row>
        <row r="22">
          <cell r="A22">
            <v>17</v>
          </cell>
          <cell r="B22">
            <v>20</v>
          </cell>
          <cell r="E22" t="str">
            <v xml:space="preserve"> </v>
          </cell>
          <cell r="F22">
            <v>0</v>
          </cell>
          <cell r="G22">
            <v>0</v>
          </cell>
          <cell r="H22">
            <v>0</v>
          </cell>
          <cell r="I22">
            <v>0</v>
          </cell>
          <cell r="J22">
            <v>0</v>
          </cell>
          <cell r="L22">
            <v>0</v>
          </cell>
          <cell r="M22">
            <v>0</v>
          </cell>
          <cell r="N22">
            <v>0</v>
          </cell>
          <cell r="O22">
            <v>0</v>
          </cell>
          <cell r="P22">
            <v>0</v>
          </cell>
          <cell r="Q22">
            <v>0</v>
          </cell>
          <cell r="R22">
            <v>0</v>
          </cell>
          <cell r="S22">
            <v>0</v>
          </cell>
          <cell r="T22" t="str">
            <v xml:space="preserve"> </v>
          </cell>
          <cell r="U22" t="str">
            <v xml:space="preserve"> </v>
          </cell>
        </row>
        <row r="23">
          <cell r="A23">
            <v>18</v>
          </cell>
          <cell r="B23">
            <v>22</v>
          </cell>
          <cell r="E23" t="str">
            <v xml:space="preserve"> </v>
          </cell>
          <cell r="F23">
            <v>0</v>
          </cell>
          <cell r="G23">
            <v>0</v>
          </cell>
          <cell r="H23">
            <v>0</v>
          </cell>
          <cell r="I23">
            <v>0</v>
          </cell>
          <cell r="J23">
            <v>0</v>
          </cell>
          <cell r="L23">
            <v>0</v>
          </cell>
          <cell r="M23">
            <v>0</v>
          </cell>
          <cell r="N23">
            <v>0</v>
          </cell>
          <cell r="O23">
            <v>0</v>
          </cell>
          <cell r="P23">
            <v>0</v>
          </cell>
          <cell r="Q23">
            <v>0</v>
          </cell>
          <cell r="R23">
            <v>0</v>
          </cell>
          <cell r="S23">
            <v>0</v>
          </cell>
          <cell r="T23" t="str">
            <v xml:space="preserve"> </v>
          </cell>
          <cell r="U23" t="str">
            <v xml:space="preserve"> </v>
          </cell>
        </row>
        <row r="24">
          <cell r="A24">
            <v>19</v>
          </cell>
          <cell r="B24">
            <v>24</v>
          </cell>
          <cell r="E24" t="str">
            <v xml:space="preserve"> </v>
          </cell>
          <cell r="F24">
            <v>0</v>
          </cell>
          <cell r="G24">
            <v>0</v>
          </cell>
          <cell r="H24">
            <v>0</v>
          </cell>
          <cell r="I24">
            <v>0</v>
          </cell>
          <cell r="J24">
            <v>0</v>
          </cell>
          <cell r="L24">
            <v>0</v>
          </cell>
          <cell r="M24">
            <v>0</v>
          </cell>
          <cell r="N24">
            <v>0</v>
          </cell>
          <cell r="O24">
            <v>0</v>
          </cell>
          <cell r="P24">
            <v>0</v>
          </cell>
          <cell r="Q24">
            <v>0</v>
          </cell>
          <cell r="R24">
            <v>0</v>
          </cell>
          <cell r="S24">
            <v>0</v>
          </cell>
          <cell r="T24" t="str">
            <v xml:space="preserve"> </v>
          </cell>
          <cell r="U24" t="str">
            <v xml:space="preserve"> </v>
          </cell>
        </row>
        <row r="25">
          <cell r="A25">
            <v>20</v>
          </cell>
          <cell r="B25">
            <v>26</v>
          </cell>
          <cell r="E25" t="str">
            <v xml:space="preserve"> </v>
          </cell>
          <cell r="F25">
            <v>0</v>
          </cell>
          <cell r="G25">
            <v>0</v>
          </cell>
          <cell r="H25">
            <v>0</v>
          </cell>
          <cell r="I25">
            <v>0</v>
          </cell>
          <cell r="J25">
            <v>0</v>
          </cell>
          <cell r="L25">
            <v>0</v>
          </cell>
          <cell r="M25">
            <v>0</v>
          </cell>
          <cell r="N25">
            <v>0</v>
          </cell>
          <cell r="O25">
            <v>0</v>
          </cell>
          <cell r="P25">
            <v>0</v>
          </cell>
          <cell r="Q25">
            <v>0</v>
          </cell>
          <cell r="R25">
            <v>0</v>
          </cell>
          <cell r="S25">
            <v>0</v>
          </cell>
          <cell r="T25" t="str">
            <v xml:space="preserve"> </v>
          </cell>
          <cell r="U25" t="str">
            <v xml:space="preserve"> </v>
          </cell>
        </row>
        <row r="26">
          <cell r="A26">
            <v>21</v>
          </cell>
          <cell r="B26">
            <v>28</v>
          </cell>
          <cell r="E26" t="str">
            <v xml:space="preserve"> </v>
          </cell>
          <cell r="F26">
            <v>0</v>
          </cell>
          <cell r="G26">
            <v>0</v>
          </cell>
          <cell r="H26">
            <v>0</v>
          </cell>
          <cell r="I26">
            <v>0</v>
          </cell>
          <cell r="J26">
            <v>0</v>
          </cell>
          <cell r="L26">
            <v>0</v>
          </cell>
          <cell r="M26">
            <v>0</v>
          </cell>
          <cell r="N26">
            <v>0</v>
          </cell>
          <cell r="O26">
            <v>0</v>
          </cell>
          <cell r="P26">
            <v>0</v>
          </cell>
          <cell r="Q26">
            <v>0</v>
          </cell>
          <cell r="R26">
            <v>0</v>
          </cell>
          <cell r="S26">
            <v>0</v>
          </cell>
          <cell r="T26" t="str">
            <v xml:space="preserve"> </v>
          </cell>
          <cell r="U26" t="str">
            <v xml:space="preserve"> </v>
          </cell>
        </row>
        <row r="27">
          <cell r="A27">
            <v>22</v>
          </cell>
          <cell r="B27">
            <v>30</v>
          </cell>
          <cell r="E27" t="str">
            <v xml:space="preserve"> </v>
          </cell>
          <cell r="F27">
            <v>0</v>
          </cell>
          <cell r="G27">
            <v>0</v>
          </cell>
          <cell r="H27">
            <v>0</v>
          </cell>
          <cell r="I27">
            <v>0</v>
          </cell>
          <cell r="J27">
            <v>0</v>
          </cell>
          <cell r="L27">
            <v>0</v>
          </cell>
          <cell r="M27">
            <v>0</v>
          </cell>
          <cell r="N27">
            <v>0</v>
          </cell>
          <cell r="O27">
            <v>0</v>
          </cell>
          <cell r="P27">
            <v>0</v>
          </cell>
          <cell r="Q27">
            <v>0</v>
          </cell>
          <cell r="R27">
            <v>0</v>
          </cell>
          <cell r="S27">
            <v>0</v>
          </cell>
          <cell r="T27" t="str">
            <v xml:space="preserve"> </v>
          </cell>
          <cell r="U27" t="str">
            <v xml:space="preserve"> </v>
          </cell>
        </row>
        <row r="28">
          <cell r="A28">
            <v>23</v>
          </cell>
          <cell r="B28">
            <v>32</v>
          </cell>
          <cell r="E28" t="str">
            <v xml:space="preserve"> </v>
          </cell>
          <cell r="F28">
            <v>0</v>
          </cell>
          <cell r="G28">
            <v>0</v>
          </cell>
          <cell r="H28">
            <v>0</v>
          </cell>
          <cell r="I28">
            <v>0</v>
          </cell>
          <cell r="J28">
            <v>0</v>
          </cell>
          <cell r="L28">
            <v>0</v>
          </cell>
          <cell r="M28">
            <v>0</v>
          </cell>
          <cell r="N28">
            <v>0</v>
          </cell>
          <cell r="O28">
            <v>0</v>
          </cell>
          <cell r="P28">
            <v>0</v>
          </cell>
          <cell r="Q28">
            <v>0</v>
          </cell>
          <cell r="R28">
            <v>0</v>
          </cell>
          <cell r="S28">
            <v>0</v>
          </cell>
          <cell r="T28" t="str">
            <v xml:space="preserve"> </v>
          </cell>
          <cell r="U28" t="str">
            <v xml:space="preserve"> </v>
          </cell>
        </row>
        <row r="29">
          <cell r="A29">
            <v>24</v>
          </cell>
          <cell r="B29">
            <v>34</v>
          </cell>
          <cell r="E29" t="str">
            <v xml:space="preserve"> </v>
          </cell>
          <cell r="F29">
            <v>0</v>
          </cell>
          <cell r="G29">
            <v>0</v>
          </cell>
          <cell r="H29">
            <v>0</v>
          </cell>
          <cell r="I29">
            <v>0</v>
          </cell>
          <cell r="J29">
            <v>0</v>
          </cell>
          <cell r="L29">
            <v>0</v>
          </cell>
          <cell r="M29">
            <v>0</v>
          </cell>
          <cell r="N29">
            <v>0</v>
          </cell>
          <cell r="O29">
            <v>0</v>
          </cell>
          <cell r="P29">
            <v>0</v>
          </cell>
          <cell r="Q29">
            <v>0</v>
          </cell>
          <cell r="R29">
            <v>0</v>
          </cell>
          <cell r="S29">
            <v>0</v>
          </cell>
          <cell r="T29" t="str">
            <v xml:space="preserve"> </v>
          </cell>
          <cell r="U29" t="str">
            <v xml:space="preserve"> </v>
          </cell>
        </row>
        <row r="30">
          <cell r="A30">
            <v>25</v>
          </cell>
          <cell r="B30">
            <v>36</v>
          </cell>
          <cell r="E30" t="str">
            <v xml:space="preserve"> </v>
          </cell>
          <cell r="F30">
            <v>0</v>
          </cell>
          <cell r="G30">
            <v>0</v>
          </cell>
          <cell r="H30">
            <v>0</v>
          </cell>
          <cell r="I30">
            <v>0</v>
          </cell>
          <cell r="J30">
            <v>0</v>
          </cell>
          <cell r="L30">
            <v>0</v>
          </cell>
          <cell r="M30">
            <v>0</v>
          </cell>
          <cell r="N30">
            <v>0</v>
          </cell>
          <cell r="O30">
            <v>0</v>
          </cell>
          <cell r="P30">
            <v>0</v>
          </cell>
          <cell r="Q30">
            <v>0</v>
          </cell>
          <cell r="R30">
            <v>0</v>
          </cell>
          <cell r="S30">
            <v>0</v>
          </cell>
          <cell r="T30" t="str">
            <v xml:space="preserve"> </v>
          </cell>
          <cell r="U30" t="str">
            <v xml:space="preserve"> </v>
          </cell>
        </row>
        <row r="31">
          <cell r="A31">
            <v>26</v>
          </cell>
          <cell r="B31">
            <v>38</v>
          </cell>
          <cell r="E31" t="str">
            <v xml:space="preserve"> </v>
          </cell>
          <cell r="F31">
            <v>0</v>
          </cell>
          <cell r="G31">
            <v>0</v>
          </cell>
          <cell r="H31">
            <v>0</v>
          </cell>
          <cell r="I31">
            <v>0</v>
          </cell>
          <cell r="J31">
            <v>0</v>
          </cell>
          <cell r="L31">
            <v>0</v>
          </cell>
          <cell r="M31">
            <v>0</v>
          </cell>
          <cell r="N31">
            <v>0</v>
          </cell>
          <cell r="O31">
            <v>0</v>
          </cell>
          <cell r="P31">
            <v>0</v>
          </cell>
          <cell r="Q31">
            <v>0</v>
          </cell>
          <cell r="R31">
            <v>0</v>
          </cell>
          <cell r="S31">
            <v>0</v>
          </cell>
          <cell r="T31" t="str">
            <v xml:space="preserve"> </v>
          </cell>
          <cell r="U31" t="str">
            <v xml:space="preserve"> </v>
          </cell>
        </row>
        <row r="32">
          <cell r="A32">
            <v>27</v>
          </cell>
          <cell r="B32">
            <v>40</v>
          </cell>
          <cell r="E32" t="str">
            <v xml:space="preserve"> </v>
          </cell>
          <cell r="F32">
            <v>0</v>
          </cell>
          <cell r="G32">
            <v>0</v>
          </cell>
          <cell r="H32">
            <v>0</v>
          </cell>
          <cell r="I32">
            <v>0</v>
          </cell>
          <cell r="J32">
            <v>0</v>
          </cell>
          <cell r="L32">
            <v>0</v>
          </cell>
          <cell r="M32">
            <v>0</v>
          </cell>
          <cell r="N32">
            <v>0</v>
          </cell>
          <cell r="O32">
            <v>0</v>
          </cell>
          <cell r="P32">
            <v>0</v>
          </cell>
          <cell r="Q32">
            <v>0</v>
          </cell>
          <cell r="R32">
            <v>0</v>
          </cell>
          <cell r="S32">
            <v>0</v>
          </cell>
          <cell r="T32" t="str">
            <v xml:space="preserve"> </v>
          </cell>
          <cell r="U32" t="str">
            <v xml:space="preserve"> </v>
          </cell>
        </row>
        <row r="33">
          <cell r="A33">
            <v>28</v>
          </cell>
          <cell r="B33">
            <v>42</v>
          </cell>
          <cell r="E33" t="str">
            <v xml:space="preserve"> </v>
          </cell>
          <cell r="F33">
            <v>0</v>
          </cell>
          <cell r="G33">
            <v>0</v>
          </cell>
          <cell r="H33">
            <v>0</v>
          </cell>
          <cell r="I33">
            <v>0</v>
          </cell>
          <cell r="J33">
            <v>0</v>
          </cell>
          <cell r="L33">
            <v>0</v>
          </cell>
          <cell r="M33">
            <v>0</v>
          </cell>
          <cell r="N33">
            <v>0</v>
          </cell>
          <cell r="O33">
            <v>0</v>
          </cell>
          <cell r="P33">
            <v>0</v>
          </cell>
          <cell r="Q33">
            <v>0</v>
          </cell>
          <cell r="R33">
            <v>0</v>
          </cell>
          <cell r="S33">
            <v>0</v>
          </cell>
          <cell r="T33" t="str">
            <v xml:space="preserve"> </v>
          </cell>
          <cell r="U33" t="str">
            <v xml:space="preserve"> </v>
          </cell>
        </row>
        <row r="34">
          <cell r="A34">
            <v>29</v>
          </cell>
          <cell r="B34">
            <v>44</v>
          </cell>
          <cell r="E34" t="str">
            <v xml:space="preserve"> </v>
          </cell>
          <cell r="F34">
            <v>0</v>
          </cell>
          <cell r="G34">
            <v>0</v>
          </cell>
          <cell r="H34">
            <v>0</v>
          </cell>
          <cell r="I34">
            <v>0</v>
          </cell>
          <cell r="J34">
            <v>0</v>
          </cell>
          <cell r="L34">
            <v>0</v>
          </cell>
          <cell r="M34">
            <v>0</v>
          </cell>
          <cell r="N34">
            <v>0</v>
          </cell>
          <cell r="O34">
            <v>0</v>
          </cell>
          <cell r="P34">
            <v>0</v>
          </cell>
          <cell r="Q34">
            <v>0</v>
          </cell>
          <cell r="R34">
            <v>0</v>
          </cell>
          <cell r="S34">
            <v>0</v>
          </cell>
          <cell r="T34" t="str">
            <v xml:space="preserve"> </v>
          </cell>
          <cell r="U34" t="str">
            <v xml:space="preserve"> </v>
          </cell>
        </row>
        <row r="35">
          <cell r="A35">
            <v>30</v>
          </cell>
          <cell r="B35">
            <v>46</v>
          </cell>
          <cell r="E35" t="str">
            <v xml:space="preserve"> </v>
          </cell>
          <cell r="F35">
            <v>0</v>
          </cell>
          <cell r="G35">
            <v>0</v>
          </cell>
          <cell r="H35">
            <v>0</v>
          </cell>
          <cell r="I35">
            <v>0</v>
          </cell>
          <cell r="J35">
            <v>0</v>
          </cell>
          <cell r="L35">
            <v>0</v>
          </cell>
          <cell r="M35">
            <v>0</v>
          </cell>
          <cell r="N35">
            <v>0</v>
          </cell>
          <cell r="O35">
            <v>0</v>
          </cell>
          <cell r="P35">
            <v>0</v>
          </cell>
          <cell r="Q35">
            <v>0</v>
          </cell>
          <cell r="R35">
            <v>0</v>
          </cell>
          <cell r="S35">
            <v>0</v>
          </cell>
          <cell r="T35" t="str">
            <v xml:space="preserve"> </v>
          </cell>
          <cell r="U35" t="str">
            <v xml:space="preserve"> </v>
          </cell>
        </row>
        <row r="36">
          <cell r="A36">
            <v>31</v>
          </cell>
          <cell r="B36">
            <v>48</v>
          </cell>
          <cell r="E36" t="str">
            <v xml:space="preserve"> </v>
          </cell>
          <cell r="F36">
            <v>0</v>
          </cell>
          <cell r="G36">
            <v>0</v>
          </cell>
          <cell r="H36">
            <v>0</v>
          </cell>
          <cell r="I36">
            <v>0</v>
          </cell>
          <cell r="J36">
            <v>0</v>
          </cell>
          <cell r="L36">
            <v>0</v>
          </cell>
          <cell r="M36">
            <v>0</v>
          </cell>
          <cell r="N36">
            <v>0</v>
          </cell>
          <cell r="O36">
            <v>0</v>
          </cell>
          <cell r="P36">
            <v>0</v>
          </cell>
          <cell r="Q36">
            <v>0</v>
          </cell>
          <cell r="R36">
            <v>0</v>
          </cell>
          <cell r="S36">
            <v>0</v>
          </cell>
          <cell r="T36" t="str">
            <v xml:space="preserve"> </v>
          </cell>
          <cell r="U36" t="str">
            <v xml:space="preserve"> </v>
          </cell>
        </row>
        <row r="37">
          <cell r="A37">
            <v>32</v>
          </cell>
          <cell r="B37">
            <v>52</v>
          </cell>
          <cell r="E37" t="str">
            <v xml:space="preserve"> </v>
          </cell>
          <cell r="F37">
            <v>0</v>
          </cell>
          <cell r="G37">
            <v>0</v>
          </cell>
          <cell r="H37">
            <v>0</v>
          </cell>
          <cell r="I37">
            <v>0</v>
          </cell>
          <cell r="J37">
            <v>0</v>
          </cell>
          <cell r="L37">
            <v>0</v>
          </cell>
          <cell r="M37">
            <v>0</v>
          </cell>
          <cell r="N37">
            <v>0</v>
          </cell>
          <cell r="O37">
            <v>0</v>
          </cell>
          <cell r="P37">
            <v>0</v>
          </cell>
          <cell r="Q37">
            <v>0</v>
          </cell>
          <cell r="R37">
            <v>0</v>
          </cell>
          <cell r="S37">
            <v>0</v>
          </cell>
          <cell r="T37" t="str">
            <v xml:space="preserve"> </v>
          </cell>
          <cell r="U37" t="str">
            <v xml:space="preserve"> </v>
          </cell>
        </row>
        <row r="38">
          <cell r="A38">
            <v>33</v>
          </cell>
          <cell r="B38">
            <v>56</v>
          </cell>
          <cell r="E38" t="str">
            <v xml:space="preserve"> </v>
          </cell>
          <cell r="F38">
            <v>0</v>
          </cell>
          <cell r="G38">
            <v>0</v>
          </cell>
          <cell r="H38">
            <v>0</v>
          </cell>
          <cell r="I38">
            <v>0</v>
          </cell>
          <cell r="J38">
            <v>0</v>
          </cell>
          <cell r="L38">
            <v>0</v>
          </cell>
          <cell r="M38">
            <v>0</v>
          </cell>
          <cell r="N38">
            <v>0</v>
          </cell>
          <cell r="O38">
            <v>0</v>
          </cell>
          <cell r="P38">
            <v>0</v>
          </cell>
          <cell r="Q38">
            <v>0</v>
          </cell>
          <cell r="R38">
            <v>0</v>
          </cell>
          <cell r="S38">
            <v>0</v>
          </cell>
          <cell r="T38" t="str">
            <v xml:space="preserve"> </v>
          </cell>
          <cell r="U38" t="str">
            <v xml:space="preserve"> </v>
          </cell>
        </row>
        <row r="39">
          <cell r="A39">
            <v>34</v>
          </cell>
          <cell r="B39">
            <v>60</v>
          </cell>
          <cell r="E39" t="str">
            <v xml:space="preserve"> </v>
          </cell>
          <cell r="F39">
            <v>0</v>
          </cell>
          <cell r="G39">
            <v>0</v>
          </cell>
          <cell r="H39">
            <v>0</v>
          </cell>
          <cell r="I39">
            <v>0</v>
          </cell>
          <cell r="J39">
            <v>0</v>
          </cell>
          <cell r="L39">
            <v>0</v>
          </cell>
          <cell r="M39">
            <v>0</v>
          </cell>
          <cell r="N39">
            <v>0</v>
          </cell>
          <cell r="O39">
            <v>0</v>
          </cell>
          <cell r="P39">
            <v>0</v>
          </cell>
          <cell r="Q39">
            <v>0</v>
          </cell>
          <cell r="R39">
            <v>0</v>
          </cell>
          <cell r="S39">
            <v>0</v>
          </cell>
          <cell r="T39" t="str">
            <v xml:space="preserve"> </v>
          </cell>
          <cell r="U39" t="str">
            <v xml:space="preserve"> </v>
          </cell>
        </row>
        <row r="40">
          <cell r="A40">
            <v>35</v>
          </cell>
          <cell r="B40">
            <v>64</v>
          </cell>
          <cell r="E40" t="str">
            <v xml:space="preserve"> </v>
          </cell>
          <cell r="F40">
            <v>0</v>
          </cell>
          <cell r="G40">
            <v>0</v>
          </cell>
          <cell r="H40">
            <v>0</v>
          </cell>
          <cell r="I40">
            <v>0</v>
          </cell>
          <cell r="J40">
            <v>0</v>
          </cell>
          <cell r="L40">
            <v>0</v>
          </cell>
          <cell r="M40">
            <v>0</v>
          </cell>
          <cell r="N40">
            <v>0</v>
          </cell>
          <cell r="O40">
            <v>0</v>
          </cell>
          <cell r="P40">
            <v>0</v>
          </cell>
          <cell r="Q40">
            <v>0</v>
          </cell>
          <cell r="R40">
            <v>0</v>
          </cell>
          <cell r="S40">
            <v>0</v>
          </cell>
          <cell r="T40" t="str">
            <v xml:space="preserve"> </v>
          </cell>
          <cell r="U40" t="str">
            <v xml:space="preserve"> </v>
          </cell>
        </row>
        <row r="41">
          <cell r="A41">
            <v>36</v>
          </cell>
          <cell r="B41">
            <v>68</v>
          </cell>
          <cell r="E41" t="str">
            <v xml:space="preserve"> </v>
          </cell>
          <cell r="F41">
            <v>0</v>
          </cell>
          <cell r="G41">
            <v>0</v>
          </cell>
          <cell r="H41">
            <v>0</v>
          </cell>
          <cell r="I41">
            <v>0</v>
          </cell>
          <cell r="J41">
            <v>0</v>
          </cell>
          <cell r="L41">
            <v>0</v>
          </cell>
          <cell r="M41">
            <v>0</v>
          </cell>
          <cell r="N41">
            <v>0</v>
          </cell>
          <cell r="O41">
            <v>0</v>
          </cell>
          <cell r="P41">
            <v>0</v>
          </cell>
          <cell r="Q41">
            <v>0</v>
          </cell>
          <cell r="R41">
            <v>0</v>
          </cell>
          <cell r="S41">
            <v>0</v>
          </cell>
          <cell r="T41" t="str">
            <v xml:space="preserve"> </v>
          </cell>
          <cell r="U41" t="str">
            <v xml:space="preserve"> </v>
          </cell>
        </row>
        <row r="42">
          <cell r="A42">
            <v>37</v>
          </cell>
          <cell r="B42">
            <v>72</v>
          </cell>
          <cell r="E42" t="str">
            <v xml:space="preserve"> </v>
          </cell>
          <cell r="F42">
            <v>0</v>
          </cell>
          <cell r="G42">
            <v>0</v>
          </cell>
          <cell r="H42">
            <v>0</v>
          </cell>
          <cell r="I42">
            <v>0</v>
          </cell>
          <cell r="J42">
            <v>0</v>
          </cell>
          <cell r="L42">
            <v>0</v>
          </cell>
          <cell r="M42">
            <v>0</v>
          </cell>
          <cell r="N42">
            <v>0</v>
          </cell>
          <cell r="O42">
            <v>0</v>
          </cell>
          <cell r="P42">
            <v>0</v>
          </cell>
          <cell r="Q42">
            <v>0</v>
          </cell>
          <cell r="R42">
            <v>0</v>
          </cell>
          <cell r="S42">
            <v>0</v>
          </cell>
          <cell r="T42" t="str">
            <v xml:space="preserve"> </v>
          </cell>
          <cell r="U42" t="str">
            <v xml:space="preserve"> </v>
          </cell>
        </row>
        <row r="43">
          <cell r="A43">
            <v>38</v>
          </cell>
          <cell r="B43">
            <v>76</v>
          </cell>
          <cell r="E43" t="str">
            <v xml:space="preserve"> </v>
          </cell>
          <cell r="F43">
            <v>0</v>
          </cell>
          <cell r="G43">
            <v>0</v>
          </cell>
          <cell r="H43">
            <v>0</v>
          </cell>
          <cell r="I43">
            <v>0</v>
          </cell>
          <cell r="J43">
            <v>0</v>
          </cell>
          <cell r="L43">
            <v>0</v>
          </cell>
          <cell r="M43">
            <v>0</v>
          </cell>
          <cell r="N43">
            <v>0</v>
          </cell>
          <cell r="O43">
            <v>0</v>
          </cell>
          <cell r="P43">
            <v>0</v>
          </cell>
          <cell r="Q43">
            <v>0</v>
          </cell>
          <cell r="R43">
            <v>0</v>
          </cell>
          <cell r="S43">
            <v>0</v>
          </cell>
          <cell r="T43" t="str">
            <v xml:space="preserve"> </v>
          </cell>
          <cell r="U43" t="str">
            <v xml:space="preserve"> </v>
          </cell>
        </row>
        <row r="44">
          <cell r="A44">
            <v>39</v>
          </cell>
          <cell r="B44">
            <v>80</v>
          </cell>
          <cell r="E44" t="str">
            <v xml:space="preserve"> </v>
          </cell>
          <cell r="F44">
            <v>0</v>
          </cell>
          <cell r="G44">
            <v>0</v>
          </cell>
          <cell r="H44">
            <v>0</v>
          </cell>
          <cell r="I44">
            <v>0</v>
          </cell>
          <cell r="J44">
            <v>0</v>
          </cell>
          <cell r="L44">
            <v>0</v>
          </cell>
          <cell r="M44">
            <v>0</v>
          </cell>
          <cell r="N44">
            <v>0</v>
          </cell>
          <cell r="O44">
            <v>0</v>
          </cell>
          <cell r="P44">
            <v>0</v>
          </cell>
          <cell r="Q44">
            <v>0</v>
          </cell>
          <cell r="R44">
            <v>0</v>
          </cell>
          <cell r="S44">
            <v>0</v>
          </cell>
          <cell r="T44" t="str">
            <v xml:space="preserve"> </v>
          </cell>
          <cell r="U44" t="str">
            <v xml:space="preserve"> </v>
          </cell>
        </row>
        <row r="45">
          <cell r="A45" t="str">
            <v>AVE.</v>
          </cell>
          <cell r="B45" t="str">
            <v xml:space="preserve"> </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t="str">
            <v xml:space="preserve"> </v>
          </cell>
          <cell r="U45" t="str">
            <v xml:space="preserve"> </v>
          </cell>
        </row>
        <row r="47">
          <cell r="A47" t="str">
            <v>*** Reference Paper : Predict Fittings For Piping Systems ***</v>
          </cell>
          <cell r="K47" t="str">
            <v>Fc = 0.25  Utility Supply Lines, OSBL</v>
          </cell>
          <cell r="R47" t="str">
            <v>Fc = 2.00  Manifold Type Piping</v>
          </cell>
        </row>
        <row r="48">
          <cell r="D48" t="str">
            <v xml:space="preserve">   By William B. Hooper , Monsanto Co.</v>
          </cell>
          <cell r="K48" t="str">
            <v xml:space="preserve">        (PIPE JOINT FACTOR Fp = 100%)</v>
          </cell>
          <cell r="R48" t="str">
            <v xml:space="preserve">        (PIPE JOINT FACTOR Fp = 0%)</v>
          </cell>
        </row>
        <row r="49">
          <cell r="K49" t="str">
            <v>Fc = 0.50  Long, Straight Piping Run</v>
          </cell>
          <cell r="R49" t="str">
            <v>Fc = 4.00  Very Complex Manifolds</v>
          </cell>
        </row>
        <row r="50">
          <cell r="A50" t="str">
            <v>The number and types of pipe fittings can be estimated by this method</v>
          </cell>
          <cell r="K50" t="str">
            <v xml:space="preserve">        (PIPE JOINT FACTOR Fp = 100%)</v>
          </cell>
          <cell r="R50" t="str">
            <v xml:space="preserve">        (PIPE JOINT FACTOR Fp = 0%)</v>
          </cell>
        </row>
        <row r="51">
          <cell r="A51" t="str">
            <v>long before the piping isometrics are done. Pipe size and a general idea</v>
          </cell>
          <cell r="K51" t="str">
            <v>Fc = 1.00  Normal Piping</v>
          </cell>
        </row>
        <row r="52">
          <cell r="A52" t="str">
            <v>of the system's complexity are all that is needed.</v>
          </cell>
          <cell r="K52" t="str">
            <v xml:space="preserve">        (PIPE JOINT FACTOR Fp = 10%)</v>
          </cell>
        </row>
      </sheetData>
      <sheetData sheetId="3" refreshError="1">
        <row r="8">
          <cell r="B8" t="str">
            <v>5S</v>
          </cell>
          <cell r="C8">
            <v>0.5</v>
          </cell>
          <cell r="D8">
            <v>1.65</v>
          </cell>
          <cell r="E8">
            <v>1</v>
          </cell>
          <cell r="I8">
            <v>7.0000000000000007E-2</v>
          </cell>
          <cell r="J8">
            <v>0</v>
          </cell>
          <cell r="K8">
            <v>7.0000000000000007E-2</v>
          </cell>
          <cell r="P8">
            <v>2</v>
          </cell>
        </row>
        <row r="9">
          <cell r="B9" t="str">
            <v>5S</v>
          </cell>
          <cell r="C9">
            <v>0.5</v>
          </cell>
          <cell r="D9">
            <v>1.65</v>
          </cell>
          <cell r="E9">
            <v>1</v>
          </cell>
          <cell r="I9">
            <v>7.0000000000000007E-2</v>
          </cell>
          <cell r="J9">
            <v>0</v>
          </cell>
          <cell r="K9">
            <v>7.0000000000000007E-2</v>
          </cell>
          <cell r="P9">
            <v>2</v>
          </cell>
        </row>
        <row r="10">
          <cell r="B10" t="str">
            <v>5S</v>
          </cell>
          <cell r="C10">
            <v>0.5</v>
          </cell>
          <cell r="D10">
            <v>1.65</v>
          </cell>
          <cell r="E10">
            <v>1</v>
          </cell>
          <cell r="I10">
            <v>7.0000000000000007E-2</v>
          </cell>
          <cell r="J10">
            <v>0</v>
          </cell>
          <cell r="K10">
            <v>7.0000000000000007E-2</v>
          </cell>
          <cell r="P10">
            <v>2</v>
          </cell>
        </row>
        <row r="11">
          <cell r="B11" t="str">
            <v>5S</v>
          </cell>
          <cell r="C11">
            <v>0.75</v>
          </cell>
          <cell r="D11">
            <v>1.65</v>
          </cell>
          <cell r="E11">
            <v>1</v>
          </cell>
          <cell r="I11">
            <v>7.0000000000000007E-2</v>
          </cell>
          <cell r="J11">
            <v>0</v>
          </cell>
          <cell r="K11">
            <v>7.0000000000000007E-2</v>
          </cell>
          <cell r="P11">
            <v>2</v>
          </cell>
        </row>
        <row r="12">
          <cell r="B12" t="str">
            <v>5S</v>
          </cell>
          <cell r="C12">
            <v>0.75</v>
          </cell>
          <cell r="D12">
            <v>1.65</v>
          </cell>
          <cell r="E12">
            <v>1</v>
          </cell>
          <cell r="I12">
            <v>7.0000000000000007E-2</v>
          </cell>
          <cell r="J12">
            <v>0</v>
          </cell>
          <cell r="K12">
            <v>7.0000000000000007E-2</v>
          </cell>
          <cell r="P12">
            <v>2</v>
          </cell>
        </row>
        <row r="13">
          <cell r="B13" t="str">
            <v>5S</v>
          </cell>
          <cell r="C13">
            <v>0.75</v>
          </cell>
          <cell r="D13">
            <v>1.65</v>
          </cell>
          <cell r="E13">
            <v>1</v>
          </cell>
          <cell r="I13">
            <v>7.0000000000000007E-2</v>
          </cell>
          <cell r="J13">
            <v>0</v>
          </cell>
          <cell r="K13">
            <v>7.0000000000000007E-2</v>
          </cell>
          <cell r="P13">
            <v>2</v>
          </cell>
        </row>
        <row r="14">
          <cell r="B14" t="str">
            <v>5S</v>
          </cell>
          <cell r="C14">
            <v>1</v>
          </cell>
          <cell r="D14">
            <v>1.65</v>
          </cell>
          <cell r="E14">
            <v>1</v>
          </cell>
          <cell r="I14">
            <v>0.12</v>
          </cell>
          <cell r="J14">
            <v>0</v>
          </cell>
          <cell r="K14">
            <v>0.12</v>
          </cell>
          <cell r="P14">
            <v>2</v>
          </cell>
        </row>
        <row r="15">
          <cell r="B15" t="str">
            <v>5S</v>
          </cell>
          <cell r="C15">
            <v>1</v>
          </cell>
          <cell r="D15">
            <v>1.65</v>
          </cell>
          <cell r="E15">
            <v>1</v>
          </cell>
          <cell r="I15">
            <v>0.12</v>
          </cell>
          <cell r="J15">
            <v>0</v>
          </cell>
          <cell r="K15">
            <v>0.12</v>
          </cell>
          <cell r="P15">
            <v>2</v>
          </cell>
        </row>
        <row r="16">
          <cell r="B16" t="str">
            <v>5S</v>
          </cell>
          <cell r="C16">
            <v>1</v>
          </cell>
          <cell r="D16">
            <v>1.65</v>
          </cell>
          <cell r="E16">
            <v>1</v>
          </cell>
          <cell r="I16">
            <v>0.12</v>
          </cell>
          <cell r="J16">
            <v>0</v>
          </cell>
          <cell r="K16">
            <v>0.12</v>
          </cell>
          <cell r="P16">
            <v>2</v>
          </cell>
        </row>
        <row r="17">
          <cell r="B17" t="str">
            <v>5S</v>
          </cell>
          <cell r="C17">
            <v>1.25</v>
          </cell>
          <cell r="D17">
            <v>1.65</v>
          </cell>
          <cell r="E17">
            <v>1</v>
          </cell>
          <cell r="I17">
            <v>0.15</v>
          </cell>
          <cell r="K17">
            <v>0.15</v>
          </cell>
          <cell r="P17">
            <v>2</v>
          </cell>
        </row>
        <row r="18">
          <cell r="B18" t="str">
            <v>5S</v>
          </cell>
          <cell r="C18">
            <v>1.25</v>
          </cell>
          <cell r="D18">
            <v>1.65</v>
          </cell>
          <cell r="E18">
            <v>1</v>
          </cell>
          <cell r="I18">
            <v>0.15</v>
          </cell>
          <cell r="K18">
            <v>0.15</v>
          </cell>
          <cell r="P18">
            <v>2</v>
          </cell>
        </row>
        <row r="19">
          <cell r="B19" t="str">
            <v>5S</v>
          </cell>
          <cell r="C19">
            <v>1.25</v>
          </cell>
          <cell r="D19">
            <v>1.65</v>
          </cell>
          <cell r="E19">
            <v>1</v>
          </cell>
          <cell r="I19">
            <v>0.15</v>
          </cell>
          <cell r="K19">
            <v>0.15</v>
          </cell>
          <cell r="P19">
            <v>2</v>
          </cell>
        </row>
        <row r="20">
          <cell r="B20" t="str">
            <v>5S</v>
          </cell>
          <cell r="C20">
            <v>1.5</v>
          </cell>
          <cell r="D20">
            <v>1.65</v>
          </cell>
          <cell r="E20">
            <v>1</v>
          </cell>
          <cell r="I20">
            <v>0.15</v>
          </cell>
          <cell r="J20">
            <v>0</v>
          </cell>
          <cell r="K20">
            <v>0.15</v>
          </cell>
          <cell r="P20">
            <v>2</v>
          </cell>
        </row>
        <row r="21">
          <cell r="B21" t="str">
            <v>5S</v>
          </cell>
          <cell r="C21">
            <v>1.5</v>
          </cell>
          <cell r="D21">
            <v>1.65</v>
          </cell>
          <cell r="E21">
            <v>1</v>
          </cell>
          <cell r="I21">
            <v>0.15</v>
          </cell>
          <cell r="J21">
            <v>0</v>
          </cell>
          <cell r="K21">
            <v>0.15</v>
          </cell>
          <cell r="P21">
            <v>2</v>
          </cell>
        </row>
        <row r="22">
          <cell r="B22" t="str">
            <v>5S</v>
          </cell>
          <cell r="C22">
            <v>1.5</v>
          </cell>
          <cell r="D22">
            <v>1.65</v>
          </cell>
          <cell r="E22">
            <v>1</v>
          </cell>
          <cell r="I22">
            <v>0.15</v>
          </cell>
          <cell r="J22">
            <v>0</v>
          </cell>
          <cell r="K22">
            <v>0.15</v>
          </cell>
          <cell r="P22">
            <v>2</v>
          </cell>
        </row>
        <row r="23">
          <cell r="B23" t="str">
            <v>5S</v>
          </cell>
          <cell r="C23">
            <v>2</v>
          </cell>
          <cell r="D23">
            <v>1.65</v>
          </cell>
          <cell r="E23">
            <v>1</v>
          </cell>
          <cell r="I23">
            <v>0.15</v>
          </cell>
          <cell r="J23">
            <v>0</v>
          </cell>
          <cell r="K23">
            <v>0.15</v>
          </cell>
          <cell r="P23">
            <v>2</v>
          </cell>
        </row>
        <row r="24">
          <cell r="B24" t="str">
            <v>5S</v>
          </cell>
          <cell r="C24">
            <v>2</v>
          </cell>
          <cell r="D24">
            <v>1.65</v>
          </cell>
          <cell r="E24">
            <v>1</v>
          </cell>
          <cell r="I24">
            <v>0.15</v>
          </cell>
          <cell r="J24">
            <v>0</v>
          </cell>
          <cell r="K24">
            <v>0.15</v>
          </cell>
          <cell r="P24">
            <v>2</v>
          </cell>
        </row>
        <row r="25">
          <cell r="B25" t="str">
            <v>5S</v>
          </cell>
          <cell r="C25">
            <v>2</v>
          </cell>
          <cell r="D25">
            <v>1.65</v>
          </cell>
          <cell r="E25">
            <v>1</v>
          </cell>
          <cell r="I25">
            <v>0.15</v>
          </cell>
          <cell r="J25">
            <v>0</v>
          </cell>
          <cell r="K25">
            <v>0.15</v>
          </cell>
          <cell r="P25">
            <v>2</v>
          </cell>
        </row>
        <row r="26">
          <cell r="B26" t="str">
            <v>5S</v>
          </cell>
          <cell r="C26">
            <v>2.5</v>
          </cell>
          <cell r="D26">
            <v>2.11</v>
          </cell>
          <cell r="E26">
            <v>1</v>
          </cell>
          <cell r="I26">
            <v>0.15</v>
          </cell>
          <cell r="J26">
            <v>0</v>
          </cell>
          <cell r="K26">
            <v>0.15</v>
          </cell>
          <cell r="P26">
            <v>2</v>
          </cell>
        </row>
        <row r="27">
          <cell r="B27" t="str">
            <v>5S</v>
          </cell>
          <cell r="C27">
            <v>3</v>
          </cell>
          <cell r="D27">
            <v>2.11</v>
          </cell>
          <cell r="E27">
            <v>1</v>
          </cell>
          <cell r="I27">
            <v>0.3</v>
          </cell>
          <cell r="J27">
            <v>0</v>
          </cell>
          <cell r="K27">
            <v>0.3</v>
          </cell>
          <cell r="P27">
            <v>2</v>
          </cell>
        </row>
        <row r="28">
          <cell r="B28" t="str">
            <v>5S</v>
          </cell>
          <cell r="C28">
            <v>3.5</v>
          </cell>
          <cell r="D28">
            <v>2.11</v>
          </cell>
          <cell r="E28">
            <v>1</v>
          </cell>
          <cell r="I28">
            <v>0.3</v>
          </cell>
          <cell r="K28">
            <v>0.3</v>
          </cell>
          <cell r="P28">
            <v>3</v>
          </cell>
        </row>
        <row r="29">
          <cell r="B29" t="str">
            <v>5S</v>
          </cell>
          <cell r="C29">
            <v>4</v>
          </cell>
          <cell r="D29">
            <v>2.11</v>
          </cell>
          <cell r="E29">
            <v>1</v>
          </cell>
          <cell r="I29">
            <v>0.3</v>
          </cell>
          <cell r="J29">
            <v>0</v>
          </cell>
          <cell r="K29">
            <v>0.3</v>
          </cell>
          <cell r="P29">
            <v>3</v>
          </cell>
        </row>
        <row r="30">
          <cell r="B30" t="str">
            <v>5S</v>
          </cell>
          <cell r="C30">
            <v>5</v>
          </cell>
          <cell r="D30">
            <v>2.77</v>
          </cell>
          <cell r="E30">
            <v>1</v>
          </cell>
          <cell r="I30">
            <v>0.3</v>
          </cell>
          <cell r="K30">
            <v>0.3</v>
          </cell>
          <cell r="P30">
            <v>4</v>
          </cell>
        </row>
        <row r="31">
          <cell r="B31" t="str">
            <v>5S</v>
          </cell>
          <cell r="C31">
            <v>6</v>
          </cell>
          <cell r="D31">
            <v>2.77</v>
          </cell>
          <cell r="E31">
            <v>1</v>
          </cell>
          <cell r="I31">
            <v>0.45</v>
          </cell>
          <cell r="J31">
            <v>0</v>
          </cell>
          <cell r="K31">
            <v>0.45</v>
          </cell>
          <cell r="P31">
            <v>4</v>
          </cell>
        </row>
        <row r="32">
          <cell r="B32" t="str">
            <v>5S</v>
          </cell>
          <cell r="C32">
            <v>8</v>
          </cell>
          <cell r="D32">
            <v>2.77</v>
          </cell>
          <cell r="E32">
            <v>1</v>
          </cell>
          <cell r="I32">
            <v>0.45</v>
          </cell>
          <cell r="J32">
            <v>0</v>
          </cell>
          <cell r="K32">
            <v>0.45</v>
          </cell>
          <cell r="P32">
            <v>4</v>
          </cell>
        </row>
        <row r="33">
          <cell r="B33" t="str">
            <v>5S</v>
          </cell>
          <cell r="C33">
            <v>10</v>
          </cell>
          <cell r="D33">
            <v>3.4</v>
          </cell>
          <cell r="E33">
            <v>1</v>
          </cell>
          <cell r="I33">
            <v>0.9</v>
          </cell>
          <cell r="J33">
            <v>0</v>
          </cell>
          <cell r="K33">
            <v>0.9</v>
          </cell>
          <cell r="P33">
            <v>4</v>
          </cell>
        </row>
        <row r="34">
          <cell r="B34" t="str">
            <v>5S</v>
          </cell>
          <cell r="C34">
            <v>12</v>
          </cell>
          <cell r="D34">
            <v>3.96</v>
          </cell>
          <cell r="E34">
            <v>1</v>
          </cell>
          <cell r="I34">
            <v>1.2</v>
          </cell>
          <cell r="J34">
            <v>0</v>
          </cell>
          <cell r="K34">
            <v>1.2</v>
          </cell>
          <cell r="P34">
            <v>6</v>
          </cell>
        </row>
        <row r="35">
          <cell r="B35" t="str">
            <v>5S</v>
          </cell>
          <cell r="C35">
            <v>14</v>
          </cell>
          <cell r="D35">
            <v>3.96</v>
          </cell>
          <cell r="E35">
            <v>1</v>
          </cell>
          <cell r="I35">
            <v>1.34</v>
          </cell>
          <cell r="J35">
            <v>0</v>
          </cell>
          <cell r="K35">
            <v>1.34</v>
          </cell>
          <cell r="P35">
            <v>6</v>
          </cell>
        </row>
        <row r="36">
          <cell r="B36" t="str">
            <v>5S</v>
          </cell>
          <cell r="C36">
            <v>16</v>
          </cell>
          <cell r="D36">
            <v>4.1900000000000004</v>
          </cell>
          <cell r="E36">
            <v>1</v>
          </cell>
          <cell r="I36">
            <v>1.65</v>
          </cell>
          <cell r="J36">
            <v>0</v>
          </cell>
          <cell r="K36">
            <v>1.65</v>
          </cell>
          <cell r="P36">
            <v>6</v>
          </cell>
        </row>
        <row r="37">
          <cell r="B37" t="str">
            <v>5S</v>
          </cell>
          <cell r="C37">
            <v>18</v>
          </cell>
          <cell r="D37">
            <v>4.1900000000000004</v>
          </cell>
          <cell r="E37">
            <v>1</v>
          </cell>
          <cell r="I37">
            <v>1.8</v>
          </cell>
          <cell r="J37">
            <v>0</v>
          </cell>
          <cell r="K37">
            <v>1.8</v>
          </cell>
          <cell r="P37">
            <v>6</v>
          </cell>
        </row>
        <row r="38">
          <cell r="B38" t="str">
            <v>5S</v>
          </cell>
          <cell r="C38">
            <v>20</v>
          </cell>
          <cell r="D38">
            <v>4.78</v>
          </cell>
          <cell r="E38">
            <v>1</v>
          </cell>
          <cell r="I38">
            <v>2.54</v>
          </cell>
          <cell r="J38">
            <v>0</v>
          </cell>
          <cell r="K38">
            <v>2.54</v>
          </cell>
          <cell r="P38">
            <v>7</v>
          </cell>
        </row>
        <row r="39">
          <cell r="B39" t="str">
            <v>5S</v>
          </cell>
          <cell r="C39">
            <v>22</v>
          </cell>
          <cell r="D39">
            <v>4.78</v>
          </cell>
          <cell r="E39">
            <v>1</v>
          </cell>
          <cell r="I39">
            <v>2.69</v>
          </cell>
          <cell r="J39">
            <v>0</v>
          </cell>
          <cell r="K39">
            <v>2.69</v>
          </cell>
          <cell r="P39">
            <v>8</v>
          </cell>
        </row>
        <row r="40">
          <cell r="B40" t="str">
            <v>5S</v>
          </cell>
          <cell r="C40">
            <v>24</v>
          </cell>
          <cell r="D40">
            <v>5.54</v>
          </cell>
          <cell r="E40">
            <v>1</v>
          </cell>
          <cell r="I40">
            <v>2.4300000000000002</v>
          </cell>
          <cell r="J40">
            <v>1.47</v>
          </cell>
          <cell r="K40">
            <v>3.9000000000000004</v>
          </cell>
          <cell r="P40">
            <v>8</v>
          </cell>
        </row>
        <row r="41">
          <cell r="B41" t="str">
            <v>5S</v>
          </cell>
          <cell r="C41">
            <v>30</v>
          </cell>
          <cell r="D41">
            <v>6.35</v>
          </cell>
          <cell r="E41">
            <v>1</v>
          </cell>
          <cell r="I41">
            <v>3.04</v>
          </cell>
          <cell r="J41">
            <v>3.11</v>
          </cell>
          <cell r="K41">
            <v>6.15</v>
          </cell>
          <cell r="P41">
            <v>10</v>
          </cell>
        </row>
        <row r="42">
          <cell r="B42">
            <v>10</v>
          </cell>
          <cell r="C42">
            <v>14</v>
          </cell>
          <cell r="D42">
            <v>6.35</v>
          </cell>
          <cell r="E42">
            <v>1</v>
          </cell>
          <cell r="I42">
            <v>1.42</v>
          </cell>
          <cell r="J42">
            <v>1.27</v>
          </cell>
          <cell r="K42">
            <v>2.69</v>
          </cell>
          <cell r="P42">
            <v>6</v>
          </cell>
        </row>
        <row r="43">
          <cell r="B43">
            <v>10</v>
          </cell>
          <cell r="C43">
            <v>16</v>
          </cell>
          <cell r="D43">
            <v>6.35</v>
          </cell>
          <cell r="E43">
            <v>1</v>
          </cell>
          <cell r="I43">
            <v>1.62</v>
          </cell>
          <cell r="J43">
            <v>1.38</v>
          </cell>
          <cell r="K43">
            <v>3</v>
          </cell>
          <cell r="P43">
            <v>6</v>
          </cell>
        </row>
        <row r="44">
          <cell r="B44">
            <v>10</v>
          </cell>
          <cell r="C44">
            <v>18</v>
          </cell>
          <cell r="D44">
            <v>6.35</v>
          </cell>
          <cell r="E44">
            <v>1</v>
          </cell>
          <cell r="I44">
            <v>1.82</v>
          </cell>
          <cell r="J44">
            <v>1.48</v>
          </cell>
          <cell r="K44">
            <v>3.3</v>
          </cell>
          <cell r="P44">
            <v>6</v>
          </cell>
        </row>
        <row r="45">
          <cell r="B45">
            <v>10</v>
          </cell>
          <cell r="C45">
            <v>20</v>
          </cell>
          <cell r="D45">
            <v>6.35</v>
          </cell>
          <cell r="E45">
            <v>1</v>
          </cell>
          <cell r="I45">
            <v>2.0299999999999998</v>
          </cell>
          <cell r="J45">
            <v>1.72</v>
          </cell>
          <cell r="K45">
            <v>3.75</v>
          </cell>
          <cell r="P45">
            <v>7</v>
          </cell>
        </row>
        <row r="46">
          <cell r="B46">
            <v>10</v>
          </cell>
          <cell r="C46">
            <v>22</v>
          </cell>
          <cell r="D46">
            <v>6.35</v>
          </cell>
          <cell r="E46">
            <v>1</v>
          </cell>
          <cell r="I46">
            <v>2.23</v>
          </cell>
          <cell r="J46">
            <v>2.27</v>
          </cell>
          <cell r="K46">
            <v>4.5</v>
          </cell>
          <cell r="P46">
            <v>8</v>
          </cell>
        </row>
        <row r="47">
          <cell r="B47">
            <v>10</v>
          </cell>
          <cell r="C47">
            <v>24</v>
          </cell>
          <cell r="D47">
            <v>6.35</v>
          </cell>
          <cell r="E47">
            <v>1</v>
          </cell>
          <cell r="I47">
            <v>2.4300000000000002</v>
          </cell>
          <cell r="J47">
            <v>2.0699999999999998</v>
          </cell>
          <cell r="K47">
            <v>4.5</v>
          </cell>
          <cell r="P47">
            <v>8</v>
          </cell>
        </row>
        <row r="48">
          <cell r="B48">
            <v>10</v>
          </cell>
          <cell r="C48">
            <v>26</v>
          </cell>
          <cell r="D48">
            <v>7.92</v>
          </cell>
          <cell r="E48">
            <v>1</v>
          </cell>
          <cell r="I48">
            <v>2.64</v>
          </cell>
          <cell r="J48">
            <v>4.8600000000000003</v>
          </cell>
          <cell r="K48">
            <v>7.5</v>
          </cell>
          <cell r="P48">
            <v>9</v>
          </cell>
        </row>
        <row r="49">
          <cell r="B49">
            <v>10</v>
          </cell>
          <cell r="C49">
            <v>28</v>
          </cell>
          <cell r="D49">
            <v>7.92</v>
          </cell>
          <cell r="E49">
            <v>1</v>
          </cell>
          <cell r="I49">
            <v>2.84</v>
          </cell>
          <cell r="J49">
            <v>5.26</v>
          </cell>
          <cell r="K49">
            <v>8.1</v>
          </cell>
          <cell r="P49">
            <v>9</v>
          </cell>
        </row>
        <row r="50">
          <cell r="B50">
            <v>10</v>
          </cell>
          <cell r="C50">
            <v>30</v>
          </cell>
          <cell r="D50">
            <v>7.92</v>
          </cell>
          <cell r="E50">
            <v>1</v>
          </cell>
          <cell r="I50">
            <v>3.04</v>
          </cell>
          <cell r="J50">
            <v>5.66</v>
          </cell>
          <cell r="K50">
            <v>8.6999999999999993</v>
          </cell>
          <cell r="P50">
            <v>10</v>
          </cell>
        </row>
        <row r="51">
          <cell r="B51">
            <v>10</v>
          </cell>
          <cell r="C51">
            <v>32</v>
          </cell>
          <cell r="D51">
            <v>7.92</v>
          </cell>
          <cell r="E51">
            <v>1</v>
          </cell>
          <cell r="I51">
            <v>3.24</v>
          </cell>
          <cell r="J51">
            <v>6.06</v>
          </cell>
          <cell r="K51">
            <v>9.3000000000000007</v>
          </cell>
          <cell r="P51">
            <v>11</v>
          </cell>
        </row>
        <row r="52">
          <cell r="B52">
            <v>10</v>
          </cell>
          <cell r="C52">
            <v>34</v>
          </cell>
          <cell r="D52">
            <v>7.92</v>
          </cell>
          <cell r="E52">
            <v>1</v>
          </cell>
          <cell r="I52">
            <v>3.45</v>
          </cell>
          <cell r="J52">
            <v>6.44</v>
          </cell>
          <cell r="K52">
            <v>9.89</v>
          </cell>
          <cell r="P52">
            <v>12</v>
          </cell>
        </row>
        <row r="53">
          <cell r="B53">
            <v>10</v>
          </cell>
          <cell r="C53">
            <v>36</v>
          </cell>
          <cell r="D53">
            <v>7.92</v>
          </cell>
          <cell r="E53">
            <v>1</v>
          </cell>
          <cell r="I53">
            <v>3.65</v>
          </cell>
          <cell r="J53">
            <v>6.84</v>
          </cell>
          <cell r="K53">
            <v>10.49</v>
          </cell>
          <cell r="P53">
            <v>12</v>
          </cell>
        </row>
        <row r="54">
          <cell r="B54" t="str">
            <v>10S</v>
          </cell>
          <cell r="C54">
            <v>0.125</v>
          </cell>
          <cell r="D54">
            <v>1.24</v>
          </cell>
          <cell r="E54">
            <v>1</v>
          </cell>
          <cell r="I54">
            <v>7.0000000000000007E-2</v>
          </cell>
          <cell r="K54">
            <v>7.0000000000000007E-2</v>
          </cell>
          <cell r="P54">
            <v>2</v>
          </cell>
        </row>
        <row r="55">
          <cell r="B55" t="str">
            <v>10S</v>
          </cell>
          <cell r="C55">
            <v>0.125</v>
          </cell>
          <cell r="D55">
            <v>1.24</v>
          </cell>
          <cell r="E55">
            <v>1</v>
          </cell>
          <cell r="I55">
            <v>7.0000000000000007E-2</v>
          </cell>
          <cell r="K55">
            <v>7.0000000000000007E-2</v>
          </cell>
          <cell r="P55">
            <v>2</v>
          </cell>
        </row>
        <row r="56">
          <cell r="B56" t="str">
            <v>10S</v>
          </cell>
          <cell r="C56">
            <v>0.125</v>
          </cell>
          <cell r="D56">
            <v>1.24</v>
          </cell>
          <cell r="E56">
            <v>1</v>
          </cell>
          <cell r="I56">
            <v>7.0000000000000007E-2</v>
          </cell>
          <cell r="K56">
            <v>7.0000000000000007E-2</v>
          </cell>
          <cell r="P56">
            <v>2</v>
          </cell>
        </row>
        <row r="57">
          <cell r="B57" t="str">
            <v>10S</v>
          </cell>
          <cell r="C57">
            <v>0.25</v>
          </cell>
          <cell r="D57">
            <v>1.65</v>
          </cell>
          <cell r="E57">
            <v>1</v>
          </cell>
          <cell r="I57">
            <v>7.0000000000000007E-2</v>
          </cell>
          <cell r="K57">
            <v>7.0000000000000007E-2</v>
          </cell>
          <cell r="P57">
            <v>2</v>
          </cell>
        </row>
        <row r="58">
          <cell r="B58" t="str">
            <v>10S</v>
          </cell>
          <cell r="C58">
            <v>0.25</v>
          </cell>
          <cell r="D58">
            <v>1.65</v>
          </cell>
          <cell r="E58">
            <v>1</v>
          </cell>
          <cell r="I58">
            <v>7.0000000000000007E-2</v>
          </cell>
          <cell r="K58">
            <v>7.0000000000000007E-2</v>
          </cell>
          <cell r="P58">
            <v>2</v>
          </cell>
        </row>
        <row r="59">
          <cell r="B59" t="str">
            <v>10S</v>
          </cell>
          <cell r="C59">
            <v>0.25</v>
          </cell>
          <cell r="D59">
            <v>1.65</v>
          </cell>
          <cell r="E59">
            <v>1</v>
          </cell>
          <cell r="I59">
            <v>7.0000000000000007E-2</v>
          </cell>
          <cell r="K59">
            <v>7.0000000000000007E-2</v>
          </cell>
          <cell r="P59">
            <v>2</v>
          </cell>
        </row>
        <row r="60">
          <cell r="B60" t="str">
            <v>10S</v>
          </cell>
          <cell r="C60">
            <v>0.375</v>
          </cell>
          <cell r="D60">
            <v>1.65</v>
          </cell>
          <cell r="E60">
            <v>1</v>
          </cell>
          <cell r="I60">
            <v>7.0000000000000007E-2</v>
          </cell>
          <cell r="J60">
            <v>0</v>
          </cell>
          <cell r="K60">
            <v>7.0000000000000007E-2</v>
          </cell>
          <cell r="P60">
            <v>2</v>
          </cell>
        </row>
        <row r="61">
          <cell r="B61" t="str">
            <v>10S</v>
          </cell>
          <cell r="C61">
            <v>0.375</v>
          </cell>
          <cell r="D61">
            <v>1.65</v>
          </cell>
          <cell r="E61">
            <v>1</v>
          </cell>
          <cell r="I61">
            <v>7.0000000000000007E-2</v>
          </cell>
          <cell r="J61">
            <v>0</v>
          </cell>
          <cell r="K61">
            <v>7.0000000000000007E-2</v>
          </cell>
          <cell r="P61">
            <v>2</v>
          </cell>
        </row>
        <row r="62">
          <cell r="B62" t="str">
            <v>10S</v>
          </cell>
          <cell r="C62">
            <v>0.375</v>
          </cell>
          <cell r="D62">
            <v>1.65</v>
          </cell>
          <cell r="E62">
            <v>1</v>
          </cell>
          <cell r="I62">
            <v>7.0000000000000007E-2</v>
          </cell>
          <cell r="J62">
            <v>0</v>
          </cell>
          <cell r="K62">
            <v>7.0000000000000007E-2</v>
          </cell>
          <cell r="P62">
            <v>2</v>
          </cell>
        </row>
        <row r="63">
          <cell r="B63" t="str">
            <v>10S</v>
          </cell>
          <cell r="C63">
            <v>0.5</v>
          </cell>
          <cell r="D63">
            <v>2.11</v>
          </cell>
          <cell r="E63">
            <v>1</v>
          </cell>
          <cell r="I63">
            <v>7.0000000000000007E-2</v>
          </cell>
          <cell r="J63">
            <v>0</v>
          </cell>
          <cell r="K63">
            <v>7.0000000000000007E-2</v>
          </cell>
          <cell r="P63">
            <v>2</v>
          </cell>
        </row>
        <row r="64">
          <cell r="B64" t="str">
            <v>10S</v>
          </cell>
          <cell r="C64">
            <v>0.5</v>
          </cell>
          <cell r="D64">
            <v>2.11</v>
          </cell>
          <cell r="E64">
            <v>1</v>
          </cell>
          <cell r="I64">
            <v>7.0000000000000007E-2</v>
          </cell>
          <cell r="J64">
            <v>0</v>
          </cell>
          <cell r="K64">
            <v>7.0000000000000007E-2</v>
          </cell>
          <cell r="P64">
            <v>2</v>
          </cell>
        </row>
        <row r="65">
          <cell r="B65" t="str">
            <v>10S</v>
          </cell>
          <cell r="C65">
            <v>0.5</v>
          </cell>
          <cell r="D65">
            <v>2.11</v>
          </cell>
          <cell r="E65">
            <v>1</v>
          </cell>
          <cell r="I65">
            <v>7.0000000000000007E-2</v>
          </cell>
          <cell r="J65">
            <v>0</v>
          </cell>
          <cell r="K65">
            <v>7.0000000000000007E-2</v>
          </cell>
          <cell r="P65">
            <v>2</v>
          </cell>
        </row>
        <row r="66">
          <cell r="B66" t="str">
            <v>10S</v>
          </cell>
          <cell r="C66">
            <v>0.75</v>
          </cell>
          <cell r="D66">
            <v>2.11</v>
          </cell>
          <cell r="E66">
            <v>1</v>
          </cell>
          <cell r="I66">
            <v>7.0000000000000007E-2</v>
          </cell>
          <cell r="J66">
            <v>0</v>
          </cell>
          <cell r="K66">
            <v>7.0000000000000007E-2</v>
          </cell>
          <cell r="P66">
            <v>2</v>
          </cell>
        </row>
        <row r="67">
          <cell r="B67" t="str">
            <v>10S</v>
          </cell>
          <cell r="C67">
            <v>0.75</v>
          </cell>
          <cell r="D67">
            <v>2.11</v>
          </cell>
          <cell r="E67">
            <v>1</v>
          </cell>
          <cell r="I67">
            <v>7.0000000000000007E-2</v>
          </cell>
          <cell r="J67">
            <v>0</v>
          </cell>
          <cell r="K67">
            <v>7.0000000000000007E-2</v>
          </cell>
          <cell r="P67">
            <v>2</v>
          </cell>
        </row>
        <row r="68">
          <cell r="B68" t="str">
            <v>10S</v>
          </cell>
          <cell r="C68">
            <v>0.75</v>
          </cell>
          <cell r="D68">
            <v>2.11</v>
          </cell>
          <cell r="E68">
            <v>1</v>
          </cell>
          <cell r="I68">
            <v>7.0000000000000007E-2</v>
          </cell>
          <cell r="J68">
            <v>0</v>
          </cell>
          <cell r="K68">
            <v>7.0000000000000007E-2</v>
          </cell>
          <cell r="P68">
            <v>2</v>
          </cell>
        </row>
        <row r="69">
          <cell r="B69" t="str">
            <v>10S</v>
          </cell>
          <cell r="C69">
            <v>1</v>
          </cell>
          <cell r="D69">
            <v>2.77</v>
          </cell>
          <cell r="E69">
            <v>1</v>
          </cell>
          <cell r="I69">
            <v>0.12</v>
          </cell>
          <cell r="J69">
            <v>0</v>
          </cell>
          <cell r="K69">
            <v>0.12</v>
          </cell>
          <cell r="P69">
            <v>2</v>
          </cell>
        </row>
        <row r="70">
          <cell r="B70" t="str">
            <v>10S</v>
          </cell>
          <cell r="C70">
            <v>1</v>
          </cell>
          <cell r="D70">
            <v>2.77</v>
          </cell>
          <cell r="E70">
            <v>1</v>
          </cell>
          <cell r="I70">
            <v>0.12</v>
          </cell>
          <cell r="J70">
            <v>0</v>
          </cell>
          <cell r="K70">
            <v>0.12</v>
          </cell>
          <cell r="P70">
            <v>2</v>
          </cell>
        </row>
        <row r="71">
          <cell r="B71" t="str">
            <v>10S</v>
          </cell>
          <cell r="C71">
            <v>1</v>
          </cell>
          <cell r="D71">
            <v>2.77</v>
          </cell>
          <cell r="E71">
            <v>1</v>
          </cell>
          <cell r="I71">
            <v>0.12</v>
          </cell>
          <cell r="J71">
            <v>0</v>
          </cell>
          <cell r="K71">
            <v>0.12</v>
          </cell>
          <cell r="P71">
            <v>2</v>
          </cell>
        </row>
        <row r="72">
          <cell r="B72" t="str">
            <v>10S</v>
          </cell>
          <cell r="C72">
            <v>1.25</v>
          </cell>
          <cell r="D72">
            <v>2.77</v>
          </cell>
          <cell r="E72">
            <v>1</v>
          </cell>
          <cell r="I72">
            <v>0.15</v>
          </cell>
          <cell r="K72">
            <v>0.15</v>
          </cell>
          <cell r="P72">
            <v>2</v>
          </cell>
        </row>
        <row r="73">
          <cell r="B73" t="str">
            <v>10S</v>
          </cell>
          <cell r="C73">
            <v>1.25</v>
          </cell>
          <cell r="D73">
            <v>2.77</v>
          </cell>
          <cell r="E73">
            <v>1</v>
          </cell>
          <cell r="I73">
            <v>0.15</v>
          </cell>
          <cell r="K73">
            <v>0.15</v>
          </cell>
          <cell r="P73">
            <v>2</v>
          </cell>
        </row>
        <row r="74">
          <cell r="B74" t="str">
            <v>10S</v>
          </cell>
          <cell r="C74">
            <v>1.25</v>
          </cell>
          <cell r="D74">
            <v>2.77</v>
          </cell>
          <cell r="E74">
            <v>1</v>
          </cell>
          <cell r="I74">
            <v>0.15</v>
          </cell>
          <cell r="K74">
            <v>0.15</v>
          </cell>
          <cell r="P74">
            <v>2</v>
          </cell>
        </row>
        <row r="75">
          <cell r="B75" t="str">
            <v>10S</v>
          </cell>
          <cell r="C75">
            <v>1.5</v>
          </cell>
          <cell r="D75">
            <v>2.77</v>
          </cell>
          <cell r="E75">
            <v>1</v>
          </cell>
          <cell r="I75">
            <v>0.15</v>
          </cell>
          <cell r="J75">
            <v>0</v>
          </cell>
          <cell r="K75">
            <v>0.15</v>
          </cell>
          <cell r="P75">
            <v>2</v>
          </cell>
        </row>
        <row r="76">
          <cell r="B76" t="str">
            <v>10S</v>
          </cell>
          <cell r="C76">
            <v>1.5</v>
          </cell>
          <cell r="D76">
            <v>2.77</v>
          </cell>
          <cell r="E76">
            <v>1</v>
          </cell>
          <cell r="I76">
            <v>0.15</v>
          </cell>
          <cell r="J76">
            <v>0</v>
          </cell>
          <cell r="K76">
            <v>0.15</v>
          </cell>
          <cell r="P76">
            <v>2</v>
          </cell>
        </row>
        <row r="77">
          <cell r="B77" t="str">
            <v>10S</v>
          </cell>
          <cell r="C77">
            <v>1.5</v>
          </cell>
          <cell r="D77">
            <v>2.77</v>
          </cell>
          <cell r="E77">
            <v>1</v>
          </cell>
          <cell r="I77">
            <v>0.15</v>
          </cell>
          <cell r="J77">
            <v>0</v>
          </cell>
          <cell r="K77">
            <v>0.15</v>
          </cell>
          <cell r="P77">
            <v>2</v>
          </cell>
        </row>
        <row r="78">
          <cell r="B78" t="str">
            <v>10S</v>
          </cell>
          <cell r="C78">
            <v>2</v>
          </cell>
          <cell r="D78">
            <v>2.77</v>
          </cell>
          <cell r="E78">
            <v>1</v>
          </cell>
          <cell r="I78">
            <v>0.15</v>
          </cell>
          <cell r="J78">
            <v>0</v>
          </cell>
          <cell r="K78">
            <v>0.15</v>
          </cell>
          <cell r="P78">
            <v>2</v>
          </cell>
        </row>
        <row r="79">
          <cell r="B79" t="str">
            <v>10S</v>
          </cell>
          <cell r="C79">
            <v>2</v>
          </cell>
          <cell r="D79">
            <v>2.77</v>
          </cell>
          <cell r="E79">
            <v>1</v>
          </cell>
          <cell r="I79">
            <v>0.15</v>
          </cell>
          <cell r="J79">
            <v>0</v>
          </cell>
          <cell r="K79">
            <v>0.15</v>
          </cell>
          <cell r="P79">
            <v>2</v>
          </cell>
        </row>
        <row r="80">
          <cell r="B80" t="str">
            <v>10S</v>
          </cell>
          <cell r="C80">
            <v>2</v>
          </cell>
          <cell r="D80">
            <v>2.77</v>
          </cell>
          <cell r="E80">
            <v>1</v>
          </cell>
          <cell r="I80">
            <v>0.15</v>
          </cell>
          <cell r="J80">
            <v>0</v>
          </cell>
          <cell r="K80">
            <v>0.15</v>
          </cell>
          <cell r="P80">
            <v>2</v>
          </cell>
        </row>
        <row r="81">
          <cell r="B81" t="str">
            <v>10S</v>
          </cell>
          <cell r="C81">
            <v>2.5</v>
          </cell>
          <cell r="D81">
            <v>3.05</v>
          </cell>
          <cell r="E81">
            <v>1</v>
          </cell>
          <cell r="I81">
            <v>0.15</v>
          </cell>
          <cell r="J81">
            <v>0</v>
          </cell>
          <cell r="K81">
            <v>0.15</v>
          </cell>
          <cell r="P81">
            <v>2</v>
          </cell>
        </row>
        <row r="82">
          <cell r="B82" t="str">
            <v>10S</v>
          </cell>
          <cell r="C82">
            <v>3</v>
          </cell>
          <cell r="D82">
            <v>3.05</v>
          </cell>
          <cell r="E82">
            <v>1</v>
          </cell>
          <cell r="I82">
            <v>0.3</v>
          </cell>
          <cell r="J82">
            <v>0</v>
          </cell>
          <cell r="K82">
            <v>0.3</v>
          </cell>
          <cell r="P82">
            <v>2</v>
          </cell>
        </row>
        <row r="83">
          <cell r="B83" t="str">
            <v>10S</v>
          </cell>
          <cell r="C83">
            <v>3.5</v>
          </cell>
          <cell r="D83">
            <v>3.05</v>
          </cell>
          <cell r="E83">
            <v>1</v>
          </cell>
          <cell r="I83">
            <v>0.3</v>
          </cell>
          <cell r="K83">
            <v>0.3</v>
          </cell>
          <cell r="P83">
            <v>3</v>
          </cell>
        </row>
        <row r="84">
          <cell r="B84" t="str">
            <v>10S</v>
          </cell>
          <cell r="C84">
            <v>4</v>
          </cell>
          <cell r="D84">
            <v>3.05</v>
          </cell>
          <cell r="E84">
            <v>1</v>
          </cell>
          <cell r="I84">
            <v>0.45</v>
          </cell>
          <cell r="J84">
            <v>0</v>
          </cell>
          <cell r="K84">
            <v>0.45</v>
          </cell>
          <cell r="P84">
            <v>3</v>
          </cell>
        </row>
        <row r="85">
          <cell r="B85" t="str">
            <v>10S</v>
          </cell>
          <cell r="C85">
            <v>5</v>
          </cell>
          <cell r="D85">
            <v>3.4</v>
          </cell>
          <cell r="E85">
            <v>1</v>
          </cell>
          <cell r="I85">
            <v>0.45</v>
          </cell>
          <cell r="K85">
            <v>0.45</v>
          </cell>
          <cell r="P85">
            <v>4</v>
          </cell>
        </row>
        <row r="86">
          <cell r="B86" t="str">
            <v>10S</v>
          </cell>
          <cell r="C86">
            <v>6</v>
          </cell>
          <cell r="D86">
            <v>3.4</v>
          </cell>
          <cell r="E86">
            <v>1</v>
          </cell>
          <cell r="I86">
            <v>0.6</v>
          </cell>
          <cell r="J86">
            <v>0</v>
          </cell>
          <cell r="K86">
            <v>0.6</v>
          </cell>
          <cell r="P86">
            <v>4</v>
          </cell>
        </row>
        <row r="87">
          <cell r="B87" t="str">
            <v>10S</v>
          </cell>
          <cell r="C87">
            <v>8</v>
          </cell>
          <cell r="D87">
            <v>3.76</v>
          </cell>
          <cell r="E87">
            <v>1</v>
          </cell>
          <cell r="I87">
            <v>0.6</v>
          </cell>
          <cell r="J87">
            <v>0</v>
          </cell>
          <cell r="K87">
            <v>0.6</v>
          </cell>
          <cell r="P87">
            <v>4</v>
          </cell>
        </row>
        <row r="88">
          <cell r="B88" t="str">
            <v>10S</v>
          </cell>
          <cell r="C88">
            <v>10</v>
          </cell>
          <cell r="D88">
            <v>4.1900000000000004</v>
          </cell>
          <cell r="E88">
            <v>1</v>
          </cell>
          <cell r="I88">
            <v>1.2</v>
          </cell>
          <cell r="J88">
            <v>0</v>
          </cell>
          <cell r="K88">
            <v>1.2</v>
          </cell>
          <cell r="P88">
            <v>4</v>
          </cell>
        </row>
        <row r="89">
          <cell r="B89" t="str">
            <v>10S</v>
          </cell>
          <cell r="C89">
            <v>12</v>
          </cell>
          <cell r="D89">
            <v>4.57</v>
          </cell>
          <cell r="E89">
            <v>1</v>
          </cell>
          <cell r="I89">
            <v>1.5</v>
          </cell>
          <cell r="J89">
            <v>0</v>
          </cell>
          <cell r="K89">
            <v>1.5</v>
          </cell>
          <cell r="P89">
            <v>6</v>
          </cell>
        </row>
        <row r="90">
          <cell r="B90" t="str">
            <v>10S</v>
          </cell>
          <cell r="C90">
            <v>14</v>
          </cell>
          <cell r="D90">
            <v>4.78</v>
          </cell>
          <cell r="E90">
            <v>1</v>
          </cell>
          <cell r="I90">
            <v>1.65</v>
          </cell>
          <cell r="J90">
            <v>0</v>
          </cell>
          <cell r="K90">
            <v>1.65</v>
          </cell>
          <cell r="P90">
            <v>6</v>
          </cell>
        </row>
        <row r="91">
          <cell r="B91" t="str">
            <v>10S</v>
          </cell>
          <cell r="C91">
            <v>16</v>
          </cell>
          <cell r="D91">
            <v>4.78</v>
          </cell>
          <cell r="E91">
            <v>1</v>
          </cell>
          <cell r="I91">
            <v>1.95</v>
          </cell>
          <cell r="J91">
            <v>0</v>
          </cell>
          <cell r="K91">
            <v>1.95</v>
          </cell>
          <cell r="P91">
            <v>6</v>
          </cell>
        </row>
        <row r="92">
          <cell r="B92" t="str">
            <v>10S</v>
          </cell>
          <cell r="C92">
            <v>18</v>
          </cell>
          <cell r="D92">
            <v>4.78</v>
          </cell>
          <cell r="E92">
            <v>1</v>
          </cell>
          <cell r="I92">
            <v>2.25</v>
          </cell>
          <cell r="J92">
            <v>0</v>
          </cell>
          <cell r="K92">
            <v>2.25</v>
          </cell>
          <cell r="P92">
            <v>6</v>
          </cell>
        </row>
        <row r="93">
          <cell r="B93" t="str">
            <v>10S</v>
          </cell>
          <cell r="C93">
            <v>20</v>
          </cell>
          <cell r="D93">
            <v>5.54</v>
          </cell>
          <cell r="E93">
            <v>1</v>
          </cell>
          <cell r="I93">
            <v>2.0299999999999998</v>
          </cell>
          <cell r="J93">
            <v>1.1200000000000001</v>
          </cell>
          <cell r="K93">
            <v>3.15</v>
          </cell>
          <cell r="P93">
            <v>7</v>
          </cell>
        </row>
        <row r="94">
          <cell r="B94" t="str">
            <v>10S</v>
          </cell>
          <cell r="C94">
            <v>22</v>
          </cell>
          <cell r="D94">
            <v>5.54</v>
          </cell>
          <cell r="E94">
            <v>1</v>
          </cell>
          <cell r="I94">
            <v>2.23</v>
          </cell>
          <cell r="J94">
            <v>1.37</v>
          </cell>
          <cell r="K94">
            <v>3.6</v>
          </cell>
          <cell r="P94">
            <v>8</v>
          </cell>
        </row>
        <row r="95">
          <cell r="B95" t="str">
            <v>10S</v>
          </cell>
          <cell r="C95">
            <v>24</v>
          </cell>
          <cell r="D95">
            <v>6.35</v>
          </cell>
          <cell r="E95">
            <v>1</v>
          </cell>
          <cell r="I95">
            <v>2.4300000000000002</v>
          </cell>
          <cell r="J95">
            <v>2.0699999999999998</v>
          </cell>
          <cell r="K95">
            <v>4.5</v>
          </cell>
          <cell r="P95">
            <v>8</v>
          </cell>
        </row>
        <row r="96">
          <cell r="B96" t="str">
            <v>10S</v>
          </cell>
          <cell r="C96">
            <v>30</v>
          </cell>
          <cell r="D96">
            <v>7.92</v>
          </cell>
          <cell r="E96">
            <v>1</v>
          </cell>
          <cell r="I96">
            <v>3.04</v>
          </cell>
          <cell r="J96">
            <v>5.66</v>
          </cell>
          <cell r="K96">
            <v>8.6999999999999993</v>
          </cell>
          <cell r="P96">
            <v>10</v>
          </cell>
        </row>
        <row r="97">
          <cell r="B97">
            <v>20</v>
          </cell>
          <cell r="C97">
            <v>8</v>
          </cell>
          <cell r="D97">
            <v>6.35</v>
          </cell>
          <cell r="E97">
            <v>1</v>
          </cell>
          <cell r="I97">
            <v>0.81</v>
          </cell>
          <cell r="J97">
            <v>0.99</v>
          </cell>
          <cell r="K97">
            <v>1.8</v>
          </cell>
          <cell r="P97">
            <v>4</v>
          </cell>
        </row>
        <row r="98">
          <cell r="B98">
            <v>20</v>
          </cell>
          <cell r="C98">
            <v>10</v>
          </cell>
          <cell r="D98">
            <v>6.35</v>
          </cell>
          <cell r="E98">
            <v>1</v>
          </cell>
          <cell r="I98">
            <v>1.01</v>
          </cell>
          <cell r="J98">
            <v>1.0900000000000001</v>
          </cell>
          <cell r="K98">
            <v>2.1</v>
          </cell>
          <cell r="P98">
            <v>4</v>
          </cell>
        </row>
        <row r="99">
          <cell r="B99">
            <v>20</v>
          </cell>
          <cell r="C99">
            <v>12</v>
          </cell>
          <cell r="D99">
            <v>6.35</v>
          </cell>
          <cell r="E99">
            <v>1</v>
          </cell>
          <cell r="I99">
            <v>1.22</v>
          </cell>
          <cell r="J99">
            <v>1.32</v>
          </cell>
          <cell r="K99">
            <v>2.54</v>
          </cell>
          <cell r="P99">
            <v>6</v>
          </cell>
        </row>
        <row r="100">
          <cell r="B100">
            <v>20</v>
          </cell>
          <cell r="C100">
            <v>14</v>
          </cell>
          <cell r="D100">
            <v>7.92</v>
          </cell>
          <cell r="E100">
            <v>1</v>
          </cell>
          <cell r="I100">
            <v>1.42</v>
          </cell>
          <cell r="J100">
            <v>2.48</v>
          </cell>
          <cell r="K100">
            <v>3.9</v>
          </cell>
          <cell r="P100">
            <v>6</v>
          </cell>
        </row>
        <row r="101">
          <cell r="B101">
            <v>20</v>
          </cell>
          <cell r="C101">
            <v>16</v>
          </cell>
          <cell r="D101">
            <v>7.92</v>
          </cell>
          <cell r="E101">
            <v>1</v>
          </cell>
          <cell r="I101">
            <v>1.62</v>
          </cell>
          <cell r="J101">
            <v>2.73</v>
          </cell>
          <cell r="K101">
            <v>4.3499999999999996</v>
          </cell>
          <cell r="P101">
            <v>6</v>
          </cell>
        </row>
        <row r="102">
          <cell r="B102">
            <v>20</v>
          </cell>
          <cell r="C102">
            <v>18</v>
          </cell>
          <cell r="D102">
            <v>7.92</v>
          </cell>
          <cell r="E102">
            <v>1</v>
          </cell>
          <cell r="I102">
            <v>1.82</v>
          </cell>
          <cell r="J102">
            <v>3.12</v>
          </cell>
          <cell r="K102">
            <v>4.9400000000000004</v>
          </cell>
          <cell r="P102">
            <v>6</v>
          </cell>
        </row>
        <row r="103">
          <cell r="B103">
            <v>20</v>
          </cell>
          <cell r="C103">
            <v>20</v>
          </cell>
          <cell r="D103">
            <v>9.5299999999999994</v>
          </cell>
          <cell r="E103">
            <v>1</v>
          </cell>
          <cell r="I103">
            <v>2.0299999999999998</v>
          </cell>
          <cell r="J103">
            <v>5.47</v>
          </cell>
          <cell r="K103">
            <v>7.5</v>
          </cell>
          <cell r="P103">
            <v>7</v>
          </cell>
        </row>
        <row r="104">
          <cell r="B104">
            <v>20</v>
          </cell>
          <cell r="C104">
            <v>22</v>
          </cell>
          <cell r="D104">
            <v>9.5299999999999994</v>
          </cell>
          <cell r="E104">
            <v>1</v>
          </cell>
          <cell r="I104">
            <v>2.23</v>
          </cell>
          <cell r="J104">
            <v>6.47</v>
          </cell>
          <cell r="K104">
            <v>8.6999999999999993</v>
          </cell>
          <cell r="P104">
            <v>8</v>
          </cell>
        </row>
        <row r="105">
          <cell r="B105">
            <v>20</v>
          </cell>
          <cell r="C105">
            <v>24</v>
          </cell>
          <cell r="D105">
            <v>9.5299999999999994</v>
          </cell>
          <cell r="E105">
            <v>1</v>
          </cell>
          <cell r="I105">
            <v>2.4300000000000002</v>
          </cell>
          <cell r="J105">
            <v>6.57</v>
          </cell>
          <cell r="K105">
            <v>9</v>
          </cell>
          <cell r="P105">
            <v>8</v>
          </cell>
        </row>
        <row r="106">
          <cell r="B106">
            <v>20</v>
          </cell>
          <cell r="C106">
            <v>26</v>
          </cell>
          <cell r="D106">
            <v>12.7</v>
          </cell>
          <cell r="E106">
            <v>1.25</v>
          </cell>
          <cell r="I106">
            <v>2.64</v>
          </cell>
          <cell r="J106">
            <v>13.86</v>
          </cell>
          <cell r="K106">
            <v>16.5</v>
          </cell>
          <cell r="P106">
            <v>9</v>
          </cell>
        </row>
        <row r="107">
          <cell r="B107">
            <v>20</v>
          </cell>
          <cell r="C107">
            <v>28</v>
          </cell>
          <cell r="D107">
            <v>12.7</v>
          </cell>
          <cell r="E107">
            <v>1.25</v>
          </cell>
          <cell r="I107">
            <v>2.84</v>
          </cell>
          <cell r="J107">
            <v>15.16</v>
          </cell>
          <cell r="K107">
            <v>18</v>
          </cell>
          <cell r="P107">
            <v>9</v>
          </cell>
        </row>
        <row r="108">
          <cell r="B108">
            <v>20</v>
          </cell>
          <cell r="C108">
            <v>30</v>
          </cell>
          <cell r="D108">
            <v>12.7</v>
          </cell>
          <cell r="E108">
            <v>1.25</v>
          </cell>
          <cell r="I108">
            <v>3.04</v>
          </cell>
          <cell r="J108">
            <v>16.45</v>
          </cell>
          <cell r="K108">
            <v>19.489999999999998</v>
          </cell>
          <cell r="P108">
            <v>10</v>
          </cell>
        </row>
        <row r="109">
          <cell r="B109">
            <v>20</v>
          </cell>
          <cell r="C109">
            <v>32</v>
          </cell>
          <cell r="D109">
            <v>12.7</v>
          </cell>
          <cell r="E109">
            <v>1.25</v>
          </cell>
          <cell r="I109">
            <v>3.24</v>
          </cell>
          <cell r="J109">
            <v>17.75</v>
          </cell>
          <cell r="K109">
            <v>20.990000000000002</v>
          </cell>
          <cell r="P109">
            <v>11</v>
          </cell>
        </row>
        <row r="110">
          <cell r="B110">
            <v>20</v>
          </cell>
          <cell r="C110">
            <v>34</v>
          </cell>
          <cell r="D110">
            <v>12.7</v>
          </cell>
          <cell r="E110">
            <v>1.25</v>
          </cell>
          <cell r="I110">
            <v>3.45</v>
          </cell>
          <cell r="J110">
            <v>18.54</v>
          </cell>
          <cell r="K110">
            <v>21.99</v>
          </cell>
          <cell r="P110">
            <v>12</v>
          </cell>
        </row>
        <row r="111">
          <cell r="B111">
            <v>20</v>
          </cell>
          <cell r="C111">
            <v>36</v>
          </cell>
          <cell r="D111">
            <v>12.7</v>
          </cell>
          <cell r="E111">
            <v>1.25</v>
          </cell>
          <cell r="I111">
            <v>3.65</v>
          </cell>
          <cell r="J111">
            <v>18.84</v>
          </cell>
          <cell r="K111">
            <v>22.49</v>
          </cell>
          <cell r="P111">
            <v>12</v>
          </cell>
        </row>
        <row r="112">
          <cell r="B112">
            <v>30</v>
          </cell>
          <cell r="C112">
            <v>8</v>
          </cell>
          <cell r="D112">
            <v>7.04</v>
          </cell>
          <cell r="E112">
            <v>1</v>
          </cell>
          <cell r="I112">
            <v>0.81</v>
          </cell>
          <cell r="J112">
            <v>1.1399999999999999</v>
          </cell>
          <cell r="K112">
            <v>1.95</v>
          </cell>
          <cell r="P112">
            <v>4</v>
          </cell>
        </row>
        <row r="113">
          <cell r="B113">
            <v>30</v>
          </cell>
          <cell r="C113">
            <v>10</v>
          </cell>
          <cell r="D113">
            <v>7.8</v>
          </cell>
          <cell r="E113">
            <v>1</v>
          </cell>
          <cell r="I113">
            <v>1.01</v>
          </cell>
          <cell r="J113">
            <v>1.99</v>
          </cell>
          <cell r="K113">
            <v>3</v>
          </cell>
          <cell r="P113">
            <v>4</v>
          </cell>
        </row>
        <row r="114">
          <cell r="B114">
            <v>30</v>
          </cell>
          <cell r="C114">
            <v>12</v>
          </cell>
          <cell r="D114">
            <v>8.3800000000000008</v>
          </cell>
          <cell r="E114">
            <v>1</v>
          </cell>
          <cell r="I114">
            <v>1.22</v>
          </cell>
          <cell r="J114">
            <v>2.68</v>
          </cell>
          <cell r="K114">
            <v>3.9000000000000004</v>
          </cell>
          <cell r="P114">
            <v>6</v>
          </cell>
        </row>
        <row r="115">
          <cell r="B115">
            <v>30</v>
          </cell>
          <cell r="C115">
            <v>14</v>
          </cell>
          <cell r="D115">
            <v>9.5299999999999994</v>
          </cell>
          <cell r="E115">
            <v>1</v>
          </cell>
          <cell r="I115">
            <v>1.42</v>
          </cell>
          <cell r="J115">
            <v>3.97</v>
          </cell>
          <cell r="K115">
            <v>5.3900000000000006</v>
          </cell>
          <cell r="P115">
            <v>6</v>
          </cell>
        </row>
        <row r="116">
          <cell r="B116">
            <v>30</v>
          </cell>
          <cell r="C116">
            <v>16</v>
          </cell>
          <cell r="D116">
            <v>9.5299999999999994</v>
          </cell>
          <cell r="E116">
            <v>1</v>
          </cell>
          <cell r="I116">
            <v>1.62</v>
          </cell>
          <cell r="J116">
            <v>4.68</v>
          </cell>
          <cell r="K116">
            <v>6.3</v>
          </cell>
          <cell r="P116">
            <v>6</v>
          </cell>
        </row>
        <row r="117">
          <cell r="B117">
            <v>30</v>
          </cell>
          <cell r="C117">
            <v>18</v>
          </cell>
          <cell r="D117">
            <v>11.13</v>
          </cell>
          <cell r="E117">
            <v>1.25</v>
          </cell>
          <cell r="I117">
            <v>1.82</v>
          </cell>
          <cell r="J117">
            <v>6.88</v>
          </cell>
          <cell r="K117">
            <v>8.6999999999999993</v>
          </cell>
          <cell r="P117">
            <v>6</v>
          </cell>
        </row>
        <row r="118">
          <cell r="B118">
            <v>30</v>
          </cell>
          <cell r="C118">
            <v>20</v>
          </cell>
          <cell r="D118">
            <v>12.7</v>
          </cell>
          <cell r="E118">
            <v>1.25</v>
          </cell>
          <cell r="I118">
            <v>2.0299999999999998</v>
          </cell>
          <cell r="J118">
            <v>10.42</v>
          </cell>
          <cell r="K118">
            <v>12.45</v>
          </cell>
          <cell r="P118">
            <v>7</v>
          </cell>
        </row>
        <row r="119">
          <cell r="B119">
            <v>30</v>
          </cell>
          <cell r="C119">
            <v>22</v>
          </cell>
          <cell r="D119">
            <v>12.7</v>
          </cell>
          <cell r="E119">
            <v>1.25</v>
          </cell>
          <cell r="I119">
            <v>2.23</v>
          </cell>
          <cell r="J119">
            <v>11.72</v>
          </cell>
          <cell r="K119">
            <v>13.950000000000001</v>
          </cell>
          <cell r="P119">
            <v>8</v>
          </cell>
        </row>
        <row r="120">
          <cell r="B120">
            <v>30</v>
          </cell>
          <cell r="C120">
            <v>24</v>
          </cell>
          <cell r="D120">
            <v>14.27</v>
          </cell>
          <cell r="E120">
            <v>1.25</v>
          </cell>
          <cell r="I120">
            <v>2.4300000000000002</v>
          </cell>
          <cell r="J120">
            <v>15.57</v>
          </cell>
          <cell r="K120">
            <v>18</v>
          </cell>
          <cell r="P120">
            <v>8</v>
          </cell>
        </row>
        <row r="121">
          <cell r="B121">
            <v>30</v>
          </cell>
          <cell r="C121">
            <v>28</v>
          </cell>
          <cell r="D121">
            <v>15.88</v>
          </cell>
          <cell r="E121">
            <v>1.5</v>
          </cell>
          <cell r="I121">
            <v>2.84</v>
          </cell>
          <cell r="J121">
            <v>22.65</v>
          </cell>
          <cell r="K121">
            <v>25.49</v>
          </cell>
          <cell r="P121">
            <v>9</v>
          </cell>
        </row>
        <row r="122">
          <cell r="B122">
            <v>30</v>
          </cell>
          <cell r="C122">
            <v>30</v>
          </cell>
          <cell r="D122">
            <v>15.88</v>
          </cell>
          <cell r="E122">
            <v>1.5</v>
          </cell>
          <cell r="I122">
            <v>3.04</v>
          </cell>
          <cell r="J122">
            <v>23.96</v>
          </cell>
          <cell r="K122">
            <v>27</v>
          </cell>
          <cell r="P122">
            <v>10</v>
          </cell>
        </row>
        <row r="123">
          <cell r="B123">
            <v>30</v>
          </cell>
          <cell r="C123">
            <v>32</v>
          </cell>
          <cell r="D123">
            <v>15.88</v>
          </cell>
          <cell r="E123">
            <v>1.5</v>
          </cell>
          <cell r="I123">
            <v>3.24</v>
          </cell>
          <cell r="J123">
            <v>26.76</v>
          </cell>
          <cell r="K123">
            <v>30</v>
          </cell>
          <cell r="P123">
            <v>11</v>
          </cell>
        </row>
        <row r="124">
          <cell r="B124">
            <v>30</v>
          </cell>
          <cell r="C124">
            <v>34</v>
          </cell>
          <cell r="D124">
            <v>15.88</v>
          </cell>
          <cell r="E124">
            <v>1.5</v>
          </cell>
          <cell r="I124">
            <v>3.45</v>
          </cell>
          <cell r="J124">
            <v>28.05</v>
          </cell>
          <cell r="K124">
            <v>31.5</v>
          </cell>
          <cell r="P124">
            <v>12</v>
          </cell>
        </row>
        <row r="125">
          <cell r="B125">
            <v>30</v>
          </cell>
          <cell r="C125">
            <v>36</v>
          </cell>
          <cell r="D125">
            <v>15.88</v>
          </cell>
          <cell r="E125">
            <v>1.5</v>
          </cell>
          <cell r="I125">
            <v>3.65</v>
          </cell>
          <cell r="J125">
            <v>29.35</v>
          </cell>
          <cell r="K125">
            <v>33</v>
          </cell>
          <cell r="P125">
            <v>12</v>
          </cell>
        </row>
        <row r="126">
          <cell r="B126">
            <v>40</v>
          </cell>
          <cell r="C126">
            <v>0.125</v>
          </cell>
          <cell r="D126">
            <v>1.73</v>
          </cell>
          <cell r="E126">
            <v>1</v>
          </cell>
          <cell r="I126">
            <v>7.0000000000000007E-2</v>
          </cell>
          <cell r="K126">
            <v>7.0000000000000007E-2</v>
          </cell>
          <cell r="P126">
            <v>2</v>
          </cell>
        </row>
        <row r="127">
          <cell r="B127">
            <v>40</v>
          </cell>
          <cell r="C127">
            <v>0.125</v>
          </cell>
          <cell r="D127">
            <v>1.73</v>
          </cell>
          <cell r="E127">
            <v>1</v>
          </cell>
          <cell r="I127">
            <v>7.0000000000000007E-2</v>
          </cell>
          <cell r="K127">
            <v>7.0000000000000007E-2</v>
          </cell>
          <cell r="P127">
            <v>2</v>
          </cell>
        </row>
        <row r="128">
          <cell r="B128">
            <v>40</v>
          </cell>
          <cell r="C128">
            <v>0.125</v>
          </cell>
          <cell r="D128">
            <v>1.73</v>
          </cell>
          <cell r="E128">
            <v>1</v>
          </cell>
          <cell r="I128">
            <v>7.0000000000000007E-2</v>
          </cell>
          <cell r="K128">
            <v>7.0000000000000007E-2</v>
          </cell>
          <cell r="P128">
            <v>2</v>
          </cell>
        </row>
        <row r="129">
          <cell r="B129">
            <v>40</v>
          </cell>
          <cell r="C129">
            <v>0.25</v>
          </cell>
          <cell r="D129">
            <v>2.2400000000000002</v>
          </cell>
          <cell r="E129">
            <v>1</v>
          </cell>
          <cell r="I129">
            <v>7.0000000000000007E-2</v>
          </cell>
          <cell r="K129">
            <v>7.0000000000000007E-2</v>
          </cell>
          <cell r="P129">
            <v>2</v>
          </cell>
        </row>
        <row r="130">
          <cell r="B130">
            <v>40</v>
          </cell>
          <cell r="C130">
            <v>0.25</v>
          </cell>
          <cell r="D130">
            <v>2.2400000000000002</v>
          </cell>
          <cell r="E130">
            <v>1</v>
          </cell>
          <cell r="I130">
            <v>7.0000000000000007E-2</v>
          </cell>
          <cell r="K130">
            <v>7.0000000000000007E-2</v>
          </cell>
          <cell r="P130">
            <v>2</v>
          </cell>
        </row>
        <row r="131">
          <cell r="B131">
            <v>40</v>
          </cell>
          <cell r="C131">
            <v>0.25</v>
          </cell>
          <cell r="D131">
            <v>2.2400000000000002</v>
          </cell>
          <cell r="E131">
            <v>1</v>
          </cell>
          <cell r="I131">
            <v>7.0000000000000007E-2</v>
          </cell>
          <cell r="K131">
            <v>7.0000000000000007E-2</v>
          </cell>
          <cell r="P131">
            <v>2</v>
          </cell>
        </row>
        <row r="132">
          <cell r="B132">
            <v>40</v>
          </cell>
          <cell r="C132">
            <v>0.375</v>
          </cell>
          <cell r="D132">
            <v>2.31</v>
          </cell>
          <cell r="E132">
            <v>1</v>
          </cell>
          <cell r="I132">
            <v>7.0000000000000007E-2</v>
          </cell>
          <cell r="J132">
            <v>0</v>
          </cell>
          <cell r="K132">
            <v>7.0000000000000007E-2</v>
          </cell>
          <cell r="P132">
            <v>2</v>
          </cell>
        </row>
        <row r="133">
          <cell r="B133">
            <v>40</v>
          </cell>
          <cell r="C133">
            <v>0.375</v>
          </cell>
          <cell r="D133">
            <v>2.31</v>
          </cell>
          <cell r="E133">
            <v>1</v>
          </cell>
          <cell r="I133">
            <v>7.0000000000000007E-2</v>
          </cell>
          <cell r="J133">
            <v>0</v>
          </cell>
          <cell r="K133">
            <v>7.0000000000000007E-2</v>
          </cell>
          <cell r="P133">
            <v>2</v>
          </cell>
        </row>
        <row r="134">
          <cell r="B134">
            <v>40</v>
          </cell>
          <cell r="C134">
            <v>0.375</v>
          </cell>
          <cell r="D134">
            <v>2.31</v>
          </cell>
          <cell r="E134">
            <v>1</v>
          </cell>
          <cell r="I134">
            <v>7.0000000000000007E-2</v>
          </cell>
          <cell r="J134">
            <v>0</v>
          </cell>
          <cell r="K134">
            <v>7.0000000000000007E-2</v>
          </cell>
          <cell r="P134">
            <v>2</v>
          </cell>
        </row>
        <row r="135">
          <cell r="B135">
            <v>40</v>
          </cell>
          <cell r="C135">
            <v>0.5</v>
          </cell>
          <cell r="D135">
            <v>2.77</v>
          </cell>
          <cell r="E135">
            <v>1</v>
          </cell>
          <cell r="I135">
            <v>7.0000000000000007E-2</v>
          </cell>
          <cell r="J135">
            <v>0</v>
          </cell>
          <cell r="K135">
            <v>7.0000000000000007E-2</v>
          </cell>
          <cell r="P135">
            <v>2</v>
          </cell>
        </row>
        <row r="136">
          <cell r="B136">
            <v>40</v>
          </cell>
          <cell r="C136">
            <v>0.5</v>
          </cell>
          <cell r="D136">
            <v>2.77</v>
          </cell>
          <cell r="E136">
            <v>1</v>
          </cell>
          <cell r="I136">
            <v>7.0000000000000007E-2</v>
          </cell>
          <cell r="J136">
            <v>0</v>
          </cell>
          <cell r="K136">
            <v>7.0000000000000007E-2</v>
          </cell>
          <cell r="P136">
            <v>2</v>
          </cell>
        </row>
        <row r="137">
          <cell r="B137">
            <v>40</v>
          </cell>
          <cell r="C137">
            <v>0.5</v>
          </cell>
          <cell r="D137">
            <v>2.77</v>
          </cell>
          <cell r="E137">
            <v>1</v>
          </cell>
          <cell r="I137">
            <v>7.0000000000000007E-2</v>
          </cell>
          <cell r="J137">
            <v>0</v>
          </cell>
          <cell r="K137">
            <v>7.0000000000000007E-2</v>
          </cell>
          <cell r="P137">
            <v>2</v>
          </cell>
        </row>
        <row r="138">
          <cell r="B138">
            <v>40</v>
          </cell>
          <cell r="C138">
            <v>0.75</v>
          </cell>
          <cell r="D138">
            <v>2.87</v>
          </cell>
          <cell r="E138">
            <v>1</v>
          </cell>
          <cell r="I138">
            <v>7.0000000000000007E-2</v>
          </cell>
          <cell r="J138">
            <v>0</v>
          </cell>
          <cell r="K138">
            <v>7.0000000000000007E-2</v>
          </cell>
          <cell r="P138">
            <v>2</v>
          </cell>
        </row>
        <row r="139">
          <cell r="B139">
            <v>40</v>
          </cell>
          <cell r="C139">
            <v>0.75</v>
          </cell>
          <cell r="D139">
            <v>2.87</v>
          </cell>
          <cell r="E139">
            <v>1</v>
          </cell>
          <cell r="I139">
            <v>7.0000000000000007E-2</v>
          </cell>
          <cell r="J139">
            <v>0</v>
          </cell>
          <cell r="K139">
            <v>7.0000000000000007E-2</v>
          </cell>
          <cell r="P139">
            <v>2</v>
          </cell>
        </row>
        <row r="140">
          <cell r="B140">
            <v>40</v>
          </cell>
          <cell r="C140">
            <v>0.75</v>
          </cell>
          <cell r="D140">
            <v>2.87</v>
          </cell>
          <cell r="E140">
            <v>1</v>
          </cell>
          <cell r="I140">
            <v>7.0000000000000007E-2</v>
          </cell>
          <cell r="J140">
            <v>0</v>
          </cell>
          <cell r="K140">
            <v>7.0000000000000007E-2</v>
          </cell>
          <cell r="P140">
            <v>2</v>
          </cell>
        </row>
        <row r="141">
          <cell r="B141">
            <v>40</v>
          </cell>
          <cell r="C141">
            <v>1</v>
          </cell>
          <cell r="D141">
            <v>3.38</v>
          </cell>
          <cell r="E141">
            <v>1</v>
          </cell>
          <cell r="I141">
            <v>0.12</v>
          </cell>
          <cell r="J141">
            <v>0</v>
          </cell>
          <cell r="K141">
            <v>0.12</v>
          </cell>
          <cell r="P141">
            <v>2</v>
          </cell>
        </row>
        <row r="142">
          <cell r="B142">
            <v>40</v>
          </cell>
          <cell r="C142">
            <v>1</v>
          </cell>
          <cell r="D142">
            <v>3.38</v>
          </cell>
          <cell r="E142">
            <v>1</v>
          </cell>
          <cell r="I142">
            <v>0.12</v>
          </cell>
          <cell r="J142">
            <v>0</v>
          </cell>
          <cell r="K142">
            <v>0.12</v>
          </cell>
          <cell r="P142">
            <v>2</v>
          </cell>
        </row>
        <row r="143">
          <cell r="B143">
            <v>40</v>
          </cell>
          <cell r="C143">
            <v>1</v>
          </cell>
          <cell r="D143">
            <v>3.38</v>
          </cell>
          <cell r="E143">
            <v>1</v>
          </cell>
          <cell r="I143">
            <v>0.12</v>
          </cell>
          <cell r="J143">
            <v>0</v>
          </cell>
          <cell r="K143">
            <v>0.12</v>
          </cell>
          <cell r="P143">
            <v>2</v>
          </cell>
        </row>
        <row r="144">
          <cell r="B144">
            <v>40</v>
          </cell>
          <cell r="C144">
            <v>1.25</v>
          </cell>
          <cell r="D144">
            <v>3.56</v>
          </cell>
          <cell r="E144">
            <v>1</v>
          </cell>
          <cell r="I144">
            <v>0.15</v>
          </cell>
          <cell r="K144">
            <v>0.15</v>
          </cell>
          <cell r="P144">
            <v>2</v>
          </cell>
        </row>
        <row r="145">
          <cell r="B145">
            <v>40</v>
          </cell>
          <cell r="C145">
            <v>1.25</v>
          </cell>
          <cell r="D145">
            <v>3.56</v>
          </cell>
          <cell r="E145">
            <v>1</v>
          </cell>
          <cell r="I145">
            <v>0.15</v>
          </cell>
          <cell r="K145">
            <v>0.15</v>
          </cell>
          <cell r="P145">
            <v>2</v>
          </cell>
        </row>
        <row r="146">
          <cell r="B146">
            <v>40</v>
          </cell>
          <cell r="C146">
            <v>1.25</v>
          </cell>
          <cell r="D146">
            <v>3.56</v>
          </cell>
          <cell r="E146">
            <v>1</v>
          </cell>
          <cell r="I146">
            <v>0.15</v>
          </cell>
          <cell r="K146">
            <v>0.15</v>
          </cell>
          <cell r="P146">
            <v>2</v>
          </cell>
        </row>
        <row r="147">
          <cell r="B147">
            <v>40</v>
          </cell>
          <cell r="C147">
            <v>1.5</v>
          </cell>
          <cell r="D147">
            <v>3.68</v>
          </cell>
          <cell r="E147">
            <v>1</v>
          </cell>
          <cell r="I147">
            <v>0.15</v>
          </cell>
          <cell r="J147">
            <v>0</v>
          </cell>
          <cell r="K147">
            <v>0.15</v>
          </cell>
          <cell r="P147">
            <v>2</v>
          </cell>
        </row>
        <row r="148">
          <cell r="B148">
            <v>40</v>
          </cell>
          <cell r="C148">
            <v>1.5</v>
          </cell>
          <cell r="D148">
            <v>3.68</v>
          </cell>
          <cell r="E148">
            <v>1</v>
          </cell>
          <cell r="I148">
            <v>0.15</v>
          </cell>
          <cell r="J148">
            <v>0</v>
          </cell>
          <cell r="K148">
            <v>0.15</v>
          </cell>
          <cell r="P148">
            <v>2</v>
          </cell>
        </row>
        <row r="149">
          <cell r="B149">
            <v>40</v>
          </cell>
          <cell r="C149">
            <v>1.5</v>
          </cell>
          <cell r="D149">
            <v>3.68</v>
          </cell>
          <cell r="E149">
            <v>1</v>
          </cell>
          <cell r="I149">
            <v>0.15</v>
          </cell>
          <cell r="J149">
            <v>0</v>
          </cell>
          <cell r="K149">
            <v>0.15</v>
          </cell>
          <cell r="P149">
            <v>2</v>
          </cell>
        </row>
        <row r="150">
          <cell r="B150">
            <v>40</v>
          </cell>
          <cell r="C150">
            <v>2</v>
          </cell>
          <cell r="D150">
            <v>3.91</v>
          </cell>
          <cell r="E150">
            <v>1</v>
          </cell>
          <cell r="I150">
            <v>0.3</v>
          </cell>
          <cell r="J150">
            <v>0</v>
          </cell>
          <cell r="K150">
            <v>0.3</v>
          </cell>
          <cell r="P150">
            <v>2</v>
          </cell>
        </row>
        <row r="151">
          <cell r="B151">
            <v>40</v>
          </cell>
          <cell r="C151">
            <v>2</v>
          </cell>
          <cell r="D151">
            <v>3.91</v>
          </cell>
          <cell r="E151">
            <v>1</v>
          </cell>
          <cell r="I151">
            <v>0.3</v>
          </cell>
          <cell r="J151">
            <v>0</v>
          </cell>
          <cell r="K151">
            <v>0.3</v>
          </cell>
          <cell r="P151">
            <v>2</v>
          </cell>
        </row>
        <row r="152">
          <cell r="B152">
            <v>40</v>
          </cell>
          <cell r="C152">
            <v>2</v>
          </cell>
          <cell r="D152">
            <v>3.91</v>
          </cell>
          <cell r="E152">
            <v>1</v>
          </cell>
          <cell r="I152">
            <v>0.3</v>
          </cell>
          <cell r="J152">
            <v>0</v>
          </cell>
          <cell r="K152">
            <v>0.3</v>
          </cell>
          <cell r="P152">
            <v>2</v>
          </cell>
        </row>
        <row r="153">
          <cell r="B153">
            <v>40</v>
          </cell>
          <cell r="C153">
            <v>2.5</v>
          </cell>
          <cell r="D153">
            <v>5.16</v>
          </cell>
          <cell r="E153">
            <v>1</v>
          </cell>
          <cell r="I153">
            <v>0.25</v>
          </cell>
          <cell r="J153">
            <v>0.2</v>
          </cell>
          <cell r="K153">
            <v>0.45</v>
          </cell>
          <cell r="P153">
            <v>2</v>
          </cell>
        </row>
        <row r="154">
          <cell r="B154">
            <v>40</v>
          </cell>
          <cell r="C154">
            <v>3</v>
          </cell>
          <cell r="D154">
            <v>5.49</v>
          </cell>
          <cell r="E154">
            <v>1</v>
          </cell>
          <cell r="I154">
            <v>0.3</v>
          </cell>
          <cell r="J154">
            <v>0.3</v>
          </cell>
          <cell r="K154">
            <v>0.6</v>
          </cell>
          <cell r="P154">
            <v>2</v>
          </cell>
        </row>
        <row r="155">
          <cell r="B155">
            <v>40</v>
          </cell>
          <cell r="C155">
            <v>3.5</v>
          </cell>
          <cell r="D155">
            <v>5.74</v>
          </cell>
          <cell r="E155">
            <v>1</v>
          </cell>
          <cell r="I155">
            <v>0.35</v>
          </cell>
          <cell r="J155">
            <v>0.4</v>
          </cell>
          <cell r="K155">
            <v>0.75</v>
          </cell>
          <cell r="P155">
            <v>3</v>
          </cell>
        </row>
        <row r="156">
          <cell r="B156">
            <v>40</v>
          </cell>
          <cell r="C156">
            <v>4</v>
          </cell>
          <cell r="D156">
            <v>6.02</v>
          </cell>
          <cell r="E156">
            <v>1</v>
          </cell>
          <cell r="I156">
            <v>0.41</v>
          </cell>
          <cell r="J156">
            <v>0.49</v>
          </cell>
          <cell r="K156">
            <v>0.89999999999999991</v>
          </cell>
          <cell r="P156">
            <v>3</v>
          </cell>
        </row>
        <row r="157">
          <cell r="B157">
            <v>40</v>
          </cell>
          <cell r="C157">
            <v>5</v>
          </cell>
          <cell r="D157">
            <v>6.55</v>
          </cell>
          <cell r="E157">
            <v>1</v>
          </cell>
          <cell r="I157">
            <v>0.51</v>
          </cell>
          <cell r="J157">
            <v>0.54</v>
          </cell>
          <cell r="K157">
            <v>1.05</v>
          </cell>
          <cell r="P157">
            <v>4</v>
          </cell>
        </row>
        <row r="158">
          <cell r="B158">
            <v>40</v>
          </cell>
          <cell r="C158">
            <v>6</v>
          </cell>
          <cell r="D158">
            <v>7.11</v>
          </cell>
          <cell r="E158">
            <v>1</v>
          </cell>
          <cell r="I158">
            <v>0.61</v>
          </cell>
          <cell r="J158">
            <v>1.04</v>
          </cell>
          <cell r="K158">
            <v>1.65</v>
          </cell>
          <cell r="P158">
            <v>4</v>
          </cell>
        </row>
        <row r="159">
          <cell r="B159">
            <v>40</v>
          </cell>
          <cell r="C159">
            <v>8</v>
          </cell>
          <cell r="D159">
            <v>8.18</v>
          </cell>
          <cell r="E159">
            <v>1</v>
          </cell>
          <cell r="I159">
            <v>0.81</v>
          </cell>
          <cell r="J159">
            <v>1.73</v>
          </cell>
          <cell r="K159">
            <v>2.54</v>
          </cell>
          <cell r="P159">
            <v>4</v>
          </cell>
        </row>
        <row r="160">
          <cell r="B160">
            <v>40</v>
          </cell>
          <cell r="C160">
            <v>10</v>
          </cell>
          <cell r="D160">
            <v>9.27</v>
          </cell>
          <cell r="E160">
            <v>1</v>
          </cell>
          <cell r="I160">
            <v>1.01</v>
          </cell>
          <cell r="J160">
            <v>3.04</v>
          </cell>
          <cell r="K160">
            <v>4.05</v>
          </cell>
          <cell r="P160">
            <v>4</v>
          </cell>
        </row>
        <row r="161">
          <cell r="B161">
            <v>40</v>
          </cell>
          <cell r="C161">
            <v>12</v>
          </cell>
          <cell r="D161">
            <v>10.31</v>
          </cell>
          <cell r="E161">
            <v>1.25</v>
          </cell>
          <cell r="I161">
            <v>1.22</v>
          </cell>
          <cell r="J161">
            <v>4.0199999999999996</v>
          </cell>
          <cell r="K161">
            <v>5.2399999999999993</v>
          </cell>
          <cell r="P161">
            <v>6</v>
          </cell>
        </row>
        <row r="162">
          <cell r="B162">
            <v>40</v>
          </cell>
          <cell r="C162">
            <v>14</v>
          </cell>
          <cell r="D162">
            <v>11.13</v>
          </cell>
          <cell r="E162">
            <v>1.25</v>
          </cell>
          <cell r="I162">
            <v>1.42</v>
          </cell>
          <cell r="J162">
            <v>5.33</v>
          </cell>
          <cell r="K162">
            <v>6.75</v>
          </cell>
          <cell r="P162">
            <v>6</v>
          </cell>
        </row>
        <row r="163">
          <cell r="B163">
            <v>40</v>
          </cell>
          <cell r="C163">
            <v>16</v>
          </cell>
          <cell r="D163">
            <v>12.7</v>
          </cell>
          <cell r="E163">
            <v>1.25</v>
          </cell>
          <cell r="I163">
            <v>1.62</v>
          </cell>
          <cell r="J163">
            <v>8.42</v>
          </cell>
          <cell r="K163">
            <v>10.039999999999999</v>
          </cell>
          <cell r="P163">
            <v>6</v>
          </cell>
        </row>
        <row r="164">
          <cell r="B164">
            <v>40</v>
          </cell>
          <cell r="C164">
            <v>18</v>
          </cell>
          <cell r="D164">
            <v>14.27</v>
          </cell>
          <cell r="E164">
            <v>1.25</v>
          </cell>
          <cell r="I164">
            <v>1.82</v>
          </cell>
          <cell r="J164">
            <v>11.53</v>
          </cell>
          <cell r="K164">
            <v>13.35</v>
          </cell>
          <cell r="P164">
            <v>6</v>
          </cell>
        </row>
        <row r="165">
          <cell r="B165">
            <v>40</v>
          </cell>
          <cell r="C165">
            <v>20</v>
          </cell>
          <cell r="D165">
            <v>15.09</v>
          </cell>
          <cell r="E165">
            <v>1.5</v>
          </cell>
          <cell r="I165">
            <v>2.0299999999999998</v>
          </cell>
          <cell r="J165">
            <v>14.47</v>
          </cell>
          <cell r="K165">
            <v>16.5</v>
          </cell>
          <cell r="P165">
            <v>7</v>
          </cell>
        </row>
        <row r="166">
          <cell r="B166">
            <v>40</v>
          </cell>
          <cell r="C166">
            <v>24</v>
          </cell>
          <cell r="D166">
            <v>17.48</v>
          </cell>
          <cell r="E166">
            <v>1.5</v>
          </cell>
          <cell r="I166">
            <v>2.4300000000000002</v>
          </cell>
          <cell r="J166">
            <v>24.57</v>
          </cell>
          <cell r="K166">
            <v>27</v>
          </cell>
          <cell r="P166">
            <v>8</v>
          </cell>
        </row>
        <row r="167">
          <cell r="B167">
            <v>40</v>
          </cell>
          <cell r="C167">
            <v>32</v>
          </cell>
          <cell r="D167">
            <v>17.48</v>
          </cell>
          <cell r="E167">
            <v>1.5</v>
          </cell>
          <cell r="I167">
            <v>3.24</v>
          </cell>
          <cell r="J167">
            <v>31.26</v>
          </cell>
          <cell r="K167">
            <v>34.5</v>
          </cell>
          <cell r="P167">
            <v>11</v>
          </cell>
        </row>
        <row r="168">
          <cell r="B168">
            <v>40</v>
          </cell>
          <cell r="C168">
            <v>34</v>
          </cell>
          <cell r="D168">
            <v>17.48</v>
          </cell>
          <cell r="E168">
            <v>1.5</v>
          </cell>
          <cell r="I168">
            <v>3.45</v>
          </cell>
          <cell r="J168">
            <v>34.049999999999997</v>
          </cell>
          <cell r="K168">
            <v>37.5</v>
          </cell>
          <cell r="P168">
            <v>12</v>
          </cell>
        </row>
        <row r="169">
          <cell r="B169">
            <v>40</v>
          </cell>
          <cell r="C169">
            <v>36</v>
          </cell>
          <cell r="D169">
            <v>19.05</v>
          </cell>
          <cell r="E169">
            <v>2</v>
          </cell>
          <cell r="I169">
            <v>3.65</v>
          </cell>
          <cell r="J169">
            <v>41.34</v>
          </cell>
          <cell r="K169">
            <v>44.99</v>
          </cell>
          <cell r="P169">
            <v>12</v>
          </cell>
        </row>
        <row r="170">
          <cell r="B170" t="str">
            <v>40S</v>
          </cell>
          <cell r="C170">
            <v>0.125</v>
          </cell>
          <cell r="D170">
            <v>1.73</v>
          </cell>
          <cell r="E170">
            <v>1</v>
          </cell>
          <cell r="I170">
            <v>7.0000000000000007E-2</v>
          </cell>
          <cell r="K170">
            <v>7.0000000000000007E-2</v>
          </cell>
          <cell r="P170">
            <v>2</v>
          </cell>
        </row>
        <row r="171">
          <cell r="B171" t="str">
            <v>40S</v>
          </cell>
          <cell r="C171">
            <v>0.125</v>
          </cell>
          <cell r="D171">
            <v>1.73</v>
          </cell>
          <cell r="E171">
            <v>1</v>
          </cell>
          <cell r="I171">
            <v>7.0000000000000007E-2</v>
          </cell>
          <cell r="K171">
            <v>7.0000000000000007E-2</v>
          </cell>
          <cell r="P171">
            <v>2</v>
          </cell>
        </row>
        <row r="172">
          <cell r="B172" t="str">
            <v>40S</v>
          </cell>
          <cell r="C172">
            <v>0.125</v>
          </cell>
          <cell r="D172">
            <v>1.73</v>
          </cell>
          <cell r="E172">
            <v>1</v>
          </cell>
          <cell r="I172">
            <v>7.0000000000000007E-2</v>
          </cell>
          <cell r="K172">
            <v>7.0000000000000007E-2</v>
          </cell>
          <cell r="P172">
            <v>2</v>
          </cell>
        </row>
        <row r="173">
          <cell r="B173" t="str">
            <v>40S</v>
          </cell>
          <cell r="C173">
            <v>0.25</v>
          </cell>
          <cell r="D173">
            <v>2.2400000000000002</v>
          </cell>
          <cell r="E173">
            <v>1</v>
          </cell>
          <cell r="I173">
            <v>7.0000000000000007E-2</v>
          </cell>
          <cell r="K173">
            <v>7.0000000000000007E-2</v>
          </cell>
          <cell r="P173">
            <v>2</v>
          </cell>
        </row>
        <row r="174">
          <cell r="B174" t="str">
            <v>40S</v>
          </cell>
          <cell r="C174">
            <v>0.25</v>
          </cell>
          <cell r="D174">
            <v>2.2400000000000002</v>
          </cell>
          <cell r="E174">
            <v>1</v>
          </cell>
          <cell r="I174">
            <v>7.0000000000000007E-2</v>
          </cell>
          <cell r="K174">
            <v>7.0000000000000007E-2</v>
          </cell>
          <cell r="P174">
            <v>2</v>
          </cell>
        </row>
        <row r="175">
          <cell r="B175" t="str">
            <v>40S</v>
          </cell>
          <cell r="C175">
            <v>0.25</v>
          </cell>
          <cell r="D175">
            <v>2.2400000000000002</v>
          </cell>
          <cell r="E175">
            <v>1</v>
          </cell>
          <cell r="I175">
            <v>7.0000000000000007E-2</v>
          </cell>
          <cell r="K175">
            <v>7.0000000000000007E-2</v>
          </cell>
          <cell r="P175">
            <v>2</v>
          </cell>
        </row>
        <row r="176">
          <cell r="B176" t="str">
            <v>40S</v>
          </cell>
          <cell r="C176">
            <v>0.375</v>
          </cell>
          <cell r="D176">
            <v>2.31</v>
          </cell>
          <cell r="E176">
            <v>1</v>
          </cell>
          <cell r="I176">
            <v>7.0000000000000007E-2</v>
          </cell>
          <cell r="K176">
            <v>7.0000000000000007E-2</v>
          </cell>
          <cell r="P176">
            <v>2</v>
          </cell>
        </row>
        <row r="177">
          <cell r="B177" t="str">
            <v>40S</v>
          </cell>
          <cell r="C177">
            <v>0.375</v>
          </cell>
          <cell r="D177">
            <v>2.31</v>
          </cell>
          <cell r="E177">
            <v>1</v>
          </cell>
          <cell r="I177">
            <v>7.0000000000000007E-2</v>
          </cell>
          <cell r="K177">
            <v>7.0000000000000007E-2</v>
          </cell>
          <cell r="P177">
            <v>2</v>
          </cell>
        </row>
        <row r="178">
          <cell r="B178" t="str">
            <v>40S</v>
          </cell>
          <cell r="C178">
            <v>0.375</v>
          </cell>
          <cell r="D178">
            <v>2.31</v>
          </cell>
          <cell r="E178">
            <v>1</v>
          </cell>
          <cell r="I178">
            <v>7.0000000000000007E-2</v>
          </cell>
          <cell r="K178">
            <v>7.0000000000000007E-2</v>
          </cell>
          <cell r="P178">
            <v>2</v>
          </cell>
        </row>
        <row r="179">
          <cell r="B179" t="str">
            <v>40S</v>
          </cell>
          <cell r="C179">
            <v>0.5</v>
          </cell>
          <cell r="D179">
            <v>2.77</v>
          </cell>
          <cell r="E179">
            <v>1</v>
          </cell>
          <cell r="I179">
            <v>7.0000000000000007E-2</v>
          </cell>
          <cell r="J179">
            <v>0</v>
          </cell>
          <cell r="K179">
            <v>7.0000000000000007E-2</v>
          </cell>
          <cell r="P179">
            <v>2</v>
          </cell>
        </row>
        <row r="180">
          <cell r="B180" t="str">
            <v>40S</v>
          </cell>
          <cell r="C180">
            <v>0.5</v>
          </cell>
          <cell r="D180">
            <v>2.77</v>
          </cell>
          <cell r="E180">
            <v>1</v>
          </cell>
          <cell r="I180">
            <v>7.0000000000000007E-2</v>
          </cell>
          <cell r="J180">
            <v>0</v>
          </cell>
          <cell r="K180">
            <v>7.0000000000000007E-2</v>
          </cell>
          <cell r="P180">
            <v>2</v>
          </cell>
        </row>
        <row r="181">
          <cell r="B181" t="str">
            <v>40S</v>
          </cell>
          <cell r="C181">
            <v>0.5</v>
          </cell>
          <cell r="D181">
            <v>2.77</v>
          </cell>
          <cell r="E181">
            <v>1</v>
          </cell>
          <cell r="I181">
            <v>7.0000000000000007E-2</v>
          </cell>
          <cell r="J181">
            <v>0</v>
          </cell>
          <cell r="K181">
            <v>7.0000000000000007E-2</v>
          </cell>
          <cell r="P181">
            <v>2</v>
          </cell>
        </row>
        <row r="182">
          <cell r="B182" t="str">
            <v>40S</v>
          </cell>
          <cell r="C182">
            <v>0.75</v>
          </cell>
          <cell r="D182">
            <v>2.87</v>
          </cell>
          <cell r="E182">
            <v>1</v>
          </cell>
          <cell r="I182">
            <v>7.0000000000000007E-2</v>
          </cell>
          <cell r="J182">
            <v>0</v>
          </cell>
          <cell r="K182">
            <v>7.0000000000000007E-2</v>
          </cell>
          <cell r="P182">
            <v>2</v>
          </cell>
        </row>
        <row r="183">
          <cell r="B183" t="str">
            <v>40S</v>
          </cell>
          <cell r="C183">
            <v>0.75</v>
          </cell>
          <cell r="D183">
            <v>2.87</v>
          </cell>
          <cell r="E183">
            <v>1</v>
          </cell>
          <cell r="I183">
            <v>7.0000000000000007E-2</v>
          </cell>
          <cell r="J183">
            <v>0</v>
          </cell>
          <cell r="K183">
            <v>7.0000000000000007E-2</v>
          </cell>
          <cell r="P183">
            <v>2</v>
          </cell>
        </row>
        <row r="184">
          <cell r="B184" t="str">
            <v>40S</v>
          </cell>
          <cell r="C184">
            <v>0.75</v>
          </cell>
          <cell r="D184">
            <v>2.87</v>
          </cell>
          <cell r="E184">
            <v>1</v>
          </cell>
          <cell r="I184">
            <v>7.0000000000000007E-2</v>
          </cell>
          <cell r="J184">
            <v>0</v>
          </cell>
          <cell r="K184">
            <v>7.0000000000000007E-2</v>
          </cell>
          <cell r="P184">
            <v>2</v>
          </cell>
        </row>
        <row r="185">
          <cell r="B185" t="str">
            <v>40S</v>
          </cell>
          <cell r="C185">
            <v>1</v>
          </cell>
          <cell r="D185">
            <v>3.38</v>
          </cell>
          <cell r="E185">
            <v>1</v>
          </cell>
          <cell r="I185">
            <v>0.12</v>
          </cell>
          <cell r="J185">
            <v>0</v>
          </cell>
          <cell r="K185">
            <v>0.12</v>
          </cell>
          <cell r="P185">
            <v>2</v>
          </cell>
        </row>
        <row r="186">
          <cell r="B186" t="str">
            <v>40S</v>
          </cell>
          <cell r="C186">
            <v>1</v>
          </cell>
          <cell r="D186">
            <v>3.38</v>
          </cell>
          <cell r="E186">
            <v>1</v>
          </cell>
          <cell r="I186">
            <v>0.12</v>
          </cell>
          <cell r="J186">
            <v>0</v>
          </cell>
          <cell r="K186">
            <v>0.12</v>
          </cell>
          <cell r="P186">
            <v>2</v>
          </cell>
        </row>
        <row r="187">
          <cell r="B187" t="str">
            <v>40S</v>
          </cell>
          <cell r="C187">
            <v>1</v>
          </cell>
          <cell r="D187">
            <v>3.38</v>
          </cell>
          <cell r="E187">
            <v>1</v>
          </cell>
          <cell r="I187">
            <v>0.12</v>
          </cell>
          <cell r="J187">
            <v>0</v>
          </cell>
          <cell r="K187">
            <v>0.12</v>
          </cell>
          <cell r="P187">
            <v>2</v>
          </cell>
        </row>
        <row r="188">
          <cell r="B188" t="str">
            <v>40S</v>
          </cell>
          <cell r="C188">
            <v>1.25</v>
          </cell>
          <cell r="D188">
            <v>3.56</v>
          </cell>
          <cell r="E188">
            <v>1</v>
          </cell>
          <cell r="I188">
            <v>0.15</v>
          </cell>
          <cell r="K188">
            <v>0.15</v>
          </cell>
          <cell r="P188">
            <v>2</v>
          </cell>
        </row>
        <row r="189">
          <cell r="B189" t="str">
            <v>40S</v>
          </cell>
          <cell r="C189">
            <v>1.25</v>
          </cell>
          <cell r="D189">
            <v>3.56</v>
          </cell>
          <cell r="E189">
            <v>1</v>
          </cell>
          <cell r="I189">
            <v>0.15</v>
          </cell>
          <cell r="K189">
            <v>0.15</v>
          </cell>
          <cell r="P189">
            <v>2</v>
          </cell>
        </row>
        <row r="190">
          <cell r="B190" t="str">
            <v>40S</v>
          </cell>
          <cell r="C190">
            <v>1.25</v>
          </cell>
          <cell r="D190">
            <v>3.56</v>
          </cell>
          <cell r="E190">
            <v>1</v>
          </cell>
          <cell r="I190">
            <v>0.15</v>
          </cell>
          <cell r="K190">
            <v>0.15</v>
          </cell>
          <cell r="P190">
            <v>2</v>
          </cell>
        </row>
        <row r="191">
          <cell r="B191" t="str">
            <v>40S</v>
          </cell>
          <cell r="C191">
            <v>1.5</v>
          </cell>
          <cell r="D191">
            <v>3.68</v>
          </cell>
          <cell r="E191">
            <v>1</v>
          </cell>
          <cell r="I191">
            <v>0.15</v>
          </cell>
          <cell r="J191">
            <v>0</v>
          </cell>
          <cell r="K191">
            <v>0.15</v>
          </cell>
          <cell r="P191">
            <v>2</v>
          </cell>
        </row>
        <row r="192">
          <cell r="B192" t="str">
            <v>40S</v>
          </cell>
          <cell r="C192">
            <v>1.5</v>
          </cell>
          <cell r="D192">
            <v>3.68</v>
          </cell>
          <cell r="E192">
            <v>1</v>
          </cell>
          <cell r="I192">
            <v>0.15</v>
          </cell>
          <cell r="J192">
            <v>0</v>
          </cell>
          <cell r="K192">
            <v>0.15</v>
          </cell>
          <cell r="P192">
            <v>2</v>
          </cell>
        </row>
        <row r="193">
          <cell r="B193" t="str">
            <v>40S</v>
          </cell>
          <cell r="C193">
            <v>1.5</v>
          </cell>
          <cell r="D193">
            <v>3.68</v>
          </cell>
          <cell r="E193">
            <v>1</v>
          </cell>
          <cell r="I193">
            <v>0.15</v>
          </cell>
          <cell r="J193">
            <v>0</v>
          </cell>
          <cell r="K193">
            <v>0.15</v>
          </cell>
          <cell r="P193">
            <v>2</v>
          </cell>
        </row>
        <row r="194">
          <cell r="B194" t="str">
            <v>40S</v>
          </cell>
          <cell r="C194">
            <v>2</v>
          </cell>
          <cell r="D194">
            <v>3.91</v>
          </cell>
          <cell r="E194">
            <v>1</v>
          </cell>
          <cell r="I194">
            <v>0.3</v>
          </cell>
          <cell r="J194">
            <v>0</v>
          </cell>
          <cell r="K194">
            <v>0.3</v>
          </cell>
          <cell r="P194">
            <v>2</v>
          </cell>
        </row>
        <row r="195">
          <cell r="B195" t="str">
            <v>40S</v>
          </cell>
          <cell r="C195">
            <v>2</v>
          </cell>
          <cell r="D195">
            <v>3.91</v>
          </cell>
          <cell r="E195">
            <v>1</v>
          </cell>
          <cell r="I195">
            <v>0.3</v>
          </cell>
          <cell r="J195">
            <v>0</v>
          </cell>
          <cell r="K195">
            <v>0.3</v>
          </cell>
          <cell r="P195">
            <v>2</v>
          </cell>
        </row>
        <row r="196">
          <cell r="B196" t="str">
            <v>40S</v>
          </cell>
          <cell r="C196">
            <v>2</v>
          </cell>
          <cell r="D196">
            <v>3.91</v>
          </cell>
          <cell r="E196">
            <v>1</v>
          </cell>
          <cell r="I196">
            <v>0.3</v>
          </cell>
          <cell r="J196">
            <v>0</v>
          </cell>
          <cell r="K196">
            <v>0.3</v>
          </cell>
          <cell r="P196">
            <v>2</v>
          </cell>
        </row>
        <row r="197">
          <cell r="B197" t="str">
            <v>40S</v>
          </cell>
          <cell r="C197">
            <v>2.5</v>
          </cell>
          <cell r="D197">
            <v>5.16</v>
          </cell>
          <cell r="E197">
            <v>1</v>
          </cell>
          <cell r="I197">
            <v>0.25</v>
          </cell>
          <cell r="J197">
            <v>0.2</v>
          </cell>
          <cell r="K197">
            <v>0.45</v>
          </cell>
          <cell r="P197">
            <v>2</v>
          </cell>
        </row>
        <row r="198">
          <cell r="B198" t="str">
            <v>40S</v>
          </cell>
          <cell r="C198">
            <v>3</v>
          </cell>
          <cell r="D198">
            <v>5.49</v>
          </cell>
          <cell r="E198">
            <v>1</v>
          </cell>
          <cell r="I198">
            <v>0.3</v>
          </cell>
          <cell r="J198">
            <v>0.3</v>
          </cell>
          <cell r="K198">
            <v>0.6</v>
          </cell>
          <cell r="P198">
            <v>2</v>
          </cell>
        </row>
        <row r="199">
          <cell r="B199" t="str">
            <v>40S</v>
          </cell>
          <cell r="C199">
            <v>3.5</v>
          </cell>
          <cell r="D199">
            <v>5.74</v>
          </cell>
          <cell r="E199">
            <v>1</v>
          </cell>
          <cell r="I199">
            <v>0.35</v>
          </cell>
          <cell r="J199">
            <v>0.4</v>
          </cell>
          <cell r="K199">
            <v>0.75</v>
          </cell>
          <cell r="P199">
            <v>3</v>
          </cell>
        </row>
        <row r="200">
          <cell r="B200" t="str">
            <v>40S</v>
          </cell>
          <cell r="C200">
            <v>4</v>
          </cell>
          <cell r="D200">
            <v>6.02</v>
          </cell>
          <cell r="E200">
            <v>1</v>
          </cell>
          <cell r="I200">
            <v>0.41</v>
          </cell>
          <cell r="J200">
            <v>0.49</v>
          </cell>
          <cell r="K200">
            <v>0.89999999999999991</v>
          </cell>
          <cell r="P200">
            <v>3</v>
          </cell>
        </row>
        <row r="201">
          <cell r="B201" t="str">
            <v>40S</v>
          </cell>
          <cell r="C201">
            <v>5</v>
          </cell>
          <cell r="D201">
            <v>6.55</v>
          </cell>
          <cell r="E201">
            <v>1</v>
          </cell>
          <cell r="I201">
            <v>0.51</v>
          </cell>
          <cell r="J201">
            <v>0.54</v>
          </cell>
          <cell r="K201">
            <v>1.05</v>
          </cell>
          <cell r="P201">
            <v>4</v>
          </cell>
        </row>
        <row r="202">
          <cell r="B202" t="str">
            <v>40S</v>
          </cell>
          <cell r="C202">
            <v>6</v>
          </cell>
          <cell r="D202">
            <v>7.11</v>
          </cell>
          <cell r="E202">
            <v>1</v>
          </cell>
          <cell r="I202">
            <v>0.61</v>
          </cell>
          <cell r="J202">
            <v>1.04</v>
          </cell>
          <cell r="K202">
            <v>1.65</v>
          </cell>
          <cell r="P202">
            <v>4</v>
          </cell>
        </row>
        <row r="203">
          <cell r="B203" t="str">
            <v>40S</v>
          </cell>
          <cell r="C203">
            <v>8</v>
          </cell>
          <cell r="D203">
            <v>8.18</v>
          </cell>
          <cell r="E203">
            <v>1</v>
          </cell>
          <cell r="I203">
            <v>0.81</v>
          </cell>
          <cell r="J203">
            <v>1.73</v>
          </cell>
          <cell r="K203">
            <v>2.54</v>
          </cell>
          <cell r="P203">
            <v>4</v>
          </cell>
        </row>
        <row r="204">
          <cell r="B204" t="str">
            <v>40S</v>
          </cell>
          <cell r="C204">
            <v>10</v>
          </cell>
          <cell r="D204">
            <v>9.27</v>
          </cell>
          <cell r="E204">
            <v>1</v>
          </cell>
          <cell r="I204">
            <v>1.01</v>
          </cell>
          <cell r="J204">
            <v>3.04</v>
          </cell>
          <cell r="K204">
            <v>4.05</v>
          </cell>
          <cell r="P204">
            <v>4</v>
          </cell>
        </row>
        <row r="205">
          <cell r="B205" t="str">
            <v>40S</v>
          </cell>
          <cell r="C205">
            <v>12</v>
          </cell>
          <cell r="D205">
            <v>9.5299999999999994</v>
          </cell>
          <cell r="E205">
            <v>1</v>
          </cell>
          <cell r="I205">
            <v>1.22</v>
          </cell>
          <cell r="J205">
            <v>3.28</v>
          </cell>
          <cell r="K205">
            <v>4.5</v>
          </cell>
          <cell r="P205">
            <v>6</v>
          </cell>
        </row>
        <row r="206">
          <cell r="B206">
            <v>60</v>
          </cell>
          <cell r="C206">
            <v>8</v>
          </cell>
          <cell r="D206">
            <v>10.31</v>
          </cell>
          <cell r="E206">
            <v>1.25</v>
          </cell>
          <cell r="I206">
            <v>0.81</v>
          </cell>
          <cell r="J206">
            <v>2.64</v>
          </cell>
          <cell r="K206">
            <v>3.45</v>
          </cell>
          <cell r="P206">
            <v>4</v>
          </cell>
        </row>
        <row r="207">
          <cell r="B207">
            <v>60</v>
          </cell>
          <cell r="C207">
            <v>10</v>
          </cell>
          <cell r="D207">
            <v>12.7</v>
          </cell>
          <cell r="E207">
            <v>1.25</v>
          </cell>
          <cell r="I207">
            <v>1.01</v>
          </cell>
          <cell r="J207">
            <v>5.74</v>
          </cell>
          <cell r="K207">
            <v>6.75</v>
          </cell>
          <cell r="P207">
            <v>4</v>
          </cell>
        </row>
        <row r="208">
          <cell r="B208">
            <v>60</v>
          </cell>
          <cell r="C208">
            <v>12</v>
          </cell>
          <cell r="D208">
            <v>14.27</v>
          </cell>
          <cell r="E208">
            <v>1.25</v>
          </cell>
          <cell r="I208">
            <v>1.22</v>
          </cell>
          <cell r="J208">
            <v>8.3800000000000008</v>
          </cell>
          <cell r="K208">
            <v>9.6000000000000014</v>
          </cell>
          <cell r="P208">
            <v>6</v>
          </cell>
        </row>
        <row r="209">
          <cell r="B209">
            <v>60</v>
          </cell>
          <cell r="C209">
            <v>14</v>
          </cell>
          <cell r="D209">
            <v>15.09</v>
          </cell>
          <cell r="E209">
            <v>1.5</v>
          </cell>
          <cell r="I209">
            <v>1.42</v>
          </cell>
          <cell r="J209">
            <v>9.9700000000000006</v>
          </cell>
          <cell r="K209">
            <v>11.39</v>
          </cell>
          <cell r="P209">
            <v>6</v>
          </cell>
        </row>
        <row r="210">
          <cell r="B210">
            <v>60</v>
          </cell>
          <cell r="C210">
            <v>16</v>
          </cell>
          <cell r="D210">
            <v>16.66</v>
          </cell>
          <cell r="E210">
            <v>1.5</v>
          </cell>
          <cell r="I210">
            <v>1.62</v>
          </cell>
          <cell r="J210">
            <v>14.88</v>
          </cell>
          <cell r="K210">
            <v>16.5</v>
          </cell>
          <cell r="P210">
            <v>6</v>
          </cell>
        </row>
        <row r="211">
          <cell r="B211">
            <v>60</v>
          </cell>
          <cell r="C211">
            <v>18</v>
          </cell>
          <cell r="D211">
            <v>19.05</v>
          </cell>
          <cell r="E211">
            <v>2</v>
          </cell>
          <cell r="I211">
            <v>1.82</v>
          </cell>
          <cell r="J211">
            <v>20.67</v>
          </cell>
          <cell r="K211">
            <v>22.490000000000002</v>
          </cell>
          <cell r="P211">
            <v>6</v>
          </cell>
        </row>
        <row r="212">
          <cell r="B212">
            <v>60</v>
          </cell>
          <cell r="C212">
            <v>20</v>
          </cell>
          <cell r="D212">
            <v>20.62</v>
          </cell>
          <cell r="E212">
            <v>2</v>
          </cell>
          <cell r="I212">
            <v>2.0299999999999998</v>
          </cell>
          <cell r="J212">
            <v>23.47</v>
          </cell>
          <cell r="K212">
            <v>25.5</v>
          </cell>
          <cell r="P212">
            <v>7</v>
          </cell>
        </row>
        <row r="213">
          <cell r="B213">
            <v>60</v>
          </cell>
          <cell r="C213">
            <v>22</v>
          </cell>
          <cell r="D213">
            <v>22.23</v>
          </cell>
          <cell r="E213">
            <v>2</v>
          </cell>
          <cell r="I213">
            <v>2.23</v>
          </cell>
          <cell r="J213">
            <v>29.27</v>
          </cell>
          <cell r="K213">
            <v>31.5</v>
          </cell>
          <cell r="P213">
            <v>8</v>
          </cell>
        </row>
        <row r="214">
          <cell r="B214">
            <v>60</v>
          </cell>
          <cell r="C214">
            <v>24</v>
          </cell>
          <cell r="D214">
            <v>24.61</v>
          </cell>
          <cell r="E214">
            <v>2</v>
          </cell>
          <cell r="I214">
            <v>2.4300000000000002</v>
          </cell>
          <cell r="J214">
            <v>35.07</v>
          </cell>
          <cell r="K214">
            <v>37.5</v>
          </cell>
          <cell r="P214">
            <v>8</v>
          </cell>
        </row>
        <row r="215">
          <cell r="B215">
            <v>80</v>
          </cell>
          <cell r="C215">
            <v>0.125</v>
          </cell>
          <cell r="D215">
            <v>2.41</v>
          </cell>
          <cell r="E215">
            <v>1</v>
          </cell>
          <cell r="I215">
            <v>7.0000000000000007E-2</v>
          </cell>
          <cell r="K215">
            <v>7.0000000000000007E-2</v>
          </cell>
          <cell r="P215">
            <v>2</v>
          </cell>
        </row>
        <row r="216">
          <cell r="B216">
            <v>80</v>
          </cell>
          <cell r="C216">
            <v>0.125</v>
          </cell>
          <cell r="D216">
            <v>2.41</v>
          </cell>
          <cell r="E216">
            <v>1</v>
          </cell>
          <cell r="I216">
            <v>7.0000000000000007E-2</v>
          </cell>
          <cell r="K216">
            <v>7.0000000000000007E-2</v>
          </cell>
          <cell r="P216">
            <v>2</v>
          </cell>
        </row>
        <row r="217">
          <cell r="B217">
            <v>80</v>
          </cell>
          <cell r="C217">
            <v>0.125</v>
          </cell>
          <cell r="D217">
            <v>2.41</v>
          </cell>
          <cell r="E217">
            <v>1</v>
          </cell>
          <cell r="I217">
            <v>7.0000000000000007E-2</v>
          </cell>
          <cell r="K217">
            <v>7.0000000000000007E-2</v>
          </cell>
          <cell r="P217">
            <v>2</v>
          </cell>
        </row>
        <row r="218">
          <cell r="B218">
            <v>80</v>
          </cell>
          <cell r="C218">
            <v>0.25</v>
          </cell>
          <cell r="D218">
            <v>3.02</v>
          </cell>
          <cell r="E218">
            <v>1</v>
          </cell>
          <cell r="I218">
            <v>7.0000000000000007E-2</v>
          </cell>
          <cell r="K218">
            <v>7.0000000000000007E-2</v>
          </cell>
          <cell r="P218">
            <v>2</v>
          </cell>
        </row>
        <row r="219">
          <cell r="B219">
            <v>80</v>
          </cell>
          <cell r="C219">
            <v>0.25</v>
          </cell>
          <cell r="D219">
            <v>3.02</v>
          </cell>
          <cell r="E219">
            <v>1</v>
          </cell>
          <cell r="I219">
            <v>7.0000000000000007E-2</v>
          </cell>
          <cell r="K219">
            <v>7.0000000000000007E-2</v>
          </cell>
          <cell r="P219">
            <v>2</v>
          </cell>
        </row>
        <row r="220">
          <cell r="B220">
            <v>80</v>
          </cell>
          <cell r="C220">
            <v>0.25</v>
          </cell>
          <cell r="D220">
            <v>3.02</v>
          </cell>
          <cell r="E220">
            <v>1</v>
          </cell>
          <cell r="I220">
            <v>7.0000000000000007E-2</v>
          </cell>
          <cell r="K220">
            <v>7.0000000000000007E-2</v>
          </cell>
          <cell r="P220">
            <v>2</v>
          </cell>
        </row>
        <row r="221">
          <cell r="B221">
            <v>80</v>
          </cell>
          <cell r="C221">
            <v>0.375</v>
          </cell>
          <cell r="D221">
            <v>3.2</v>
          </cell>
          <cell r="E221">
            <v>1</v>
          </cell>
          <cell r="I221">
            <v>7.0000000000000007E-2</v>
          </cell>
          <cell r="J221">
            <v>0</v>
          </cell>
          <cell r="K221">
            <v>7.0000000000000007E-2</v>
          </cell>
          <cell r="P221">
            <v>2</v>
          </cell>
        </row>
        <row r="222">
          <cell r="B222">
            <v>80</v>
          </cell>
          <cell r="C222">
            <v>0.375</v>
          </cell>
          <cell r="D222">
            <v>3.2</v>
          </cell>
          <cell r="E222">
            <v>1</v>
          </cell>
          <cell r="I222">
            <v>7.0000000000000007E-2</v>
          </cell>
          <cell r="J222">
            <v>0</v>
          </cell>
          <cell r="K222">
            <v>7.0000000000000007E-2</v>
          </cell>
          <cell r="P222">
            <v>2</v>
          </cell>
        </row>
        <row r="223">
          <cell r="B223">
            <v>80</v>
          </cell>
          <cell r="C223">
            <v>0.375</v>
          </cell>
          <cell r="D223">
            <v>3.2</v>
          </cell>
          <cell r="E223">
            <v>1</v>
          </cell>
          <cell r="I223">
            <v>7.0000000000000007E-2</v>
          </cell>
          <cell r="J223">
            <v>0</v>
          </cell>
          <cell r="K223">
            <v>7.0000000000000007E-2</v>
          </cell>
          <cell r="P223">
            <v>2</v>
          </cell>
        </row>
        <row r="224">
          <cell r="B224">
            <v>80</v>
          </cell>
          <cell r="C224">
            <v>0.5</v>
          </cell>
          <cell r="D224">
            <v>3.73</v>
          </cell>
          <cell r="E224">
            <v>1</v>
          </cell>
          <cell r="I224">
            <v>7.0000000000000007E-2</v>
          </cell>
          <cell r="J224">
            <v>0</v>
          </cell>
          <cell r="K224">
            <v>7.0000000000000007E-2</v>
          </cell>
          <cell r="P224">
            <v>2</v>
          </cell>
        </row>
        <row r="225">
          <cell r="B225">
            <v>80</v>
          </cell>
          <cell r="C225">
            <v>0.5</v>
          </cell>
          <cell r="D225">
            <v>3.73</v>
          </cell>
          <cell r="E225">
            <v>1</v>
          </cell>
          <cell r="I225">
            <v>7.0000000000000007E-2</v>
          </cell>
          <cell r="J225">
            <v>0</v>
          </cell>
          <cell r="K225">
            <v>7.0000000000000007E-2</v>
          </cell>
          <cell r="P225">
            <v>2</v>
          </cell>
        </row>
        <row r="226">
          <cell r="B226">
            <v>80</v>
          </cell>
          <cell r="C226">
            <v>0.5</v>
          </cell>
          <cell r="D226">
            <v>3.73</v>
          </cell>
          <cell r="E226">
            <v>1</v>
          </cell>
          <cell r="I226">
            <v>7.0000000000000007E-2</v>
          </cell>
          <cell r="J226">
            <v>0</v>
          </cell>
          <cell r="K226">
            <v>7.0000000000000007E-2</v>
          </cell>
          <cell r="P226">
            <v>2</v>
          </cell>
        </row>
        <row r="227">
          <cell r="B227">
            <v>80</v>
          </cell>
          <cell r="C227">
            <v>0.75</v>
          </cell>
          <cell r="D227">
            <v>3.91</v>
          </cell>
          <cell r="E227">
            <v>1</v>
          </cell>
          <cell r="I227">
            <v>7.0000000000000007E-2</v>
          </cell>
          <cell r="J227">
            <v>0</v>
          </cell>
          <cell r="K227">
            <v>7.0000000000000007E-2</v>
          </cell>
          <cell r="P227">
            <v>2</v>
          </cell>
        </row>
        <row r="228">
          <cell r="B228">
            <v>80</v>
          </cell>
          <cell r="C228">
            <v>0.75</v>
          </cell>
          <cell r="D228">
            <v>3.91</v>
          </cell>
          <cell r="E228">
            <v>1</v>
          </cell>
          <cell r="I228">
            <v>7.0000000000000007E-2</v>
          </cell>
          <cell r="J228">
            <v>0</v>
          </cell>
          <cell r="K228">
            <v>7.0000000000000007E-2</v>
          </cell>
          <cell r="P228">
            <v>2</v>
          </cell>
        </row>
        <row r="229">
          <cell r="B229">
            <v>80</v>
          </cell>
          <cell r="C229">
            <v>0.75</v>
          </cell>
          <cell r="D229">
            <v>3.91</v>
          </cell>
          <cell r="E229">
            <v>1</v>
          </cell>
          <cell r="I229">
            <v>7.0000000000000007E-2</v>
          </cell>
          <cell r="J229">
            <v>0</v>
          </cell>
          <cell r="K229">
            <v>7.0000000000000007E-2</v>
          </cell>
          <cell r="P229">
            <v>2</v>
          </cell>
        </row>
        <row r="230">
          <cell r="B230">
            <v>80</v>
          </cell>
          <cell r="C230">
            <v>1</v>
          </cell>
          <cell r="D230">
            <v>4.55</v>
          </cell>
          <cell r="E230">
            <v>1</v>
          </cell>
          <cell r="I230">
            <v>0.15</v>
          </cell>
          <cell r="J230">
            <v>0</v>
          </cell>
          <cell r="K230">
            <v>0.15</v>
          </cell>
          <cell r="P230">
            <v>2</v>
          </cell>
        </row>
        <row r="231">
          <cell r="B231">
            <v>80</v>
          </cell>
          <cell r="C231">
            <v>1</v>
          </cell>
          <cell r="D231">
            <v>4.55</v>
          </cell>
          <cell r="E231">
            <v>1</v>
          </cell>
          <cell r="I231">
            <v>0.15</v>
          </cell>
          <cell r="J231">
            <v>0</v>
          </cell>
          <cell r="K231">
            <v>0.15</v>
          </cell>
          <cell r="P231">
            <v>2</v>
          </cell>
        </row>
        <row r="232">
          <cell r="B232">
            <v>80</v>
          </cell>
          <cell r="C232">
            <v>1</v>
          </cell>
          <cell r="D232">
            <v>4.55</v>
          </cell>
          <cell r="E232">
            <v>1</v>
          </cell>
          <cell r="I232">
            <v>0.15</v>
          </cell>
          <cell r="J232">
            <v>0</v>
          </cell>
          <cell r="K232">
            <v>0.15</v>
          </cell>
          <cell r="P232">
            <v>2</v>
          </cell>
        </row>
        <row r="233">
          <cell r="B233">
            <v>80</v>
          </cell>
          <cell r="C233">
            <v>1.25</v>
          </cell>
          <cell r="D233">
            <v>4.8499999999999996</v>
          </cell>
          <cell r="E233">
            <v>1</v>
          </cell>
          <cell r="I233">
            <v>0.13</v>
          </cell>
          <cell r="J233">
            <v>0.17</v>
          </cell>
          <cell r="K233">
            <v>0.30000000000000004</v>
          </cell>
          <cell r="P233">
            <v>2</v>
          </cell>
        </row>
        <row r="234">
          <cell r="B234">
            <v>80</v>
          </cell>
          <cell r="C234">
            <v>1.25</v>
          </cell>
          <cell r="D234">
            <v>4.8499999999999996</v>
          </cell>
          <cell r="E234">
            <v>1</v>
          </cell>
          <cell r="I234">
            <v>0.13</v>
          </cell>
          <cell r="J234">
            <v>0.17</v>
          </cell>
          <cell r="K234">
            <v>0.30000000000000004</v>
          </cell>
          <cell r="P234">
            <v>2</v>
          </cell>
        </row>
        <row r="235">
          <cell r="B235">
            <v>80</v>
          </cell>
          <cell r="C235">
            <v>1.25</v>
          </cell>
          <cell r="D235">
            <v>4.8499999999999996</v>
          </cell>
          <cell r="E235">
            <v>1</v>
          </cell>
          <cell r="I235">
            <v>0.13</v>
          </cell>
          <cell r="J235">
            <v>0.17</v>
          </cell>
          <cell r="K235">
            <v>0.30000000000000004</v>
          </cell>
          <cell r="P235">
            <v>2</v>
          </cell>
        </row>
        <row r="236">
          <cell r="B236">
            <v>80</v>
          </cell>
          <cell r="C236">
            <v>1.5</v>
          </cell>
          <cell r="D236">
            <v>5.08</v>
          </cell>
          <cell r="E236">
            <v>1</v>
          </cell>
          <cell r="I236">
            <v>0.15</v>
          </cell>
          <cell r="J236">
            <v>0.15</v>
          </cell>
          <cell r="K236">
            <v>0.3</v>
          </cell>
          <cell r="P236">
            <v>2</v>
          </cell>
        </row>
        <row r="237">
          <cell r="B237">
            <v>80</v>
          </cell>
          <cell r="C237">
            <v>1.5</v>
          </cell>
          <cell r="D237">
            <v>5.08</v>
          </cell>
          <cell r="E237">
            <v>1</v>
          </cell>
          <cell r="I237">
            <v>0.15</v>
          </cell>
          <cell r="J237">
            <v>0.15</v>
          </cell>
          <cell r="K237">
            <v>0.3</v>
          </cell>
          <cell r="P237">
            <v>2</v>
          </cell>
        </row>
        <row r="238">
          <cell r="B238">
            <v>80</v>
          </cell>
          <cell r="C238">
            <v>1.5</v>
          </cell>
          <cell r="D238">
            <v>5.08</v>
          </cell>
          <cell r="E238">
            <v>1</v>
          </cell>
          <cell r="I238">
            <v>0.15</v>
          </cell>
          <cell r="J238">
            <v>0.15</v>
          </cell>
          <cell r="K238">
            <v>0.3</v>
          </cell>
          <cell r="P238">
            <v>2</v>
          </cell>
        </row>
        <row r="239">
          <cell r="B239">
            <v>80</v>
          </cell>
          <cell r="C239">
            <v>2</v>
          </cell>
          <cell r="D239">
            <v>5.54</v>
          </cell>
          <cell r="E239">
            <v>1</v>
          </cell>
          <cell r="I239">
            <v>0.2</v>
          </cell>
          <cell r="J239">
            <v>0.25</v>
          </cell>
          <cell r="K239">
            <v>0.45</v>
          </cell>
          <cell r="P239">
            <v>2</v>
          </cell>
        </row>
        <row r="240">
          <cell r="B240">
            <v>80</v>
          </cell>
          <cell r="C240">
            <v>2</v>
          </cell>
          <cell r="D240">
            <v>5.54</v>
          </cell>
          <cell r="E240">
            <v>1</v>
          </cell>
          <cell r="I240">
            <v>0.2</v>
          </cell>
          <cell r="J240">
            <v>0.25</v>
          </cell>
          <cell r="K240">
            <v>0.45</v>
          </cell>
          <cell r="P240">
            <v>2</v>
          </cell>
        </row>
        <row r="241">
          <cell r="B241">
            <v>80</v>
          </cell>
          <cell r="C241">
            <v>2</v>
          </cell>
          <cell r="D241">
            <v>5.54</v>
          </cell>
          <cell r="E241">
            <v>1</v>
          </cell>
          <cell r="I241">
            <v>0.2</v>
          </cell>
          <cell r="J241">
            <v>0.25</v>
          </cell>
          <cell r="K241">
            <v>0.45</v>
          </cell>
          <cell r="P241">
            <v>2</v>
          </cell>
        </row>
        <row r="242">
          <cell r="B242">
            <v>80</v>
          </cell>
          <cell r="C242">
            <v>2.5</v>
          </cell>
          <cell r="D242">
            <v>7.01</v>
          </cell>
          <cell r="E242">
            <v>1</v>
          </cell>
          <cell r="I242">
            <v>0.25</v>
          </cell>
          <cell r="J242">
            <v>0.5</v>
          </cell>
          <cell r="K242">
            <v>0.75</v>
          </cell>
          <cell r="P242">
            <v>2</v>
          </cell>
        </row>
        <row r="243">
          <cell r="B243">
            <v>80</v>
          </cell>
          <cell r="C243">
            <v>3</v>
          </cell>
          <cell r="D243">
            <v>7.62</v>
          </cell>
          <cell r="E243">
            <v>1</v>
          </cell>
          <cell r="I243">
            <v>0.3</v>
          </cell>
          <cell r="J243">
            <v>0.6</v>
          </cell>
          <cell r="K243">
            <v>0.89999999999999991</v>
          </cell>
          <cell r="P243">
            <v>2</v>
          </cell>
        </row>
        <row r="244">
          <cell r="B244">
            <v>80</v>
          </cell>
          <cell r="C244">
            <v>3.5</v>
          </cell>
          <cell r="D244">
            <v>8.08</v>
          </cell>
          <cell r="E244">
            <v>1</v>
          </cell>
          <cell r="I244">
            <v>0.35</v>
          </cell>
          <cell r="J244">
            <v>0.85</v>
          </cell>
          <cell r="K244">
            <v>1.2</v>
          </cell>
          <cell r="P244">
            <v>3</v>
          </cell>
        </row>
        <row r="245">
          <cell r="B245">
            <v>80</v>
          </cell>
          <cell r="C245">
            <v>4</v>
          </cell>
          <cell r="D245">
            <v>8.56</v>
          </cell>
          <cell r="E245">
            <v>1</v>
          </cell>
          <cell r="I245">
            <v>0.41</v>
          </cell>
          <cell r="J245">
            <v>0.93</v>
          </cell>
          <cell r="K245">
            <v>1.34</v>
          </cell>
          <cell r="P245">
            <v>3</v>
          </cell>
        </row>
        <row r="246">
          <cell r="B246">
            <v>80</v>
          </cell>
          <cell r="C246">
            <v>5</v>
          </cell>
          <cell r="D246">
            <v>9.5299999999999994</v>
          </cell>
          <cell r="E246">
            <v>1</v>
          </cell>
          <cell r="I246">
            <v>0.51</v>
          </cell>
          <cell r="J246">
            <v>1.59</v>
          </cell>
          <cell r="K246">
            <v>2.1</v>
          </cell>
          <cell r="P246">
            <v>4</v>
          </cell>
        </row>
        <row r="247">
          <cell r="B247">
            <v>80</v>
          </cell>
          <cell r="C247">
            <v>6</v>
          </cell>
          <cell r="D247">
            <v>10.97</v>
          </cell>
          <cell r="E247">
            <v>1.25</v>
          </cell>
          <cell r="I247">
            <v>0.61</v>
          </cell>
          <cell r="J247">
            <v>2.69</v>
          </cell>
          <cell r="K247">
            <v>3.3</v>
          </cell>
          <cell r="P247">
            <v>4</v>
          </cell>
        </row>
        <row r="248">
          <cell r="B248">
            <v>80</v>
          </cell>
          <cell r="C248">
            <v>8</v>
          </cell>
          <cell r="D248">
            <v>12.7</v>
          </cell>
          <cell r="E248">
            <v>1.25</v>
          </cell>
          <cell r="I248">
            <v>0.81</v>
          </cell>
          <cell r="J248">
            <v>4.58</v>
          </cell>
          <cell r="K248">
            <v>5.3900000000000006</v>
          </cell>
          <cell r="P248">
            <v>4</v>
          </cell>
        </row>
        <row r="249">
          <cell r="B249">
            <v>80</v>
          </cell>
          <cell r="C249">
            <v>10</v>
          </cell>
          <cell r="D249">
            <v>15.09</v>
          </cell>
          <cell r="E249">
            <v>1.5</v>
          </cell>
          <cell r="I249">
            <v>1.01</v>
          </cell>
          <cell r="J249">
            <v>7.99</v>
          </cell>
          <cell r="K249">
            <v>9</v>
          </cell>
          <cell r="P249">
            <v>4</v>
          </cell>
        </row>
        <row r="250">
          <cell r="B250">
            <v>80</v>
          </cell>
          <cell r="C250">
            <v>12</v>
          </cell>
          <cell r="D250">
            <v>17.48</v>
          </cell>
          <cell r="E250">
            <v>1.5</v>
          </cell>
          <cell r="I250">
            <v>1.22</v>
          </cell>
          <cell r="J250">
            <v>11.68</v>
          </cell>
          <cell r="K250">
            <v>12.9</v>
          </cell>
          <cell r="P250">
            <v>6</v>
          </cell>
        </row>
        <row r="251">
          <cell r="B251">
            <v>80</v>
          </cell>
          <cell r="C251">
            <v>14</v>
          </cell>
          <cell r="D251">
            <v>19.05</v>
          </cell>
          <cell r="E251">
            <v>2</v>
          </cell>
          <cell r="I251">
            <v>1.42</v>
          </cell>
          <cell r="J251">
            <v>12.68</v>
          </cell>
          <cell r="K251">
            <v>14.1</v>
          </cell>
          <cell r="P251">
            <v>6</v>
          </cell>
        </row>
        <row r="252">
          <cell r="B252">
            <v>80</v>
          </cell>
          <cell r="C252">
            <v>16</v>
          </cell>
          <cell r="D252">
            <v>21.44</v>
          </cell>
          <cell r="E252">
            <v>2</v>
          </cell>
          <cell r="I252">
            <v>1.62</v>
          </cell>
          <cell r="J252">
            <v>19.37</v>
          </cell>
          <cell r="K252">
            <v>20.990000000000002</v>
          </cell>
          <cell r="P252">
            <v>6</v>
          </cell>
        </row>
        <row r="253">
          <cell r="B253">
            <v>80</v>
          </cell>
          <cell r="C253">
            <v>18</v>
          </cell>
          <cell r="D253">
            <v>23.83</v>
          </cell>
          <cell r="E253">
            <v>2</v>
          </cell>
          <cell r="I253">
            <v>1.82</v>
          </cell>
          <cell r="J253">
            <v>26.68</v>
          </cell>
          <cell r="K253">
            <v>28.5</v>
          </cell>
          <cell r="P253">
            <v>6</v>
          </cell>
        </row>
        <row r="254">
          <cell r="B254">
            <v>80</v>
          </cell>
          <cell r="C254">
            <v>20</v>
          </cell>
          <cell r="D254">
            <v>26.19</v>
          </cell>
          <cell r="E254" t="str">
            <v>N</v>
          </cell>
          <cell r="I254">
            <v>2.0299999999999998</v>
          </cell>
          <cell r="J254">
            <v>36.96</v>
          </cell>
          <cell r="K254">
            <v>38.99</v>
          </cell>
          <cell r="P254">
            <v>7</v>
          </cell>
        </row>
        <row r="255">
          <cell r="B255">
            <v>80</v>
          </cell>
          <cell r="C255">
            <v>22</v>
          </cell>
          <cell r="D255">
            <v>28.58</v>
          </cell>
          <cell r="E255" t="str">
            <v>N</v>
          </cell>
          <cell r="I255">
            <v>2.23</v>
          </cell>
          <cell r="J255">
            <v>45.77</v>
          </cell>
          <cell r="K255">
            <v>48</v>
          </cell>
          <cell r="P255">
            <v>8</v>
          </cell>
        </row>
        <row r="256">
          <cell r="B256">
            <v>80</v>
          </cell>
          <cell r="C256">
            <v>24</v>
          </cell>
          <cell r="D256">
            <v>30.96</v>
          </cell>
          <cell r="E256" t="str">
            <v>N</v>
          </cell>
          <cell r="I256">
            <v>2.4300000000000002</v>
          </cell>
          <cell r="J256">
            <v>53.07</v>
          </cell>
          <cell r="K256">
            <v>55.5</v>
          </cell>
          <cell r="P256">
            <v>8</v>
          </cell>
        </row>
        <row r="257">
          <cell r="B257" t="str">
            <v>80S</v>
          </cell>
          <cell r="C257">
            <v>0.125</v>
          </cell>
          <cell r="D257">
            <v>2.41</v>
          </cell>
          <cell r="E257">
            <v>1</v>
          </cell>
          <cell r="I257">
            <v>7.0000000000000007E-2</v>
          </cell>
          <cell r="K257">
            <v>7.0000000000000007E-2</v>
          </cell>
          <cell r="P257">
            <v>2</v>
          </cell>
        </row>
        <row r="258">
          <cell r="B258" t="str">
            <v>80S</v>
          </cell>
          <cell r="C258">
            <v>0.125</v>
          </cell>
          <cell r="D258">
            <v>2.41</v>
          </cell>
          <cell r="E258">
            <v>1</v>
          </cell>
          <cell r="I258">
            <v>7.0000000000000007E-2</v>
          </cell>
          <cell r="K258">
            <v>7.0000000000000007E-2</v>
          </cell>
          <cell r="P258">
            <v>2</v>
          </cell>
        </row>
        <row r="259">
          <cell r="B259" t="str">
            <v>80S</v>
          </cell>
          <cell r="C259">
            <v>0.125</v>
          </cell>
          <cell r="D259">
            <v>2.41</v>
          </cell>
          <cell r="E259">
            <v>1</v>
          </cell>
          <cell r="I259">
            <v>7.0000000000000007E-2</v>
          </cell>
          <cell r="K259">
            <v>7.0000000000000007E-2</v>
          </cell>
          <cell r="P259">
            <v>2</v>
          </cell>
        </row>
        <row r="260">
          <cell r="B260" t="str">
            <v>80S</v>
          </cell>
          <cell r="C260">
            <v>0.25</v>
          </cell>
          <cell r="D260">
            <v>3.02</v>
          </cell>
          <cell r="E260">
            <v>1</v>
          </cell>
          <cell r="I260">
            <v>7.0000000000000007E-2</v>
          </cell>
          <cell r="K260">
            <v>7.0000000000000007E-2</v>
          </cell>
          <cell r="P260">
            <v>2</v>
          </cell>
        </row>
        <row r="261">
          <cell r="B261" t="str">
            <v>80S</v>
          </cell>
          <cell r="C261">
            <v>0.25</v>
          </cell>
          <cell r="D261">
            <v>3.02</v>
          </cell>
          <cell r="E261">
            <v>1</v>
          </cell>
          <cell r="I261">
            <v>7.0000000000000007E-2</v>
          </cell>
          <cell r="K261">
            <v>7.0000000000000007E-2</v>
          </cell>
          <cell r="P261">
            <v>2</v>
          </cell>
        </row>
        <row r="262">
          <cell r="B262" t="str">
            <v>80S</v>
          </cell>
          <cell r="C262">
            <v>0.25</v>
          </cell>
          <cell r="D262">
            <v>3.02</v>
          </cell>
          <cell r="E262">
            <v>1</v>
          </cell>
          <cell r="I262">
            <v>7.0000000000000007E-2</v>
          </cell>
          <cell r="K262">
            <v>7.0000000000000007E-2</v>
          </cell>
          <cell r="P262">
            <v>2</v>
          </cell>
        </row>
        <row r="263">
          <cell r="B263" t="str">
            <v>80S</v>
          </cell>
          <cell r="C263">
            <v>0.375</v>
          </cell>
          <cell r="D263">
            <v>3.2</v>
          </cell>
          <cell r="E263">
            <v>1</v>
          </cell>
          <cell r="I263">
            <v>7.0000000000000007E-2</v>
          </cell>
          <cell r="J263">
            <v>0</v>
          </cell>
          <cell r="K263">
            <v>7.0000000000000007E-2</v>
          </cell>
          <cell r="P263">
            <v>2</v>
          </cell>
        </row>
        <row r="264">
          <cell r="B264" t="str">
            <v>80S</v>
          </cell>
          <cell r="C264">
            <v>0.375</v>
          </cell>
          <cell r="D264">
            <v>3.2</v>
          </cell>
          <cell r="E264">
            <v>1</v>
          </cell>
          <cell r="I264">
            <v>7.0000000000000007E-2</v>
          </cell>
          <cell r="J264">
            <v>0</v>
          </cell>
          <cell r="K264">
            <v>7.0000000000000007E-2</v>
          </cell>
          <cell r="P264">
            <v>2</v>
          </cell>
        </row>
        <row r="265">
          <cell r="B265" t="str">
            <v>80S</v>
          </cell>
          <cell r="C265">
            <v>0.375</v>
          </cell>
          <cell r="D265">
            <v>3.2</v>
          </cell>
          <cell r="E265">
            <v>1</v>
          </cell>
          <cell r="I265">
            <v>7.0000000000000007E-2</v>
          </cell>
          <cell r="J265">
            <v>0</v>
          </cell>
          <cell r="K265">
            <v>7.0000000000000007E-2</v>
          </cell>
          <cell r="P265">
            <v>2</v>
          </cell>
        </row>
        <row r="266">
          <cell r="B266" t="str">
            <v>80S</v>
          </cell>
          <cell r="C266">
            <v>0.5</v>
          </cell>
          <cell r="D266">
            <v>3.73</v>
          </cell>
          <cell r="E266">
            <v>1</v>
          </cell>
          <cell r="I266">
            <v>7.0000000000000007E-2</v>
          </cell>
          <cell r="J266">
            <v>0</v>
          </cell>
          <cell r="K266">
            <v>7.0000000000000007E-2</v>
          </cell>
          <cell r="P266">
            <v>2</v>
          </cell>
        </row>
        <row r="267">
          <cell r="B267" t="str">
            <v>80S</v>
          </cell>
          <cell r="C267">
            <v>0.5</v>
          </cell>
          <cell r="D267">
            <v>3.73</v>
          </cell>
          <cell r="E267">
            <v>1</v>
          </cell>
          <cell r="I267">
            <v>7.0000000000000007E-2</v>
          </cell>
          <cell r="J267">
            <v>0</v>
          </cell>
          <cell r="K267">
            <v>7.0000000000000007E-2</v>
          </cell>
          <cell r="P267">
            <v>2</v>
          </cell>
        </row>
        <row r="268">
          <cell r="B268" t="str">
            <v>80S</v>
          </cell>
          <cell r="C268">
            <v>0.5</v>
          </cell>
          <cell r="D268">
            <v>3.73</v>
          </cell>
          <cell r="E268">
            <v>1</v>
          </cell>
          <cell r="I268">
            <v>7.0000000000000007E-2</v>
          </cell>
          <cell r="J268">
            <v>0</v>
          </cell>
          <cell r="K268">
            <v>7.0000000000000007E-2</v>
          </cell>
          <cell r="P268">
            <v>2</v>
          </cell>
        </row>
        <row r="269">
          <cell r="B269" t="str">
            <v>80S</v>
          </cell>
          <cell r="C269">
            <v>0.75</v>
          </cell>
          <cell r="D269">
            <v>3.91</v>
          </cell>
          <cell r="E269">
            <v>1</v>
          </cell>
          <cell r="I269">
            <v>7.0000000000000007E-2</v>
          </cell>
          <cell r="J269">
            <v>0</v>
          </cell>
          <cell r="K269">
            <v>7.0000000000000007E-2</v>
          </cell>
          <cell r="P269">
            <v>2</v>
          </cell>
        </row>
        <row r="270">
          <cell r="B270" t="str">
            <v>80S</v>
          </cell>
          <cell r="C270">
            <v>0.75</v>
          </cell>
          <cell r="D270">
            <v>3.91</v>
          </cell>
          <cell r="E270">
            <v>1</v>
          </cell>
          <cell r="I270">
            <v>7.0000000000000007E-2</v>
          </cell>
          <cell r="J270">
            <v>0</v>
          </cell>
          <cell r="K270">
            <v>7.0000000000000007E-2</v>
          </cell>
          <cell r="P270">
            <v>2</v>
          </cell>
        </row>
        <row r="271">
          <cell r="B271" t="str">
            <v>80S</v>
          </cell>
          <cell r="C271">
            <v>0.75</v>
          </cell>
          <cell r="D271">
            <v>3.91</v>
          </cell>
          <cell r="E271">
            <v>1</v>
          </cell>
          <cell r="I271">
            <v>7.0000000000000007E-2</v>
          </cell>
          <cell r="J271">
            <v>0</v>
          </cell>
          <cell r="K271">
            <v>7.0000000000000007E-2</v>
          </cell>
          <cell r="P271">
            <v>2</v>
          </cell>
        </row>
        <row r="272">
          <cell r="B272" t="str">
            <v>80S</v>
          </cell>
          <cell r="C272">
            <v>1</v>
          </cell>
          <cell r="D272">
            <v>4.55</v>
          </cell>
          <cell r="E272">
            <v>1</v>
          </cell>
          <cell r="I272">
            <v>0.15</v>
          </cell>
          <cell r="J272">
            <v>0</v>
          </cell>
          <cell r="K272">
            <v>0.15</v>
          </cell>
          <cell r="P272">
            <v>2</v>
          </cell>
        </row>
        <row r="273">
          <cell r="B273" t="str">
            <v>80S</v>
          </cell>
          <cell r="C273">
            <v>1</v>
          </cell>
          <cell r="D273">
            <v>4.55</v>
          </cell>
          <cell r="E273">
            <v>1</v>
          </cell>
          <cell r="I273">
            <v>0.15</v>
          </cell>
          <cell r="J273">
            <v>0</v>
          </cell>
          <cell r="K273">
            <v>0.15</v>
          </cell>
          <cell r="P273">
            <v>2</v>
          </cell>
        </row>
        <row r="274">
          <cell r="B274" t="str">
            <v>80S</v>
          </cell>
          <cell r="C274">
            <v>1</v>
          </cell>
          <cell r="D274">
            <v>4.55</v>
          </cell>
          <cell r="E274">
            <v>1</v>
          </cell>
          <cell r="I274">
            <v>0.15</v>
          </cell>
          <cell r="J274">
            <v>0</v>
          </cell>
          <cell r="K274">
            <v>0.15</v>
          </cell>
          <cell r="P274">
            <v>2</v>
          </cell>
        </row>
        <row r="275">
          <cell r="B275" t="str">
            <v>80S</v>
          </cell>
          <cell r="C275">
            <v>1.25</v>
          </cell>
          <cell r="D275">
            <v>4.8499999999999996</v>
          </cell>
          <cell r="E275">
            <v>1</v>
          </cell>
          <cell r="I275">
            <v>0.13</v>
          </cell>
          <cell r="J275">
            <v>0.17</v>
          </cell>
          <cell r="K275">
            <v>0.30000000000000004</v>
          </cell>
          <cell r="P275">
            <v>2</v>
          </cell>
        </row>
        <row r="276">
          <cell r="B276" t="str">
            <v>80S</v>
          </cell>
          <cell r="C276">
            <v>1.25</v>
          </cell>
          <cell r="D276">
            <v>4.8499999999999996</v>
          </cell>
          <cell r="E276">
            <v>1</v>
          </cell>
          <cell r="I276">
            <v>0.13</v>
          </cell>
          <cell r="J276">
            <v>0.17</v>
          </cell>
          <cell r="K276">
            <v>0.30000000000000004</v>
          </cell>
          <cell r="P276">
            <v>2</v>
          </cell>
        </row>
        <row r="277">
          <cell r="B277" t="str">
            <v>80S</v>
          </cell>
          <cell r="C277">
            <v>1.25</v>
          </cell>
          <cell r="D277">
            <v>4.8499999999999996</v>
          </cell>
          <cell r="E277">
            <v>1</v>
          </cell>
          <cell r="I277">
            <v>0.13</v>
          </cell>
          <cell r="J277">
            <v>0.17</v>
          </cell>
          <cell r="K277">
            <v>0.30000000000000004</v>
          </cell>
          <cell r="P277">
            <v>2</v>
          </cell>
        </row>
        <row r="278">
          <cell r="B278" t="str">
            <v>80S</v>
          </cell>
          <cell r="C278">
            <v>1.5</v>
          </cell>
          <cell r="D278">
            <v>5.08</v>
          </cell>
          <cell r="E278">
            <v>1</v>
          </cell>
          <cell r="I278">
            <v>0.15</v>
          </cell>
          <cell r="J278">
            <v>0.15</v>
          </cell>
          <cell r="K278">
            <v>0.3</v>
          </cell>
          <cell r="P278">
            <v>2</v>
          </cell>
        </row>
        <row r="279">
          <cell r="B279" t="str">
            <v>80S</v>
          </cell>
          <cell r="C279">
            <v>1.5</v>
          </cell>
          <cell r="D279">
            <v>5.08</v>
          </cell>
          <cell r="E279">
            <v>1</v>
          </cell>
          <cell r="I279">
            <v>0.15</v>
          </cell>
          <cell r="J279">
            <v>0.15</v>
          </cell>
          <cell r="K279">
            <v>0.3</v>
          </cell>
          <cell r="P279">
            <v>2</v>
          </cell>
        </row>
        <row r="280">
          <cell r="B280" t="str">
            <v>80S</v>
          </cell>
          <cell r="C280">
            <v>1.5</v>
          </cell>
          <cell r="D280">
            <v>5.08</v>
          </cell>
          <cell r="E280">
            <v>1</v>
          </cell>
          <cell r="I280">
            <v>0.15</v>
          </cell>
          <cell r="J280">
            <v>0.15</v>
          </cell>
          <cell r="K280">
            <v>0.3</v>
          </cell>
          <cell r="P280">
            <v>2</v>
          </cell>
        </row>
        <row r="281">
          <cell r="B281" t="str">
            <v>80S</v>
          </cell>
          <cell r="C281">
            <v>2</v>
          </cell>
          <cell r="D281">
            <v>5.54</v>
          </cell>
          <cell r="E281">
            <v>1</v>
          </cell>
          <cell r="I281">
            <v>0.2</v>
          </cell>
          <cell r="J281">
            <v>0.25</v>
          </cell>
          <cell r="K281">
            <v>0.45</v>
          </cell>
          <cell r="P281">
            <v>2</v>
          </cell>
        </row>
        <row r="282">
          <cell r="B282" t="str">
            <v>80S</v>
          </cell>
          <cell r="C282">
            <v>2</v>
          </cell>
          <cell r="D282">
            <v>5.54</v>
          </cell>
          <cell r="E282">
            <v>1</v>
          </cell>
          <cell r="I282">
            <v>0.2</v>
          </cell>
          <cell r="J282">
            <v>0.25</v>
          </cell>
          <cell r="K282">
            <v>0.45</v>
          </cell>
          <cell r="P282">
            <v>2</v>
          </cell>
        </row>
        <row r="283">
          <cell r="B283" t="str">
            <v>80S</v>
          </cell>
          <cell r="C283">
            <v>2</v>
          </cell>
          <cell r="D283">
            <v>5.54</v>
          </cell>
          <cell r="E283">
            <v>1</v>
          </cell>
          <cell r="I283">
            <v>0.2</v>
          </cell>
          <cell r="J283">
            <v>0.25</v>
          </cell>
          <cell r="K283">
            <v>0.45</v>
          </cell>
          <cell r="P283">
            <v>2</v>
          </cell>
        </row>
        <row r="284">
          <cell r="B284" t="str">
            <v>80S</v>
          </cell>
          <cell r="C284">
            <v>2.5</v>
          </cell>
          <cell r="D284">
            <v>7.01</v>
          </cell>
          <cell r="E284">
            <v>1</v>
          </cell>
          <cell r="I284">
            <v>0.25</v>
          </cell>
          <cell r="J284">
            <v>0.5</v>
          </cell>
          <cell r="K284">
            <v>0.75</v>
          </cell>
          <cell r="P284">
            <v>2</v>
          </cell>
        </row>
        <row r="285">
          <cell r="B285" t="str">
            <v>80S</v>
          </cell>
          <cell r="C285">
            <v>3</v>
          </cell>
          <cell r="D285">
            <v>7.62</v>
          </cell>
          <cell r="E285">
            <v>1</v>
          </cell>
          <cell r="I285">
            <v>0.3</v>
          </cell>
          <cell r="J285">
            <v>0.6</v>
          </cell>
          <cell r="K285">
            <v>0.89999999999999991</v>
          </cell>
          <cell r="P285">
            <v>2</v>
          </cell>
        </row>
        <row r="286">
          <cell r="B286" t="str">
            <v>80S</v>
          </cell>
          <cell r="C286">
            <v>3.5</v>
          </cell>
          <cell r="D286">
            <v>8.08</v>
          </cell>
          <cell r="E286">
            <v>1</v>
          </cell>
          <cell r="I286">
            <v>0.35</v>
          </cell>
          <cell r="J286">
            <v>0.85</v>
          </cell>
          <cell r="K286">
            <v>1.2</v>
          </cell>
          <cell r="P286">
            <v>3</v>
          </cell>
        </row>
        <row r="287">
          <cell r="B287" t="str">
            <v>80S</v>
          </cell>
          <cell r="C287">
            <v>4</v>
          </cell>
          <cell r="D287">
            <v>8.56</v>
          </cell>
          <cell r="E287">
            <v>1</v>
          </cell>
          <cell r="I287">
            <v>0.41</v>
          </cell>
          <cell r="J287">
            <v>0.93</v>
          </cell>
          <cell r="K287">
            <v>1.34</v>
          </cell>
          <cell r="P287">
            <v>3</v>
          </cell>
        </row>
        <row r="288">
          <cell r="B288" t="str">
            <v>80S</v>
          </cell>
          <cell r="C288">
            <v>5</v>
          </cell>
          <cell r="D288">
            <v>9.5299999999999994</v>
          </cell>
          <cell r="E288">
            <v>1</v>
          </cell>
          <cell r="I288">
            <v>0.51</v>
          </cell>
          <cell r="J288">
            <v>1.59</v>
          </cell>
          <cell r="K288">
            <v>2.1</v>
          </cell>
          <cell r="P288">
            <v>4</v>
          </cell>
        </row>
        <row r="289">
          <cell r="B289" t="str">
            <v>80S</v>
          </cell>
          <cell r="C289">
            <v>6</v>
          </cell>
          <cell r="D289">
            <v>10.97</v>
          </cell>
          <cell r="E289">
            <v>1.25</v>
          </cell>
          <cell r="I289">
            <v>0.61</v>
          </cell>
          <cell r="J289">
            <v>2.69</v>
          </cell>
          <cell r="K289">
            <v>3.3</v>
          </cell>
          <cell r="P289">
            <v>4</v>
          </cell>
        </row>
        <row r="290">
          <cell r="B290" t="str">
            <v>80S</v>
          </cell>
          <cell r="C290">
            <v>8</v>
          </cell>
          <cell r="D290">
            <v>12.7</v>
          </cell>
          <cell r="E290">
            <v>1.25</v>
          </cell>
          <cell r="I290">
            <v>0.81</v>
          </cell>
          <cell r="J290">
            <v>4.58</v>
          </cell>
          <cell r="K290">
            <v>5.3900000000000006</v>
          </cell>
          <cell r="P290">
            <v>4</v>
          </cell>
        </row>
        <row r="291">
          <cell r="B291" t="str">
            <v>80S</v>
          </cell>
          <cell r="C291">
            <v>10</v>
          </cell>
          <cell r="D291">
            <v>12.7</v>
          </cell>
          <cell r="E291">
            <v>1.25</v>
          </cell>
          <cell r="I291">
            <v>1.01</v>
          </cell>
          <cell r="J291">
            <v>5.74</v>
          </cell>
          <cell r="K291">
            <v>6.75</v>
          </cell>
          <cell r="P291">
            <v>4</v>
          </cell>
        </row>
        <row r="292">
          <cell r="B292" t="str">
            <v>80S</v>
          </cell>
          <cell r="C292">
            <v>12</v>
          </cell>
          <cell r="D292">
            <v>12.7</v>
          </cell>
          <cell r="E292">
            <v>1.25</v>
          </cell>
          <cell r="I292">
            <v>1.22</v>
          </cell>
          <cell r="J292">
            <v>6.73</v>
          </cell>
          <cell r="K292">
            <v>7.95</v>
          </cell>
          <cell r="P292">
            <v>6</v>
          </cell>
        </row>
        <row r="293">
          <cell r="B293">
            <v>100</v>
          </cell>
          <cell r="C293">
            <v>8</v>
          </cell>
          <cell r="D293">
            <v>15.09</v>
          </cell>
          <cell r="E293">
            <v>1.5</v>
          </cell>
          <cell r="I293">
            <v>0.81</v>
          </cell>
          <cell r="J293">
            <v>6.09</v>
          </cell>
          <cell r="K293">
            <v>6.9</v>
          </cell>
          <cell r="P293">
            <v>4</v>
          </cell>
        </row>
        <row r="294">
          <cell r="B294">
            <v>100</v>
          </cell>
          <cell r="C294">
            <v>10</v>
          </cell>
          <cell r="D294">
            <v>18.260000000000002</v>
          </cell>
          <cell r="E294">
            <v>1.5</v>
          </cell>
          <cell r="I294">
            <v>1.01</v>
          </cell>
          <cell r="J294">
            <v>11.44</v>
          </cell>
          <cell r="K294">
            <v>12.45</v>
          </cell>
          <cell r="P294">
            <v>4</v>
          </cell>
        </row>
        <row r="295">
          <cell r="B295">
            <v>100</v>
          </cell>
          <cell r="C295">
            <v>12</v>
          </cell>
          <cell r="D295">
            <v>21.44</v>
          </cell>
          <cell r="E295">
            <v>2</v>
          </cell>
          <cell r="I295">
            <v>1.22</v>
          </cell>
          <cell r="J295">
            <v>15.28</v>
          </cell>
          <cell r="K295">
            <v>16.5</v>
          </cell>
          <cell r="P295">
            <v>6</v>
          </cell>
        </row>
        <row r="296">
          <cell r="B296">
            <v>100</v>
          </cell>
          <cell r="C296">
            <v>14</v>
          </cell>
          <cell r="D296">
            <v>23.83</v>
          </cell>
          <cell r="E296">
            <v>2</v>
          </cell>
          <cell r="I296">
            <v>1.42</v>
          </cell>
          <cell r="J296">
            <v>21.07</v>
          </cell>
          <cell r="K296">
            <v>22.490000000000002</v>
          </cell>
          <cell r="P296">
            <v>6</v>
          </cell>
        </row>
        <row r="297">
          <cell r="B297">
            <v>100</v>
          </cell>
          <cell r="C297">
            <v>16</v>
          </cell>
          <cell r="D297">
            <v>26.19</v>
          </cell>
          <cell r="E297" t="str">
            <v>N</v>
          </cell>
          <cell r="I297">
            <v>1.62</v>
          </cell>
          <cell r="J297">
            <v>28.38</v>
          </cell>
          <cell r="K297">
            <v>30</v>
          </cell>
          <cell r="P297">
            <v>6</v>
          </cell>
        </row>
        <row r="298">
          <cell r="B298">
            <v>100</v>
          </cell>
          <cell r="C298">
            <v>18</v>
          </cell>
          <cell r="D298">
            <v>29.36</v>
          </cell>
          <cell r="E298" t="str">
            <v>N</v>
          </cell>
          <cell r="I298">
            <v>1.82</v>
          </cell>
          <cell r="J298">
            <v>37.17</v>
          </cell>
          <cell r="K298">
            <v>38.99</v>
          </cell>
          <cell r="P298">
            <v>6</v>
          </cell>
        </row>
        <row r="299">
          <cell r="B299">
            <v>100</v>
          </cell>
          <cell r="C299">
            <v>20</v>
          </cell>
          <cell r="D299">
            <v>32.54</v>
          </cell>
          <cell r="E299" t="str">
            <v>N</v>
          </cell>
          <cell r="I299">
            <v>2.0299999999999998</v>
          </cell>
          <cell r="J299">
            <v>45.97</v>
          </cell>
          <cell r="K299">
            <v>48</v>
          </cell>
          <cell r="P299">
            <v>7</v>
          </cell>
        </row>
        <row r="300">
          <cell r="B300">
            <v>100</v>
          </cell>
          <cell r="C300">
            <v>22</v>
          </cell>
          <cell r="D300">
            <v>34.93</v>
          </cell>
          <cell r="E300" t="str">
            <v>N</v>
          </cell>
          <cell r="I300">
            <v>2.23</v>
          </cell>
          <cell r="J300">
            <v>65.27</v>
          </cell>
          <cell r="K300">
            <v>67.5</v>
          </cell>
          <cell r="P300">
            <v>8</v>
          </cell>
        </row>
        <row r="301">
          <cell r="B301">
            <v>100</v>
          </cell>
          <cell r="C301">
            <v>24</v>
          </cell>
          <cell r="D301">
            <v>38.89</v>
          </cell>
          <cell r="E301" t="str">
            <v>N</v>
          </cell>
          <cell r="I301">
            <v>2.4300000000000002</v>
          </cell>
          <cell r="J301">
            <v>75.56</v>
          </cell>
          <cell r="K301">
            <v>77.990000000000009</v>
          </cell>
          <cell r="P301">
            <v>8</v>
          </cell>
        </row>
        <row r="302">
          <cell r="B302">
            <v>120</v>
          </cell>
          <cell r="C302">
            <v>4</v>
          </cell>
          <cell r="D302">
            <v>11.13</v>
          </cell>
          <cell r="E302">
            <v>1.25</v>
          </cell>
          <cell r="I302">
            <v>0.41</v>
          </cell>
          <cell r="J302">
            <v>1.84</v>
          </cell>
          <cell r="K302">
            <v>2.25</v>
          </cell>
          <cell r="P302">
            <v>4</v>
          </cell>
        </row>
        <row r="303">
          <cell r="B303">
            <v>120</v>
          </cell>
          <cell r="C303">
            <v>5</v>
          </cell>
          <cell r="D303">
            <v>12.7</v>
          </cell>
          <cell r="E303">
            <v>1.25</v>
          </cell>
          <cell r="I303">
            <v>0.51</v>
          </cell>
          <cell r="J303">
            <v>2.94</v>
          </cell>
          <cell r="K303">
            <v>3.45</v>
          </cell>
          <cell r="P303">
            <v>4</v>
          </cell>
        </row>
        <row r="304">
          <cell r="B304">
            <v>120</v>
          </cell>
          <cell r="C304">
            <v>6</v>
          </cell>
          <cell r="D304">
            <v>14.27</v>
          </cell>
          <cell r="E304">
            <v>1.25</v>
          </cell>
          <cell r="I304">
            <v>0.61</v>
          </cell>
          <cell r="J304">
            <v>4.1900000000000004</v>
          </cell>
          <cell r="K304">
            <v>4.8000000000000007</v>
          </cell>
          <cell r="P304">
            <v>4</v>
          </cell>
        </row>
        <row r="305">
          <cell r="B305">
            <v>120</v>
          </cell>
          <cell r="C305">
            <v>8</v>
          </cell>
          <cell r="D305">
            <v>18.260000000000002</v>
          </cell>
          <cell r="E305">
            <v>1.5</v>
          </cell>
          <cell r="I305">
            <v>0.81</v>
          </cell>
          <cell r="J305">
            <v>9.23</v>
          </cell>
          <cell r="K305">
            <v>10.040000000000001</v>
          </cell>
          <cell r="P305">
            <v>4</v>
          </cell>
        </row>
        <row r="306">
          <cell r="B306">
            <v>120</v>
          </cell>
          <cell r="C306">
            <v>10</v>
          </cell>
          <cell r="D306">
            <v>21.44</v>
          </cell>
          <cell r="E306">
            <v>2</v>
          </cell>
          <cell r="I306">
            <v>1.01</v>
          </cell>
          <cell r="J306">
            <v>12.49</v>
          </cell>
          <cell r="K306">
            <v>13.5</v>
          </cell>
          <cell r="P306">
            <v>4</v>
          </cell>
        </row>
        <row r="307">
          <cell r="B307">
            <v>120</v>
          </cell>
          <cell r="C307">
            <v>12</v>
          </cell>
          <cell r="D307">
            <v>25.4</v>
          </cell>
          <cell r="E307" t="str">
            <v>N</v>
          </cell>
          <cell r="I307">
            <v>1.22</v>
          </cell>
          <cell r="J307">
            <v>21.27</v>
          </cell>
          <cell r="K307">
            <v>22.49</v>
          </cell>
          <cell r="P307">
            <v>6</v>
          </cell>
        </row>
        <row r="308">
          <cell r="B308">
            <v>120</v>
          </cell>
          <cell r="C308">
            <v>14</v>
          </cell>
          <cell r="D308">
            <v>27.79</v>
          </cell>
          <cell r="E308" t="str">
            <v>N</v>
          </cell>
          <cell r="I308">
            <v>1.42</v>
          </cell>
          <cell r="J308">
            <v>25.58</v>
          </cell>
          <cell r="K308">
            <v>27</v>
          </cell>
          <cell r="P308">
            <v>6</v>
          </cell>
        </row>
        <row r="309">
          <cell r="B309">
            <v>120</v>
          </cell>
          <cell r="C309">
            <v>16</v>
          </cell>
          <cell r="D309">
            <v>30.96</v>
          </cell>
          <cell r="E309" t="str">
            <v>N</v>
          </cell>
          <cell r="I309">
            <v>1.62</v>
          </cell>
          <cell r="J309">
            <v>35.880000000000003</v>
          </cell>
          <cell r="K309">
            <v>37.5</v>
          </cell>
          <cell r="P309">
            <v>6</v>
          </cell>
        </row>
        <row r="310">
          <cell r="B310">
            <v>120</v>
          </cell>
          <cell r="C310">
            <v>18</v>
          </cell>
          <cell r="D310">
            <v>34.93</v>
          </cell>
          <cell r="E310" t="str">
            <v>N</v>
          </cell>
          <cell r="I310">
            <v>1.82</v>
          </cell>
          <cell r="J310">
            <v>47.68</v>
          </cell>
          <cell r="K310">
            <v>49.5</v>
          </cell>
          <cell r="P310">
            <v>6</v>
          </cell>
        </row>
        <row r="311">
          <cell r="B311">
            <v>120</v>
          </cell>
          <cell r="C311">
            <v>20</v>
          </cell>
          <cell r="D311">
            <v>38.1</v>
          </cell>
          <cell r="E311" t="str">
            <v>N</v>
          </cell>
          <cell r="I311">
            <v>2.0299999999999998</v>
          </cell>
          <cell r="J311">
            <v>62.47</v>
          </cell>
          <cell r="K311">
            <v>64.5</v>
          </cell>
          <cell r="P311">
            <v>7</v>
          </cell>
        </row>
        <row r="312">
          <cell r="B312">
            <v>120</v>
          </cell>
          <cell r="C312">
            <v>22</v>
          </cell>
          <cell r="D312">
            <v>41.28</v>
          </cell>
          <cell r="E312" t="str">
            <v>N</v>
          </cell>
          <cell r="I312">
            <v>2.23</v>
          </cell>
          <cell r="J312">
            <v>84.76</v>
          </cell>
          <cell r="K312">
            <v>86.990000000000009</v>
          </cell>
          <cell r="P312">
            <v>8</v>
          </cell>
        </row>
        <row r="313">
          <cell r="B313">
            <v>120</v>
          </cell>
          <cell r="C313">
            <v>24</v>
          </cell>
          <cell r="D313">
            <v>46.02</v>
          </cell>
          <cell r="E313" t="str">
            <v>N</v>
          </cell>
          <cell r="I313">
            <v>2.4300000000000002</v>
          </cell>
          <cell r="J313">
            <v>98.07</v>
          </cell>
          <cell r="K313">
            <v>100.5</v>
          </cell>
          <cell r="P313">
            <v>8</v>
          </cell>
        </row>
        <row r="314">
          <cell r="B314">
            <v>140</v>
          </cell>
          <cell r="C314">
            <v>8</v>
          </cell>
          <cell r="D314">
            <v>20.62</v>
          </cell>
          <cell r="E314">
            <v>2</v>
          </cell>
          <cell r="I314">
            <v>0.81</v>
          </cell>
          <cell r="J314">
            <v>10.130000000000001</v>
          </cell>
          <cell r="K314">
            <v>10.940000000000001</v>
          </cell>
          <cell r="P314">
            <v>4</v>
          </cell>
        </row>
        <row r="315">
          <cell r="B315">
            <v>140</v>
          </cell>
          <cell r="C315">
            <v>10</v>
          </cell>
          <cell r="D315">
            <v>25.4</v>
          </cell>
          <cell r="E315" t="str">
            <v>N</v>
          </cell>
          <cell r="I315">
            <v>1.01</v>
          </cell>
          <cell r="J315">
            <v>18.48</v>
          </cell>
          <cell r="K315">
            <v>19.490000000000002</v>
          </cell>
          <cell r="P315">
            <v>4</v>
          </cell>
        </row>
        <row r="316">
          <cell r="B316">
            <v>140</v>
          </cell>
          <cell r="C316">
            <v>12</v>
          </cell>
          <cell r="D316">
            <v>28.58</v>
          </cell>
          <cell r="E316" t="str">
            <v>N</v>
          </cell>
          <cell r="I316">
            <v>1.22</v>
          </cell>
          <cell r="J316">
            <v>25.78</v>
          </cell>
          <cell r="K316">
            <v>27</v>
          </cell>
          <cell r="P316">
            <v>6</v>
          </cell>
        </row>
        <row r="317">
          <cell r="B317">
            <v>140</v>
          </cell>
          <cell r="C317">
            <v>14</v>
          </cell>
          <cell r="D317">
            <v>31.75</v>
          </cell>
          <cell r="E317" t="str">
            <v>N</v>
          </cell>
          <cell r="I317">
            <v>1.42</v>
          </cell>
          <cell r="J317">
            <v>31.58</v>
          </cell>
          <cell r="K317">
            <v>33</v>
          </cell>
          <cell r="P317">
            <v>6</v>
          </cell>
        </row>
        <row r="318">
          <cell r="B318">
            <v>140</v>
          </cell>
          <cell r="C318">
            <v>16</v>
          </cell>
          <cell r="D318">
            <v>36.53</v>
          </cell>
          <cell r="E318" t="str">
            <v>N</v>
          </cell>
          <cell r="I318">
            <v>1.62</v>
          </cell>
          <cell r="J318">
            <v>44.87</v>
          </cell>
          <cell r="K318">
            <v>46.489999999999995</v>
          </cell>
          <cell r="P318">
            <v>6</v>
          </cell>
        </row>
        <row r="319">
          <cell r="B319">
            <v>140</v>
          </cell>
          <cell r="C319">
            <v>18</v>
          </cell>
          <cell r="D319">
            <v>39.67</v>
          </cell>
          <cell r="E319" t="str">
            <v>N</v>
          </cell>
          <cell r="I319">
            <v>1.82</v>
          </cell>
          <cell r="J319">
            <v>59.68</v>
          </cell>
          <cell r="K319">
            <v>61.5</v>
          </cell>
          <cell r="P319">
            <v>6</v>
          </cell>
        </row>
        <row r="320">
          <cell r="B320">
            <v>140</v>
          </cell>
          <cell r="C320">
            <v>20</v>
          </cell>
          <cell r="D320">
            <v>44.45</v>
          </cell>
          <cell r="E320" t="str">
            <v>N</v>
          </cell>
          <cell r="I320">
            <v>2.0299999999999998</v>
          </cell>
          <cell r="J320">
            <v>78.959999999999994</v>
          </cell>
          <cell r="K320">
            <v>80.989999999999995</v>
          </cell>
          <cell r="P320">
            <v>7</v>
          </cell>
        </row>
        <row r="321">
          <cell r="B321">
            <v>140</v>
          </cell>
          <cell r="C321">
            <v>22</v>
          </cell>
          <cell r="D321">
            <v>47.63</v>
          </cell>
          <cell r="E321" t="str">
            <v>N</v>
          </cell>
          <cell r="I321">
            <v>2.23</v>
          </cell>
          <cell r="J321">
            <v>108.77</v>
          </cell>
          <cell r="K321">
            <v>111</v>
          </cell>
          <cell r="P321">
            <v>8</v>
          </cell>
        </row>
        <row r="322">
          <cell r="B322">
            <v>140</v>
          </cell>
          <cell r="C322">
            <v>24</v>
          </cell>
          <cell r="D322">
            <v>52.37</v>
          </cell>
          <cell r="E322" t="str">
            <v>N</v>
          </cell>
          <cell r="I322">
            <v>2.4300000000000002</v>
          </cell>
          <cell r="J322">
            <v>126.57</v>
          </cell>
          <cell r="K322">
            <v>129</v>
          </cell>
          <cell r="P322">
            <v>8</v>
          </cell>
        </row>
        <row r="323">
          <cell r="B323">
            <v>160</v>
          </cell>
          <cell r="C323">
            <v>0.5</v>
          </cell>
          <cell r="D323">
            <v>4.78</v>
          </cell>
          <cell r="E323">
            <v>1</v>
          </cell>
          <cell r="I323">
            <v>7.0000000000000007E-2</v>
          </cell>
          <cell r="J323">
            <v>0.08</v>
          </cell>
          <cell r="K323">
            <v>0.15000000000000002</v>
          </cell>
          <cell r="P323">
            <v>2</v>
          </cell>
        </row>
        <row r="324">
          <cell r="B324">
            <v>160</v>
          </cell>
          <cell r="C324">
            <v>0.5</v>
          </cell>
          <cell r="D324">
            <v>4.78</v>
          </cell>
          <cell r="E324">
            <v>1</v>
          </cell>
          <cell r="I324">
            <v>7.0000000000000007E-2</v>
          </cell>
          <cell r="J324">
            <v>0.08</v>
          </cell>
          <cell r="K324">
            <v>0.15000000000000002</v>
          </cell>
          <cell r="P324">
            <v>2</v>
          </cell>
        </row>
        <row r="325">
          <cell r="B325">
            <v>160</v>
          </cell>
          <cell r="C325">
            <v>0.5</v>
          </cell>
          <cell r="D325">
            <v>4.78</v>
          </cell>
          <cell r="E325">
            <v>1</v>
          </cell>
          <cell r="I325">
            <v>7.0000000000000007E-2</v>
          </cell>
          <cell r="J325">
            <v>0.08</v>
          </cell>
          <cell r="K325">
            <v>0.15000000000000002</v>
          </cell>
          <cell r="P325">
            <v>2</v>
          </cell>
        </row>
        <row r="326">
          <cell r="B326">
            <v>160</v>
          </cell>
          <cell r="C326">
            <v>0.75</v>
          </cell>
          <cell r="D326">
            <v>5.56</v>
          </cell>
          <cell r="E326">
            <v>1</v>
          </cell>
          <cell r="I326">
            <v>0.08</v>
          </cell>
          <cell r="J326">
            <v>7.0000000000000007E-2</v>
          </cell>
          <cell r="K326">
            <v>0.15000000000000002</v>
          </cell>
          <cell r="P326">
            <v>2</v>
          </cell>
        </row>
        <row r="327">
          <cell r="B327">
            <v>160</v>
          </cell>
          <cell r="C327">
            <v>0.75</v>
          </cell>
          <cell r="D327">
            <v>5.56</v>
          </cell>
          <cell r="E327">
            <v>1</v>
          </cell>
          <cell r="I327">
            <v>0.08</v>
          </cell>
          <cell r="J327">
            <v>7.0000000000000007E-2</v>
          </cell>
          <cell r="K327">
            <v>0.15000000000000002</v>
          </cell>
          <cell r="P327">
            <v>2</v>
          </cell>
        </row>
        <row r="328">
          <cell r="B328">
            <v>160</v>
          </cell>
          <cell r="C328">
            <v>0.75</v>
          </cell>
          <cell r="D328">
            <v>5.56</v>
          </cell>
          <cell r="E328">
            <v>1</v>
          </cell>
          <cell r="I328">
            <v>0.08</v>
          </cell>
          <cell r="J328">
            <v>7.0000000000000007E-2</v>
          </cell>
          <cell r="K328">
            <v>0.15000000000000002</v>
          </cell>
          <cell r="P328">
            <v>2</v>
          </cell>
        </row>
        <row r="329">
          <cell r="B329">
            <v>160</v>
          </cell>
          <cell r="C329">
            <v>1</v>
          </cell>
          <cell r="D329">
            <v>6.35</v>
          </cell>
          <cell r="E329">
            <v>1</v>
          </cell>
          <cell r="I329">
            <v>0.1</v>
          </cell>
          <cell r="J329">
            <v>0.35</v>
          </cell>
          <cell r="K329">
            <v>0.44999999999999996</v>
          </cell>
          <cell r="P329">
            <v>2</v>
          </cell>
        </row>
        <row r="330">
          <cell r="B330">
            <v>160</v>
          </cell>
          <cell r="C330">
            <v>1</v>
          </cell>
          <cell r="D330">
            <v>6.35</v>
          </cell>
          <cell r="E330">
            <v>1</v>
          </cell>
          <cell r="I330">
            <v>0.1</v>
          </cell>
          <cell r="J330">
            <v>0.35</v>
          </cell>
          <cell r="K330">
            <v>0.44999999999999996</v>
          </cell>
          <cell r="P330">
            <v>2</v>
          </cell>
        </row>
        <row r="331">
          <cell r="B331">
            <v>160</v>
          </cell>
          <cell r="C331">
            <v>1</v>
          </cell>
          <cell r="D331">
            <v>6.35</v>
          </cell>
          <cell r="E331">
            <v>1</v>
          </cell>
          <cell r="I331">
            <v>0.1</v>
          </cell>
          <cell r="J331">
            <v>0.35</v>
          </cell>
          <cell r="K331">
            <v>0.44999999999999996</v>
          </cell>
          <cell r="P331">
            <v>2</v>
          </cell>
        </row>
        <row r="332">
          <cell r="B332">
            <v>160</v>
          </cell>
          <cell r="C332">
            <v>1.25</v>
          </cell>
          <cell r="D332">
            <v>6.35</v>
          </cell>
          <cell r="E332">
            <v>1</v>
          </cell>
          <cell r="I332">
            <v>0.13</v>
          </cell>
          <cell r="J332">
            <v>0.32</v>
          </cell>
          <cell r="K332">
            <v>0.45</v>
          </cell>
          <cell r="P332">
            <v>2</v>
          </cell>
        </row>
        <row r="333">
          <cell r="B333">
            <v>160</v>
          </cell>
          <cell r="C333">
            <v>1.25</v>
          </cell>
          <cell r="D333">
            <v>6.35</v>
          </cell>
          <cell r="E333">
            <v>1</v>
          </cell>
          <cell r="I333">
            <v>0.13</v>
          </cell>
          <cell r="J333">
            <v>0.32</v>
          </cell>
          <cell r="K333">
            <v>0.45</v>
          </cell>
          <cell r="P333">
            <v>2</v>
          </cell>
        </row>
        <row r="334">
          <cell r="B334">
            <v>160</v>
          </cell>
          <cell r="C334">
            <v>1.25</v>
          </cell>
          <cell r="D334">
            <v>6.35</v>
          </cell>
          <cell r="E334">
            <v>1</v>
          </cell>
          <cell r="I334">
            <v>0.13</v>
          </cell>
          <cell r="J334">
            <v>0.32</v>
          </cell>
          <cell r="K334">
            <v>0.45</v>
          </cell>
          <cell r="P334">
            <v>2</v>
          </cell>
        </row>
        <row r="335">
          <cell r="B335">
            <v>160</v>
          </cell>
          <cell r="C335">
            <v>1.5</v>
          </cell>
          <cell r="D335">
            <v>7.14</v>
          </cell>
          <cell r="E335">
            <v>1</v>
          </cell>
          <cell r="I335">
            <v>0.15</v>
          </cell>
          <cell r="J335">
            <v>0.45</v>
          </cell>
          <cell r="K335">
            <v>0.6</v>
          </cell>
          <cell r="P335">
            <v>2</v>
          </cell>
        </row>
        <row r="336">
          <cell r="B336">
            <v>160</v>
          </cell>
          <cell r="C336">
            <v>1.5</v>
          </cell>
          <cell r="D336">
            <v>7.14</v>
          </cell>
          <cell r="E336">
            <v>1</v>
          </cell>
          <cell r="I336">
            <v>0.15</v>
          </cell>
          <cell r="J336">
            <v>0.45</v>
          </cell>
          <cell r="K336">
            <v>0.6</v>
          </cell>
          <cell r="P336">
            <v>2</v>
          </cell>
        </row>
        <row r="337">
          <cell r="B337">
            <v>160</v>
          </cell>
          <cell r="C337">
            <v>1.5</v>
          </cell>
          <cell r="D337">
            <v>7.14</v>
          </cell>
          <cell r="E337">
            <v>1</v>
          </cell>
          <cell r="I337">
            <v>0.15</v>
          </cell>
          <cell r="J337">
            <v>0.45</v>
          </cell>
          <cell r="K337">
            <v>0.6</v>
          </cell>
          <cell r="P337">
            <v>2</v>
          </cell>
        </row>
        <row r="338">
          <cell r="B338">
            <v>160</v>
          </cell>
          <cell r="C338">
            <v>2</v>
          </cell>
          <cell r="D338">
            <v>8.74</v>
          </cell>
          <cell r="E338">
            <v>1</v>
          </cell>
          <cell r="I338">
            <v>0.2</v>
          </cell>
          <cell r="J338">
            <v>0.7</v>
          </cell>
          <cell r="K338">
            <v>0.89999999999999991</v>
          </cell>
          <cell r="P338">
            <v>4</v>
          </cell>
        </row>
        <row r="339">
          <cell r="B339">
            <v>160</v>
          </cell>
          <cell r="C339">
            <v>2</v>
          </cell>
          <cell r="D339">
            <v>8.74</v>
          </cell>
          <cell r="E339">
            <v>1</v>
          </cell>
          <cell r="I339">
            <v>0.2</v>
          </cell>
          <cell r="J339">
            <v>0.7</v>
          </cell>
          <cell r="K339">
            <v>0.89999999999999991</v>
          </cell>
          <cell r="P339">
            <v>4</v>
          </cell>
        </row>
        <row r="340">
          <cell r="B340">
            <v>160</v>
          </cell>
          <cell r="C340">
            <v>2</v>
          </cell>
          <cell r="D340">
            <v>8.74</v>
          </cell>
          <cell r="E340">
            <v>1</v>
          </cell>
          <cell r="I340">
            <v>0.2</v>
          </cell>
          <cell r="J340">
            <v>0.7</v>
          </cell>
          <cell r="K340">
            <v>0.89999999999999991</v>
          </cell>
          <cell r="P340">
            <v>4</v>
          </cell>
        </row>
        <row r="341">
          <cell r="B341">
            <v>160</v>
          </cell>
          <cell r="C341">
            <v>2.5</v>
          </cell>
          <cell r="D341">
            <v>9.5299999999999994</v>
          </cell>
          <cell r="E341">
            <v>1</v>
          </cell>
          <cell r="I341">
            <v>0.25</v>
          </cell>
          <cell r="J341">
            <v>0.8</v>
          </cell>
          <cell r="K341">
            <v>1.05</v>
          </cell>
          <cell r="P341">
            <v>4</v>
          </cell>
        </row>
        <row r="342">
          <cell r="B342">
            <v>160</v>
          </cell>
          <cell r="C342">
            <v>3</v>
          </cell>
          <cell r="D342">
            <v>11.13</v>
          </cell>
          <cell r="E342">
            <v>1.25</v>
          </cell>
          <cell r="I342">
            <v>0.3</v>
          </cell>
          <cell r="J342">
            <v>1.5</v>
          </cell>
          <cell r="K342">
            <v>1.8</v>
          </cell>
          <cell r="P342">
            <v>4</v>
          </cell>
        </row>
        <row r="343">
          <cell r="B343">
            <v>160</v>
          </cell>
          <cell r="C343">
            <v>4</v>
          </cell>
          <cell r="D343">
            <v>13.49</v>
          </cell>
          <cell r="E343">
            <v>1.25</v>
          </cell>
          <cell r="I343">
            <v>0.41</v>
          </cell>
          <cell r="J343">
            <v>2.59</v>
          </cell>
          <cell r="K343">
            <v>3</v>
          </cell>
          <cell r="P343">
            <v>4</v>
          </cell>
        </row>
        <row r="344">
          <cell r="B344">
            <v>160</v>
          </cell>
          <cell r="C344">
            <v>5</v>
          </cell>
          <cell r="D344">
            <v>15.88</v>
          </cell>
          <cell r="E344">
            <v>1.5</v>
          </cell>
          <cell r="I344">
            <v>0.51</v>
          </cell>
          <cell r="J344">
            <v>4.29</v>
          </cell>
          <cell r="K344">
            <v>4.8</v>
          </cell>
          <cell r="P344">
            <v>4</v>
          </cell>
        </row>
        <row r="345">
          <cell r="B345">
            <v>160</v>
          </cell>
          <cell r="C345">
            <v>6</v>
          </cell>
          <cell r="D345">
            <v>18.260000000000002</v>
          </cell>
          <cell r="E345">
            <v>1.5</v>
          </cell>
          <cell r="I345">
            <v>0.61</v>
          </cell>
          <cell r="J345">
            <v>7.04</v>
          </cell>
          <cell r="K345">
            <v>7.65</v>
          </cell>
          <cell r="P345">
            <v>4</v>
          </cell>
        </row>
        <row r="346">
          <cell r="B346">
            <v>160</v>
          </cell>
          <cell r="C346">
            <v>8</v>
          </cell>
          <cell r="D346">
            <v>23.01</v>
          </cell>
          <cell r="E346">
            <v>2</v>
          </cell>
          <cell r="I346">
            <v>0.81</v>
          </cell>
          <cell r="J346">
            <v>11.19</v>
          </cell>
          <cell r="K346">
            <v>12</v>
          </cell>
          <cell r="P346">
            <v>4</v>
          </cell>
        </row>
        <row r="347">
          <cell r="B347">
            <v>160</v>
          </cell>
          <cell r="C347">
            <v>10</v>
          </cell>
          <cell r="D347">
            <v>28.58</v>
          </cell>
          <cell r="E347" t="str">
            <v>N</v>
          </cell>
          <cell r="I347">
            <v>1.01</v>
          </cell>
          <cell r="J347">
            <v>21.48</v>
          </cell>
          <cell r="K347">
            <v>22.490000000000002</v>
          </cell>
          <cell r="P347">
            <v>4</v>
          </cell>
        </row>
        <row r="348">
          <cell r="B348">
            <v>160</v>
          </cell>
          <cell r="C348">
            <v>12</v>
          </cell>
          <cell r="D348">
            <v>33.32</v>
          </cell>
          <cell r="E348" t="str">
            <v>N</v>
          </cell>
          <cell r="I348">
            <v>1.22</v>
          </cell>
          <cell r="J348">
            <v>31.78</v>
          </cell>
          <cell r="K348">
            <v>33</v>
          </cell>
          <cell r="P348">
            <v>6</v>
          </cell>
        </row>
        <row r="349">
          <cell r="B349">
            <v>160</v>
          </cell>
          <cell r="C349">
            <v>14</v>
          </cell>
          <cell r="D349">
            <v>35.71</v>
          </cell>
          <cell r="E349" t="str">
            <v>N</v>
          </cell>
          <cell r="I349">
            <v>1.42</v>
          </cell>
          <cell r="J349">
            <v>39.07</v>
          </cell>
          <cell r="K349">
            <v>40.49</v>
          </cell>
          <cell r="P349">
            <v>6</v>
          </cell>
        </row>
        <row r="350">
          <cell r="B350">
            <v>160</v>
          </cell>
          <cell r="C350">
            <v>16</v>
          </cell>
          <cell r="D350">
            <v>40.49</v>
          </cell>
          <cell r="E350" t="str">
            <v>N</v>
          </cell>
          <cell r="I350">
            <v>1.62</v>
          </cell>
          <cell r="J350">
            <v>53.88</v>
          </cell>
          <cell r="K350">
            <v>55.5</v>
          </cell>
          <cell r="P350">
            <v>6</v>
          </cell>
        </row>
        <row r="351">
          <cell r="B351">
            <v>160</v>
          </cell>
          <cell r="C351">
            <v>18</v>
          </cell>
          <cell r="D351">
            <v>45.24</v>
          </cell>
          <cell r="E351" t="str">
            <v>N</v>
          </cell>
          <cell r="I351">
            <v>1.82</v>
          </cell>
          <cell r="J351">
            <v>71.680000000000007</v>
          </cell>
          <cell r="K351">
            <v>73.5</v>
          </cell>
          <cell r="P351">
            <v>6</v>
          </cell>
        </row>
        <row r="352">
          <cell r="B352">
            <v>160</v>
          </cell>
          <cell r="C352">
            <v>20</v>
          </cell>
          <cell r="D352">
            <v>50.01</v>
          </cell>
          <cell r="E352" t="str">
            <v>N</v>
          </cell>
          <cell r="I352">
            <v>2.0299999999999998</v>
          </cell>
          <cell r="J352">
            <v>93.97</v>
          </cell>
          <cell r="K352">
            <v>96</v>
          </cell>
          <cell r="P352">
            <v>7</v>
          </cell>
        </row>
        <row r="353">
          <cell r="B353">
            <v>160</v>
          </cell>
          <cell r="C353">
            <v>22</v>
          </cell>
          <cell r="D353">
            <v>53.98</v>
          </cell>
          <cell r="E353" t="str">
            <v>N</v>
          </cell>
          <cell r="I353">
            <v>2.23</v>
          </cell>
          <cell r="J353">
            <v>132.77000000000001</v>
          </cell>
          <cell r="K353">
            <v>135</v>
          </cell>
          <cell r="P353">
            <v>8</v>
          </cell>
        </row>
        <row r="354">
          <cell r="B354">
            <v>160</v>
          </cell>
          <cell r="C354">
            <v>24</v>
          </cell>
          <cell r="D354">
            <v>59.54</v>
          </cell>
          <cell r="E354" t="str">
            <v>N</v>
          </cell>
          <cell r="I354">
            <v>2.4300000000000002</v>
          </cell>
          <cell r="J354">
            <v>162.56</v>
          </cell>
          <cell r="K354">
            <v>164.99</v>
          </cell>
          <cell r="P354">
            <v>8</v>
          </cell>
        </row>
        <row r="355">
          <cell r="B355" t="str">
            <v>STD</v>
          </cell>
          <cell r="C355">
            <v>0.125</v>
          </cell>
          <cell r="D355">
            <v>1.73</v>
          </cell>
          <cell r="E355">
            <v>1</v>
          </cell>
          <cell r="I355">
            <v>7.0000000000000007E-2</v>
          </cell>
          <cell r="K355">
            <v>7.0000000000000007E-2</v>
          </cell>
          <cell r="P355">
            <v>2</v>
          </cell>
        </row>
        <row r="356">
          <cell r="B356" t="str">
            <v>STD</v>
          </cell>
          <cell r="C356">
            <v>0.125</v>
          </cell>
          <cell r="D356">
            <v>1.73</v>
          </cell>
          <cell r="E356">
            <v>1</v>
          </cell>
          <cell r="I356">
            <v>7.0000000000000007E-2</v>
          </cell>
          <cell r="K356">
            <v>7.0000000000000007E-2</v>
          </cell>
          <cell r="P356">
            <v>2</v>
          </cell>
        </row>
        <row r="357">
          <cell r="B357" t="str">
            <v>STD</v>
          </cell>
          <cell r="C357">
            <v>0.125</v>
          </cell>
          <cell r="D357">
            <v>1.73</v>
          </cell>
          <cell r="E357">
            <v>1</v>
          </cell>
          <cell r="I357">
            <v>7.0000000000000007E-2</v>
          </cell>
          <cell r="K357">
            <v>7.0000000000000007E-2</v>
          </cell>
          <cell r="P357">
            <v>2</v>
          </cell>
        </row>
        <row r="358">
          <cell r="B358" t="str">
            <v>STD</v>
          </cell>
          <cell r="C358">
            <v>0.25</v>
          </cell>
          <cell r="D358">
            <v>2.2400000000000002</v>
          </cell>
          <cell r="E358">
            <v>1</v>
          </cell>
          <cell r="I358">
            <v>7.0000000000000007E-2</v>
          </cell>
          <cell r="K358">
            <v>7.0000000000000007E-2</v>
          </cell>
          <cell r="P358">
            <v>2</v>
          </cell>
        </row>
        <row r="359">
          <cell r="B359" t="str">
            <v>STD</v>
          </cell>
          <cell r="C359">
            <v>0.25</v>
          </cell>
          <cell r="D359">
            <v>2.2400000000000002</v>
          </cell>
          <cell r="E359">
            <v>1</v>
          </cell>
          <cell r="I359">
            <v>7.0000000000000007E-2</v>
          </cell>
          <cell r="K359">
            <v>7.0000000000000007E-2</v>
          </cell>
          <cell r="P359">
            <v>2</v>
          </cell>
        </row>
        <row r="360">
          <cell r="B360" t="str">
            <v>STD</v>
          </cell>
          <cell r="C360">
            <v>0.25</v>
          </cell>
          <cell r="D360">
            <v>2.2400000000000002</v>
          </cell>
          <cell r="E360">
            <v>1</v>
          </cell>
          <cell r="I360">
            <v>7.0000000000000007E-2</v>
          </cell>
          <cell r="K360">
            <v>7.0000000000000007E-2</v>
          </cell>
          <cell r="P360">
            <v>2</v>
          </cell>
        </row>
        <row r="361">
          <cell r="B361" t="str">
            <v>STD</v>
          </cell>
          <cell r="C361">
            <v>0.375</v>
          </cell>
          <cell r="D361">
            <v>2.31</v>
          </cell>
          <cell r="E361">
            <v>1</v>
          </cell>
          <cell r="I361">
            <v>7.0000000000000007E-2</v>
          </cell>
          <cell r="J361">
            <v>0</v>
          </cell>
          <cell r="K361">
            <v>7.0000000000000007E-2</v>
          </cell>
          <cell r="P361">
            <v>2</v>
          </cell>
        </row>
        <row r="362">
          <cell r="B362" t="str">
            <v>STD</v>
          </cell>
          <cell r="C362">
            <v>0.375</v>
          </cell>
          <cell r="D362">
            <v>2.31</v>
          </cell>
          <cell r="E362">
            <v>1</v>
          </cell>
          <cell r="I362">
            <v>7.0000000000000007E-2</v>
          </cell>
          <cell r="J362">
            <v>0</v>
          </cell>
          <cell r="K362">
            <v>7.0000000000000007E-2</v>
          </cell>
          <cell r="P362">
            <v>2</v>
          </cell>
        </row>
        <row r="363">
          <cell r="B363" t="str">
            <v>STD</v>
          </cell>
          <cell r="C363">
            <v>0.375</v>
          </cell>
          <cell r="D363">
            <v>2.31</v>
          </cell>
          <cell r="E363">
            <v>1</v>
          </cell>
          <cell r="I363">
            <v>7.0000000000000007E-2</v>
          </cell>
          <cell r="J363">
            <v>0</v>
          </cell>
          <cell r="K363">
            <v>7.0000000000000007E-2</v>
          </cell>
          <cell r="P363">
            <v>2</v>
          </cell>
        </row>
        <row r="364">
          <cell r="B364" t="str">
            <v>STD</v>
          </cell>
          <cell r="C364">
            <v>0.5</v>
          </cell>
          <cell r="D364">
            <v>2.77</v>
          </cell>
          <cell r="E364">
            <v>1</v>
          </cell>
          <cell r="I364">
            <v>7.0000000000000007E-2</v>
          </cell>
          <cell r="J364">
            <v>0</v>
          </cell>
          <cell r="K364">
            <v>7.0000000000000007E-2</v>
          </cell>
          <cell r="P364">
            <v>2</v>
          </cell>
        </row>
        <row r="365">
          <cell r="B365" t="str">
            <v>STD</v>
          </cell>
          <cell r="C365">
            <v>0.5</v>
          </cell>
          <cell r="D365">
            <v>2.77</v>
          </cell>
          <cell r="E365">
            <v>1</v>
          </cell>
          <cell r="I365">
            <v>7.0000000000000007E-2</v>
          </cell>
          <cell r="J365">
            <v>0</v>
          </cell>
          <cell r="K365">
            <v>7.0000000000000007E-2</v>
          </cell>
          <cell r="P365">
            <v>2</v>
          </cell>
        </row>
        <row r="366">
          <cell r="B366" t="str">
            <v>STD</v>
          </cell>
          <cell r="C366">
            <v>0.5</v>
          </cell>
          <cell r="D366">
            <v>2.77</v>
          </cell>
          <cell r="E366">
            <v>1</v>
          </cell>
          <cell r="I366">
            <v>7.0000000000000007E-2</v>
          </cell>
          <cell r="J366">
            <v>0</v>
          </cell>
          <cell r="K366">
            <v>7.0000000000000007E-2</v>
          </cell>
          <cell r="P366">
            <v>2</v>
          </cell>
        </row>
        <row r="367">
          <cell r="B367" t="str">
            <v>STD</v>
          </cell>
          <cell r="C367">
            <v>0.75</v>
          </cell>
          <cell r="D367">
            <v>2.87</v>
          </cell>
          <cell r="E367">
            <v>1</v>
          </cell>
          <cell r="I367">
            <v>7.0000000000000007E-2</v>
          </cell>
          <cell r="J367">
            <v>0</v>
          </cell>
          <cell r="K367">
            <v>7.0000000000000007E-2</v>
          </cell>
          <cell r="P367">
            <v>2</v>
          </cell>
        </row>
        <row r="368">
          <cell r="B368" t="str">
            <v>STD</v>
          </cell>
          <cell r="C368">
            <v>0.75</v>
          </cell>
          <cell r="D368">
            <v>2.87</v>
          </cell>
          <cell r="E368">
            <v>1</v>
          </cell>
          <cell r="I368">
            <v>7.0000000000000007E-2</v>
          </cell>
          <cell r="J368">
            <v>0</v>
          </cell>
          <cell r="K368">
            <v>7.0000000000000007E-2</v>
          </cell>
          <cell r="P368">
            <v>2</v>
          </cell>
        </row>
        <row r="369">
          <cell r="B369" t="str">
            <v>STD</v>
          </cell>
          <cell r="C369">
            <v>0.75</v>
          </cell>
          <cell r="D369">
            <v>2.87</v>
          </cell>
          <cell r="E369">
            <v>1</v>
          </cell>
          <cell r="I369">
            <v>7.0000000000000007E-2</v>
          </cell>
          <cell r="J369">
            <v>0</v>
          </cell>
          <cell r="K369">
            <v>7.0000000000000007E-2</v>
          </cell>
          <cell r="P369">
            <v>2</v>
          </cell>
        </row>
        <row r="370">
          <cell r="B370" t="str">
            <v>STD</v>
          </cell>
          <cell r="C370">
            <v>1</v>
          </cell>
          <cell r="D370">
            <v>3.38</v>
          </cell>
          <cell r="E370">
            <v>1</v>
          </cell>
          <cell r="I370">
            <v>0.12</v>
          </cell>
          <cell r="J370">
            <v>0</v>
          </cell>
          <cell r="K370">
            <v>0.12</v>
          </cell>
          <cell r="P370">
            <v>2</v>
          </cell>
        </row>
        <row r="371">
          <cell r="B371" t="str">
            <v>STD</v>
          </cell>
          <cell r="C371">
            <v>1</v>
          </cell>
          <cell r="D371">
            <v>3.38</v>
          </cell>
          <cell r="E371">
            <v>1</v>
          </cell>
          <cell r="I371">
            <v>0.12</v>
          </cell>
          <cell r="J371">
            <v>0</v>
          </cell>
          <cell r="K371">
            <v>0.12</v>
          </cell>
          <cell r="P371">
            <v>2</v>
          </cell>
        </row>
        <row r="372">
          <cell r="B372" t="str">
            <v>STD</v>
          </cell>
          <cell r="C372">
            <v>1</v>
          </cell>
          <cell r="D372">
            <v>3.38</v>
          </cell>
          <cell r="E372">
            <v>1</v>
          </cell>
          <cell r="I372">
            <v>0.12</v>
          </cell>
          <cell r="J372">
            <v>0</v>
          </cell>
          <cell r="K372">
            <v>0.12</v>
          </cell>
          <cell r="P372">
            <v>2</v>
          </cell>
        </row>
        <row r="373">
          <cell r="B373" t="str">
            <v>STD</v>
          </cell>
          <cell r="C373">
            <v>1.25</v>
          </cell>
          <cell r="D373">
            <v>3.56</v>
          </cell>
          <cell r="E373">
            <v>1</v>
          </cell>
          <cell r="I373">
            <v>0.15</v>
          </cell>
          <cell r="K373">
            <v>0.15</v>
          </cell>
          <cell r="P373">
            <v>2</v>
          </cell>
        </row>
        <row r="374">
          <cell r="B374" t="str">
            <v>STD</v>
          </cell>
          <cell r="C374">
            <v>1.25</v>
          </cell>
          <cell r="D374">
            <v>3.56</v>
          </cell>
          <cell r="E374">
            <v>1</v>
          </cell>
          <cell r="I374">
            <v>0.15</v>
          </cell>
          <cell r="K374">
            <v>0.15</v>
          </cell>
          <cell r="P374">
            <v>2</v>
          </cell>
        </row>
        <row r="375">
          <cell r="B375" t="str">
            <v>STD</v>
          </cell>
          <cell r="C375">
            <v>1.25</v>
          </cell>
          <cell r="D375">
            <v>3.56</v>
          </cell>
          <cell r="E375">
            <v>1</v>
          </cell>
          <cell r="I375">
            <v>0.15</v>
          </cell>
          <cell r="K375">
            <v>0.15</v>
          </cell>
          <cell r="P375">
            <v>2</v>
          </cell>
        </row>
        <row r="376">
          <cell r="B376" t="str">
            <v>STD</v>
          </cell>
          <cell r="C376">
            <v>1.5</v>
          </cell>
          <cell r="D376">
            <v>3.68</v>
          </cell>
          <cell r="E376">
            <v>1</v>
          </cell>
          <cell r="I376">
            <v>0.15</v>
          </cell>
          <cell r="J376">
            <v>0</v>
          </cell>
          <cell r="K376">
            <v>0.15</v>
          </cell>
          <cell r="P376">
            <v>2</v>
          </cell>
        </row>
        <row r="377">
          <cell r="B377" t="str">
            <v>STD</v>
          </cell>
          <cell r="C377">
            <v>1.5</v>
          </cell>
          <cell r="D377">
            <v>3.68</v>
          </cell>
          <cell r="E377">
            <v>1</v>
          </cell>
          <cell r="I377">
            <v>0.15</v>
          </cell>
          <cell r="J377">
            <v>0</v>
          </cell>
          <cell r="K377">
            <v>0.15</v>
          </cell>
          <cell r="P377">
            <v>2</v>
          </cell>
        </row>
        <row r="378">
          <cell r="B378" t="str">
            <v>STD</v>
          </cell>
          <cell r="C378">
            <v>1.5</v>
          </cell>
          <cell r="D378">
            <v>3.68</v>
          </cell>
          <cell r="E378">
            <v>1</v>
          </cell>
          <cell r="I378">
            <v>0.15</v>
          </cell>
          <cell r="J378">
            <v>0</v>
          </cell>
          <cell r="K378">
            <v>0.15</v>
          </cell>
          <cell r="P378">
            <v>2</v>
          </cell>
        </row>
        <row r="379">
          <cell r="B379" t="str">
            <v>STD</v>
          </cell>
          <cell r="C379">
            <v>2</v>
          </cell>
          <cell r="D379">
            <v>3.91</v>
          </cell>
          <cell r="E379">
            <v>1</v>
          </cell>
          <cell r="I379">
            <v>0.3</v>
          </cell>
          <cell r="J379">
            <v>0</v>
          </cell>
          <cell r="K379">
            <v>0.3</v>
          </cell>
          <cell r="P379">
            <v>2</v>
          </cell>
        </row>
        <row r="380">
          <cell r="B380" t="str">
            <v>STD</v>
          </cell>
          <cell r="C380">
            <v>2</v>
          </cell>
          <cell r="D380">
            <v>3.91</v>
          </cell>
          <cell r="E380">
            <v>1</v>
          </cell>
          <cell r="I380">
            <v>0.3</v>
          </cell>
          <cell r="J380">
            <v>0</v>
          </cell>
          <cell r="K380">
            <v>0.3</v>
          </cell>
          <cell r="P380">
            <v>2</v>
          </cell>
        </row>
        <row r="381">
          <cell r="B381" t="str">
            <v>STD</v>
          </cell>
          <cell r="C381">
            <v>2</v>
          </cell>
          <cell r="D381">
            <v>3.91</v>
          </cell>
          <cell r="E381">
            <v>1</v>
          </cell>
          <cell r="I381">
            <v>0.3</v>
          </cell>
          <cell r="J381">
            <v>0</v>
          </cell>
          <cell r="K381">
            <v>0.3</v>
          </cell>
          <cell r="P381">
            <v>2</v>
          </cell>
        </row>
        <row r="382">
          <cell r="B382" t="str">
            <v>STD</v>
          </cell>
          <cell r="C382">
            <v>2.5</v>
          </cell>
          <cell r="D382">
            <v>5.16</v>
          </cell>
          <cell r="E382">
            <v>1</v>
          </cell>
          <cell r="I382">
            <v>0.25</v>
          </cell>
          <cell r="J382">
            <v>0.2</v>
          </cell>
          <cell r="K382">
            <v>0.45</v>
          </cell>
          <cell r="P382">
            <v>2</v>
          </cell>
        </row>
        <row r="383">
          <cell r="B383" t="str">
            <v>STD</v>
          </cell>
          <cell r="C383">
            <v>3</v>
          </cell>
          <cell r="D383">
            <v>5.49</v>
          </cell>
          <cell r="E383">
            <v>1</v>
          </cell>
          <cell r="I383">
            <v>0.3</v>
          </cell>
          <cell r="J383">
            <v>0.3</v>
          </cell>
          <cell r="K383">
            <v>0.6</v>
          </cell>
          <cell r="P383">
            <v>2</v>
          </cell>
        </row>
        <row r="384">
          <cell r="B384" t="str">
            <v>STD</v>
          </cell>
          <cell r="C384">
            <v>3.5</v>
          </cell>
          <cell r="D384">
            <v>5.74</v>
          </cell>
          <cell r="E384">
            <v>1</v>
          </cell>
          <cell r="I384">
            <v>0.35</v>
          </cell>
          <cell r="J384">
            <v>0.4</v>
          </cell>
          <cell r="K384">
            <v>0.75</v>
          </cell>
          <cell r="P384">
            <v>3</v>
          </cell>
        </row>
        <row r="385">
          <cell r="B385" t="str">
            <v>STD</v>
          </cell>
          <cell r="C385">
            <v>4</v>
          </cell>
          <cell r="D385">
            <v>6.02</v>
          </cell>
          <cell r="E385">
            <v>1</v>
          </cell>
          <cell r="I385">
            <v>0.41</v>
          </cell>
          <cell r="J385">
            <v>0.49</v>
          </cell>
          <cell r="K385">
            <v>0.89999999999999991</v>
          </cell>
          <cell r="P385">
            <v>3</v>
          </cell>
        </row>
        <row r="386">
          <cell r="B386" t="str">
            <v>STD</v>
          </cell>
          <cell r="C386">
            <v>5</v>
          </cell>
          <cell r="D386">
            <v>6.55</v>
          </cell>
          <cell r="E386">
            <v>1</v>
          </cell>
          <cell r="I386">
            <v>0.51</v>
          </cell>
          <cell r="J386">
            <v>0.54</v>
          </cell>
          <cell r="K386">
            <v>1.05</v>
          </cell>
          <cell r="P386">
            <v>4</v>
          </cell>
        </row>
        <row r="387">
          <cell r="B387" t="str">
            <v>STD</v>
          </cell>
          <cell r="C387">
            <v>6</v>
          </cell>
          <cell r="D387">
            <v>7.11</v>
          </cell>
          <cell r="E387">
            <v>1</v>
          </cell>
          <cell r="I387">
            <v>0.61</v>
          </cell>
          <cell r="J387">
            <v>1.04</v>
          </cell>
          <cell r="K387">
            <v>1.65</v>
          </cell>
          <cell r="P387">
            <v>4</v>
          </cell>
        </row>
        <row r="388">
          <cell r="B388" t="str">
            <v>STD</v>
          </cell>
          <cell r="C388">
            <v>8</v>
          </cell>
          <cell r="D388">
            <v>8.18</v>
          </cell>
          <cell r="E388">
            <v>1</v>
          </cell>
          <cell r="I388">
            <v>0.81</v>
          </cell>
          <cell r="J388">
            <v>1.73</v>
          </cell>
          <cell r="K388">
            <v>2.54</v>
          </cell>
          <cell r="P388">
            <v>4</v>
          </cell>
        </row>
        <row r="389">
          <cell r="B389" t="str">
            <v>STD</v>
          </cell>
          <cell r="C389">
            <v>10</v>
          </cell>
          <cell r="D389">
            <v>9.27</v>
          </cell>
          <cell r="E389">
            <v>1</v>
          </cell>
          <cell r="I389">
            <v>1.01</v>
          </cell>
          <cell r="J389">
            <v>3.04</v>
          </cell>
          <cell r="K389">
            <v>4.05</v>
          </cell>
          <cell r="P389">
            <v>4</v>
          </cell>
        </row>
        <row r="390">
          <cell r="B390" t="str">
            <v>STD</v>
          </cell>
          <cell r="C390">
            <v>12</v>
          </cell>
          <cell r="D390">
            <v>9.5299999999999994</v>
          </cell>
          <cell r="E390">
            <v>1</v>
          </cell>
          <cell r="I390">
            <v>1.22</v>
          </cell>
          <cell r="J390">
            <v>3.28</v>
          </cell>
          <cell r="K390">
            <v>4.5</v>
          </cell>
          <cell r="P390">
            <v>6</v>
          </cell>
        </row>
        <row r="391">
          <cell r="B391" t="str">
            <v>STD</v>
          </cell>
          <cell r="C391">
            <v>14</v>
          </cell>
          <cell r="D391">
            <v>9.5299999999999994</v>
          </cell>
          <cell r="E391">
            <v>1</v>
          </cell>
          <cell r="I391">
            <v>1.42</v>
          </cell>
          <cell r="J391">
            <v>3.97</v>
          </cell>
          <cell r="K391">
            <v>5.3900000000000006</v>
          </cell>
          <cell r="P391">
            <v>6</v>
          </cell>
        </row>
        <row r="392">
          <cell r="B392" t="str">
            <v>STD</v>
          </cell>
          <cell r="C392">
            <v>16</v>
          </cell>
          <cell r="D392">
            <v>9.5299999999999994</v>
          </cell>
          <cell r="E392">
            <v>1</v>
          </cell>
          <cell r="I392">
            <v>1.62</v>
          </cell>
          <cell r="J392">
            <v>4.68</v>
          </cell>
          <cell r="K392">
            <v>6.3</v>
          </cell>
          <cell r="P392">
            <v>6</v>
          </cell>
        </row>
        <row r="393">
          <cell r="B393" t="str">
            <v>STD</v>
          </cell>
          <cell r="C393">
            <v>18</v>
          </cell>
          <cell r="D393">
            <v>9.5299999999999994</v>
          </cell>
          <cell r="E393">
            <v>1</v>
          </cell>
          <cell r="I393">
            <v>1.82</v>
          </cell>
          <cell r="J393">
            <v>5.38</v>
          </cell>
          <cell r="K393">
            <v>7.2</v>
          </cell>
          <cell r="P393">
            <v>6</v>
          </cell>
        </row>
        <row r="394">
          <cell r="B394" t="str">
            <v>STD</v>
          </cell>
          <cell r="C394">
            <v>20</v>
          </cell>
          <cell r="D394">
            <v>9.5299999999999994</v>
          </cell>
          <cell r="E394">
            <v>1</v>
          </cell>
          <cell r="I394">
            <v>2.0299999999999998</v>
          </cell>
          <cell r="J394">
            <v>5.47</v>
          </cell>
          <cell r="K394">
            <v>7.5</v>
          </cell>
          <cell r="P394">
            <v>7</v>
          </cell>
        </row>
        <row r="395">
          <cell r="B395" t="str">
            <v>STD</v>
          </cell>
          <cell r="C395">
            <v>22</v>
          </cell>
          <cell r="D395">
            <v>9.5299999999999994</v>
          </cell>
          <cell r="E395">
            <v>1</v>
          </cell>
          <cell r="I395">
            <v>2.23</v>
          </cell>
          <cell r="J395">
            <v>6.47</v>
          </cell>
          <cell r="K395">
            <v>8.6999999999999993</v>
          </cell>
          <cell r="P395">
            <v>8</v>
          </cell>
        </row>
        <row r="396">
          <cell r="B396" t="str">
            <v>STD</v>
          </cell>
          <cell r="C396">
            <v>24</v>
          </cell>
          <cell r="D396">
            <v>9.5299999999999994</v>
          </cell>
          <cell r="E396">
            <v>1</v>
          </cell>
          <cell r="I396">
            <v>2.4300000000000002</v>
          </cell>
          <cell r="J396">
            <v>6.57</v>
          </cell>
          <cell r="K396">
            <v>9</v>
          </cell>
          <cell r="P396">
            <v>8</v>
          </cell>
        </row>
        <row r="397">
          <cell r="B397" t="str">
            <v>STD</v>
          </cell>
          <cell r="C397">
            <v>26</v>
          </cell>
          <cell r="D397">
            <v>9.5299999999999994</v>
          </cell>
          <cell r="E397">
            <v>1</v>
          </cell>
          <cell r="I397">
            <v>2.64</v>
          </cell>
          <cell r="J397">
            <v>7.7</v>
          </cell>
          <cell r="K397">
            <v>10.34</v>
          </cell>
          <cell r="P397">
            <v>9</v>
          </cell>
        </row>
        <row r="398">
          <cell r="B398" t="str">
            <v>STD</v>
          </cell>
          <cell r="C398">
            <v>28</v>
          </cell>
          <cell r="D398">
            <v>9.5299999999999994</v>
          </cell>
          <cell r="E398">
            <v>1</v>
          </cell>
          <cell r="I398">
            <v>2.84</v>
          </cell>
          <cell r="J398">
            <v>8.25</v>
          </cell>
          <cell r="K398">
            <v>11.09</v>
          </cell>
          <cell r="P398">
            <v>9</v>
          </cell>
        </row>
        <row r="399">
          <cell r="B399" t="str">
            <v>STD</v>
          </cell>
          <cell r="C399">
            <v>30</v>
          </cell>
          <cell r="D399">
            <v>9.5299999999999994</v>
          </cell>
          <cell r="E399">
            <v>1</v>
          </cell>
          <cell r="I399">
            <v>3.04</v>
          </cell>
          <cell r="J399">
            <v>8.9600000000000009</v>
          </cell>
          <cell r="K399">
            <v>12</v>
          </cell>
          <cell r="P399">
            <v>10</v>
          </cell>
        </row>
        <row r="400">
          <cell r="B400" t="str">
            <v>STD</v>
          </cell>
          <cell r="C400">
            <v>32</v>
          </cell>
          <cell r="D400">
            <v>9.5299999999999994</v>
          </cell>
          <cell r="E400">
            <v>1</v>
          </cell>
          <cell r="I400">
            <v>3.24</v>
          </cell>
          <cell r="J400">
            <v>9.51</v>
          </cell>
          <cell r="K400">
            <v>12.75</v>
          </cell>
          <cell r="P400">
            <v>11</v>
          </cell>
        </row>
        <row r="401">
          <cell r="B401" t="str">
            <v>STD</v>
          </cell>
          <cell r="C401">
            <v>34</v>
          </cell>
          <cell r="D401">
            <v>9.5299999999999994</v>
          </cell>
          <cell r="E401">
            <v>1</v>
          </cell>
          <cell r="I401">
            <v>3.45</v>
          </cell>
          <cell r="J401">
            <v>10.050000000000001</v>
          </cell>
          <cell r="K401">
            <v>13.5</v>
          </cell>
          <cell r="P401">
            <v>12</v>
          </cell>
        </row>
        <row r="402">
          <cell r="B402" t="str">
            <v>STD</v>
          </cell>
          <cell r="C402">
            <v>36</v>
          </cell>
          <cell r="D402">
            <v>9.5299999999999994</v>
          </cell>
          <cell r="E402">
            <v>1</v>
          </cell>
          <cell r="I402">
            <v>3.65</v>
          </cell>
          <cell r="J402">
            <v>10.6</v>
          </cell>
          <cell r="K402">
            <v>14.25</v>
          </cell>
          <cell r="P402">
            <v>12</v>
          </cell>
        </row>
        <row r="403">
          <cell r="B403" t="str">
            <v>STD</v>
          </cell>
          <cell r="C403">
            <v>38</v>
          </cell>
          <cell r="D403">
            <v>9.5299999999999994</v>
          </cell>
          <cell r="E403">
            <v>1</v>
          </cell>
          <cell r="I403">
            <v>3.85</v>
          </cell>
          <cell r="J403">
            <v>11.23</v>
          </cell>
          <cell r="K403">
            <v>15.08</v>
          </cell>
          <cell r="P403">
            <v>13</v>
          </cell>
        </row>
        <row r="404">
          <cell r="B404" t="str">
            <v>STD</v>
          </cell>
          <cell r="C404">
            <v>40</v>
          </cell>
          <cell r="D404">
            <v>9.5299999999999994</v>
          </cell>
          <cell r="E404">
            <v>1</v>
          </cell>
          <cell r="I404">
            <v>4.0599999999999996</v>
          </cell>
          <cell r="J404">
            <v>11.66</v>
          </cell>
          <cell r="K404">
            <v>15.719999999999999</v>
          </cell>
          <cell r="P404">
            <v>14</v>
          </cell>
        </row>
        <row r="405">
          <cell r="B405" t="str">
            <v>STD</v>
          </cell>
          <cell r="C405">
            <v>42</v>
          </cell>
          <cell r="D405">
            <v>9.5299999999999994</v>
          </cell>
          <cell r="E405">
            <v>1</v>
          </cell>
          <cell r="I405">
            <v>4.26</v>
          </cell>
          <cell r="J405">
            <v>12.24</v>
          </cell>
          <cell r="K405">
            <v>16.5</v>
          </cell>
          <cell r="P405">
            <v>14</v>
          </cell>
        </row>
        <row r="406">
          <cell r="B406" t="str">
            <v>STD</v>
          </cell>
          <cell r="C406">
            <v>44</v>
          </cell>
          <cell r="D406">
            <v>9.5299999999999994</v>
          </cell>
          <cell r="E406">
            <v>1</v>
          </cell>
          <cell r="I406">
            <v>4.47</v>
          </cell>
          <cell r="J406">
            <v>17.54</v>
          </cell>
          <cell r="K406">
            <v>22.009999999999998</v>
          </cell>
          <cell r="P406">
            <v>15</v>
          </cell>
        </row>
        <row r="407">
          <cell r="B407" t="str">
            <v>STD</v>
          </cell>
          <cell r="C407">
            <v>46</v>
          </cell>
          <cell r="D407">
            <v>9.5299999999999994</v>
          </cell>
          <cell r="E407">
            <v>1</v>
          </cell>
          <cell r="I407">
            <v>4.67</v>
          </cell>
          <cell r="J407">
            <v>18.329999999999998</v>
          </cell>
          <cell r="K407">
            <v>23</v>
          </cell>
          <cell r="P407">
            <v>16</v>
          </cell>
        </row>
        <row r="408">
          <cell r="B408" t="str">
            <v>STD</v>
          </cell>
          <cell r="C408">
            <v>48</v>
          </cell>
          <cell r="D408">
            <v>9.5299999999999994</v>
          </cell>
          <cell r="E408">
            <v>1</v>
          </cell>
          <cell r="I408">
            <v>4.87</v>
          </cell>
          <cell r="J408">
            <v>19.13</v>
          </cell>
          <cell r="K408">
            <v>24</v>
          </cell>
          <cell r="P408">
            <v>16</v>
          </cell>
        </row>
        <row r="409">
          <cell r="B409" t="str">
            <v xml:space="preserve">XS </v>
          </cell>
          <cell r="C409">
            <v>0.125</v>
          </cell>
          <cell r="D409">
            <v>2.41</v>
          </cell>
          <cell r="E409">
            <v>1</v>
          </cell>
          <cell r="I409">
            <v>7.0000000000000007E-2</v>
          </cell>
          <cell r="K409">
            <v>7.0000000000000007E-2</v>
          </cell>
          <cell r="P409">
            <v>2</v>
          </cell>
        </row>
        <row r="410">
          <cell r="B410" t="str">
            <v xml:space="preserve">XS </v>
          </cell>
          <cell r="C410">
            <v>0.125</v>
          </cell>
          <cell r="D410">
            <v>2.41</v>
          </cell>
          <cell r="E410">
            <v>1</v>
          </cell>
          <cell r="I410">
            <v>7.0000000000000007E-2</v>
          </cell>
          <cell r="K410">
            <v>7.0000000000000007E-2</v>
          </cell>
          <cell r="P410">
            <v>2</v>
          </cell>
        </row>
        <row r="411">
          <cell r="B411" t="str">
            <v xml:space="preserve">XS </v>
          </cell>
          <cell r="C411">
            <v>0.125</v>
          </cell>
          <cell r="D411">
            <v>2.41</v>
          </cell>
          <cell r="E411">
            <v>1</v>
          </cell>
          <cell r="I411">
            <v>7.0000000000000007E-2</v>
          </cell>
          <cell r="K411">
            <v>7.0000000000000007E-2</v>
          </cell>
          <cell r="P411">
            <v>2</v>
          </cell>
        </row>
        <row r="412">
          <cell r="B412" t="str">
            <v xml:space="preserve">XS </v>
          </cell>
          <cell r="C412">
            <v>0.25</v>
          </cell>
          <cell r="D412">
            <v>3.02</v>
          </cell>
          <cell r="E412">
            <v>1</v>
          </cell>
          <cell r="I412">
            <v>7.0000000000000007E-2</v>
          </cell>
          <cell r="K412">
            <v>7.0000000000000007E-2</v>
          </cell>
          <cell r="P412">
            <v>2</v>
          </cell>
        </row>
        <row r="413">
          <cell r="B413" t="str">
            <v xml:space="preserve">XS </v>
          </cell>
          <cell r="C413">
            <v>0.25</v>
          </cell>
          <cell r="D413">
            <v>3.02</v>
          </cell>
          <cell r="E413">
            <v>1</v>
          </cell>
          <cell r="I413">
            <v>7.0000000000000007E-2</v>
          </cell>
          <cell r="K413">
            <v>7.0000000000000007E-2</v>
          </cell>
          <cell r="P413">
            <v>2</v>
          </cell>
        </row>
        <row r="414">
          <cell r="B414" t="str">
            <v xml:space="preserve">XS </v>
          </cell>
          <cell r="C414">
            <v>0.25</v>
          </cell>
          <cell r="D414">
            <v>3.02</v>
          </cell>
          <cell r="E414">
            <v>1</v>
          </cell>
          <cell r="I414">
            <v>7.0000000000000007E-2</v>
          </cell>
          <cell r="K414">
            <v>7.0000000000000007E-2</v>
          </cell>
          <cell r="P414">
            <v>2</v>
          </cell>
        </row>
        <row r="415">
          <cell r="B415" t="str">
            <v xml:space="preserve">XS </v>
          </cell>
          <cell r="C415">
            <v>0.375</v>
          </cell>
          <cell r="D415">
            <v>3.2</v>
          </cell>
          <cell r="E415">
            <v>1</v>
          </cell>
          <cell r="I415">
            <v>7.0000000000000007E-2</v>
          </cell>
          <cell r="J415">
            <v>0</v>
          </cell>
          <cell r="K415">
            <v>7.0000000000000007E-2</v>
          </cell>
          <cell r="P415">
            <v>2</v>
          </cell>
        </row>
        <row r="416">
          <cell r="B416" t="str">
            <v xml:space="preserve">XS </v>
          </cell>
          <cell r="C416">
            <v>0.375</v>
          </cell>
          <cell r="D416">
            <v>3.2</v>
          </cell>
          <cell r="E416">
            <v>1</v>
          </cell>
          <cell r="I416">
            <v>7.0000000000000007E-2</v>
          </cell>
          <cell r="J416">
            <v>0</v>
          </cell>
          <cell r="K416">
            <v>7.0000000000000007E-2</v>
          </cell>
          <cell r="P416">
            <v>2</v>
          </cell>
        </row>
        <row r="417">
          <cell r="B417" t="str">
            <v xml:space="preserve">XS </v>
          </cell>
          <cell r="C417">
            <v>0.375</v>
          </cell>
          <cell r="D417">
            <v>3.2</v>
          </cell>
          <cell r="E417">
            <v>1</v>
          </cell>
          <cell r="I417">
            <v>7.0000000000000007E-2</v>
          </cell>
          <cell r="J417">
            <v>0</v>
          </cell>
          <cell r="K417">
            <v>7.0000000000000007E-2</v>
          </cell>
          <cell r="P417">
            <v>2</v>
          </cell>
        </row>
        <row r="418">
          <cell r="B418" t="str">
            <v xml:space="preserve">XS </v>
          </cell>
          <cell r="C418">
            <v>0.5</v>
          </cell>
          <cell r="D418">
            <v>3.73</v>
          </cell>
          <cell r="E418">
            <v>1</v>
          </cell>
          <cell r="I418">
            <v>7.0000000000000007E-2</v>
          </cell>
          <cell r="J418">
            <v>0</v>
          </cell>
          <cell r="K418">
            <v>7.0000000000000007E-2</v>
          </cell>
          <cell r="P418">
            <v>2</v>
          </cell>
        </row>
        <row r="419">
          <cell r="B419" t="str">
            <v xml:space="preserve">XS </v>
          </cell>
          <cell r="C419">
            <v>0.5</v>
          </cell>
          <cell r="D419">
            <v>3.73</v>
          </cell>
          <cell r="E419">
            <v>1</v>
          </cell>
          <cell r="I419">
            <v>7.0000000000000007E-2</v>
          </cell>
          <cell r="J419">
            <v>0</v>
          </cell>
          <cell r="K419">
            <v>7.0000000000000007E-2</v>
          </cell>
          <cell r="P419">
            <v>2</v>
          </cell>
        </row>
        <row r="420">
          <cell r="B420" t="str">
            <v xml:space="preserve">XS </v>
          </cell>
          <cell r="C420">
            <v>0.5</v>
          </cell>
          <cell r="D420">
            <v>3.73</v>
          </cell>
          <cell r="E420">
            <v>1</v>
          </cell>
          <cell r="I420">
            <v>7.0000000000000007E-2</v>
          </cell>
          <cell r="J420">
            <v>0</v>
          </cell>
          <cell r="K420">
            <v>7.0000000000000007E-2</v>
          </cell>
          <cell r="P420">
            <v>2</v>
          </cell>
        </row>
        <row r="421">
          <cell r="B421" t="str">
            <v xml:space="preserve">XS </v>
          </cell>
          <cell r="C421">
            <v>0.75</v>
          </cell>
          <cell r="D421">
            <v>3.91</v>
          </cell>
          <cell r="E421">
            <v>1</v>
          </cell>
          <cell r="I421">
            <v>7.0000000000000007E-2</v>
          </cell>
          <cell r="J421">
            <v>0</v>
          </cell>
          <cell r="K421">
            <v>7.0000000000000007E-2</v>
          </cell>
          <cell r="P421">
            <v>2</v>
          </cell>
        </row>
        <row r="422">
          <cell r="B422" t="str">
            <v xml:space="preserve">XS </v>
          </cell>
          <cell r="C422">
            <v>0.75</v>
          </cell>
          <cell r="D422">
            <v>3.91</v>
          </cell>
          <cell r="E422">
            <v>1</v>
          </cell>
          <cell r="I422">
            <v>7.0000000000000007E-2</v>
          </cell>
          <cell r="J422">
            <v>0</v>
          </cell>
          <cell r="K422">
            <v>7.0000000000000007E-2</v>
          </cell>
          <cell r="P422">
            <v>2</v>
          </cell>
        </row>
        <row r="423">
          <cell r="B423" t="str">
            <v xml:space="preserve">XS </v>
          </cell>
          <cell r="C423">
            <v>0.75</v>
          </cell>
          <cell r="D423">
            <v>3.91</v>
          </cell>
          <cell r="E423">
            <v>1</v>
          </cell>
          <cell r="I423">
            <v>7.0000000000000007E-2</v>
          </cell>
          <cell r="J423">
            <v>0</v>
          </cell>
          <cell r="K423">
            <v>7.0000000000000007E-2</v>
          </cell>
          <cell r="P423">
            <v>2</v>
          </cell>
        </row>
        <row r="424">
          <cell r="B424" t="str">
            <v xml:space="preserve">XS </v>
          </cell>
          <cell r="C424">
            <v>1</v>
          </cell>
          <cell r="D424">
            <v>4.55</v>
          </cell>
          <cell r="E424">
            <v>1</v>
          </cell>
          <cell r="I424">
            <v>0.15</v>
          </cell>
          <cell r="J424">
            <v>0</v>
          </cell>
          <cell r="K424">
            <v>0.15</v>
          </cell>
          <cell r="P424">
            <v>2</v>
          </cell>
        </row>
        <row r="425">
          <cell r="B425" t="str">
            <v xml:space="preserve">XS </v>
          </cell>
          <cell r="C425">
            <v>1</v>
          </cell>
          <cell r="D425">
            <v>4.55</v>
          </cell>
          <cell r="E425">
            <v>1</v>
          </cell>
          <cell r="I425">
            <v>0.15</v>
          </cell>
          <cell r="J425">
            <v>0</v>
          </cell>
          <cell r="K425">
            <v>0.15</v>
          </cell>
          <cell r="P425">
            <v>2</v>
          </cell>
        </row>
        <row r="426">
          <cell r="B426" t="str">
            <v xml:space="preserve">XS </v>
          </cell>
          <cell r="C426">
            <v>1</v>
          </cell>
          <cell r="D426">
            <v>4.55</v>
          </cell>
          <cell r="E426">
            <v>1</v>
          </cell>
          <cell r="I426">
            <v>0.15</v>
          </cell>
          <cell r="J426">
            <v>0</v>
          </cell>
          <cell r="K426">
            <v>0.15</v>
          </cell>
          <cell r="P426">
            <v>2</v>
          </cell>
        </row>
        <row r="427">
          <cell r="B427" t="str">
            <v xml:space="preserve">XS </v>
          </cell>
          <cell r="C427">
            <v>1.25</v>
          </cell>
          <cell r="D427">
            <v>4.8499999999999996</v>
          </cell>
          <cell r="E427">
            <v>1</v>
          </cell>
          <cell r="I427">
            <v>0.13</v>
          </cell>
          <cell r="J427">
            <v>0.17</v>
          </cell>
          <cell r="K427">
            <v>0.30000000000000004</v>
          </cell>
          <cell r="P427">
            <v>2</v>
          </cell>
        </row>
        <row r="428">
          <cell r="B428" t="str">
            <v xml:space="preserve">XS </v>
          </cell>
          <cell r="C428">
            <v>1.25</v>
          </cell>
          <cell r="D428">
            <v>4.8499999999999996</v>
          </cell>
          <cell r="E428">
            <v>1</v>
          </cell>
          <cell r="I428">
            <v>0.13</v>
          </cell>
          <cell r="J428">
            <v>0.17</v>
          </cell>
          <cell r="K428">
            <v>0.30000000000000004</v>
          </cell>
          <cell r="P428">
            <v>2</v>
          </cell>
        </row>
        <row r="429">
          <cell r="B429" t="str">
            <v xml:space="preserve">XS </v>
          </cell>
          <cell r="C429">
            <v>1.25</v>
          </cell>
          <cell r="D429">
            <v>4.8499999999999996</v>
          </cell>
          <cell r="E429">
            <v>1</v>
          </cell>
          <cell r="I429">
            <v>0.13</v>
          </cell>
          <cell r="J429">
            <v>0.17</v>
          </cell>
          <cell r="K429">
            <v>0.30000000000000004</v>
          </cell>
          <cell r="P429">
            <v>2</v>
          </cell>
        </row>
        <row r="430">
          <cell r="B430" t="str">
            <v xml:space="preserve">XS </v>
          </cell>
          <cell r="C430">
            <v>1.5</v>
          </cell>
          <cell r="D430">
            <v>5.08</v>
          </cell>
          <cell r="E430">
            <v>1</v>
          </cell>
          <cell r="I430">
            <v>0.15</v>
          </cell>
          <cell r="J430">
            <v>0.15</v>
          </cell>
          <cell r="K430">
            <v>0.3</v>
          </cell>
          <cell r="P430">
            <v>2</v>
          </cell>
        </row>
        <row r="431">
          <cell r="B431" t="str">
            <v xml:space="preserve">XS </v>
          </cell>
          <cell r="C431">
            <v>1.5</v>
          </cell>
          <cell r="D431">
            <v>5.08</v>
          </cell>
          <cell r="E431">
            <v>1</v>
          </cell>
          <cell r="I431">
            <v>0.15</v>
          </cell>
          <cell r="J431">
            <v>0.15</v>
          </cell>
          <cell r="K431">
            <v>0.3</v>
          </cell>
          <cell r="P431">
            <v>2</v>
          </cell>
        </row>
        <row r="432">
          <cell r="B432" t="str">
            <v xml:space="preserve">XS </v>
          </cell>
          <cell r="C432">
            <v>1.5</v>
          </cell>
          <cell r="D432">
            <v>5.08</v>
          </cell>
          <cell r="E432">
            <v>1</v>
          </cell>
          <cell r="I432">
            <v>0.15</v>
          </cell>
          <cell r="J432">
            <v>0.15</v>
          </cell>
          <cell r="K432">
            <v>0.3</v>
          </cell>
          <cell r="P432">
            <v>2</v>
          </cell>
        </row>
        <row r="433">
          <cell r="B433" t="str">
            <v xml:space="preserve">XS </v>
          </cell>
          <cell r="C433">
            <v>2</v>
          </cell>
          <cell r="D433">
            <v>5.54</v>
          </cell>
          <cell r="E433">
            <v>1</v>
          </cell>
          <cell r="I433">
            <v>0.2</v>
          </cell>
          <cell r="J433">
            <v>0.25</v>
          </cell>
          <cell r="K433">
            <v>0.45</v>
          </cell>
          <cell r="P433">
            <v>2</v>
          </cell>
        </row>
        <row r="434">
          <cell r="B434" t="str">
            <v xml:space="preserve">XS </v>
          </cell>
          <cell r="C434">
            <v>2</v>
          </cell>
          <cell r="D434">
            <v>5.54</v>
          </cell>
          <cell r="E434">
            <v>1</v>
          </cell>
          <cell r="I434">
            <v>0.2</v>
          </cell>
          <cell r="J434">
            <v>0.25</v>
          </cell>
          <cell r="K434">
            <v>0.45</v>
          </cell>
          <cell r="P434">
            <v>2</v>
          </cell>
        </row>
        <row r="435">
          <cell r="B435" t="str">
            <v xml:space="preserve">XS </v>
          </cell>
          <cell r="C435">
            <v>2</v>
          </cell>
          <cell r="D435">
            <v>5.54</v>
          </cell>
          <cell r="E435">
            <v>1</v>
          </cell>
          <cell r="I435">
            <v>0.2</v>
          </cell>
          <cell r="J435">
            <v>0.25</v>
          </cell>
          <cell r="K435">
            <v>0.45</v>
          </cell>
          <cell r="P435">
            <v>2</v>
          </cell>
        </row>
        <row r="436">
          <cell r="B436" t="str">
            <v xml:space="preserve">XS </v>
          </cell>
          <cell r="C436">
            <v>2.5</v>
          </cell>
          <cell r="D436">
            <v>7.01</v>
          </cell>
          <cell r="E436">
            <v>1</v>
          </cell>
          <cell r="I436">
            <v>0.25</v>
          </cell>
          <cell r="J436">
            <v>0.5</v>
          </cell>
          <cell r="K436">
            <v>0.75</v>
          </cell>
          <cell r="P436">
            <v>2</v>
          </cell>
        </row>
        <row r="437">
          <cell r="B437" t="str">
            <v xml:space="preserve">XS </v>
          </cell>
          <cell r="C437">
            <v>3</v>
          </cell>
          <cell r="D437">
            <v>7.62</v>
          </cell>
          <cell r="E437">
            <v>1</v>
          </cell>
          <cell r="I437">
            <v>0.3</v>
          </cell>
          <cell r="J437">
            <v>0.6</v>
          </cell>
          <cell r="K437">
            <v>0.89999999999999991</v>
          </cell>
          <cell r="P437">
            <v>2</v>
          </cell>
        </row>
        <row r="438">
          <cell r="B438" t="str">
            <v xml:space="preserve">XS </v>
          </cell>
          <cell r="C438">
            <v>3.5</v>
          </cell>
          <cell r="D438">
            <v>8.08</v>
          </cell>
          <cell r="E438">
            <v>1</v>
          </cell>
          <cell r="I438">
            <v>0.35</v>
          </cell>
          <cell r="J438">
            <v>0.85</v>
          </cell>
          <cell r="K438">
            <v>1.2</v>
          </cell>
          <cell r="P438">
            <v>3</v>
          </cell>
        </row>
        <row r="439">
          <cell r="B439" t="str">
            <v xml:space="preserve">XS </v>
          </cell>
          <cell r="C439">
            <v>4</v>
          </cell>
          <cell r="D439">
            <v>8.56</v>
          </cell>
          <cell r="E439">
            <v>1</v>
          </cell>
          <cell r="I439">
            <v>0.41</v>
          </cell>
          <cell r="J439">
            <v>0.93</v>
          </cell>
          <cell r="K439">
            <v>1.34</v>
          </cell>
          <cell r="P439">
            <v>3</v>
          </cell>
        </row>
        <row r="440">
          <cell r="B440" t="str">
            <v xml:space="preserve">XS </v>
          </cell>
          <cell r="C440">
            <v>5</v>
          </cell>
          <cell r="D440">
            <v>9.5299999999999994</v>
          </cell>
          <cell r="E440">
            <v>1</v>
          </cell>
          <cell r="I440">
            <v>0.51</v>
          </cell>
          <cell r="J440">
            <v>1.59</v>
          </cell>
          <cell r="K440">
            <v>2.1</v>
          </cell>
          <cell r="P440">
            <v>4</v>
          </cell>
        </row>
        <row r="441">
          <cell r="B441" t="str">
            <v xml:space="preserve">XS </v>
          </cell>
          <cell r="C441">
            <v>6</v>
          </cell>
          <cell r="D441">
            <v>10.97</v>
          </cell>
          <cell r="E441">
            <v>1.25</v>
          </cell>
          <cell r="I441">
            <v>0.61</v>
          </cell>
          <cell r="J441">
            <v>2.69</v>
          </cell>
          <cell r="K441">
            <v>3.3</v>
          </cell>
          <cell r="P441">
            <v>4</v>
          </cell>
        </row>
        <row r="442">
          <cell r="B442" t="str">
            <v xml:space="preserve">XS </v>
          </cell>
          <cell r="C442">
            <v>8</v>
          </cell>
          <cell r="D442">
            <v>12.7</v>
          </cell>
          <cell r="E442">
            <v>1.25</v>
          </cell>
          <cell r="I442">
            <v>0.81</v>
          </cell>
          <cell r="J442">
            <v>4.58</v>
          </cell>
          <cell r="K442">
            <v>5.3900000000000006</v>
          </cell>
          <cell r="P442">
            <v>4</v>
          </cell>
        </row>
        <row r="443">
          <cell r="B443" t="str">
            <v xml:space="preserve">XS </v>
          </cell>
          <cell r="C443">
            <v>10</v>
          </cell>
          <cell r="D443">
            <v>12.7</v>
          </cell>
          <cell r="E443">
            <v>1.25</v>
          </cell>
          <cell r="I443">
            <v>1.01</v>
          </cell>
          <cell r="J443">
            <v>5.74</v>
          </cell>
          <cell r="K443">
            <v>6.75</v>
          </cell>
          <cell r="P443">
            <v>4</v>
          </cell>
        </row>
        <row r="444">
          <cell r="B444" t="str">
            <v xml:space="preserve">XS </v>
          </cell>
          <cell r="C444">
            <v>12</v>
          </cell>
          <cell r="D444">
            <v>12.7</v>
          </cell>
          <cell r="E444">
            <v>1.25</v>
          </cell>
          <cell r="I444">
            <v>1.22</v>
          </cell>
          <cell r="J444">
            <v>6.73</v>
          </cell>
          <cell r="K444">
            <v>7.95</v>
          </cell>
          <cell r="P444">
            <v>6</v>
          </cell>
        </row>
        <row r="445">
          <cell r="B445" t="str">
            <v xml:space="preserve">XS </v>
          </cell>
          <cell r="C445">
            <v>14</v>
          </cell>
          <cell r="D445">
            <v>12.7</v>
          </cell>
          <cell r="E445">
            <v>1.25</v>
          </cell>
          <cell r="I445">
            <v>1.42</v>
          </cell>
          <cell r="J445">
            <v>7.28</v>
          </cell>
          <cell r="K445">
            <v>8.6999999999999993</v>
          </cell>
          <cell r="P445">
            <v>6</v>
          </cell>
        </row>
        <row r="446">
          <cell r="B446" t="str">
            <v xml:space="preserve">XS </v>
          </cell>
          <cell r="C446">
            <v>16</v>
          </cell>
          <cell r="D446">
            <v>12.7</v>
          </cell>
          <cell r="E446">
            <v>1.25</v>
          </cell>
          <cell r="I446">
            <v>1.62</v>
          </cell>
          <cell r="J446">
            <v>8.42</v>
          </cell>
          <cell r="K446">
            <v>10.039999999999999</v>
          </cell>
          <cell r="P446">
            <v>6</v>
          </cell>
        </row>
        <row r="447">
          <cell r="B447" t="str">
            <v xml:space="preserve">XS </v>
          </cell>
          <cell r="C447">
            <v>18</v>
          </cell>
          <cell r="D447">
            <v>12.7</v>
          </cell>
          <cell r="E447">
            <v>1.25</v>
          </cell>
          <cell r="I447">
            <v>1.82</v>
          </cell>
          <cell r="J447">
            <v>9.42</v>
          </cell>
          <cell r="K447">
            <v>11.24</v>
          </cell>
          <cell r="P447">
            <v>6</v>
          </cell>
        </row>
        <row r="448">
          <cell r="B448" t="str">
            <v xml:space="preserve">XS </v>
          </cell>
          <cell r="C448">
            <v>20</v>
          </cell>
          <cell r="D448">
            <v>12.7</v>
          </cell>
          <cell r="E448">
            <v>1.25</v>
          </cell>
          <cell r="I448">
            <v>2.0299999999999998</v>
          </cell>
          <cell r="J448">
            <v>10.42</v>
          </cell>
          <cell r="K448">
            <v>12.45</v>
          </cell>
          <cell r="P448">
            <v>7</v>
          </cell>
        </row>
        <row r="449">
          <cell r="B449" t="str">
            <v xml:space="preserve">XS </v>
          </cell>
          <cell r="C449">
            <v>22</v>
          </cell>
          <cell r="D449">
            <v>12.7</v>
          </cell>
          <cell r="E449">
            <v>1.25</v>
          </cell>
          <cell r="I449">
            <v>2.23</v>
          </cell>
          <cell r="J449">
            <v>11.72</v>
          </cell>
          <cell r="K449">
            <v>13.950000000000001</v>
          </cell>
          <cell r="P449">
            <v>8</v>
          </cell>
        </row>
        <row r="450">
          <cell r="B450" t="str">
            <v xml:space="preserve">XS </v>
          </cell>
          <cell r="C450">
            <v>24</v>
          </cell>
          <cell r="D450">
            <v>12.7</v>
          </cell>
          <cell r="E450">
            <v>1.25</v>
          </cell>
          <cell r="I450">
            <v>2.4300000000000002</v>
          </cell>
          <cell r="J450">
            <v>12.57</v>
          </cell>
          <cell r="K450">
            <v>15</v>
          </cell>
          <cell r="P450">
            <v>8</v>
          </cell>
        </row>
        <row r="451">
          <cell r="B451" t="str">
            <v xml:space="preserve">XS </v>
          </cell>
          <cell r="C451">
            <v>26</v>
          </cell>
          <cell r="D451">
            <v>12.7</v>
          </cell>
          <cell r="E451">
            <v>1.25</v>
          </cell>
          <cell r="I451">
            <v>2.64</v>
          </cell>
          <cell r="J451">
            <v>13.86</v>
          </cell>
          <cell r="K451">
            <v>16.5</v>
          </cell>
          <cell r="P451">
            <v>9</v>
          </cell>
        </row>
        <row r="452">
          <cell r="B452" t="str">
            <v xml:space="preserve">XS </v>
          </cell>
          <cell r="C452">
            <v>28</v>
          </cell>
          <cell r="D452">
            <v>12.7</v>
          </cell>
          <cell r="E452">
            <v>1.25</v>
          </cell>
          <cell r="I452">
            <v>2.84</v>
          </cell>
          <cell r="J452">
            <v>15.16</v>
          </cell>
          <cell r="K452">
            <v>18</v>
          </cell>
          <cell r="P452">
            <v>9</v>
          </cell>
        </row>
        <row r="453">
          <cell r="B453" t="str">
            <v xml:space="preserve">XS </v>
          </cell>
          <cell r="C453">
            <v>30</v>
          </cell>
          <cell r="D453">
            <v>12.7</v>
          </cell>
          <cell r="E453">
            <v>1.25</v>
          </cell>
          <cell r="I453">
            <v>3.04</v>
          </cell>
          <cell r="J453">
            <v>16.45</v>
          </cell>
          <cell r="K453">
            <v>19.489999999999998</v>
          </cell>
          <cell r="P453">
            <v>10</v>
          </cell>
        </row>
        <row r="454">
          <cell r="B454" t="str">
            <v xml:space="preserve">XS </v>
          </cell>
          <cell r="C454">
            <v>32</v>
          </cell>
          <cell r="D454">
            <v>12.7</v>
          </cell>
          <cell r="E454">
            <v>1.25</v>
          </cell>
          <cell r="I454">
            <v>3.24</v>
          </cell>
          <cell r="J454">
            <v>17.75</v>
          </cell>
          <cell r="K454">
            <v>20.990000000000002</v>
          </cell>
          <cell r="P454">
            <v>11</v>
          </cell>
        </row>
        <row r="455">
          <cell r="B455" t="str">
            <v xml:space="preserve">XS </v>
          </cell>
          <cell r="C455">
            <v>34</v>
          </cell>
          <cell r="D455">
            <v>12.7</v>
          </cell>
          <cell r="E455">
            <v>1.25</v>
          </cell>
          <cell r="I455">
            <v>3.45</v>
          </cell>
          <cell r="J455">
            <v>18.54</v>
          </cell>
          <cell r="K455">
            <v>21.99</v>
          </cell>
          <cell r="P455">
            <v>12</v>
          </cell>
        </row>
        <row r="456">
          <cell r="B456" t="str">
            <v xml:space="preserve">XS </v>
          </cell>
          <cell r="C456">
            <v>36</v>
          </cell>
          <cell r="D456">
            <v>12.7</v>
          </cell>
          <cell r="E456">
            <v>1.25</v>
          </cell>
          <cell r="I456">
            <v>3.65</v>
          </cell>
          <cell r="J456">
            <v>18.84</v>
          </cell>
          <cell r="K456">
            <v>22.49</v>
          </cell>
          <cell r="P456">
            <v>12</v>
          </cell>
        </row>
        <row r="457">
          <cell r="B457" t="str">
            <v xml:space="preserve">XS </v>
          </cell>
          <cell r="C457">
            <v>38</v>
          </cell>
          <cell r="D457">
            <v>12.7</v>
          </cell>
          <cell r="E457">
            <v>1.25</v>
          </cell>
          <cell r="I457">
            <v>3.85</v>
          </cell>
          <cell r="J457">
            <v>19.89</v>
          </cell>
          <cell r="K457">
            <v>23.740000000000002</v>
          </cell>
          <cell r="P457">
            <v>13</v>
          </cell>
        </row>
        <row r="458">
          <cell r="B458" t="str">
            <v xml:space="preserve">XS </v>
          </cell>
          <cell r="C458">
            <v>40</v>
          </cell>
          <cell r="D458">
            <v>12.7</v>
          </cell>
          <cell r="E458">
            <v>1.25</v>
          </cell>
          <cell r="I458">
            <v>4.0599999999999996</v>
          </cell>
          <cell r="J458">
            <v>21.66</v>
          </cell>
          <cell r="K458">
            <v>25.72</v>
          </cell>
          <cell r="P458">
            <v>14</v>
          </cell>
        </row>
        <row r="459">
          <cell r="B459" t="str">
            <v xml:space="preserve">XS </v>
          </cell>
          <cell r="C459">
            <v>42</v>
          </cell>
          <cell r="D459">
            <v>12.7</v>
          </cell>
          <cell r="E459">
            <v>1.25</v>
          </cell>
          <cell r="I459">
            <v>4.26</v>
          </cell>
          <cell r="J459">
            <v>22.74</v>
          </cell>
          <cell r="K459">
            <v>27</v>
          </cell>
          <cell r="P459">
            <v>14</v>
          </cell>
        </row>
        <row r="460">
          <cell r="B460" t="str">
            <v xml:space="preserve">XS </v>
          </cell>
          <cell r="C460">
            <v>44</v>
          </cell>
          <cell r="D460">
            <v>12.7</v>
          </cell>
          <cell r="E460">
            <v>1.25</v>
          </cell>
          <cell r="I460">
            <v>4.47</v>
          </cell>
          <cell r="J460">
            <v>27.16</v>
          </cell>
          <cell r="K460">
            <v>31.63</v>
          </cell>
          <cell r="P460">
            <v>15</v>
          </cell>
        </row>
        <row r="461">
          <cell r="B461" t="str">
            <v xml:space="preserve">XS </v>
          </cell>
          <cell r="C461">
            <v>46</v>
          </cell>
          <cell r="D461">
            <v>12.7</v>
          </cell>
          <cell r="E461">
            <v>1.25</v>
          </cell>
          <cell r="I461">
            <v>4.67</v>
          </cell>
          <cell r="J461">
            <v>28.4</v>
          </cell>
          <cell r="K461">
            <v>33.07</v>
          </cell>
          <cell r="P461">
            <v>16</v>
          </cell>
        </row>
        <row r="462">
          <cell r="B462" t="str">
            <v xml:space="preserve">XS </v>
          </cell>
          <cell r="C462">
            <v>48</v>
          </cell>
          <cell r="D462">
            <v>12.7</v>
          </cell>
          <cell r="E462">
            <v>1.25</v>
          </cell>
          <cell r="I462">
            <v>4.87</v>
          </cell>
          <cell r="J462">
            <v>29.63</v>
          </cell>
          <cell r="K462">
            <v>34.5</v>
          </cell>
          <cell r="P462">
            <v>16</v>
          </cell>
        </row>
        <row r="463">
          <cell r="B463" t="str">
            <v>XXS</v>
          </cell>
          <cell r="C463">
            <v>0.5</v>
          </cell>
          <cell r="D463">
            <v>7.47</v>
          </cell>
          <cell r="E463">
            <v>1</v>
          </cell>
          <cell r="I463">
            <v>7.0000000000000007E-2</v>
          </cell>
          <cell r="J463">
            <v>0.23</v>
          </cell>
          <cell r="K463">
            <v>0.30000000000000004</v>
          </cell>
          <cell r="P463">
            <v>2</v>
          </cell>
        </row>
        <row r="464">
          <cell r="B464" t="str">
            <v>XXS</v>
          </cell>
          <cell r="C464">
            <v>0.5</v>
          </cell>
          <cell r="D464">
            <v>7.47</v>
          </cell>
          <cell r="E464">
            <v>1</v>
          </cell>
          <cell r="I464">
            <v>7.0000000000000007E-2</v>
          </cell>
          <cell r="J464">
            <v>0.23</v>
          </cell>
          <cell r="K464">
            <v>0.30000000000000004</v>
          </cell>
          <cell r="P464">
            <v>2</v>
          </cell>
        </row>
        <row r="465">
          <cell r="B465" t="str">
            <v>XXS</v>
          </cell>
          <cell r="C465">
            <v>0.5</v>
          </cell>
          <cell r="D465">
            <v>7.47</v>
          </cell>
          <cell r="E465">
            <v>1</v>
          </cell>
          <cell r="I465">
            <v>7.0000000000000007E-2</v>
          </cell>
          <cell r="J465">
            <v>0.23</v>
          </cell>
          <cell r="K465">
            <v>0.30000000000000004</v>
          </cell>
          <cell r="P465">
            <v>2</v>
          </cell>
        </row>
        <row r="466">
          <cell r="B466" t="str">
            <v>XXS</v>
          </cell>
          <cell r="C466">
            <v>0.75</v>
          </cell>
          <cell r="D466">
            <v>7.82</v>
          </cell>
          <cell r="E466">
            <v>1</v>
          </cell>
          <cell r="I466">
            <v>0.08</v>
          </cell>
          <cell r="J466">
            <v>0.22</v>
          </cell>
          <cell r="K466">
            <v>0.3</v>
          </cell>
          <cell r="P466">
            <v>2</v>
          </cell>
        </row>
        <row r="467">
          <cell r="B467" t="str">
            <v>XXS</v>
          </cell>
          <cell r="C467">
            <v>0.75</v>
          </cell>
          <cell r="D467">
            <v>7.82</v>
          </cell>
          <cell r="E467">
            <v>1</v>
          </cell>
          <cell r="I467">
            <v>0.08</v>
          </cell>
          <cell r="J467">
            <v>0.22</v>
          </cell>
          <cell r="K467">
            <v>0.3</v>
          </cell>
          <cell r="P467">
            <v>2</v>
          </cell>
        </row>
        <row r="468">
          <cell r="B468" t="str">
            <v>XXS</v>
          </cell>
          <cell r="C468">
            <v>0.75</v>
          </cell>
          <cell r="D468">
            <v>7.82</v>
          </cell>
          <cell r="E468">
            <v>1</v>
          </cell>
          <cell r="I468">
            <v>0.08</v>
          </cell>
          <cell r="J468">
            <v>0.22</v>
          </cell>
          <cell r="K468">
            <v>0.3</v>
          </cell>
          <cell r="P468">
            <v>2</v>
          </cell>
        </row>
        <row r="469">
          <cell r="B469" t="str">
            <v>XXS</v>
          </cell>
          <cell r="C469">
            <v>1</v>
          </cell>
          <cell r="D469">
            <v>9.09</v>
          </cell>
          <cell r="E469">
            <v>1</v>
          </cell>
          <cell r="I469">
            <v>0.1</v>
          </cell>
          <cell r="J469">
            <v>0.5</v>
          </cell>
          <cell r="K469">
            <v>0.6</v>
          </cell>
          <cell r="P469">
            <v>2</v>
          </cell>
        </row>
        <row r="470">
          <cell r="B470" t="str">
            <v>XXS</v>
          </cell>
          <cell r="C470">
            <v>1</v>
          </cell>
          <cell r="D470">
            <v>9.09</v>
          </cell>
          <cell r="E470">
            <v>1</v>
          </cell>
          <cell r="I470">
            <v>0.1</v>
          </cell>
          <cell r="J470">
            <v>0.5</v>
          </cell>
          <cell r="K470">
            <v>0.6</v>
          </cell>
          <cell r="P470">
            <v>2</v>
          </cell>
        </row>
        <row r="471">
          <cell r="B471" t="str">
            <v>XXS</v>
          </cell>
          <cell r="C471">
            <v>1</v>
          </cell>
          <cell r="D471">
            <v>9.09</v>
          </cell>
          <cell r="E471">
            <v>1</v>
          </cell>
          <cell r="I471">
            <v>0.1</v>
          </cell>
          <cell r="J471">
            <v>0.5</v>
          </cell>
          <cell r="K471">
            <v>0.6</v>
          </cell>
          <cell r="P471">
            <v>2</v>
          </cell>
        </row>
        <row r="472">
          <cell r="B472" t="str">
            <v>XXS</v>
          </cell>
          <cell r="C472">
            <v>1.25</v>
          </cell>
          <cell r="D472">
            <v>9.6999999999999993</v>
          </cell>
          <cell r="E472">
            <v>1</v>
          </cell>
          <cell r="I472">
            <v>0.13</v>
          </cell>
          <cell r="J472">
            <v>0.67</v>
          </cell>
          <cell r="K472">
            <v>0.8</v>
          </cell>
          <cell r="P472">
            <v>2</v>
          </cell>
        </row>
        <row r="473">
          <cell r="B473" t="str">
            <v>XXS</v>
          </cell>
          <cell r="C473">
            <v>1.25</v>
          </cell>
          <cell r="D473">
            <v>9.6999999999999993</v>
          </cell>
          <cell r="E473">
            <v>1</v>
          </cell>
          <cell r="I473">
            <v>0.13</v>
          </cell>
          <cell r="J473">
            <v>0.67</v>
          </cell>
          <cell r="K473">
            <v>0.8</v>
          </cell>
          <cell r="P473">
            <v>2</v>
          </cell>
        </row>
        <row r="474">
          <cell r="B474" t="str">
            <v>XXS</v>
          </cell>
          <cell r="C474">
            <v>1.25</v>
          </cell>
          <cell r="D474">
            <v>9.6999999999999993</v>
          </cell>
          <cell r="E474">
            <v>1</v>
          </cell>
          <cell r="I474">
            <v>0.13</v>
          </cell>
          <cell r="J474">
            <v>0.67</v>
          </cell>
          <cell r="K474">
            <v>0.8</v>
          </cell>
          <cell r="P474">
            <v>2</v>
          </cell>
        </row>
        <row r="475">
          <cell r="B475" t="str">
            <v>XXS</v>
          </cell>
          <cell r="C475">
            <v>1.5</v>
          </cell>
          <cell r="D475">
            <v>10.15</v>
          </cell>
          <cell r="E475">
            <v>1.25</v>
          </cell>
          <cell r="I475">
            <v>0.15</v>
          </cell>
          <cell r="J475">
            <v>0.75</v>
          </cell>
          <cell r="K475">
            <v>0.9</v>
          </cell>
          <cell r="P475">
            <v>2</v>
          </cell>
        </row>
        <row r="476">
          <cell r="B476" t="str">
            <v>XXS</v>
          </cell>
          <cell r="C476">
            <v>1.5</v>
          </cell>
          <cell r="D476">
            <v>10.15</v>
          </cell>
          <cell r="E476">
            <v>1.25</v>
          </cell>
          <cell r="I476">
            <v>0.15</v>
          </cell>
          <cell r="J476">
            <v>0.75</v>
          </cell>
          <cell r="K476">
            <v>0.9</v>
          </cell>
          <cell r="P476">
            <v>2</v>
          </cell>
        </row>
        <row r="477">
          <cell r="B477" t="str">
            <v>XXS</v>
          </cell>
          <cell r="C477">
            <v>1.5</v>
          </cell>
          <cell r="D477">
            <v>10.15</v>
          </cell>
          <cell r="E477">
            <v>1.25</v>
          </cell>
          <cell r="I477">
            <v>0.15</v>
          </cell>
          <cell r="J477">
            <v>0.75</v>
          </cell>
          <cell r="K477">
            <v>0.9</v>
          </cell>
          <cell r="P477">
            <v>2</v>
          </cell>
        </row>
        <row r="478">
          <cell r="B478" t="str">
            <v>XXS</v>
          </cell>
          <cell r="C478">
            <v>2</v>
          </cell>
          <cell r="D478">
            <v>11.07</v>
          </cell>
          <cell r="E478">
            <v>1.25</v>
          </cell>
          <cell r="I478">
            <v>0.2</v>
          </cell>
          <cell r="J478">
            <v>1</v>
          </cell>
          <cell r="K478">
            <v>1.2</v>
          </cell>
          <cell r="P478">
            <v>4</v>
          </cell>
        </row>
        <row r="479">
          <cell r="B479" t="str">
            <v>XXS</v>
          </cell>
          <cell r="C479">
            <v>2</v>
          </cell>
          <cell r="D479">
            <v>11.07</v>
          </cell>
          <cell r="E479">
            <v>1.25</v>
          </cell>
          <cell r="I479">
            <v>0.2</v>
          </cell>
          <cell r="J479">
            <v>1</v>
          </cell>
          <cell r="K479">
            <v>1.2</v>
          </cell>
          <cell r="P479">
            <v>4</v>
          </cell>
        </row>
        <row r="480">
          <cell r="B480" t="str">
            <v>XXS</v>
          </cell>
          <cell r="C480">
            <v>2</v>
          </cell>
          <cell r="D480">
            <v>11.07</v>
          </cell>
          <cell r="E480">
            <v>1.25</v>
          </cell>
          <cell r="I480">
            <v>0.2</v>
          </cell>
          <cell r="J480">
            <v>1</v>
          </cell>
          <cell r="K480">
            <v>1.2</v>
          </cell>
          <cell r="P480">
            <v>4</v>
          </cell>
        </row>
        <row r="481">
          <cell r="B481" t="str">
            <v>XXS</v>
          </cell>
          <cell r="C481">
            <v>2.5</v>
          </cell>
          <cell r="D481">
            <v>14.02</v>
          </cell>
          <cell r="E481">
            <v>1.25</v>
          </cell>
          <cell r="I481">
            <v>0.25</v>
          </cell>
          <cell r="J481">
            <v>1.7</v>
          </cell>
          <cell r="K481">
            <v>1.95</v>
          </cell>
          <cell r="P481">
            <v>4</v>
          </cell>
        </row>
        <row r="482">
          <cell r="B482" t="str">
            <v>XXS</v>
          </cell>
          <cell r="C482">
            <v>3</v>
          </cell>
          <cell r="D482">
            <v>15.24</v>
          </cell>
          <cell r="E482">
            <v>1.5</v>
          </cell>
          <cell r="I482">
            <v>0.3</v>
          </cell>
          <cell r="J482">
            <v>2.39</v>
          </cell>
          <cell r="K482">
            <v>2.69</v>
          </cell>
          <cell r="P482">
            <v>4</v>
          </cell>
        </row>
        <row r="483">
          <cell r="B483" t="str">
            <v>XXS</v>
          </cell>
          <cell r="C483">
            <v>4</v>
          </cell>
          <cell r="D483">
            <v>17.12</v>
          </cell>
          <cell r="E483">
            <v>1.5</v>
          </cell>
          <cell r="I483">
            <v>0.41</v>
          </cell>
          <cell r="J483">
            <v>4.09</v>
          </cell>
          <cell r="K483">
            <v>4.5</v>
          </cell>
          <cell r="P483">
            <v>4</v>
          </cell>
        </row>
        <row r="484">
          <cell r="B484" t="str">
            <v>XXS</v>
          </cell>
          <cell r="C484">
            <v>5</v>
          </cell>
          <cell r="D484">
            <v>19.05</v>
          </cell>
          <cell r="E484">
            <v>2</v>
          </cell>
          <cell r="I484">
            <v>0.51</v>
          </cell>
          <cell r="J484">
            <v>4.43</v>
          </cell>
          <cell r="K484">
            <v>4.9399999999999995</v>
          </cell>
          <cell r="P484">
            <v>4</v>
          </cell>
        </row>
        <row r="485">
          <cell r="B485" t="str">
            <v>XXS</v>
          </cell>
          <cell r="C485">
            <v>6</v>
          </cell>
          <cell r="D485">
            <v>21.95</v>
          </cell>
          <cell r="E485">
            <v>2</v>
          </cell>
          <cell r="I485">
            <v>0.61</v>
          </cell>
          <cell r="J485">
            <v>8.09</v>
          </cell>
          <cell r="K485">
            <v>8.6999999999999993</v>
          </cell>
          <cell r="P485">
            <v>4</v>
          </cell>
        </row>
        <row r="486">
          <cell r="B486" t="str">
            <v>XXS</v>
          </cell>
          <cell r="C486">
            <v>8</v>
          </cell>
          <cell r="D486">
            <v>22.23</v>
          </cell>
          <cell r="E486">
            <v>2</v>
          </cell>
          <cell r="I486">
            <v>0.81</v>
          </cell>
          <cell r="J486">
            <v>11.49</v>
          </cell>
          <cell r="K486">
            <v>12.3</v>
          </cell>
          <cell r="P486">
            <v>4</v>
          </cell>
        </row>
        <row r="487">
          <cell r="B487" t="str">
            <v>XXS</v>
          </cell>
          <cell r="C487">
            <v>10</v>
          </cell>
          <cell r="D487">
            <v>25.4</v>
          </cell>
          <cell r="E487" t="str">
            <v>N</v>
          </cell>
          <cell r="I487">
            <v>1.01</v>
          </cell>
          <cell r="J487">
            <v>18.489999999999998</v>
          </cell>
          <cell r="K487">
            <v>19.5</v>
          </cell>
          <cell r="P487">
            <v>4</v>
          </cell>
        </row>
        <row r="488">
          <cell r="B488" t="str">
            <v>XXS</v>
          </cell>
          <cell r="C488">
            <v>12</v>
          </cell>
          <cell r="D488">
            <v>25.4</v>
          </cell>
          <cell r="E488" t="str">
            <v>N</v>
          </cell>
          <cell r="I488">
            <v>1.22</v>
          </cell>
          <cell r="J488">
            <v>21.27</v>
          </cell>
          <cell r="K488">
            <v>22.49</v>
          </cell>
          <cell r="P488">
            <v>6</v>
          </cell>
        </row>
        <row r="489">
          <cell r="B489">
            <v>8.73</v>
          </cell>
          <cell r="C489">
            <v>64</v>
          </cell>
          <cell r="D489">
            <v>8.73</v>
          </cell>
          <cell r="E489">
            <v>1</v>
          </cell>
          <cell r="I489">
            <v>6.49</v>
          </cell>
          <cell r="J489">
            <v>20.29</v>
          </cell>
          <cell r="K489">
            <v>26.78</v>
          </cell>
          <cell r="P489">
            <v>21</v>
          </cell>
        </row>
      </sheetData>
      <sheetData sheetId="4"/>
      <sheetData sheetId="5"/>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eo doi thay doi phien ban"/>
      <sheetName val="Notes"/>
      <sheetName val="Price_Prf"/>
      <sheetName val="ConfigDetail"/>
      <sheetName val="CauHinhTongThe"/>
      <sheetName val="CAQuanHuyen"/>
      <sheetName val="CATinh"/>
      <sheetName val="V26"/>
      <sheetName val="C16"/>
      <sheetName val="C27"/>
      <sheetName val="Tonghop theo Phan he"/>
      <sheetName val="Tham so"/>
      <sheetName val="KP Dao tao"/>
      <sheetName val="Kinh phi Tong hop"/>
      <sheetName val="TH theo hang muc"/>
      <sheetName val="PM Ung dung"/>
      <sheetName val="Orac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pLy"/>
      <sheetName val="TongHop"/>
      <sheetName val="ThietBi"/>
      <sheetName val="XayDungMang"/>
      <sheetName val="KinhPhiXayDungMang"/>
      <sheetName val="DaoTao"/>
      <sheetName val="QLDuAn"/>
    </sheetNames>
    <sheetDataSet>
      <sheetData sheetId="0"/>
      <sheetData sheetId="1"/>
      <sheetData sheetId="2" refreshError="1">
        <row r="26">
          <cell r="J26">
            <v>434182000</v>
          </cell>
        </row>
      </sheetData>
      <sheetData sheetId="3"/>
      <sheetData sheetId="4"/>
      <sheetData sheetId="5"/>
      <sheetData sheetId="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TDT kinh phi"/>
      <sheetName val="2. Cai dat-tich hop"/>
      <sheetName val="3.T-bi tin hoc"/>
      <sheetName val="4.Dieu tra-KS"/>
      <sheetName val="5.PM sx"/>
      <sheetName val="6.Chi phi khac"/>
      <sheetName val="7.Dao tao"/>
      <sheetName val="8.Trien khai ung dung"/>
      <sheetName val="9.Nhap DL"/>
      <sheetName val="10.Bao tri"/>
      <sheetName val="11.Tong du toan sau tham"/>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TDT kinh phi"/>
      <sheetName val="2. Cai dat-tich hop"/>
      <sheetName val="3.T-bi tin hoc"/>
      <sheetName val="4.Dieu tra-KS"/>
      <sheetName val="5.PM sx"/>
      <sheetName val="6.Chi phi khac"/>
      <sheetName val="7.Dao tao"/>
      <sheetName val="8.Trien khai ung dung"/>
      <sheetName val="9.Nhap DL"/>
      <sheetName val="10.Bao tri"/>
      <sheetName val="11.Tong du toan sau tham"/>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L"/>
      <sheetName val="DG"/>
      <sheetName val="THop"/>
      <sheetName val="TDT"/>
      <sheetName val="Kluong"/>
      <sheetName val="H.so"/>
      <sheetName val="Tvan"/>
    </sheetNames>
    <sheetDataSet>
      <sheetData sheetId="0"/>
      <sheetData sheetId="1"/>
      <sheetData sheetId="2"/>
      <sheetData sheetId="3">
        <row r="88">
          <cell r="D88">
            <v>118135008251.60049</v>
          </cell>
        </row>
      </sheetData>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Hop"/>
      <sheetName val="PM-Tong hop"/>
      <sheetName val="TB-Tong hop"/>
      <sheetName val="PM-Nhan cong"/>
      <sheetName val="PM-TrienKhai"/>
      <sheetName val="PM-Dao tao"/>
      <sheetName val="TB-MayTinh"/>
      <sheetName val="TB-Vatlieuxaylap"/>
      <sheetName val="TB-TrienKhai"/>
      <sheetName val="TB-Dao tao"/>
      <sheetName val="CPKhac-TongHop"/>
      <sheetName val="CPKhac-DaoTaoNcNgoai"/>
      <sheetName val="CPKhac-VanHanh"/>
      <sheetName val="All-Tong hop"/>
      <sheetName val="Tham so"/>
      <sheetName val="000000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5">
          <cell r="D5">
            <v>0.1</v>
          </cell>
        </row>
      </sheetData>
      <sheetData sheetId="15"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refreshError="1">
        <row r="2">
          <cell r="J2">
            <v>15890</v>
          </cell>
        </row>
      </sheetData>
      <sheetData sheetId="1" refreshError="1"/>
      <sheetData sheetId="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ổng cp chuan bi dau tu"/>
      <sheetName val="Chi phi khao sat"/>
      <sheetName val="Chi phi tu van &amp; tham tra"/>
      <sheetName val="Chi phi qlda va tu van"/>
      <sheetName val="Chi phi thiet bi"/>
      <sheetName val="Le phi tham dinh du an"/>
      <sheetName val="PTH"/>
    </sheetNames>
    <sheetDataSet>
      <sheetData sheetId="0"/>
      <sheetData sheetId="1"/>
      <sheetData sheetId="2"/>
      <sheetData sheetId="3"/>
      <sheetData sheetId="4"/>
      <sheetData sheetId="5"/>
      <sheetData sheetId="6"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u toan HTTT"/>
      <sheetName val="Define"/>
    </sheetNames>
    <sheetDataSet>
      <sheetData sheetId="0"/>
      <sheetData sheetId="1">
        <row r="4">
          <cell r="B4">
            <v>0.05</v>
          </cell>
        </row>
        <row r="6">
          <cell r="B6">
            <v>0.1</v>
          </cell>
        </row>
        <row r="8">
          <cell r="B8">
            <v>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2"/>
  <sheetViews>
    <sheetView topLeftCell="A10" workbookViewId="0">
      <selection activeCell="C6" sqref="C6"/>
    </sheetView>
  </sheetViews>
  <sheetFormatPr defaultColWidth="8.7109375" defaultRowHeight="15"/>
  <cols>
    <col min="1" max="1" width="9.28515625" style="70"/>
    <col min="2" max="2" width="37.42578125" customWidth="1"/>
    <col min="3" max="4" width="14.42578125" customWidth="1"/>
    <col min="5" max="5" width="14.42578125" bestFit="1" customWidth="1"/>
    <col min="6" max="6" width="16" bestFit="1" customWidth="1"/>
    <col min="7" max="7" width="13.42578125" bestFit="1" customWidth="1"/>
    <col min="8" max="8" width="19.42578125" bestFit="1" customWidth="1"/>
    <col min="9" max="9" width="17.42578125" bestFit="1" customWidth="1"/>
    <col min="10" max="10" width="13.28515625" bestFit="1" customWidth="1"/>
    <col min="11" max="11" width="18.42578125" bestFit="1" customWidth="1"/>
  </cols>
  <sheetData>
    <row r="1" spans="1:9" s="70" customFormat="1" ht="37.5">
      <c r="A1" s="72" t="s">
        <v>0</v>
      </c>
      <c r="B1" s="72" t="s">
        <v>1</v>
      </c>
      <c r="C1" s="72" t="s">
        <v>2</v>
      </c>
      <c r="D1" s="72" t="s">
        <v>3</v>
      </c>
      <c r="E1" s="72" t="s">
        <v>4</v>
      </c>
      <c r="F1" s="72" t="s">
        <v>5</v>
      </c>
      <c r="G1" s="72" t="s">
        <v>6</v>
      </c>
      <c r="H1" s="72" t="s">
        <v>7</v>
      </c>
      <c r="I1" s="72" t="s">
        <v>8</v>
      </c>
    </row>
    <row r="2" spans="1:9" ht="22.5" customHeight="1">
      <c r="A2" s="73">
        <v>1</v>
      </c>
      <c r="B2" s="74" t="s">
        <v>9</v>
      </c>
      <c r="C2" s="73">
        <v>59</v>
      </c>
      <c r="D2" s="73">
        <v>516</v>
      </c>
      <c r="E2" s="73">
        <v>4091</v>
      </c>
      <c r="F2" s="73" t="s">
        <v>10</v>
      </c>
      <c r="G2" s="84">
        <f t="shared" ref="G2:G9" si="0">C2*4000</f>
        <v>236000</v>
      </c>
      <c r="H2" s="75">
        <f t="shared" ref="H2:H9" si="1">E2*9</f>
        <v>36819</v>
      </c>
      <c r="I2" s="75">
        <f t="shared" ref="I2:I9" si="2">ROUND(G2/8*18,0)</f>
        <v>531000</v>
      </c>
    </row>
    <row r="3" spans="1:9" ht="18.75">
      <c r="A3" s="73">
        <v>2</v>
      </c>
      <c r="B3" s="74" t="s">
        <v>11</v>
      </c>
      <c r="C3" s="73">
        <v>2</v>
      </c>
      <c r="D3" s="73">
        <v>16</v>
      </c>
      <c r="E3" s="73">
        <v>81</v>
      </c>
      <c r="F3" s="73" t="s">
        <v>10</v>
      </c>
      <c r="G3" s="84">
        <f t="shared" si="0"/>
        <v>8000</v>
      </c>
      <c r="H3" s="75">
        <f t="shared" si="1"/>
        <v>729</v>
      </c>
      <c r="I3" s="75">
        <f t="shared" si="2"/>
        <v>18000</v>
      </c>
    </row>
    <row r="4" spans="1:9" ht="18.75">
      <c r="A4" s="73">
        <v>3</v>
      </c>
      <c r="B4" s="74" t="s">
        <v>12</v>
      </c>
      <c r="C4" s="73">
        <v>53.5</v>
      </c>
      <c r="D4" s="73">
        <v>428</v>
      </c>
      <c r="E4" s="73">
        <v>4370</v>
      </c>
      <c r="F4" s="73" t="s">
        <v>13</v>
      </c>
      <c r="G4" s="84">
        <f t="shared" si="0"/>
        <v>214000</v>
      </c>
      <c r="H4" s="75">
        <f t="shared" si="1"/>
        <v>39330</v>
      </c>
      <c r="I4" s="75">
        <f t="shared" si="2"/>
        <v>481500</v>
      </c>
    </row>
    <row r="5" spans="1:9" ht="18.75">
      <c r="A5" s="73">
        <v>4</v>
      </c>
      <c r="B5" s="74" t="s">
        <v>14</v>
      </c>
      <c r="C5" s="73">
        <v>1</v>
      </c>
      <c r="D5" s="73">
        <v>7</v>
      </c>
      <c r="E5" s="73">
        <v>96</v>
      </c>
      <c r="F5" s="73" t="s">
        <v>15</v>
      </c>
      <c r="G5" s="84">
        <f t="shared" si="0"/>
        <v>4000</v>
      </c>
      <c r="H5" s="75">
        <f t="shared" si="1"/>
        <v>864</v>
      </c>
      <c r="I5" s="75">
        <f t="shared" si="2"/>
        <v>9000</v>
      </c>
    </row>
    <row r="6" spans="1:9" ht="18.75">
      <c r="A6" s="73">
        <v>5</v>
      </c>
      <c r="B6" s="74" t="s">
        <v>16</v>
      </c>
      <c r="C6" s="73">
        <v>148</v>
      </c>
      <c r="D6" s="73">
        <v>1183</v>
      </c>
      <c r="E6" s="73">
        <v>4130</v>
      </c>
      <c r="F6" s="73" t="s">
        <v>17</v>
      </c>
      <c r="G6" s="84">
        <f t="shared" si="0"/>
        <v>592000</v>
      </c>
      <c r="H6" s="75">
        <f t="shared" si="1"/>
        <v>37170</v>
      </c>
      <c r="I6" s="75">
        <f t="shared" si="2"/>
        <v>1332000</v>
      </c>
    </row>
    <row r="7" spans="1:9" ht="18.75">
      <c r="A7" s="73">
        <v>6</v>
      </c>
      <c r="B7" s="74" t="s">
        <v>18</v>
      </c>
      <c r="C7" s="73">
        <v>1.5</v>
      </c>
      <c r="D7" s="73">
        <v>12</v>
      </c>
      <c r="E7" s="73">
        <v>87</v>
      </c>
      <c r="F7" s="73" t="s">
        <v>17</v>
      </c>
      <c r="G7" s="84">
        <f t="shared" si="0"/>
        <v>6000</v>
      </c>
      <c r="H7" s="75">
        <f t="shared" si="1"/>
        <v>783</v>
      </c>
      <c r="I7" s="75">
        <f t="shared" si="2"/>
        <v>13500</v>
      </c>
    </row>
    <row r="8" spans="1:9" ht="18.75">
      <c r="A8" s="73">
        <v>7</v>
      </c>
      <c r="B8" s="74" t="s">
        <v>19</v>
      </c>
      <c r="C8" s="73">
        <v>2.1</v>
      </c>
      <c r="D8" s="73">
        <v>17</v>
      </c>
      <c r="E8" s="73">
        <v>126</v>
      </c>
      <c r="F8" s="73" t="s">
        <v>17</v>
      </c>
      <c r="G8" s="84">
        <f t="shared" si="0"/>
        <v>8400</v>
      </c>
      <c r="H8" s="75">
        <f t="shared" si="1"/>
        <v>1134</v>
      </c>
      <c r="I8" s="75">
        <f t="shared" si="2"/>
        <v>18900</v>
      </c>
    </row>
    <row r="9" spans="1:9" ht="18.75">
      <c r="A9" s="73">
        <v>8</v>
      </c>
      <c r="B9" s="74" t="s">
        <v>20</v>
      </c>
      <c r="C9" s="73">
        <v>21.6</v>
      </c>
      <c r="D9" s="73">
        <v>190</v>
      </c>
      <c r="E9" s="73">
        <v>1022</v>
      </c>
      <c r="F9" s="73" t="s">
        <v>21</v>
      </c>
      <c r="G9" s="75">
        <f t="shared" si="0"/>
        <v>86400</v>
      </c>
      <c r="H9" s="75">
        <f t="shared" si="1"/>
        <v>9198</v>
      </c>
      <c r="I9" s="75">
        <f t="shared" si="2"/>
        <v>194400</v>
      </c>
    </row>
    <row r="10" spans="1:9" ht="18.75">
      <c r="A10" s="73">
        <v>9</v>
      </c>
      <c r="B10" s="74" t="s">
        <v>22</v>
      </c>
      <c r="C10" s="73">
        <v>21.1</v>
      </c>
      <c r="D10" s="73">
        <v>190</v>
      </c>
      <c r="E10" s="73">
        <v>4511</v>
      </c>
      <c r="F10" s="73" t="s">
        <v>23</v>
      </c>
      <c r="G10" s="75">
        <v>81520</v>
      </c>
      <c r="H10" s="75">
        <v>40599</v>
      </c>
      <c r="I10" s="75">
        <v>189900</v>
      </c>
    </row>
    <row r="11" spans="1:9" ht="18.75">
      <c r="A11" s="73">
        <v>10</v>
      </c>
      <c r="B11" s="74" t="s">
        <v>24</v>
      </c>
      <c r="C11" s="73">
        <v>16</v>
      </c>
      <c r="D11" s="73">
        <v>132</v>
      </c>
      <c r="E11" s="73">
        <v>1044</v>
      </c>
      <c r="F11" s="73" t="s">
        <v>25</v>
      </c>
      <c r="G11" s="75">
        <f t="shared" ref="G11:G16" si="3">C11*4000</f>
        <v>64000</v>
      </c>
      <c r="H11" s="75">
        <f t="shared" ref="H11:H16" si="4">E11*9</f>
        <v>9396</v>
      </c>
      <c r="I11" s="75">
        <f t="shared" ref="I11:I16" si="5">ROUND(G11/8*18,0)</f>
        <v>144000</v>
      </c>
    </row>
    <row r="12" spans="1:9" ht="18.75">
      <c r="A12" s="73">
        <v>11</v>
      </c>
      <c r="B12" s="74" t="s">
        <v>26</v>
      </c>
      <c r="C12" s="73">
        <v>0.2</v>
      </c>
      <c r="D12" s="73">
        <v>2</v>
      </c>
      <c r="E12" s="73">
        <v>18</v>
      </c>
      <c r="F12" s="73" t="s">
        <v>15</v>
      </c>
      <c r="G12" s="75">
        <f t="shared" si="3"/>
        <v>800</v>
      </c>
      <c r="H12" s="75">
        <f t="shared" si="4"/>
        <v>162</v>
      </c>
      <c r="I12" s="75">
        <f t="shared" si="5"/>
        <v>1800</v>
      </c>
    </row>
    <row r="13" spans="1:9" ht="18.75">
      <c r="A13" s="73">
        <v>12</v>
      </c>
      <c r="B13" s="74" t="s">
        <v>27</v>
      </c>
      <c r="C13" s="73">
        <v>0.2</v>
      </c>
      <c r="D13" s="73">
        <v>2</v>
      </c>
      <c r="E13" s="73">
        <v>10</v>
      </c>
      <c r="F13" s="73" t="s">
        <v>21</v>
      </c>
      <c r="G13" s="75">
        <f t="shared" si="3"/>
        <v>800</v>
      </c>
      <c r="H13" s="75">
        <f t="shared" si="4"/>
        <v>90</v>
      </c>
      <c r="I13" s="75">
        <f t="shared" si="5"/>
        <v>1800</v>
      </c>
    </row>
    <row r="14" spans="1:9" ht="37.5">
      <c r="A14" s="73">
        <v>13</v>
      </c>
      <c r="B14" s="74" t="s">
        <v>28</v>
      </c>
      <c r="C14" s="73">
        <v>1</v>
      </c>
      <c r="D14" s="73">
        <v>9</v>
      </c>
      <c r="E14" s="73">
        <v>45</v>
      </c>
      <c r="F14" s="73" t="s">
        <v>23</v>
      </c>
      <c r="G14" s="75">
        <f t="shared" si="3"/>
        <v>4000</v>
      </c>
      <c r="H14" s="75">
        <f t="shared" si="4"/>
        <v>405</v>
      </c>
      <c r="I14" s="75">
        <f t="shared" si="5"/>
        <v>9000</v>
      </c>
    </row>
    <row r="15" spans="1:9" ht="37.5">
      <c r="A15" s="73">
        <v>14</v>
      </c>
      <c r="B15" s="74" t="s">
        <v>29</v>
      </c>
      <c r="C15" s="73">
        <v>3.5</v>
      </c>
      <c r="D15" s="73">
        <v>32</v>
      </c>
      <c r="E15" s="73">
        <v>318</v>
      </c>
      <c r="F15" s="73" t="s">
        <v>30</v>
      </c>
      <c r="G15" s="75">
        <f t="shared" si="3"/>
        <v>14000</v>
      </c>
      <c r="H15" s="75">
        <f t="shared" si="4"/>
        <v>2862</v>
      </c>
      <c r="I15" s="75">
        <f t="shared" si="5"/>
        <v>31500</v>
      </c>
    </row>
    <row r="16" spans="1:9" ht="18.75">
      <c r="A16" s="73">
        <v>15</v>
      </c>
      <c r="B16" s="74" t="s">
        <v>31</v>
      </c>
      <c r="C16" s="73">
        <v>5</v>
      </c>
      <c r="D16" s="73">
        <v>39</v>
      </c>
      <c r="E16" s="73">
        <v>216</v>
      </c>
      <c r="F16" s="73" t="s">
        <v>21</v>
      </c>
      <c r="G16" s="75">
        <f t="shared" si="3"/>
        <v>20000</v>
      </c>
      <c r="H16" s="75">
        <f t="shared" si="4"/>
        <v>1944</v>
      </c>
      <c r="I16" s="75">
        <f t="shared" si="5"/>
        <v>45000</v>
      </c>
    </row>
    <row r="17" spans="1:10" ht="18.75">
      <c r="A17" s="73"/>
      <c r="B17" s="74" t="s">
        <v>32</v>
      </c>
      <c r="C17" s="87">
        <f t="shared" ref="C17:E17" si="6">SUM(C2:C16)</f>
        <v>335.70000000000005</v>
      </c>
      <c r="D17" s="87">
        <f t="shared" si="6"/>
        <v>2775</v>
      </c>
      <c r="E17" s="87">
        <f t="shared" si="6"/>
        <v>20165</v>
      </c>
      <c r="F17" s="73"/>
      <c r="G17" s="87">
        <f>SUM(G2:G16)</f>
        <v>1339920</v>
      </c>
      <c r="H17" s="87">
        <f t="shared" ref="H17:I17" si="7">SUM(H2:H16)</f>
        <v>181485</v>
      </c>
      <c r="I17" s="87">
        <f t="shared" si="7"/>
        <v>3021300</v>
      </c>
      <c r="J17" s="84">
        <f>H17+I17</f>
        <v>3202785</v>
      </c>
    </row>
    <row r="18" spans="1:10" ht="37.5">
      <c r="A18" s="73">
        <v>16</v>
      </c>
      <c r="B18" s="74" t="s">
        <v>33</v>
      </c>
      <c r="C18" s="73">
        <v>30.5</v>
      </c>
      <c r="D18" s="73">
        <v>284</v>
      </c>
      <c r="E18" s="73">
        <v>1454</v>
      </c>
      <c r="F18" s="73" t="s">
        <v>34</v>
      </c>
      <c r="G18" s="75">
        <f t="shared" ref="G18" si="8">C18*4000</f>
        <v>122000</v>
      </c>
      <c r="H18" s="75">
        <f t="shared" ref="H18" si="9">E18*9</f>
        <v>13086</v>
      </c>
      <c r="I18" s="75">
        <f t="shared" ref="I18" si="10">ROUND(G18/8*18,0)</f>
        <v>274500</v>
      </c>
    </row>
    <row r="19" spans="1:10" ht="18.75">
      <c r="A19" s="73">
        <v>17</v>
      </c>
      <c r="B19" s="74" t="s">
        <v>35</v>
      </c>
      <c r="C19" s="73">
        <v>2</v>
      </c>
      <c r="D19" s="73">
        <v>14</v>
      </c>
      <c r="E19" s="73">
        <v>133</v>
      </c>
      <c r="F19" s="73" t="s">
        <v>17</v>
      </c>
      <c r="G19" s="75">
        <f>C19*4000</f>
        <v>8000</v>
      </c>
      <c r="H19" s="75">
        <f>E19*9</f>
        <v>1197</v>
      </c>
      <c r="I19" s="75">
        <f>ROUND(G19/8*18,0)</f>
        <v>18000</v>
      </c>
    </row>
    <row r="20" spans="1:10" ht="18.75">
      <c r="A20" s="73">
        <v>18</v>
      </c>
      <c r="B20" s="74" t="s">
        <v>36</v>
      </c>
      <c r="C20" s="73">
        <v>1</v>
      </c>
      <c r="D20" s="73">
        <v>7</v>
      </c>
      <c r="E20" s="73">
        <v>17</v>
      </c>
      <c r="F20" s="73" t="s">
        <v>15</v>
      </c>
      <c r="G20" s="75">
        <f>C20*4000</f>
        <v>4000</v>
      </c>
      <c r="H20" s="75">
        <f>E20*9</f>
        <v>153</v>
      </c>
      <c r="I20" s="75">
        <f>ROUND(G20/8*18,0)</f>
        <v>9000</v>
      </c>
    </row>
    <row r="21" spans="1:10" ht="18.75">
      <c r="A21" s="73">
        <v>19</v>
      </c>
      <c r="B21" s="74" t="s">
        <v>37</v>
      </c>
      <c r="C21" s="73">
        <v>0.3</v>
      </c>
      <c r="D21" s="73">
        <v>3</v>
      </c>
      <c r="E21" s="73">
        <v>16</v>
      </c>
      <c r="F21" s="73" t="s">
        <v>38</v>
      </c>
      <c r="G21" s="75">
        <f t="shared" ref="G21" si="11">C21*4000</f>
        <v>1200</v>
      </c>
      <c r="H21" s="75">
        <f t="shared" ref="H21" si="12">E21*9</f>
        <v>144</v>
      </c>
      <c r="I21" s="75">
        <f t="shared" ref="I21" si="13">ROUND(G21/8*18,0)</f>
        <v>2700</v>
      </c>
    </row>
    <row r="22" spans="1:10" ht="18.75">
      <c r="A22" s="73">
        <v>20</v>
      </c>
      <c r="B22" s="74" t="s">
        <v>39</v>
      </c>
      <c r="C22" s="73">
        <v>146</v>
      </c>
      <c r="D22" s="73">
        <v>1165</v>
      </c>
      <c r="E22" s="73">
        <v>2915</v>
      </c>
      <c r="F22" s="73" t="s">
        <v>40</v>
      </c>
      <c r="G22" s="75">
        <f>C22*4000</f>
        <v>584000</v>
      </c>
      <c r="H22" s="75">
        <f>E22*9</f>
        <v>26235</v>
      </c>
      <c r="I22" s="75">
        <f>ROUND(G22/8*18,0)</f>
        <v>1314000</v>
      </c>
    </row>
    <row r="23" spans="1:10" ht="18.75">
      <c r="A23" s="275" t="s">
        <v>41</v>
      </c>
      <c r="B23" s="276"/>
      <c r="C23" s="80">
        <f>SUM(C2:C20)</f>
        <v>704.90000000000009</v>
      </c>
      <c r="D23" s="80">
        <f>SUM(D2:D20)</f>
        <v>5855</v>
      </c>
      <c r="E23" s="80">
        <f>SUM(E2:E20)</f>
        <v>41934</v>
      </c>
      <c r="F23" s="81"/>
      <c r="G23" s="80">
        <f>SUM(G17:G22)</f>
        <v>2059120</v>
      </c>
      <c r="H23" s="80">
        <f t="shared" ref="H23:I23" si="14">SUM(H17:H22)</f>
        <v>222300</v>
      </c>
      <c r="I23" s="80">
        <f t="shared" si="14"/>
        <v>4639500</v>
      </c>
      <c r="J23" s="85">
        <f>H23+I23</f>
        <v>4861800</v>
      </c>
    </row>
    <row r="24" spans="1:10" ht="18.75" hidden="1">
      <c r="A24" s="76"/>
      <c r="B24" s="77"/>
      <c r="C24" s="78"/>
      <c r="D24" s="77"/>
      <c r="E24" s="77"/>
      <c r="F24" s="77"/>
      <c r="G24" s="79"/>
      <c r="H24" s="75">
        <f>G23*2850</f>
        <v>5868492000</v>
      </c>
      <c r="I24" s="78">
        <f>I23+H23</f>
        <v>4861800</v>
      </c>
    </row>
    <row r="25" spans="1:10" hidden="1">
      <c r="A25" s="76"/>
      <c r="B25" s="77"/>
      <c r="C25" s="77"/>
      <c r="D25" s="77"/>
      <c r="E25" s="77"/>
      <c r="F25" s="77"/>
      <c r="G25" s="77"/>
      <c r="H25" s="78">
        <f>(H23+I23)*350</f>
        <v>1701630000</v>
      </c>
      <c r="I25" s="77"/>
    </row>
    <row r="26" spans="1:10" hidden="1">
      <c r="A26" s="76"/>
      <c r="B26" s="77"/>
      <c r="C26" s="77"/>
      <c r="D26" s="77"/>
      <c r="E26" s="77"/>
      <c r="F26" s="77"/>
      <c r="G26" s="77" t="s">
        <v>42</v>
      </c>
      <c r="H26" s="78">
        <v>800000000</v>
      </c>
      <c r="I26" s="77"/>
    </row>
    <row r="27" spans="1:10" hidden="1">
      <c r="A27" s="76"/>
      <c r="B27" s="77"/>
      <c r="C27" s="77"/>
      <c r="D27" s="77"/>
      <c r="E27" s="77"/>
      <c r="F27" s="77"/>
      <c r="G27" s="77" t="s">
        <v>43</v>
      </c>
      <c r="H27" s="78">
        <v>850000000</v>
      </c>
      <c r="I27" s="77"/>
    </row>
    <row r="28" spans="1:10" hidden="1">
      <c r="A28" s="76"/>
      <c r="B28" s="77"/>
      <c r="C28" s="77"/>
      <c r="D28" s="77"/>
      <c r="E28" s="77"/>
      <c r="F28" s="77"/>
      <c r="G28" s="77"/>
      <c r="H28" s="78">
        <f>SUM(H24:H27)</f>
        <v>9220122000</v>
      </c>
      <c r="I28" s="77"/>
    </row>
    <row r="29" spans="1:10" hidden="1"/>
    <row r="30" spans="1:10" hidden="1">
      <c r="E30" s="71">
        <f>0.405%*6000000000</f>
        <v>24300000.000000004</v>
      </c>
    </row>
    <row r="32" spans="1:10">
      <c r="I32" s="86" t="e">
        <f>#REF!</f>
        <v>#REF!</v>
      </c>
    </row>
  </sheetData>
  <mergeCells count="1">
    <mergeCell ref="A23:B2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J30"/>
  <sheetViews>
    <sheetView topLeftCell="A4" zoomScale="80" zoomScaleNormal="80" workbookViewId="0">
      <selection activeCell="I13" sqref="I13"/>
    </sheetView>
  </sheetViews>
  <sheetFormatPr defaultColWidth="9.28515625" defaultRowHeight="16.5"/>
  <cols>
    <col min="1" max="1" width="5.42578125" style="8" customWidth="1"/>
    <col min="2" max="2" width="34" style="1" customWidth="1"/>
    <col min="3" max="3" width="20.42578125" style="9" bestFit="1" customWidth="1"/>
    <col min="4" max="4" width="18.28515625" style="9" bestFit="1" customWidth="1"/>
    <col min="5" max="5" width="19.42578125" style="9" bestFit="1" customWidth="1"/>
    <col min="6" max="6" width="18.42578125" style="9" customWidth="1"/>
    <col min="7" max="7" width="28.42578125" style="1" customWidth="1"/>
    <col min="8" max="8" width="18.42578125" style="1" customWidth="1"/>
    <col min="9" max="9" width="28.28515625" style="1" customWidth="1"/>
    <col min="10" max="11" width="9.28515625" style="1"/>
    <col min="12" max="12" width="14" style="1" bestFit="1" customWidth="1"/>
    <col min="13" max="13" width="15.7109375" style="1" bestFit="1" customWidth="1"/>
    <col min="14" max="16384" width="9.28515625" style="1"/>
  </cols>
  <sheetData>
    <row r="1" spans="1:10" ht="16.5" customHeight="1">
      <c r="A1" s="277" t="s">
        <v>44</v>
      </c>
      <c r="B1" s="278"/>
      <c r="C1" s="278"/>
      <c r="D1" s="278"/>
      <c r="E1" s="278"/>
      <c r="F1" s="278"/>
      <c r="G1" s="278"/>
      <c r="H1" s="1" t="s">
        <v>45</v>
      </c>
      <c r="I1" s="111" t="s">
        <v>46</v>
      </c>
      <c r="J1" s="117" t="str">
        <f>IF(I1="Thiết kế 2 bước","1",IF(I1="Thiết kế 1 bước","2",IF(I1="Đề cương","3",IF(I1="Thuê dịch vụ vốn đầu tư","4","5"))))</f>
        <v>3</v>
      </c>
    </row>
    <row r="2" spans="1:10">
      <c r="G2" s="88" t="s">
        <v>47</v>
      </c>
    </row>
    <row r="3" spans="1:10" ht="33">
      <c r="A3" s="2" t="s">
        <v>48</v>
      </c>
      <c r="B3" s="2" t="s">
        <v>49</v>
      </c>
      <c r="C3" s="3" t="s">
        <v>50</v>
      </c>
      <c r="D3" s="3" t="s">
        <v>51</v>
      </c>
      <c r="E3" s="3" t="s">
        <v>52</v>
      </c>
      <c r="F3" s="3" t="s">
        <v>53</v>
      </c>
      <c r="G3" s="2" t="s">
        <v>54</v>
      </c>
    </row>
    <row r="4" spans="1:10" s="5" customFormat="1">
      <c r="A4" s="2" t="s">
        <v>55</v>
      </c>
      <c r="B4" s="4" t="s">
        <v>56</v>
      </c>
      <c r="C4" s="112" t="e">
        <f>SUBTOTAL(9,C5:C7)</f>
        <v>#REF!</v>
      </c>
      <c r="D4" s="112">
        <f>SUBTOTAL(9,D5:D7)</f>
        <v>0</v>
      </c>
      <c r="E4" s="112" t="e">
        <f>SUBTOTAL(9,E5:E7)</f>
        <v>#REF!</v>
      </c>
      <c r="F4" s="112" t="e">
        <f>F5</f>
        <v>#REF!</v>
      </c>
      <c r="G4" s="4"/>
    </row>
    <row r="5" spans="1:10" s="5" customFormat="1" ht="34.5">
      <c r="A5" s="109"/>
      <c r="B5" s="110" t="s">
        <v>57</v>
      </c>
      <c r="C5" s="115" t="e">
        <f>SUBTOTAL(9,C6:C7)</f>
        <v>#REF!</v>
      </c>
      <c r="D5" s="115">
        <f>SUBTOTAL(9,D6:D7)</f>
        <v>0</v>
      </c>
      <c r="E5" s="115" t="e">
        <f>SUBTOTAL(9,E6:E7)</f>
        <v>#REF!</v>
      </c>
      <c r="F5" s="131" t="e">
        <f>F6+F7+F8</f>
        <v>#REF!</v>
      </c>
      <c r="G5" s="7"/>
    </row>
    <row r="6" spans="1:10" s="5" customFormat="1" ht="33">
      <c r="A6" s="89">
        <v>1</v>
      </c>
      <c r="B6" s="90" t="s">
        <v>58</v>
      </c>
      <c r="C6" s="116" t="e">
        <f>#REF!</f>
        <v>#REF!</v>
      </c>
      <c r="D6" s="113">
        <v>0</v>
      </c>
      <c r="E6" s="114" t="e">
        <f>C6+D6</f>
        <v>#REF!</v>
      </c>
      <c r="F6" s="113" t="e">
        <f t="shared" ref="F6:F17" si="0">ROUND(E6,-3)</f>
        <v>#REF!</v>
      </c>
      <c r="G6" s="7" t="s">
        <v>59</v>
      </c>
    </row>
    <row r="7" spans="1:10" s="5" customFormat="1">
      <c r="A7" s="89">
        <v>2</v>
      </c>
      <c r="B7" s="90" t="s">
        <v>60</v>
      </c>
      <c r="C7" s="222"/>
      <c r="D7" s="114">
        <f>C7*0.1</f>
        <v>0</v>
      </c>
      <c r="E7" s="114">
        <f>C7+D7</f>
        <v>0</v>
      </c>
      <c r="F7" s="113">
        <f t="shared" si="0"/>
        <v>0</v>
      </c>
      <c r="G7" s="7"/>
    </row>
    <row r="8" spans="1:10" s="5" customFormat="1">
      <c r="A8" s="89">
        <v>3</v>
      </c>
      <c r="B8" s="90" t="s">
        <v>61</v>
      </c>
      <c r="C8" s="222"/>
      <c r="D8" s="114">
        <f>C8*0.1</f>
        <v>0</v>
      </c>
      <c r="E8" s="114">
        <f>C8+D8</f>
        <v>0</v>
      </c>
      <c r="F8" s="113">
        <f t="shared" si="0"/>
        <v>0</v>
      </c>
      <c r="G8" s="7"/>
    </row>
    <row r="9" spans="1:10" s="5" customFormat="1">
      <c r="A9" s="2" t="s">
        <v>62</v>
      </c>
      <c r="B9" s="4" t="str">
        <f>IF(OR(J1="1",J1="2",J1="4"),"Chi phí tư vấn đầu tư","Chi phí tư vấn")</f>
        <v>Chi phí tư vấn</v>
      </c>
      <c r="C9" s="112" t="e">
        <f>SUBTOTAL(9,C10:C13)</f>
        <v>#REF!</v>
      </c>
      <c r="D9" s="112" t="e">
        <f>SUBTOTAL(9,D10:D13)</f>
        <v>#REF!</v>
      </c>
      <c r="E9" s="112" t="e">
        <f>SUBTOTAL(9,E10:E14)</f>
        <v>#REF!</v>
      </c>
      <c r="F9" s="112" t="e">
        <f t="shared" si="0"/>
        <v>#REF!</v>
      </c>
      <c r="G9" s="4"/>
    </row>
    <row r="10" spans="1:10" s="5" customFormat="1" ht="39.75" customHeight="1">
      <c r="A10" s="6">
        <v>1</v>
      </c>
      <c r="B10" s="7" t="str">
        <f>IF(J1="1","Chi phí lập báo cáo nghiên cứu khả thi",IF(J1="2","Chi phí lập báo cáo kinh tế kỹ thuật",IF(J1="3","Chi phí lập đề cương dự toán chi tiết",IF(J1="4","Chi phí lập báo cáo nghiên cứu khả thi thuê dịch vụ CNTT","Chi phí lập kế hoạch thuê dịch vụ"))))</f>
        <v>Chi phí lập đề cương dự toán chi tiết</v>
      </c>
      <c r="C10" s="114" t="e">
        <f>'Ty le tv'!B21</f>
        <v>#REF!</v>
      </c>
      <c r="D10" s="114" t="e">
        <f>C10/10</f>
        <v>#REF!</v>
      </c>
      <c r="E10" s="114" t="e">
        <f>D10+C10</f>
        <v>#REF!</v>
      </c>
      <c r="F10" s="113" t="e">
        <f t="shared" si="0"/>
        <v>#REF!</v>
      </c>
      <c r="G10" s="279" t="s">
        <v>63</v>
      </c>
      <c r="H10" s="210"/>
    </row>
    <row r="11" spans="1:10" s="5" customFormat="1" ht="33">
      <c r="A11" s="6">
        <v>2</v>
      </c>
      <c r="B11" s="7" t="str">
        <f>IF(J1="1","Chi phí thẩm tra tính hiệu quả và tính khả thi của dự án",IF(J1="2","Chi phí thẩm tra báo cáo kinh tế kỹ thuật",IF(J1="3","Chi phí thẩm tra đề cương và dự toán chi tiết",IF(J1="4","Chi phí thẩm tra dự án thuê dịch vụ CNTT","Chi phí thẩm tra kế hoạch thuê dịch vụ CNTT"))))</f>
        <v>Chi phí thẩm tra đề cương và dự toán chi tiết</v>
      </c>
      <c r="C11" s="114" t="e">
        <f>'Ty le tv'!B30</f>
        <v>#REF!</v>
      </c>
      <c r="D11" s="114" t="e">
        <f>C11/10</f>
        <v>#REF!</v>
      </c>
      <c r="E11" s="114" t="e">
        <f>D11+C11</f>
        <v>#REF!</v>
      </c>
      <c r="F11" s="113" t="e">
        <f t="shared" si="0"/>
        <v>#REF!</v>
      </c>
      <c r="G11" s="280"/>
    </row>
    <row r="12" spans="1:10" s="5" customFormat="1" ht="33">
      <c r="A12" s="6">
        <v>3</v>
      </c>
      <c r="B12" s="7" t="s">
        <v>64</v>
      </c>
      <c r="C12" s="114" t="e">
        <f>'Ty le tv'!B41</f>
        <v>#REF!</v>
      </c>
      <c r="D12" s="114" t="e">
        <f>C12/10</f>
        <v>#REF!</v>
      </c>
      <c r="E12" s="114" t="e">
        <f>D12+C12</f>
        <v>#REF!</v>
      </c>
      <c r="F12" s="113" t="e">
        <f t="shared" si="0"/>
        <v>#REF!</v>
      </c>
      <c r="G12" s="281"/>
    </row>
    <row r="13" spans="1:10" s="5" customFormat="1" ht="49.5">
      <c r="A13" s="6">
        <v>4</v>
      </c>
      <c r="B13" s="7" t="s">
        <v>65</v>
      </c>
      <c r="C13" s="113" t="e">
        <f>'Ty le tv'!B47+'Ty le tv'!B48</f>
        <v>#REF!</v>
      </c>
      <c r="D13" s="113" t="e">
        <f>C13*0.1</f>
        <v>#REF!</v>
      </c>
      <c r="E13" s="113" t="e">
        <f t="shared" ref="E13:E14" si="1">C13+D13</f>
        <v>#REF!</v>
      </c>
      <c r="F13" s="113" t="e">
        <f t="shared" si="0"/>
        <v>#REF!</v>
      </c>
      <c r="G13" s="97" t="s">
        <v>66</v>
      </c>
    </row>
    <row r="14" spans="1:10" s="5" customFormat="1" ht="33">
      <c r="A14" s="6">
        <v>5</v>
      </c>
      <c r="B14" s="7" t="s">
        <v>67</v>
      </c>
      <c r="C14" s="113" t="e">
        <f>'Ty le tv'!B46</f>
        <v>#REF!</v>
      </c>
      <c r="D14" s="113" t="e">
        <f>C14*0.1</f>
        <v>#REF!</v>
      </c>
      <c r="E14" s="113" t="e">
        <f t="shared" si="1"/>
        <v>#REF!</v>
      </c>
      <c r="F14" s="113" t="e">
        <f t="shared" si="0"/>
        <v>#REF!</v>
      </c>
      <c r="G14" s="97" t="s">
        <v>63</v>
      </c>
    </row>
    <row r="15" spans="1:10" s="5" customFormat="1">
      <c r="A15" s="2" t="s">
        <v>68</v>
      </c>
      <c r="B15" s="4" t="s">
        <v>69</v>
      </c>
      <c r="C15" s="112" t="e">
        <f>SUBTOTAL(9,C16:C17)</f>
        <v>#REF!</v>
      </c>
      <c r="D15" s="112" t="e">
        <f>SUBTOTAL(9,D16:D17)</f>
        <v>#REF!</v>
      </c>
      <c r="E15" s="112" t="e">
        <f>SUBTOTAL(9,E16:E17)</f>
        <v>#REF!</v>
      </c>
      <c r="F15" s="112" t="e">
        <f t="shared" ref="F15" si="2">ROUND(E15,-3)</f>
        <v>#REF!</v>
      </c>
      <c r="G15" s="91"/>
    </row>
    <row r="16" spans="1:10" s="5" customFormat="1" ht="33">
      <c r="A16" s="6">
        <v>1</v>
      </c>
      <c r="B16" s="7" t="s">
        <v>70</v>
      </c>
      <c r="C16" s="113" t="e">
        <f>E4*0.55%</f>
        <v>#REF!</v>
      </c>
      <c r="D16" s="113" t="e">
        <f>C16*0.1</f>
        <v>#REF!</v>
      </c>
      <c r="E16" s="113" t="e">
        <f>D16+C16</f>
        <v>#REF!</v>
      </c>
      <c r="F16" s="113" t="e">
        <f t="shared" si="0"/>
        <v>#REF!</v>
      </c>
      <c r="G16" s="97" t="s">
        <v>71</v>
      </c>
    </row>
    <row r="17" spans="1:7" s="5" customFormat="1" ht="33">
      <c r="A17" s="6">
        <v>2</v>
      </c>
      <c r="B17" s="7" t="s">
        <v>72</v>
      </c>
      <c r="C17" s="113" t="e">
        <f>'CP Kiểm thử'!D8</f>
        <v>#REF!</v>
      </c>
      <c r="D17" s="113" t="e">
        <f>C17*0.1</f>
        <v>#REF!</v>
      </c>
      <c r="E17" s="113" t="e">
        <f>D17+C17</f>
        <v>#REF!</v>
      </c>
      <c r="F17" s="113" t="e">
        <f t="shared" si="0"/>
        <v>#REF!</v>
      </c>
      <c r="G17" s="97" t="s">
        <v>73</v>
      </c>
    </row>
    <row r="18" spans="1:7">
      <c r="A18" s="2"/>
      <c r="B18" s="4" t="s">
        <v>74</v>
      </c>
      <c r="C18" s="112" t="e">
        <f>SUBTOTAL(9,C4:C17)</f>
        <v>#REF!</v>
      </c>
      <c r="D18" s="112" t="e">
        <f>SUBTOTAL(9,D4:D17)</f>
        <v>#REF!</v>
      </c>
      <c r="E18" s="112" t="e">
        <f>SUBTOTAL(9,E4:E17)</f>
        <v>#REF!</v>
      </c>
      <c r="F18" s="112" t="e">
        <f>F4+F9+F15</f>
        <v>#REF!</v>
      </c>
      <c r="G18" s="2"/>
    </row>
    <row r="30" spans="1:7" s="5" customFormat="1" collapsed="1"/>
  </sheetData>
  <mergeCells count="2">
    <mergeCell ref="A1:G1"/>
    <mergeCell ref="G10:G12"/>
  </mergeCells>
  <dataValidations count="1">
    <dataValidation type="list" allowBlank="1" showInputMessage="1" showErrorMessage="1" sqref="I1" xr:uid="{00000000-0002-0000-0100-000000000000}">
      <formula1>"Thiết kế 2 bước,Thiết kế 1 bước,Đề cương,Thuê dịch vụ vốn đầu tư,Thuê dịch vụ vốn sự nghiệp"</formula1>
    </dataValidation>
  </dataValidations>
  <pageMargins left="0.45" right="0.45" top="0.5" bottom="0.5" header="0.3" footer="0.3"/>
  <pageSetup paperSize="9"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8"/>
  <sheetViews>
    <sheetView workbookViewId="0">
      <selection activeCell="F7" sqref="F7"/>
    </sheetView>
  </sheetViews>
  <sheetFormatPr defaultColWidth="9.28515625" defaultRowHeight="15"/>
  <cols>
    <col min="1" max="1" width="48" style="13" bestFit="1" customWidth="1"/>
    <col min="2" max="2" width="15.42578125" style="67" bestFit="1" customWidth="1"/>
    <col min="3" max="3" width="13.42578125" style="67" customWidth="1"/>
    <col min="4" max="4" width="18.7109375" style="13" customWidth="1"/>
    <col min="5" max="6" width="10.28515625" style="13" bestFit="1" customWidth="1"/>
    <col min="7" max="7" width="15" style="14" bestFit="1" customWidth="1"/>
    <col min="8" max="9" width="16" style="13" bestFit="1" customWidth="1"/>
    <col min="10" max="10" width="5.42578125" style="83" customWidth="1"/>
    <col min="11" max="11" width="39.42578125" style="13" customWidth="1"/>
    <col min="12" max="12" width="15.42578125" style="13" bestFit="1" customWidth="1"/>
    <col min="13" max="14" width="16.42578125" style="13" customWidth="1"/>
    <col min="15" max="16" width="17.7109375" style="13" bestFit="1" customWidth="1"/>
    <col min="17" max="17" width="19.42578125" style="13" bestFit="1" customWidth="1"/>
    <col min="18" max="18" width="20.7109375" style="13" bestFit="1" customWidth="1"/>
    <col min="19" max="19" width="17.7109375" style="13" bestFit="1" customWidth="1"/>
    <col min="20" max="20" width="20.7109375" style="13" bestFit="1" customWidth="1"/>
    <col min="21" max="21" width="19.42578125" style="13" bestFit="1" customWidth="1"/>
    <col min="22" max="16384" width="9.28515625" style="13"/>
  </cols>
  <sheetData>
    <row r="1" spans="1:21">
      <c r="A1" s="108" t="s">
        <v>75</v>
      </c>
      <c r="B1" s="289" t="s">
        <v>76</v>
      </c>
      <c r="C1" s="289"/>
      <c r="D1" s="12" t="e">
        <f>TDT!E4+TDT!E9</f>
        <v>#REF!</v>
      </c>
      <c r="E1"/>
      <c r="F1"/>
      <c r="G1"/>
      <c r="H1"/>
      <c r="I1"/>
    </row>
    <row r="2" spans="1:21">
      <c r="A2" s="108" t="s">
        <v>77</v>
      </c>
      <c r="B2" s="291" t="s">
        <v>78</v>
      </c>
      <c r="C2" s="292"/>
      <c r="D2" s="12">
        <v>0</v>
      </c>
      <c r="E2"/>
      <c r="F2"/>
      <c r="G2"/>
      <c r="H2"/>
      <c r="I2"/>
    </row>
    <row r="3" spans="1:21">
      <c r="A3" s="92" t="s">
        <v>79</v>
      </c>
      <c r="B3" s="290" t="s">
        <v>80</v>
      </c>
      <c r="C3" s="290"/>
      <c r="D3" s="12" t="e">
        <f>TDT!E4</f>
        <v>#REF!</v>
      </c>
      <c r="E3"/>
      <c r="F3"/>
      <c r="G3"/>
      <c r="H3"/>
      <c r="I3"/>
    </row>
    <row r="4" spans="1:21">
      <c r="A4" s="92" t="s">
        <v>81</v>
      </c>
      <c r="B4" s="293" t="s">
        <v>82</v>
      </c>
      <c r="C4" s="294"/>
      <c r="D4" s="12">
        <v>0</v>
      </c>
      <c r="E4"/>
      <c r="F4"/>
      <c r="G4"/>
      <c r="H4"/>
      <c r="I4"/>
    </row>
    <row r="5" spans="1:21">
      <c r="A5" s="92" t="s">
        <v>83</v>
      </c>
      <c r="B5" s="290" t="s">
        <v>84</v>
      </c>
      <c r="C5" s="290"/>
      <c r="D5" s="93">
        <v>0</v>
      </c>
      <c r="E5"/>
      <c r="F5"/>
      <c r="G5"/>
      <c r="H5"/>
      <c r="I5"/>
    </row>
    <row r="6" spans="1:21">
      <c r="A6" s="92" t="s">
        <v>85</v>
      </c>
      <c r="B6" s="290" t="s">
        <v>86</v>
      </c>
      <c r="C6" s="290"/>
      <c r="D6" s="12" t="e">
        <f>TDT!C5</f>
        <v>#REF!</v>
      </c>
      <c r="E6"/>
      <c r="F6"/>
      <c r="G6"/>
      <c r="H6"/>
      <c r="I6"/>
    </row>
    <row r="7" spans="1:21">
      <c r="A7" s="92" t="s">
        <v>87</v>
      </c>
      <c r="B7" s="290" t="s">
        <v>88</v>
      </c>
      <c r="C7" s="290"/>
      <c r="D7" s="12" t="e">
        <f>TDT!C6</f>
        <v>#REF!</v>
      </c>
      <c r="E7"/>
      <c r="F7"/>
      <c r="G7"/>
      <c r="H7"/>
      <c r="I7"/>
    </row>
    <row r="9" spans="1:21" s="16" customFormat="1" ht="14.25">
      <c r="A9" s="282" t="s">
        <v>89</v>
      </c>
      <c r="B9" s="282"/>
      <c r="C9" s="282"/>
      <c r="D9" s="282"/>
      <c r="E9" s="282"/>
      <c r="F9" s="282"/>
      <c r="G9" s="282"/>
      <c r="H9" s="282"/>
      <c r="I9" s="282"/>
      <c r="J9" s="82"/>
      <c r="K9" s="283" t="s">
        <v>90</v>
      </c>
      <c r="L9" s="284"/>
      <c r="M9" s="284"/>
      <c r="N9" s="284"/>
      <c r="O9" s="284"/>
    </row>
    <row r="11" spans="1:21" ht="28.5">
      <c r="A11" s="17"/>
      <c r="B11" s="94" t="s">
        <v>91</v>
      </c>
      <c r="C11" s="94" t="s">
        <v>92</v>
      </c>
      <c r="D11" s="19" t="s">
        <v>93</v>
      </c>
      <c r="E11" s="19" t="s">
        <v>94</v>
      </c>
      <c r="F11" s="19" t="s">
        <v>95</v>
      </c>
      <c r="G11" s="95" t="s">
        <v>96</v>
      </c>
      <c r="H11" s="19" t="s">
        <v>97</v>
      </c>
      <c r="I11" s="19" t="s">
        <v>98</v>
      </c>
      <c r="K11" s="19" t="s">
        <v>99</v>
      </c>
      <c r="L11" s="285" t="s">
        <v>100</v>
      </c>
      <c r="M11" s="286"/>
      <c r="N11" s="286"/>
      <c r="O11" s="286"/>
      <c r="P11" s="286"/>
      <c r="Q11" s="286"/>
      <c r="R11" s="286"/>
      <c r="S11" s="286"/>
      <c r="T11" s="286"/>
      <c r="U11" s="287"/>
    </row>
    <row r="12" spans="1:21">
      <c r="A12" s="21" t="s">
        <v>101</v>
      </c>
      <c r="B12" s="22" t="e">
        <f>SUM(B13:B14)*C12</f>
        <v>#REF!</v>
      </c>
      <c r="C12" s="98">
        <f>C54*C55*C56</f>
        <v>1</v>
      </c>
      <c r="D12" s="21"/>
      <c r="E12" s="21"/>
      <c r="F12" s="21"/>
      <c r="G12" s="23"/>
      <c r="H12" s="21"/>
      <c r="I12" s="21"/>
      <c r="J12" s="83">
        <v>1</v>
      </c>
      <c r="K12" s="24" t="s">
        <v>102</v>
      </c>
      <c r="L12" s="105">
        <v>7000000000</v>
      </c>
      <c r="M12" s="105">
        <v>15000000000</v>
      </c>
      <c r="N12" s="105">
        <v>20000000000</v>
      </c>
      <c r="O12" s="105">
        <v>30000000000</v>
      </c>
      <c r="P12" s="105">
        <v>50000000000</v>
      </c>
      <c r="Q12" s="105">
        <v>100000000000</v>
      </c>
      <c r="R12" s="105">
        <v>150000000000</v>
      </c>
      <c r="S12" s="105">
        <v>200000000000</v>
      </c>
      <c r="T12" s="105">
        <v>500000000000</v>
      </c>
      <c r="U12" s="105">
        <v>1000000000000</v>
      </c>
    </row>
    <row r="13" spans="1:21">
      <c r="A13" s="26" t="s">
        <v>103</v>
      </c>
      <c r="B13" s="27">
        <f>D13*I13/100</f>
        <v>0</v>
      </c>
      <c r="C13" s="99"/>
      <c r="D13" s="28">
        <f>F13-(F13-E13)*(I13-H13)/(G13-H13)</f>
        <v>2.6440000000000001</v>
      </c>
      <c r="E13" s="28">
        <f>IF(G13=0,L13,HLOOKUP(G13,dinhmuc,$J13,TRUE))</f>
        <v>2.6440000000000001</v>
      </c>
      <c r="F13" s="28">
        <f>IF(H13=0,M13,HLOOKUP(H13,dinhmuc,$J13,TRUE))</f>
        <v>2.6440000000000001</v>
      </c>
      <c r="G13" s="29">
        <f>IF(I13&lt;$L$12,0,INDEX(budget,MATCH(I13,budget,1)))</f>
        <v>0</v>
      </c>
      <c r="H13" s="27">
        <f>IF(I13&lt;$L$12,$L$12,INDEX(budget,MATCH(I13,budget,1)+1))</f>
        <v>7000000000</v>
      </c>
      <c r="I13" s="27">
        <f>$D$5</f>
        <v>0</v>
      </c>
      <c r="J13" s="83">
        <v>2</v>
      </c>
      <c r="K13" s="26" t="s">
        <v>104</v>
      </c>
      <c r="L13" s="28">
        <v>2.6440000000000001</v>
      </c>
      <c r="M13" s="28">
        <v>2.1840000000000002</v>
      </c>
      <c r="N13" s="28">
        <v>1.913</v>
      </c>
      <c r="O13" s="28">
        <v>1.7470000000000001</v>
      </c>
      <c r="P13" s="30">
        <v>1.3240000000000001</v>
      </c>
      <c r="Q13" s="28">
        <v>1.0449999999999999</v>
      </c>
      <c r="R13" s="28">
        <v>1.0069999999999999</v>
      </c>
      <c r="S13" s="28">
        <v>0.97499999999999998</v>
      </c>
      <c r="T13" s="28">
        <v>0.84099999999999997</v>
      </c>
      <c r="U13" s="28">
        <v>0.69599999999999995</v>
      </c>
    </row>
    <row r="14" spans="1:21">
      <c r="A14" s="26" t="s">
        <v>105</v>
      </c>
      <c r="B14" s="27" t="e">
        <f>D14*I14/100</f>
        <v>#REF!</v>
      </c>
      <c r="C14" s="99"/>
      <c r="D14" s="28" t="e">
        <f>F14-(F14-E14)*(I14-H14)/(G14-H14)</f>
        <v>#REF!</v>
      </c>
      <c r="E14" s="28" t="e">
        <f>IF(G14=0,L14,HLOOKUP(G14,dinhmuc,$J14,TRUE))</f>
        <v>#REF!</v>
      </c>
      <c r="F14" s="28" t="e">
        <f>IF(H14=0,M14,HLOOKUP(H14,dinhmuc,$J14,TRUE))</f>
        <v>#REF!</v>
      </c>
      <c r="G14" s="29" t="e">
        <f>IF(I14&lt;$L$12,0,INDEX(budget,MATCH(I14,budget,1)))</f>
        <v>#REF!</v>
      </c>
      <c r="H14" s="27" t="e">
        <f>IF(I14&lt;$L$12,$L$12,INDEX(budget,MATCH(I14,budget,1)+1))</f>
        <v>#REF!</v>
      </c>
      <c r="I14" s="27" t="e">
        <f>$D$6</f>
        <v>#REF!</v>
      </c>
      <c r="J14" s="83">
        <v>3</v>
      </c>
      <c r="K14" s="26" t="s">
        <v>106</v>
      </c>
      <c r="L14" s="28">
        <v>2.8090000000000002</v>
      </c>
      <c r="M14" s="28">
        <v>2.133</v>
      </c>
      <c r="N14" s="28">
        <v>1.964</v>
      </c>
      <c r="O14" s="28">
        <v>1.782</v>
      </c>
      <c r="P14" s="30">
        <v>1.71</v>
      </c>
      <c r="Q14" s="28">
        <v>1.3460000000000001</v>
      </c>
      <c r="R14" s="28">
        <v>1.2869999999999999</v>
      </c>
      <c r="S14" s="28">
        <v>1.248</v>
      </c>
      <c r="T14" s="28"/>
      <c r="U14" s="28"/>
    </row>
    <row r="15" spans="1:21" ht="42.75">
      <c r="A15" s="21" t="s">
        <v>107</v>
      </c>
      <c r="B15" s="22" t="e">
        <f>SUM(B16:B17)*C15</f>
        <v>#REF!</v>
      </c>
      <c r="C15" s="98">
        <f>C54*C55*C56</f>
        <v>1</v>
      </c>
      <c r="D15" s="21"/>
      <c r="E15" s="21"/>
      <c r="F15" s="21"/>
      <c r="G15" s="23"/>
      <c r="H15" s="21"/>
      <c r="I15" s="21"/>
      <c r="J15" s="83">
        <v>4</v>
      </c>
      <c r="K15" s="24" t="s">
        <v>108</v>
      </c>
      <c r="L15" s="21"/>
      <c r="M15" s="21"/>
      <c r="N15" s="21"/>
      <c r="O15" s="21"/>
      <c r="P15" s="21"/>
      <c r="Q15" s="21"/>
      <c r="R15" s="21"/>
      <c r="S15" s="21"/>
      <c r="T15" s="21"/>
      <c r="U15" s="21"/>
    </row>
    <row r="16" spans="1:21">
      <c r="A16" s="26" t="s">
        <v>103</v>
      </c>
      <c r="B16" s="27">
        <f>D16*I16/100*C16</f>
        <v>0</v>
      </c>
      <c r="C16" s="99">
        <v>0.84</v>
      </c>
      <c r="D16" s="28">
        <f>F16-(F16-E16)*(I16-H16)/(G16-H16)</f>
        <v>2.6440000000000001</v>
      </c>
      <c r="E16" s="28">
        <f>IF(G16=0,L16,HLOOKUP(G16,dinhmuc,$J16,TRUE))</f>
        <v>2.6440000000000001</v>
      </c>
      <c r="F16" s="28">
        <f>IF(H16=0,M16,HLOOKUP(H16,dinhmuc,$J16,TRUE))</f>
        <v>2.6440000000000001</v>
      </c>
      <c r="G16" s="29">
        <f>IF(I16&lt;$L$12,0,INDEX(budget,MATCH(I16,budget,1)))</f>
        <v>0</v>
      </c>
      <c r="H16" s="27">
        <f>IF(I16&lt;$L$12,$L$12,INDEX(budget,MATCH(I16,budget,1)+1))</f>
        <v>7000000000</v>
      </c>
      <c r="I16" s="27">
        <f>$D$5</f>
        <v>0</v>
      </c>
      <c r="J16" s="83">
        <v>5</v>
      </c>
      <c r="K16" s="26" t="s">
        <v>104</v>
      </c>
      <c r="L16" s="28">
        <v>2.6440000000000001</v>
      </c>
      <c r="M16" s="28">
        <v>2.1840000000000002</v>
      </c>
      <c r="N16" s="28"/>
      <c r="O16" s="28"/>
      <c r="P16" s="30"/>
      <c r="Q16" s="28"/>
      <c r="R16" s="28"/>
      <c r="S16" s="28"/>
      <c r="T16" s="28"/>
      <c r="U16" s="28"/>
    </row>
    <row r="17" spans="1:21">
      <c r="A17" s="26" t="s">
        <v>105</v>
      </c>
      <c r="B17" s="27" t="e">
        <f>D17*I17/100</f>
        <v>#REF!</v>
      </c>
      <c r="C17" s="99"/>
      <c r="D17" s="28" t="e">
        <f>F17-(F17-E17)*(I17-H17)/(G17-H17)</f>
        <v>#REF!</v>
      </c>
      <c r="E17" s="28" t="e">
        <f>IF(G17=0,L17,HLOOKUP(G17,dinhmuc,$J17,TRUE))</f>
        <v>#REF!</v>
      </c>
      <c r="F17" s="28" t="e">
        <f>IF(H17=0,M17,HLOOKUP(H17,dinhmuc,$J17,TRUE))</f>
        <v>#REF!</v>
      </c>
      <c r="G17" s="29" t="e">
        <f>IF(I17&lt;$L$12,0,INDEX(budget,MATCH(I17,budget,1)))</f>
        <v>#REF!</v>
      </c>
      <c r="H17" s="27" t="e">
        <f>IF(I17&lt;$L$12,$L$12,INDEX(budget,MATCH(I17,budget,1)+1))</f>
        <v>#REF!</v>
      </c>
      <c r="I17" s="27" t="e">
        <f>$D$6</f>
        <v>#REF!</v>
      </c>
      <c r="J17" s="83">
        <v>6</v>
      </c>
      <c r="K17" s="26" t="s">
        <v>106</v>
      </c>
      <c r="L17" s="28">
        <v>1.855</v>
      </c>
      <c r="M17" s="28">
        <v>1.532</v>
      </c>
      <c r="N17" s="28"/>
      <c r="O17" s="28"/>
      <c r="P17" s="30"/>
      <c r="Q17" s="28"/>
      <c r="R17" s="28"/>
      <c r="S17" s="28"/>
      <c r="T17" s="28"/>
      <c r="U17" s="28"/>
    </row>
    <row r="18" spans="1:21" ht="28.5">
      <c r="A18" s="21" t="s">
        <v>109</v>
      </c>
      <c r="B18" s="22" t="e">
        <f>IF(SUM(B19:B20)*C18&lt;10000000,10000000,SUM(B19:B20)*C18)</f>
        <v>#REF!</v>
      </c>
      <c r="C18" s="98">
        <f>C59*C60*C61*C62</f>
        <v>1</v>
      </c>
      <c r="D18" s="31"/>
      <c r="E18" s="31"/>
      <c r="F18" s="31"/>
      <c r="G18" s="32"/>
      <c r="H18" s="22"/>
      <c r="I18" s="22"/>
      <c r="J18" s="83">
        <v>7</v>
      </c>
      <c r="K18" s="21" t="s">
        <v>110</v>
      </c>
      <c r="L18" s="21"/>
      <c r="M18" s="21"/>
      <c r="N18" s="21"/>
      <c r="O18" s="21"/>
      <c r="P18" s="21"/>
      <c r="Q18" s="21"/>
      <c r="R18" s="21"/>
      <c r="S18" s="21"/>
      <c r="T18" s="21"/>
      <c r="U18" s="21"/>
    </row>
    <row r="19" spans="1:21">
      <c r="A19" s="26" t="s">
        <v>103</v>
      </c>
      <c r="B19" s="27">
        <f>D19*I19/100</f>
        <v>0</v>
      </c>
      <c r="C19" s="99"/>
      <c r="D19" s="28">
        <f>F19-(F19-E19)*(I19-H19)/(G19-H19)</f>
        <v>0.99199999999999999</v>
      </c>
      <c r="E19" s="28">
        <f>IF(G19=0,L19,HLOOKUP(G19,dinhmuc,$J19,TRUE))</f>
        <v>0.99199999999999999</v>
      </c>
      <c r="F19" s="28">
        <f>IF(H19=0,M19,HLOOKUP(H19,dinhmuc,$J19,TRUE))</f>
        <v>0.99199999999999999</v>
      </c>
      <c r="G19" s="29">
        <f>IF(I19&lt;$L$12,0,INDEX(budget,MATCH(I19,budget,1)))</f>
        <v>0</v>
      </c>
      <c r="H19" s="27">
        <f>IF(I19&lt;$L$12,$L$12,INDEX(budget,MATCH(I19,budget,1)+1))</f>
        <v>7000000000</v>
      </c>
      <c r="I19" s="27">
        <f>$D$5</f>
        <v>0</v>
      </c>
      <c r="J19" s="83">
        <v>8</v>
      </c>
      <c r="K19" s="26" t="s">
        <v>104</v>
      </c>
      <c r="L19" s="28">
        <v>0.99199999999999999</v>
      </c>
      <c r="M19" s="28">
        <v>0.73899999999999999</v>
      </c>
      <c r="N19" s="28">
        <v>0.65200000000000002</v>
      </c>
      <c r="O19" s="28">
        <v>0.53300000000000003</v>
      </c>
      <c r="P19" s="30">
        <v>0.42</v>
      </c>
      <c r="Q19" s="28">
        <v>0.31</v>
      </c>
      <c r="R19" s="28">
        <v>0.253</v>
      </c>
      <c r="S19" s="28">
        <v>0.20499999999999999</v>
      </c>
      <c r="T19" s="28">
        <v>0.16400000000000001</v>
      </c>
      <c r="U19" s="28">
        <v>0.14399999999999999</v>
      </c>
    </row>
    <row r="20" spans="1:21">
      <c r="A20" s="33" t="s">
        <v>105</v>
      </c>
      <c r="B20" s="27" t="e">
        <f>D20*I20/100</f>
        <v>#REF!</v>
      </c>
      <c r="C20" s="99"/>
      <c r="D20" s="28" t="e">
        <f>F20-(F20-E20)*(I20-H20)/(G20-H20)</f>
        <v>#REF!</v>
      </c>
      <c r="E20" s="28" t="e">
        <f>IF(G20=0,L20,HLOOKUP(G20,dinhmuc,$J20,TRUE))</f>
        <v>#REF!</v>
      </c>
      <c r="F20" s="28" t="e">
        <f>IF(H20=0,M20,HLOOKUP(H20,dinhmuc,$J20,TRUE))</f>
        <v>#REF!</v>
      </c>
      <c r="G20" s="29" t="e">
        <f>IF(I20&lt;$L$12,0,INDEX(budget,MATCH(I20,budget,1)))</f>
        <v>#REF!</v>
      </c>
      <c r="H20" s="27" t="e">
        <f>IF(I20&lt;$L$12,$L$12,INDEX(budget,MATCH(I20,budget,1)+1))</f>
        <v>#REF!</v>
      </c>
      <c r="I20" s="27" t="e">
        <f>$D$6</f>
        <v>#REF!</v>
      </c>
      <c r="J20" s="83">
        <v>9</v>
      </c>
      <c r="K20" s="26" t="s">
        <v>106</v>
      </c>
      <c r="L20" s="28">
        <v>0.99199999999999999</v>
      </c>
      <c r="M20" s="28">
        <v>0.90600000000000003</v>
      </c>
      <c r="N20" s="28">
        <v>0.81200000000000006</v>
      </c>
      <c r="O20" s="28">
        <v>0.76300000000000001</v>
      </c>
      <c r="P20" s="30">
        <v>0.64800000000000002</v>
      </c>
      <c r="Q20" s="28">
        <v>0.48499999999999999</v>
      </c>
      <c r="R20" s="28">
        <v>0.437</v>
      </c>
      <c r="S20" s="28">
        <v>0.38100000000000001</v>
      </c>
      <c r="T20" s="28"/>
      <c r="U20" s="28"/>
    </row>
    <row r="21" spans="1:21" ht="28.5">
      <c r="A21" s="21" t="s">
        <v>111</v>
      </c>
      <c r="B21" s="22" t="e">
        <f>IF(SUM(B22:B23)*C21&lt;10000000,10000000,SUM(B22:B23)*C21)</f>
        <v>#REF!</v>
      </c>
      <c r="C21" s="98">
        <f>C59*C60*C61*C62</f>
        <v>1</v>
      </c>
      <c r="D21" s="31"/>
      <c r="E21" s="31"/>
      <c r="F21" s="31"/>
      <c r="G21" s="32"/>
      <c r="H21" s="22"/>
      <c r="I21" s="22"/>
      <c r="J21" s="83">
        <v>10</v>
      </c>
      <c r="K21" s="21" t="s">
        <v>112</v>
      </c>
      <c r="L21" s="21"/>
      <c r="M21" s="21"/>
      <c r="N21" s="21"/>
      <c r="O21" s="21"/>
      <c r="P21" s="21"/>
      <c r="Q21" s="21"/>
      <c r="R21" s="21"/>
      <c r="S21" s="21"/>
      <c r="T21" s="21"/>
      <c r="U21" s="21"/>
    </row>
    <row r="22" spans="1:21">
      <c r="A22" s="26" t="s">
        <v>103</v>
      </c>
      <c r="B22" s="27">
        <f>D22*I22/100*1.65</f>
        <v>0</v>
      </c>
      <c r="C22" s="99">
        <v>1.65</v>
      </c>
      <c r="D22" s="28">
        <f>F22-(F22-E22)*(I22-H22)/(G22-H22)</f>
        <v>0.99199999999999999</v>
      </c>
      <c r="E22" s="28">
        <f>IF(G22=0,L22,HLOOKUP(G22,dinhmuc,$J22,TRUE))</f>
        <v>0.99199999999999999</v>
      </c>
      <c r="F22" s="28">
        <f>IF(H22=0,M22,HLOOKUP(H22,dinhmuc,$J22,TRUE))</f>
        <v>0.99199999999999999</v>
      </c>
      <c r="G22" s="29">
        <f>IF(I22&lt;$L$12,0,INDEX(budget,MATCH(I22,budget,1)))</f>
        <v>0</v>
      </c>
      <c r="H22" s="27">
        <f>IF(I22&lt;$L$12,$L$12,INDEX(budget,MATCH(I22,budget,1)+1))</f>
        <v>7000000000</v>
      </c>
      <c r="I22" s="27">
        <f>$D$5</f>
        <v>0</v>
      </c>
      <c r="J22" s="83">
        <v>11</v>
      </c>
      <c r="K22" s="26" t="s">
        <v>104</v>
      </c>
      <c r="L22" s="28">
        <v>0.99199999999999999</v>
      </c>
      <c r="M22" s="28">
        <v>0.73899999999999999</v>
      </c>
      <c r="N22" s="28"/>
      <c r="O22" s="28"/>
      <c r="P22" s="30"/>
      <c r="Q22" s="28"/>
      <c r="R22" s="28"/>
      <c r="S22" s="28"/>
      <c r="T22" s="28"/>
      <c r="U22" s="28"/>
    </row>
    <row r="23" spans="1:21">
      <c r="A23" s="33" t="s">
        <v>105</v>
      </c>
      <c r="B23" s="27" t="e">
        <f>D23*I23/100</f>
        <v>#REF!</v>
      </c>
      <c r="C23" s="99"/>
      <c r="D23" s="28" t="e">
        <f>F23-(F23-E23)*(I23-H23)/(G23-H23)</f>
        <v>#REF!</v>
      </c>
      <c r="E23" s="28" t="e">
        <f>IF(G23=0,L23,HLOOKUP(G23,dinhmuc,$J23,TRUE))</f>
        <v>#REF!</v>
      </c>
      <c r="F23" s="28" t="e">
        <f>IF(H23=0,M23,HLOOKUP(H23,dinhmuc,$J23,TRUE))</f>
        <v>#REF!</v>
      </c>
      <c r="G23" s="29" t="e">
        <f>IF(I23&lt;$L$12,0,INDEX(budget,MATCH(I23,budget,1)))</f>
        <v>#REF!</v>
      </c>
      <c r="H23" s="27" t="e">
        <f>IF(I23&lt;$L$12,$L$12,INDEX(budget,MATCH(I23,budget,1)+1))</f>
        <v>#REF!</v>
      </c>
      <c r="I23" s="27" t="e">
        <f>$D$6</f>
        <v>#REF!</v>
      </c>
      <c r="J23" s="83">
        <v>12</v>
      </c>
      <c r="K23" s="26" t="s">
        <v>106</v>
      </c>
      <c r="L23" s="28">
        <v>3.64</v>
      </c>
      <c r="M23" s="28">
        <v>3.24</v>
      </c>
      <c r="N23" s="28"/>
      <c r="O23" s="28"/>
      <c r="P23" s="30"/>
      <c r="Q23" s="28"/>
      <c r="R23" s="28"/>
      <c r="S23" s="28"/>
      <c r="T23" s="28"/>
      <c r="U23" s="28"/>
    </row>
    <row r="24" spans="1:21" ht="28.5">
      <c r="A24" s="35" t="s">
        <v>113</v>
      </c>
      <c r="B24" s="22" t="e">
        <f>SUM(B25:B26)*C24</f>
        <v>#REF!</v>
      </c>
      <c r="C24" s="100">
        <f>C65*C66*C67*C68*C69*C70*C71</f>
        <v>1</v>
      </c>
      <c r="D24" s="36"/>
      <c r="E24" s="36"/>
      <c r="F24" s="36"/>
      <c r="G24" s="37"/>
      <c r="H24" s="38"/>
      <c r="I24" s="38"/>
      <c r="J24" s="83">
        <v>13</v>
      </c>
      <c r="K24" s="21" t="s">
        <v>114</v>
      </c>
      <c r="L24" s="21"/>
      <c r="M24" s="21"/>
      <c r="N24" s="21"/>
      <c r="O24" s="21"/>
      <c r="P24" s="21"/>
      <c r="Q24" s="21"/>
      <c r="R24" s="21"/>
      <c r="S24" s="21"/>
      <c r="T24" s="21"/>
      <c r="U24" s="21"/>
    </row>
    <row r="25" spans="1:21">
      <c r="A25" s="26" t="s">
        <v>103</v>
      </c>
      <c r="B25" s="27">
        <f>D25*I25/100</f>
        <v>0</v>
      </c>
      <c r="C25" s="99"/>
      <c r="D25" s="28">
        <f>F25-(F25-E25)*(I25-H25)/(G25-H25)</f>
        <v>1.4990000000000001</v>
      </c>
      <c r="E25" s="28">
        <f>IF(G25=0,L25,HLOOKUP(G25,dinhmuc,$J25,TRUE))</f>
        <v>1.4990000000000001</v>
      </c>
      <c r="F25" s="28">
        <f>IF(H25=0,M25,HLOOKUP(H25,dinhmuc,$J25,TRUE))</f>
        <v>1.4990000000000001</v>
      </c>
      <c r="G25" s="29">
        <f>IF(I25&lt;$L$12,0,INDEX(budget,MATCH(I25,budget,1)))</f>
        <v>0</v>
      </c>
      <c r="H25" s="27">
        <f>IF(I25&lt;$L$12,$L$12,INDEX(budget,MATCH(I25,budget,1)+1))</f>
        <v>7000000000</v>
      </c>
      <c r="I25" s="27">
        <f>$D$5</f>
        <v>0</v>
      </c>
      <c r="J25" s="83">
        <v>14</v>
      </c>
      <c r="K25" s="26" t="s">
        <v>104</v>
      </c>
      <c r="L25" s="28">
        <v>1.4990000000000001</v>
      </c>
      <c r="M25" s="28">
        <v>1.198</v>
      </c>
      <c r="N25" s="28">
        <v>0.99099999999999999</v>
      </c>
      <c r="O25" s="28">
        <v>0.82</v>
      </c>
      <c r="P25" s="30">
        <v>0.64600000000000002</v>
      </c>
      <c r="Q25" s="28">
        <v>0.52200000000000002</v>
      </c>
      <c r="R25" s="28">
        <v>0.46100000000000002</v>
      </c>
      <c r="S25" s="28">
        <v>0.41099999999999998</v>
      </c>
      <c r="T25" s="28">
        <v>0.32100000000000001</v>
      </c>
      <c r="U25" s="28">
        <v>0.24</v>
      </c>
    </row>
    <row r="26" spans="1:21">
      <c r="A26" s="26" t="s">
        <v>105</v>
      </c>
      <c r="B26" s="27" t="e">
        <f>D26*I26/100</f>
        <v>#REF!</v>
      </c>
      <c r="C26" s="99"/>
      <c r="D26" s="28" t="e">
        <f>F26-(F26-E26)*(I26-H26)/(G26-H26)</f>
        <v>#REF!</v>
      </c>
      <c r="E26" s="28" t="e">
        <f>IF(G26=0,L26,HLOOKUP(G26,dinhmuc,$J26,TRUE))</f>
        <v>#REF!</v>
      </c>
      <c r="F26" s="28" t="e">
        <f>IF(H26=0,M26,HLOOKUP(H26,dinhmuc,$J26,TRUE))</f>
        <v>#REF!</v>
      </c>
      <c r="G26" s="29" t="e">
        <f>IF(I26&lt;$L$12,0,INDEX(budget,MATCH(I26,budget,1)))</f>
        <v>#REF!</v>
      </c>
      <c r="H26" s="27" t="e">
        <f>IF(I26&lt;$L$12,$L$12,INDEX(budget,MATCH(I26,budget,1)+1))</f>
        <v>#REF!</v>
      </c>
      <c r="I26" s="27" t="e">
        <f>$D$7</f>
        <v>#REF!</v>
      </c>
      <c r="J26" s="83">
        <v>15</v>
      </c>
      <c r="K26" s="33" t="s">
        <v>106</v>
      </c>
      <c r="L26" s="34">
        <v>3.3759999999999999</v>
      </c>
      <c r="M26" s="34">
        <v>3.1549999999999998</v>
      </c>
      <c r="N26" s="34">
        <v>3.0230000000000001</v>
      </c>
      <c r="O26" s="34">
        <v>2.847</v>
      </c>
      <c r="P26" s="40">
        <v>2.5059999999999998</v>
      </c>
      <c r="Q26" s="34">
        <v>2.2109999999999999</v>
      </c>
      <c r="R26" s="34">
        <v>2.0910000000000002</v>
      </c>
      <c r="S26" s="34">
        <v>1.9750000000000001</v>
      </c>
      <c r="T26" s="34"/>
      <c r="U26" s="34"/>
    </row>
    <row r="27" spans="1:21" ht="28.5">
      <c r="A27" s="35" t="s">
        <v>115</v>
      </c>
      <c r="B27" s="22" t="e">
        <f>IF(SUM(B28:B29)&lt;2000000,2000000,SUM(B28:B29))</f>
        <v>#REF!</v>
      </c>
      <c r="C27" s="100"/>
      <c r="D27" s="36"/>
      <c r="E27" s="36"/>
      <c r="F27" s="36"/>
      <c r="G27" s="37"/>
      <c r="H27" s="38"/>
      <c r="I27" s="38"/>
      <c r="J27" s="83">
        <v>16</v>
      </c>
      <c r="K27" s="35" t="s">
        <v>116</v>
      </c>
      <c r="L27" s="41"/>
      <c r="M27" s="41"/>
      <c r="N27" s="41"/>
      <c r="O27" s="41"/>
      <c r="P27" s="41"/>
      <c r="Q27" s="41"/>
      <c r="R27" s="41"/>
      <c r="S27" s="41"/>
      <c r="T27" s="41"/>
      <c r="U27" s="42"/>
    </row>
    <row r="28" spans="1:21">
      <c r="A28" s="26" t="s">
        <v>103</v>
      </c>
      <c r="B28" s="27">
        <f>D28*I28/100</f>
        <v>0</v>
      </c>
      <c r="C28" s="99"/>
      <c r="D28" s="28">
        <f>F28-(F28-E28)*(I28-H28)/(G28-H28)</f>
        <v>0.105</v>
      </c>
      <c r="E28" s="28">
        <f>IF(G28=0,L28,HLOOKUP(G28,dinhmuc,$J28,TRUE))</f>
        <v>0.105</v>
      </c>
      <c r="F28" s="28">
        <f>IF(H28=0,M28,HLOOKUP(H28,dinhmuc,$J28,TRUE))</f>
        <v>0.105</v>
      </c>
      <c r="G28" s="29">
        <f>IF(I28&lt;$L$12,0,INDEX(budget,MATCH(I28,budget,1)))</f>
        <v>0</v>
      </c>
      <c r="H28" s="27">
        <f>IF(I28&lt;$L$12,$L$12,INDEX(budget,MATCH(I28,budget,1)+1))</f>
        <v>7000000000</v>
      </c>
      <c r="I28" s="27">
        <f>$D$5</f>
        <v>0</v>
      </c>
      <c r="J28" s="83">
        <v>17</v>
      </c>
      <c r="K28" s="26" t="s">
        <v>104</v>
      </c>
      <c r="L28" s="39">
        <v>0.105</v>
      </c>
      <c r="M28" s="39">
        <v>7.3999999999999996E-2</v>
      </c>
      <c r="N28" s="39">
        <v>6.6000000000000003E-2</v>
      </c>
      <c r="O28" s="39">
        <v>5.8999999999999997E-2</v>
      </c>
      <c r="P28" s="43">
        <v>4.7E-2</v>
      </c>
      <c r="Q28" s="39">
        <v>3.5000000000000003E-2</v>
      </c>
      <c r="R28" s="39">
        <v>0.03</v>
      </c>
      <c r="S28" s="39">
        <v>2.5999999999999999E-2</v>
      </c>
      <c r="T28" s="39">
        <v>1.52E-2</v>
      </c>
      <c r="U28" s="39">
        <v>1.4200000000000001E-2</v>
      </c>
    </row>
    <row r="29" spans="1:21">
      <c r="A29" s="26" t="s">
        <v>105</v>
      </c>
      <c r="B29" s="27" t="e">
        <f>D29*I29/100</f>
        <v>#REF!</v>
      </c>
      <c r="C29" s="99"/>
      <c r="D29" s="28" t="e">
        <f>F29-(F29-E29)*(I29-H29)/(G29-H29)</f>
        <v>#REF!</v>
      </c>
      <c r="E29" s="28" t="e">
        <f>IF(G29=0,L29,HLOOKUP(G29,dinhmuc,$J29,TRUE))</f>
        <v>#REF!</v>
      </c>
      <c r="F29" s="28" t="e">
        <f>IF(H29=0,M29,HLOOKUP(H29,dinhmuc,$J29,TRUE))</f>
        <v>#REF!</v>
      </c>
      <c r="G29" s="29" t="e">
        <f>IF(I29&lt;$L$12,0,INDEX(budget,MATCH(I29,budget,1)))</f>
        <v>#REF!</v>
      </c>
      <c r="H29" s="27" t="e">
        <f>IF(I29&lt;$L$12,$L$12,INDEX(budget,MATCH(I29,budget,1)+1))</f>
        <v>#REF!</v>
      </c>
      <c r="I29" s="27" t="e">
        <f>$D$6</f>
        <v>#REF!</v>
      </c>
      <c r="J29" s="83">
        <v>18</v>
      </c>
      <c r="K29" s="26" t="s">
        <v>106</v>
      </c>
      <c r="L29" s="39">
        <v>0.126</v>
      </c>
      <c r="M29" s="39">
        <v>8.7999999999999995E-2</v>
      </c>
      <c r="N29" s="39">
        <v>8.5000000000000006E-2</v>
      </c>
      <c r="O29" s="39">
        <v>7.6999999999999999E-2</v>
      </c>
      <c r="P29" s="43">
        <v>6.5000000000000002E-2</v>
      </c>
      <c r="Q29" s="39">
        <v>5.0999999999999997E-2</v>
      </c>
      <c r="R29" s="39">
        <v>4.2000000000000003E-2</v>
      </c>
      <c r="S29" s="39">
        <v>3.5999999999999997E-2</v>
      </c>
      <c r="T29" s="39" t="s">
        <v>117</v>
      </c>
      <c r="U29" s="39"/>
    </row>
    <row r="30" spans="1:21" ht="28.5">
      <c r="A30" s="35" t="s">
        <v>118</v>
      </c>
      <c r="B30" s="22" t="e">
        <f>IF(SUM(B31:B32)&lt;2000000,2000000,SUM(B31:B32))</f>
        <v>#REF!</v>
      </c>
      <c r="C30" s="100"/>
      <c r="D30" s="36"/>
      <c r="E30" s="36"/>
      <c r="F30" s="36"/>
      <c r="G30" s="37"/>
      <c r="H30" s="38"/>
      <c r="I30" s="38"/>
      <c r="J30" s="83">
        <v>19</v>
      </c>
      <c r="K30" s="35"/>
      <c r="L30" s="41"/>
      <c r="M30" s="41"/>
      <c r="N30" s="41"/>
      <c r="O30" s="41"/>
      <c r="P30" s="41"/>
      <c r="Q30" s="41"/>
      <c r="R30" s="41"/>
      <c r="S30" s="41"/>
      <c r="T30" s="41"/>
      <c r="U30" s="42"/>
    </row>
    <row r="31" spans="1:21">
      <c r="A31" s="26" t="s">
        <v>103</v>
      </c>
      <c r="B31" s="27">
        <f>B34*70%+B37*70%+B28*40%</f>
        <v>0</v>
      </c>
      <c r="C31" s="99"/>
      <c r="D31" s="28"/>
      <c r="E31" s="28"/>
      <c r="F31" s="28"/>
      <c r="G31" s="29"/>
      <c r="H31" s="27"/>
      <c r="I31" s="27"/>
      <c r="J31" s="83">
        <v>20</v>
      </c>
      <c r="K31" s="26"/>
      <c r="L31" s="39"/>
      <c r="M31" s="39"/>
      <c r="N31" s="39"/>
      <c r="O31" s="39"/>
      <c r="P31" s="43"/>
      <c r="Q31" s="39"/>
      <c r="R31" s="39"/>
      <c r="S31" s="39"/>
      <c r="T31" s="39"/>
      <c r="U31" s="39"/>
    </row>
    <row r="32" spans="1:21">
      <c r="A32" s="26" t="s">
        <v>105</v>
      </c>
      <c r="B32" s="27" t="e">
        <f>B35*70%+B38*70%+B29*40%</f>
        <v>#REF!</v>
      </c>
      <c r="C32" s="99"/>
      <c r="D32" s="28"/>
      <c r="E32" s="28"/>
      <c r="F32" s="28"/>
      <c r="G32" s="29"/>
      <c r="H32" s="27"/>
      <c r="I32" s="27"/>
      <c r="J32" s="83">
        <v>21</v>
      </c>
      <c r="K32" s="26"/>
      <c r="L32" s="39"/>
      <c r="M32" s="39"/>
      <c r="N32" s="39"/>
      <c r="O32" s="39"/>
      <c r="P32" s="43"/>
      <c r="Q32" s="39"/>
      <c r="R32" s="39"/>
      <c r="S32" s="39"/>
      <c r="T32" s="39"/>
      <c r="U32" s="39"/>
    </row>
    <row r="33" spans="1:21" ht="42.75">
      <c r="A33" s="21" t="s">
        <v>119</v>
      </c>
      <c r="B33" s="22" t="e">
        <f>IF(SUM(B34:B35)&lt;2000000,2000000,SUM(B34:B35))</f>
        <v>#REF!</v>
      </c>
      <c r="C33" s="98"/>
      <c r="D33" s="31"/>
      <c r="E33" s="31"/>
      <c r="F33" s="31"/>
      <c r="G33" s="32"/>
      <c r="H33" s="22"/>
      <c r="I33" s="22"/>
      <c r="J33" s="83">
        <v>22</v>
      </c>
      <c r="K33" s="35" t="s">
        <v>120</v>
      </c>
      <c r="L33" s="41"/>
      <c r="M33" s="41"/>
      <c r="N33" s="41"/>
      <c r="O33" s="41"/>
      <c r="P33" s="41"/>
      <c r="Q33" s="41"/>
      <c r="R33" s="41"/>
      <c r="S33" s="41"/>
      <c r="T33" s="41"/>
      <c r="U33" s="42"/>
    </row>
    <row r="34" spans="1:21">
      <c r="A34" s="26" t="s">
        <v>103</v>
      </c>
      <c r="B34" s="27">
        <f>D34*I34/100</f>
        <v>0</v>
      </c>
      <c r="C34" s="99"/>
      <c r="D34" s="28">
        <f>F34-(F34-E34)*(I34-H34)/(G34-H34)</f>
        <v>8.6999999999999994E-2</v>
      </c>
      <c r="E34" s="28">
        <f>IF(G34=0,L34,HLOOKUP(G34,dinhmuc,$J34,TRUE))</f>
        <v>8.6999999999999994E-2</v>
      </c>
      <c r="F34" s="28">
        <f>IF(H34=0,M34,HLOOKUP(H34,dinhmuc,$J34,TRUE))</f>
        <v>8.6999999999999994E-2</v>
      </c>
      <c r="G34" s="29">
        <f>IF(I34&lt;$L$12,0,INDEX(budget,MATCH(I34,budget,1)))</f>
        <v>0</v>
      </c>
      <c r="H34" s="27">
        <f>IF(I34&lt;$L$12,$L$12,INDEX(budget,MATCH(I34,budget,1)+1))</f>
        <v>7000000000</v>
      </c>
      <c r="I34" s="27">
        <f>$D$5</f>
        <v>0</v>
      </c>
      <c r="J34" s="83">
        <v>23</v>
      </c>
      <c r="K34" s="26" t="s">
        <v>104</v>
      </c>
      <c r="L34" s="39">
        <v>8.6999999999999994E-2</v>
      </c>
      <c r="M34" s="39">
        <v>6.0999999999999999E-2</v>
      </c>
      <c r="N34" s="39">
        <v>5.3999999999999999E-2</v>
      </c>
      <c r="O34" s="39">
        <v>4.2999999999999997E-2</v>
      </c>
      <c r="P34" s="39">
        <v>0.03</v>
      </c>
      <c r="Q34" s="39">
        <v>2.1999999999999999E-2</v>
      </c>
      <c r="R34" s="39">
        <v>1.9E-2</v>
      </c>
      <c r="S34" s="39">
        <v>1.6E-2</v>
      </c>
      <c r="T34" s="39">
        <v>1.0999999999999999E-2</v>
      </c>
      <c r="U34" s="39">
        <v>8.0000000000000002E-3</v>
      </c>
    </row>
    <row r="35" spans="1:21">
      <c r="A35" s="26" t="s">
        <v>105</v>
      </c>
      <c r="B35" s="27" t="e">
        <f>D35*I35/100</f>
        <v>#REF!</v>
      </c>
      <c r="C35" s="99"/>
      <c r="D35" s="28" t="e">
        <f>F35-(F35-E35)*(I35-H35)/(G35-H35)</f>
        <v>#REF!</v>
      </c>
      <c r="E35" s="28" t="e">
        <f>IF(G35=0,L35,HLOOKUP(G35,dinhmuc,$J35,TRUE))</f>
        <v>#REF!</v>
      </c>
      <c r="F35" s="28" t="e">
        <f>IF(H35=0,M35,HLOOKUP(H35,dinhmuc,$J35,TRUE))</f>
        <v>#REF!</v>
      </c>
      <c r="G35" s="29" t="e">
        <f>IF(I35&lt;$L$12,0,INDEX(budget,MATCH(I35,budget,1)))</f>
        <v>#REF!</v>
      </c>
      <c r="H35" s="27" t="e">
        <f>IF(I35&lt;$L$12,$L$12,INDEX(budget,MATCH(I35,budget,1)+1))</f>
        <v>#REF!</v>
      </c>
      <c r="I35" s="27" t="e">
        <f>$D$7</f>
        <v>#REF!</v>
      </c>
      <c r="J35" s="83">
        <v>24</v>
      </c>
      <c r="K35" s="26" t="s">
        <v>106</v>
      </c>
      <c r="L35" s="39">
        <v>9.5000000000000001E-2</v>
      </c>
      <c r="M35" s="39">
        <v>6.6000000000000003E-2</v>
      </c>
      <c r="N35" s="39">
        <v>5.8999999999999997E-2</v>
      </c>
      <c r="O35" s="39">
        <v>4.7E-2</v>
      </c>
      <c r="P35" s="39">
        <v>3.2000000000000001E-2</v>
      </c>
      <c r="Q35" s="39">
        <v>2.4E-2</v>
      </c>
      <c r="R35" s="39">
        <v>0.02</v>
      </c>
      <c r="S35" s="39">
        <v>1.7000000000000001E-2</v>
      </c>
      <c r="T35" s="39"/>
      <c r="U35" s="39"/>
    </row>
    <row r="36" spans="1:21" ht="28.5">
      <c r="A36" s="21" t="s">
        <v>121</v>
      </c>
      <c r="B36" s="22" t="e">
        <f>IF(SUM(B37:B38)&lt;2000000,2000000,SUM(B37:B38))</f>
        <v>#REF!</v>
      </c>
      <c r="C36" s="98"/>
      <c r="D36" s="31"/>
      <c r="E36" s="31"/>
      <c r="F36" s="31"/>
      <c r="G36" s="32"/>
      <c r="H36" s="22"/>
      <c r="I36" s="22"/>
      <c r="J36" s="83">
        <v>25</v>
      </c>
      <c r="K36" s="21" t="s">
        <v>122</v>
      </c>
      <c r="L36" s="21"/>
      <c r="M36" s="21"/>
      <c r="N36" s="21"/>
      <c r="O36" s="21"/>
      <c r="P36" s="21"/>
      <c r="Q36" s="21"/>
      <c r="R36" s="21"/>
      <c r="S36" s="21"/>
      <c r="T36" s="21"/>
      <c r="U36" s="21"/>
    </row>
    <row r="37" spans="1:21">
      <c r="A37" s="26" t="s">
        <v>103</v>
      </c>
      <c r="B37" s="27">
        <f>D37*I37/100</f>
        <v>0</v>
      </c>
      <c r="C37" s="99"/>
      <c r="D37" s="39">
        <f>F37-(F37-E37)*(I37-H37)/(G37-H37)</f>
        <v>7.8E-2</v>
      </c>
      <c r="E37" s="28">
        <f>IF(G37=0,L37,HLOOKUP(G37,dinhmuc,$J37,TRUE))</f>
        <v>7.8E-2</v>
      </c>
      <c r="F37" s="28">
        <f>IF(H37=0,M37,HLOOKUP(H37,dinhmuc,$J37,TRUE))</f>
        <v>7.8E-2</v>
      </c>
      <c r="G37" s="29">
        <f>IF(I37&lt;$L$12,0,INDEX(budget,MATCH(I37,budget,1)))</f>
        <v>0</v>
      </c>
      <c r="H37" s="27">
        <f>IF(I37&lt;$L$12,$L$12,INDEX(budget,MATCH(I37,budget,1)+1))</f>
        <v>7000000000</v>
      </c>
      <c r="I37" s="27">
        <f>$D$5</f>
        <v>0</v>
      </c>
      <c r="J37" s="83">
        <v>26</v>
      </c>
      <c r="K37" s="26" t="s">
        <v>104</v>
      </c>
      <c r="L37" s="39">
        <v>7.8E-2</v>
      </c>
      <c r="M37" s="39">
        <v>0.05</v>
      </c>
      <c r="N37" s="39">
        <v>4.3999999999999997E-2</v>
      </c>
      <c r="O37" s="39">
        <v>3.4000000000000002E-2</v>
      </c>
      <c r="P37" s="39">
        <v>2.5999999999999999E-2</v>
      </c>
      <c r="Q37" s="39">
        <v>1.7999999999999999E-2</v>
      </c>
      <c r="R37" s="39">
        <v>1.4999999999999999E-2</v>
      </c>
      <c r="S37" s="39">
        <v>1.2999999999999999E-2</v>
      </c>
      <c r="T37" s="39">
        <v>0.01</v>
      </c>
      <c r="U37" s="39">
        <v>7.0000000000000001E-3</v>
      </c>
    </row>
    <row r="38" spans="1:21">
      <c r="A38" s="26" t="s">
        <v>105</v>
      </c>
      <c r="B38" s="27" t="e">
        <f>D38*I38/100</f>
        <v>#REF!</v>
      </c>
      <c r="C38" s="99"/>
      <c r="D38" s="39" t="e">
        <f>F38-(F38-E38)*(I38-H38)/(G38-H38)</f>
        <v>#REF!</v>
      </c>
      <c r="E38" s="28" t="e">
        <f>IF(G38=0,L38,HLOOKUP(G38,dinhmuc,$J38,TRUE))</f>
        <v>#REF!</v>
      </c>
      <c r="F38" s="28" t="e">
        <f>IF(H38=0,M38,HLOOKUP(H38,dinhmuc,$J38,TRUE))</f>
        <v>#REF!</v>
      </c>
      <c r="G38" s="29" t="e">
        <f>IF(I38&lt;$L$12,0,INDEX(budget,MATCH(I38,budget,1)))</f>
        <v>#REF!</v>
      </c>
      <c r="H38" s="27" t="e">
        <f>IF(I38&lt;$L$12,$L$12,INDEX(budget,MATCH(I38,budget,1)+1))</f>
        <v>#REF!</v>
      </c>
      <c r="I38" s="27" t="e">
        <f>$D$7</f>
        <v>#REF!</v>
      </c>
      <c r="J38" s="83">
        <v>27</v>
      </c>
      <c r="K38" s="26" t="s">
        <v>106</v>
      </c>
      <c r="L38" s="39">
        <v>8.5000000000000006E-2</v>
      </c>
      <c r="M38" s="39">
        <v>5.3999999999999999E-2</v>
      </c>
      <c r="N38" s="39">
        <v>4.8000000000000001E-2</v>
      </c>
      <c r="O38" s="39">
        <v>3.6999999999999998E-2</v>
      </c>
      <c r="P38" s="39">
        <v>2.8000000000000001E-2</v>
      </c>
      <c r="Q38" s="39">
        <v>1.9E-2</v>
      </c>
      <c r="R38" s="39">
        <v>1.6E-2</v>
      </c>
      <c r="S38" s="39">
        <v>1.4E-2</v>
      </c>
      <c r="T38" s="39"/>
      <c r="U38" s="39"/>
    </row>
    <row r="39" spans="1:21" ht="28.5">
      <c r="A39" s="21" t="s">
        <v>123</v>
      </c>
      <c r="B39" s="45">
        <f>IF(B40&lt;5000000,5000000,B40)</f>
        <v>5000000</v>
      </c>
      <c r="C39" s="101"/>
      <c r="D39" s="46"/>
      <c r="E39" s="46"/>
      <c r="F39" s="46"/>
      <c r="G39" s="32"/>
      <c r="H39" s="45"/>
      <c r="I39" s="45"/>
      <c r="J39" s="83">
        <v>28</v>
      </c>
      <c r="K39" s="21" t="s">
        <v>124</v>
      </c>
      <c r="L39" s="21"/>
      <c r="M39" s="21"/>
      <c r="N39" s="21"/>
      <c r="O39" s="21"/>
      <c r="P39" s="21"/>
      <c r="Q39" s="21"/>
      <c r="R39" s="21"/>
      <c r="S39" s="21"/>
      <c r="T39" s="21"/>
      <c r="U39" s="21"/>
    </row>
    <row r="40" spans="1:21">
      <c r="A40" s="26" t="s">
        <v>103</v>
      </c>
      <c r="B40" s="27">
        <f>D40*I40/100</f>
        <v>0</v>
      </c>
      <c r="C40" s="99"/>
      <c r="D40" s="39">
        <f>F40-(F40-E40)*(I40-H40)/(G40-H40)</f>
        <v>0.36199999999999999</v>
      </c>
      <c r="E40" s="28">
        <f>IF(G40=0,L40,HLOOKUP(G40,dinhmuc,$J40,TRUE))</f>
        <v>0.36199999999999999</v>
      </c>
      <c r="F40" s="28">
        <f>IF(H40=0,M40,HLOOKUP(H40,dinhmuc,$J40,TRUE))</f>
        <v>0.36199999999999999</v>
      </c>
      <c r="G40" s="29">
        <f>IF(I40&lt;$L$12,0,INDEX(budget,MATCH(I40,budget,1)))</f>
        <v>0</v>
      </c>
      <c r="H40" s="27">
        <f>IF(I40&lt;$L$12,$L$12,INDEX(budget,MATCH(I40,budget,1)+1))</f>
        <v>7000000000</v>
      </c>
      <c r="I40" s="27">
        <f>D4</f>
        <v>0</v>
      </c>
      <c r="J40" s="83">
        <v>29</v>
      </c>
      <c r="K40" s="26" t="s">
        <v>104</v>
      </c>
      <c r="L40" s="39">
        <v>0.36199999999999999</v>
      </c>
      <c r="M40" s="39">
        <v>0.33900000000000002</v>
      </c>
      <c r="N40" s="39">
        <v>0.30499999999999999</v>
      </c>
      <c r="O40" s="39">
        <v>0.255</v>
      </c>
      <c r="P40" s="39">
        <v>0.16400000000000001</v>
      </c>
      <c r="Q40" s="39">
        <v>9.9000000000000005E-2</v>
      </c>
      <c r="R40" s="39">
        <v>7.9000000000000001E-2</v>
      </c>
      <c r="S40" s="39">
        <v>6.3E-2</v>
      </c>
      <c r="T40" s="39">
        <v>4.7E-2</v>
      </c>
      <c r="U40" s="39">
        <v>2.8000000000000001E-2</v>
      </c>
    </row>
    <row r="41" spans="1:21" ht="28.5">
      <c r="A41" s="35" t="s">
        <v>125</v>
      </c>
      <c r="B41" s="22" t="e">
        <f>IF(SUM(B42:B43)&lt;5000000,5000000,SUM(B42:B43))</f>
        <v>#REF!</v>
      </c>
      <c r="C41" s="100"/>
      <c r="D41" s="36"/>
      <c r="E41" s="36"/>
      <c r="F41" s="36"/>
      <c r="G41" s="37"/>
      <c r="H41" s="38"/>
      <c r="I41" s="38"/>
      <c r="J41" s="83">
        <v>30</v>
      </c>
      <c r="K41" s="21" t="s">
        <v>126</v>
      </c>
      <c r="L41" s="21"/>
      <c r="M41" s="21"/>
      <c r="N41" s="21"/>
      <c r="O41" s="21"/>
      <c r="P41" s="21"/>
      <c r="Q41" s="21"/>
      <c r="R41" s="21"/>
      <c r="S41" s="21"/>
      <c r="T41" s="21"/>
      <c r="U41" s="21"/>
    </row>
    <row r="42" spans="1:21">
      <c r="A42" s="26" t="s">
        <v>103</v>
      </c>
      <c r="B42" s="27">
        <f>D42*I42/100</f>
        <v>0</v>
      </c>
      <c r="C42" s="99"/>
      <c r="D42" s="39">
        <f>F42-(F42-E42)*(I42-H42)/(G42-H42)</f>
        <v>0.28299999999999997</v>
      </c>
      <c r="E42" s="28">
        <f>IF(G42=0,L42,HLOOKUP(G42,dinhmuc,$J42,TRUE))</f>
        <v>0.28299999999999997</v>
      </c>
      <c r="F42" s="28">
        <f>IF(H42=0,M42,HLOOKUP(H42,dinhmuc,$J42,TRUE))</f>
        <v>0.28299999999999997</v>
      </c>
      <c r="G42" s="29">
        <f>IF(I42&lt;$L$12,0,INDEX(budget,MATCH(I42,budget,1)))</f>
        <v>0</v>
      </c>
      <c r="H42" s="27">
        <f>IF(I42&lt;$L$12,$L$12,INDEX(budget,MATCH(I42,budget,1)+1))</f>
        <v>7000000000</v>
      </c>
      <c r="I42" s="27">
        <f>$D$5</f>
        <v>0</v>
      </c>
      <c r="J42" s="83">
        <v>31</v>
      </c>
      <c r="K42" s="26" t="s">
        <v>104</v>
      </c>
      <c r="L42" s="39">
        <v>0.28299999999999997</v>
      </c>
      <c r="M42" s="39">
        <v>0.22800000000000001</v>
      </c>
      <c r="N42" s="39">
        <v>0.20599999999999999</v>
      </c>
      <c r="O42" s="39">
        <v>0.17199999999999999</v>
      </c>
      <c r="P42" s="39">
        <v>0.12</v>
      </c>
      <c r="Q42" s="39">
        <v>7.8E-2</v>
      </c>
      <c r="R42" s="39">
        <v>7.1999999999999995E-2</v>
      </c>
      <c r="S42" s="39">
        <v>6.4000000000000001E-2</v>
      </c>
      <c r="T42" s="39">
        <v>5.2999999999999999E-2</v>
      </c>
      <c r="U42" s="39">
        <v>4.1000000000000002E-2</v>
      </c>
    </row>
    <row r="43" spans="1:21">
      <c r="A43" s="33" t="s">
        <v>105</v>
      </c>
      <c r="B43" s="27" t="e">
        <f>D43*I43/100</f>
        <v>#REF!</v>
      </c>
      <c r="C43" s="99"/>
      <c r="D43" s="39" t="e">
        <f>F43-(F43-E43)*(I43-H43)/(G43-H43)</f>
        <v>#REF!</v>
      </c>
      <c r="E43" s="28" t="e">
        <f>IF(G43=0,L43,HLOOKUP(G43,dinhmuc,$J43,TRUE))</f>
        <v>#REF!</v>
      </c>
      <c r="F43" s="28" t="e">
        <f>IF(H43=0,M43,HLOOKUP(H43,dinhmuc,$J43,TRUE))</f>
        <v>#REF!</v>
      </c>
      <c r="G43" s="29" t="e">
        <f>IF(I43&lt;$L$12,0,INDEX(budget,MATCH(I43,budget,1)))</f>
        <v>#REF!</v>
      </c>
      <c r="H43" s="27" t="e">
        <f>IF(I43&lt;$L$12,$L$12,INDEX(budget,MATCH(I43,budget,1)+1))</f>
        <v>#REF!</v>
      </c>
      <c r="I43" s="27" t="e">
        <f>$D$6</f>
        <v>#REF!</v>
      </c>
      <c r="J43" s="83">
        <v>32</v>
      </c>
      <c r="K43" s="33" t="s">
        <v>106</v>
      </c>
      <c r="L43" s="48">
        <v>0.40500000000000003</v>
      </c>
      <c r="M43" s="48">
        <v>0.33600000000000002</v>
      </c>
      <c r="N43" s="48">
        <v>0.311</v>
      </c>
      <c r="O43" s="48">
        <v>0.26500000000000001</v>
      </c>
      <c r="P43" s="48">
        <v>0.182</v>
      </c>
      <c r="Q43" s="48">
        <v>0.11899999999999999</v>
      </c>
      <c r="R43" s="48">
        <v>0.109</v>
      </c>
      <c r="S43" s="48">
        <v>0.10199999999999999</v>
      </c>
      <c r="T43" s="48"/>
      <c r="U43" s="48"/>
    </row>
    <row r="44" spans="1:21">
      <c r="A44" s="24" t="s">
        <v>127</v>
      </c>
      <c r="B44" s="49" t="e">
        <f>IF(SUM(B45:B46)*C44&lt;10000000,10000000,SUM(B45:B46)*C44)</f>
        <v>#REF!</v>
      </c>
      <c r="C44" s="102">
        <f>C74</f>
        <v>1</v>
      </c>
      <c r="D44" s="50"/>
      <c r="E44" s="50"/>
      <c r="F44" s="50"/>
      <c r="G44" s="51"/>
      <c r="H44" s="49"/>
      <c r="I44" s="49"/>
      <c r="J44" s="83">
        <v>33</v>
      </c>
      <c r="K44" s="52" t="s">
        <v>128</v>
      </c>
      <c r="L44" s="53"/>
      <c r="M44" s="53"/>
      <c r="N44" s="53"/>
      <c r="O44" s="53"/>
      <c r="P44" s="53"/>
      <c r="Q44" s="53"/>
      <c r="R44" s="53"/>
      <c r="S44" s="53"/>
      <c r="T44" s="53"/>
      <c r="U44" s="54"/>
    </row>
    <row r="45" spans="1:21">
      <c r="A45" s="26" t="s">
        <v>103</v>
      </c>
      <c r="B45" s="27">
        <f>D45*I45/100</f>
        <v>0</v>
      </c>
      <c r="C45" s="99"/>
      <c r="D45" s="28">
        <f>F45-(F45-E45)*(I45-H45)/(G45-H45)</f>
        <v>0.71799999999999997</v>
      </c>
      <c r="E45" s="28">
        <f>IF(G45=0,L45,HLOOKUP(G45,dinhmuc,$J45,TRUE))</f>
        <v>0.71799999999999997</v>
      </c>
      <c r="F45" s="28">
        <f>IF(H45=0,M45,HLOOKUP(H45,dinhmuc,$J45,TRUE))</f>
        <v>0.71799999999999997</v>
      </c>
      <c r="G45" s="29">
        <f>IF(I45&lt;$L$12,0,INDEX(budget,MATCH(I45,budget,1)))</f>
        <v>0</v>
      </c>
      <c r="H45" s="27">
        <f>IF(I45&lt;$L$12,$L$12,INDEX(budget,MATCH(I45,budget,1)+1))</f>
        <v>7000000000</v>
      </c>
      <c r="I45" s="27">
        <f>$D$5</f>
        <v>0</v>
      </c>
      <c r="J45" s="83">
        <v>34</v>
      </c>
      <c r="K45" s="26" t="s">
        <v>104</v>
      </c>
      <c r="L45" s="39">
        <v>0.71799999999999997</v>
      </c>
      <c r="M45" s="39">
        <v>0.60199999999999998</v>
      </c>
      <c r="N45" s="39">
        <v>0.58299999999999996</v>
      </c>
      <c r="O45" s="39">
        <v>0.52329999999999999</v>
      </c>
      <c r="P45" s="39">
        <v>0.46800000000000003</v>
      </c>
      <c r="Q45" s="39">
        <v>0.311</v>
      </c>
      <c r="R45" s="39">
        <v>0.27800000000000002</v>
      </c>
      <c r="S45" s="39">
        <v>0.25</v>
      </c>
      <c r="T45" s="39">
        <v>0.217</v>
      </c>
      <c r="U45" s="39">
        <v>0.14299999999999999</v>
      </c>
    </row>
    <row r="46" spans="1:21">
      <c r="A46" s="142" t="s">
        <v>105</v>
      </c>
      <c r="B46" s="143" t="e">
        <f>D46*I46/100</f>
        <v>#REF!</v>
      </c>
      <c r="C46" s="99"/>
      <c r="D46" s="28" t="e">
        <f>F46-(F46-E46)*(I46-H46)/(G46-H46)</f>
        <v>#REF!</v>
      </c>
      <c r="E46" s="28" t="e">
        <f>IF(G46=0,L46,HLOOKUP(G46,dinhmuc,$J46,TRUE))</f>
        <v>#REF!</v>
      </c>
      <c r="F46" s="28" t="e">
        <f>IF(H46=0,M46,HLOOKUP(H46,dinhmuc,$J46,TRUE))</f>
        <v>#REF!</v>
      </c>
      <c r="G46" s="29" t="e">
        <f>IF(I46&lt;$L$12,0,INDEX(budget,MATCH(I46,budget,1)))</f>
        <v>#REF!</v>
      </c>
      <c r="H46" s="27" t="e">
        <f>IF(I46&lt;$L$12,$L$12,INDEX(budget,MATCH(I46,budget,1)+1))</f>
        <v>#REF!</v>
      </c>
      <c r="I46" s="27" t="e">
        <f>$D$6</f>
        <v>#REF!</v>
      </c>
      <c r="J46" s="83">
        <v>35</v>
      </c>
      <c r="K46" s="26" t="s">
        <v>106</v>
      </c>
      <c r="L46" s="39">
        <v>2.0630000000000002</v>
      </c>
      <c r="M46" s="39">
        <v>1.931</v>
      </c>
      <c r="N46" s="39">
        <v>1.833</v>
      </c>
      <c r="O46" s="39">
        <v>1.736</v>
      </c>
      <c r="P46" s="39">
        <v>1.595</v>
      </c>
      <c r="Q46" s="39">
        <v>1.22</v>
      </c>
      <c r="R46" s="39">
        <v>1.091</v>
      </c>
      <c r="S46" s="39">
        <v>0.95599999999999996</v>
      </c>
      <c r="T46" s="39"/>
      <c r="U46" s="39"/>
    </row>
    <row r="47" spans="1:21">
      <c r="A47" s="123" t="s">
        <v>129</v>
      </c>
      <c r="B47" s="124" t="e">
        <f>MAX(I47*D47/100,1000000)</f>
        <v>#REF!</v>
      </c>
      <c r="C47" s="103"/>
      <c r="D47" s="107">
        <v>0.05</v>
      </c>
      <c r="E47" s="57"/>
      <c r="F47" s="57"/>
      <c r="G47" s="58"/>
      <c r="H47" s="55"/>
      <c r="I47" s="55" t="e">
        <f>$D$3</f>
        <v>#REF!</v>
      </c>
      <c r="K47" s="284" t="s">
        <v>130</v>
      </c>
      <c r="L47" s="284"/>
      <c r="M47" s="284"/>
      <c r="N47" s="284"/>
      <c r="O47" s="284"/>
    </row>
    <row r="48" spans="1:21">
      <c r="A48" s="123" t="s">
        <v>131</v>
      </c>
      <c r="B48" s="124" t="e">
        <f>MAX(I48*D48/100,1000000)</f>
        <v>#REF!</v>
      </c>
      <c r="C48" s="103"/>
      <c r="D48" s="107">
        <v>0.05</v>
      </c>
      <c r="E48" s="57"/>
      <c r="F48" s="57"/>
      <c r="G48" s="58"/>
      <c r="H48" s="55"/>
      <c r="I48" s="55" t="e">
        <f>$D$3</f>
        <v>#REF!</v>
      </c>
      <c r="J48" s="83">
        <v>1</v>
      </c>
      <c r="K48" s="60" t="s">
        <v>132</v>
      </c>
      <c r="L48" s="61">
        <v>5000000000</v>
      </c>
      <c r="M48" s="61">
        <v>10000000000</v>
      </c>
      <c r="N48" s="61">
        <v>50000000000</v>
      </c>
      <c r="O48" s="61">
        <v>100000000000</v>
      </c>
      <c r="P48" s="61">
        <v>500000000000</v>
      </c>
      <c r="Q48" s="61">
        <v>1000000000000</v>
      </c>
      <c r="R48" s="61">
        <v>10000000000000</v>
      </c>
      <c r="S48" s="96"/>
      <c r="T48" s="96"/>
    </row>
    <row r="49" spans="1:18">
      <c r="A49" s="121" t="s">
        <v>133</v>
      </c>
      <c r="B49" s="122" t="e">
        <f>IF(I49*D49/100*C49&lt;500000,500000,I49*D49/100*C49)</f>
        <v>#REF!</v>
      </c>
      <c r="C49" s="104">
        <f>C77*C78</f>
        <v>0.35</v>
      </c>
      <c r="D49" s="64" t="e">
        <f>F49-(F49-E49)*(I49-H49)/(G49-H49)</f>
        <v>#REF!</v>
      </c>
      <c r="E49" s="28" t="e">
        <f>IF(G49=0,L49,HLOOKUP(G49,pdqt,$J49,TRUE))</f>
        <v>#REF!</v>
      </c>
      <c r="F49" s="28" t="e">
        <f>IF(H49=0,M49,HLOOKUP(H49,pdqt,$J49,TRUE))</f>
        <v>#REF!</v>
      </c>
      <c r="G49" s="29" t="e">
        <f>IF(I49&lt;$L$48,0,INDEX(budget2,MATCH(I49,budget2,1)))</f>
        <v>#REF!</v>
      </c>
      <c r="H49" s="29" t="e">
        <f>IF(I49&lt;$L$48,$L$48,INDEX(budget2,MATCH(I49,budget2,1)+1))</f>
        <v>#REF!</v>
      </c>
      <c r="I49" s="106" t="e">
        <f>$D$1</f>
        <v>#REF!</v>
      </c>
      <c r="J49" s="83">
        <v>2</v>
      </c>
      <c r="K49" s="26" t="s">
        <v>134</v>
      </c>
      <c r="L49" s="66">
        <v>0.56999999999999995</v>
      </c>
      <c r="M49" s="66">
        <v>0.39</v>
      </c>
      <c r="N49" s="66">
        <v>0.28499999999999998</v>
      </c>
      <c r="O49" s="66">
        <v>0.22500000000000001</v>
      </c>
      <c r="P49" s="66">
        <v>0.13500000000000001</v>
      </c>
      <c r="Q49" s="66">
        <v>0.09</v>
      </c>
      <c r="R49" s="66">
        <v>4.8000000000000001E-2</v>
      </c>
    </row>
    <row r="50" spans="1:18">
      <c r="A50" s="121" t="s">
        <v>135</v>
      </c>
      <c r="B50" s="122" t="e">
        <f>IF(I50*D50/100*C50&lt;1000000,1000000,I50*D50/100*C50)</f>
        <v>#REF!</v>
      </c>
      <c r="C50" s="104">
        <f>C77</f>
        <v>0.7</v>
      </c>
      <c r="D50" s="64" t="e">
        <f>F50-(F50-E50)*(I50-H50)/(G50-H50)</f>
        <v>#REF!</v>
      </c>
      <c r="E50" s="28" t="e">
        <f>IF(G50=0,L50,HLOOKUP(G50,pdqt,$J50,TRUE))</f>
        <v>#REF!</v>
      </c>
      <c r="F50" s="28" t="e">
        <f>IF(H50=0,M50,HLOOKUP(H50,pdqt,$J50,TRUE))</f>
        <v>#REF!</v>
      </c>
      <c r="G50" s="29" t="e">
        <f>IF(I50&lt;$L$48,0,INDEX(budget2,MATCH(I50,budget2,1)))</f>
        <v>#REF!</v>
      </c>
      <c r="H50" s="29" t="e">
        <f>IF(I50&lt;$L$48,$L$48,INDEX(budget2,MATCH(I50,budget2,1)+1))</f>
        <v>#REF!</v>
      </c>
      <c r="I50" s="106" t="e">
        <f>$D$1</f>
        <v>#REF!</v>
      </c>
      <c r="J50" s="83">
        <v>3</v>
      </c>
      <c r="K50" s="26" t="s">
        <v>136</v>
      </c>
      <c r="L50" s="66">
        <v>0.96</v>
      </c>
      <c r="M50" s="66">
        <v>0.64500000000000002</v>
      </c>
      <c r="N50" s="66">
        <v>0.45</v>
      </c>
      <c r="O50" s="66">
        <v>0.34499999999999997</v>
      </c>
      <c r="P50" s="66">
        <v>0.19500000000000001</v>
      </c>
      <c r="Q50" s="66">
        <v>0.219</v>
      </c>
      <c r="R50" s="66">
        <v>6.9000000000000006E-2</v>
      </c>
    </row>
    <row r="51" spans="1:18">
      <c r="A51" s="288"/>
      <c r="B51" s="288"/>
      <c r="C51" s="288"/>
      <c r="D51" s="288"/>
      <c r="E51" s="288"/>
      <c r="F51" s="288"/>
      <c r="G51" s="288"/>
      <c r="H51" s="288"/>
      <c r="I51" s="288"/>
    </row>
    <row r="52" spans="1:18">
      <c r="H52" s="68"/>
    </row>
    <row r="53" spans="1:18">
      <c r="A53" s="118" t="s">
        <v>137</v>
      </c>
      <c r="B53" s="119"/>
      <c r="C53" s="119"/>
    </row>
    <row r="54" spans="1:18">
      <c r="A54" s="108" t="s">
        <v>138</v>
      </c>
      <c r="B54" s="17">
        <v>0</v>
      </c>
      <c r="C54" s="125">
        <f>IF(B54=0,1,1.35)</f>
        <v>1</v>
      </c>
      <c r="E54" s="69"/>
    </row>
    <row r="55" spans="1:18" ht="30">
      <c r="A55" s="108" t="s">
        <v>139</v>
      </c>
      <c r="B55" s="17">
        <v>0</v>
      </c>
      <c r="C55" s="125">
        <f>IF(B55=0,1,1.25)</f>
        <v>1</v>
      </c>
    </row>
    <row r="56" spans="1:18" ht="75">
      <c r="A56" s="108" t="s">
        <v>140</v>
      </c>
      <c r="B56" s="17">
        <v>0</v>
      </c>
      <c r="C56" s="125">
        <f>IF(B56=0,1,0.8)</f>
        <v>1</v>
      </c>
    </row>
    <row r="58" spans="1:18">
      <c r="A58" s="118" t="s">
        <v>141</v>
      </c>
      <c r="B58" s="120"/>
      <c r="C58" s="120"/>
    </row>
    <row r="59" spans="1:18" ht="30">
      <c r="A59" s="108" t="s">
        <v>142</v>
      </c>
      <c r="B59" s="17">
        <v>0</v>
      </c>
      <c r="C59" s="125">
        <f>IF(B59=0,1,1.2)</f>
        <v>1</v>
      </c>
    </row>
    <row r="60" spans="1:18" ht="30">
      <c r="A60" s="108" t="s">
        <v>143</v>
      </c>
      <c r="B60" s="17">
        <v>0</v>
      </c>
      <c r="C60" s="125">
        <f>IF(B60=0,1,0.75)</f>
        <v>1</v>
      </c>
    </row>
    <row r="61" spans="1:18" ht="30">
      <c r="A61" s="108" t="s">
        <v>139</v>
      </c>
      <c r="B61" s="17">
        <v>0</v>
      </c>
      <c r="C61" s="125">
        <f>IF(B61=0,1,1.3)</f>
        <v>1</v>
      </c>
    </row>
    <row r="62" spans="1:18" ht="75">
      <c r="A62" s="108" t="s">
        <v>140</v>
      </c>
      <c r="B62" s="17">
        <v>0</v>
      </c>
      <c r="C62" s="125">
        <f>IF(B62=0,1,0.7)</f>
        <v>1</v>
      </c>
    </row>
    <row r="64" spans="1:18">
      <c r="A64" s="118" t="s">
        <v>144</v>
      </c>
      <c r="B64" s="119"/>
      <c r="C64" s="119"/>
    </row>
    <row r="65" spans="1:3" ht="30">
      <c r="A65" s="108" t="s">
        <v>145</v>
      </c>
      <c r="B65" s="17">
        <v>0</v>
      </c>
      <c r="C65" s="125">
        <f>IF(B65=0,1,1.15)</f>
        <v>1</v>
      </c>
    </row>
    <row r="66" spans="1:3" ht="45">
      <c r="A66" s="108" t="s">
        <v>146</v>
      </c>
      <c r="B66" s="17">
        <v>0</v>
      </c>
      <c r="C66" s="125">
        <f>IF(B66=0,1,1.2)</f>
        <v>1</v>
      </c>
    </row>
    <row r="67" spans="1:3" ht="30">
      <c r="A67" s="108" t="s">
        <v>147</v>
      </c>
      <c r="B67" s="17">
        <v>0</v>
      </c>
      <c r="C67" s="125">
        <f>IF(B67=0,1,0.36)</f>
        <v>1</v>
      </c>
    </row>
    <row r="68" spans="1:3" ht="30">
      <c r="A68" s="108" t="s">
        <v>148</v>
      </c>
      <c r="B68" s="17">
        <v>0</v>
      </c>
      <c r="C68" s="125">
        <f>IF(B68=0,1,0.18)</f>
        <v>1</v>
      </c>
    </row>
    <row r="69" spans="1:3" ht="30">
      <c r="A69" s="108" t="s">
        <v>149</v>
      </c>
      <c r="B69" s="17">
        <v>0</v>
      </c>
      <c r="C69" s="125">
        <f>IF(B69=0,1,0.36)</f>
        <v>1</v>
      </c>
    </row>
    <row r="70" spans="1:3" ht="30">
      <c r="A70" s="108" t="s">
        <v>150</v>
      </c>
      <c r="B70" s="17">
        <v>0</v>
      </c>
      <c r="C70" s="125">
        <f>IF(B70=0,1,0.18)</f>
        <v>1</v>
      </c>
    </row>
    <row r="71" spans="1:3" ht="75">
      <c r="A71" s="108" t="s">
        <v>140</v>
      </c>
      <c r="B71" s="17">
        <v>0</v>
      </c>
      <c r="C71" s="125">
        <f>IF(B71=0,1,0.67)</f>
        <v>1</v>
      </c>
    </row>
    <row r="73" spans="1:3">
      <c r="A73" s="118" t="s">
        <v>151</v>
      </c>
      <c r="B73" s="119"/>
      <c r="C73" s="119"/>
    </row>
    <row r="74" spans="1:3" ht="75">
      <c r="A74" s="108" t="s">
        <v>140</v>
      </c>
      <c r="B74" s="17">
        <v>0</v>
      </c>
      <c r="C74" s="125">
        <f>IF(B74=0,1,0.67)</f>
        <v>1</v>
      </c>
    </row>
    <row r="76" spans="1:3">
      <c r="A76" s="118" t="s">
        <v>152</v>
      </c>
      <c r="B76" s="119"/>
      <c r="C76" s="119"/>
    </row>
    <row r="77" spans="1:3" ht="30">
      <c r="A77" s="108" t="s">
        <v>153</v>
      </c>
      <c r="B77" s="17">
        <v>1</v>
      </c>
      <c r="C77" s="125">
        <f>IF(B77=0,1,0.7)</f>
        <v>0.7</v>
      </c>
    </row>
    <row r="78" spans="1:3">
      <c r="A78" s="108" t="s">
        <v>154</v>
      </c>
      <c r="B78" s="17">
        <v>1</v>
      </c>
      <c r="C78" s="125">
        <f>IF(B78=0,1,0.5)</f>
        <v>0.5</v>
      </c>
    </row>
  </sheetData>
  <sheetProtection formatCells="0" formatColumns="0" formatRows="0" insertColumns="0" insertRows="0" insertHyperlinks="0" deleteColumns="0" deleteRows="0" sort="0" autoFilter="0" pivotTables="0"/>
  <mergeCells count="12">
    <mergeCell ref="B1:C1"/>
    <mergeCell ref="B3:C3"/>
    <mergeCell ref="B5:C5"/>
    <mergeCell ref="B6:C6"/>
    <mergeCell ref="B7:C7"/>
    <mergeCell ref="B2:C2"/>
    <mergeCell ref="B4:C4"/>
    <mergeCell ref="A9:I9"/>
    <mergeCell ref="K9:O9"/>
    <mergeCell ref="L11:U11"/>
    <mergeCell ref="K47:O47"/>
    <mergeCell ref="A51:I51"/>
  </mergeCells>
  <dataValidations count="1">
    <dataValidation type="list" allowBlank="1" showInputMessage="1" showErrorMessage="1" sqref="B65:B71 B54:B56 B59:B62 B74 B77:B78" xr:uid="{00000000-0002-0000-0200-000000000000}">
      <formula1>"0,1"</formula1>
    </dataValidation>
  </dataValidations>
  <pageMargins left="0.46" right="0.7" top="0.71" bottom="0.75" header="0.3" footer="0.3"/>
  <pageSetup paperSize="9" scale="60" orientation="landscape"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8"/>
  <sheetViews>
    <sheetView workbookViewId="0">
      <selection activeCell="E17" sqref="E17"/>
    </sheetView>
  </sheetViews>
  <sheetFormatPr defaultColWidth="8.7109375" defaultRowHeight="15"/>
  <cols>
    <col min="1" max="1" width="4.28515625" customWidth="1"/>
    <col min="2" max="2" width="28.7109375" customWidth="1"/>
    <col min="3" max="3" width="17.42578125" customWidth="1"/>
    <col min="4" max="4" width="14.42578125" customWidth="1"/>
  </cols>
  <sheetData>
    <row r="1" spans="1:5" ht="18.75">
      <c r="A1" s="295" t="s">
        <v>164</v>
      </c>
      <c r="B1" s="296"/>
      <c r="C1" s="296"/>
      <c r="D1" s="296"/>
      <c r="E1" s="296"/>
    </row>
    <row r="2" spans="1:5">
      <c r="A2" s="132"/>
      <c r="B2" s="132"/>
      <c r="C2" s="132"/>
      <c r="D2" s="132"/>
      <c r="E2" s="132"/>
    </row>
    <row r="3" spans="1:5" ht="15.75">
      <c r="A3" s="133" t="s">
        <v>48</v>
      </c>
      <c r="B3" s="133" t="s">
        <v>165</v>
      </c>
      <c r="C3" s="133" t="s">
        <v>166</v>
      </c>
      <c r="D3" s="133" t="s">
        <v>155</v>
      </c>
      <c r="E3" s="133" t="s">
        <v>167</v>
      </c>
    </row>
    <row r="4" spans="1:5" ht="15.75">
      <c r="A4" s="134">
        <v>1</v>
      </c>
      <c r="B4" s="135" t="s">
        <v>168</v>
      </c>
      <c r="C4" s="136" t="s">
        <v>169</v>
      </c>
      <c r="D4" s="137" t="e">
        <f>#REF!*#REF!</f>
        <v>#REF!</v>
      </c>
      <c r="E4" s="134" t="s">
        <v>170</v>
      </c>
    </row>
    <row r="5" spans="1:5" ht="15.75">
      <c r="A5" s="134">
        <v>2</v>
      </c>
      <c r="B5" s="135" t="s">
        <v>158</v>
      </c>
      <c r="C5" s="134" t="s">
        <v>171</v>
      </c>
      <c r="D5" s="137" t="e">
        <f>D4*65%</f>
        <v>#REF!</v>
      </c>
      <c r="E5" s="134" t="s">
        <v>159</v>
      </c>
    </row>
    <row r="6" spans="1:5" ht="15.75">
      <c r="A6" s="134">
        <v>3</v>
      </c>
      <c r="B6" s="135" t="s">
        <v>160</v>
      </c>
      <c r="C6" s="134" t="s">
        <v>172</v>
      </c>
      <c r="D6" s="137" t="e">
        <f>(D4+D5)*6%</f>
        <v>#REF!</v>
      </c>
      <c r="E6" s="134" t="s">
        <v>161</v>
      </c>
    </row>
    <row r="7" spans="1:5" ht="15.75">
      <c r="A7" s="134">
        <v>4</v>
      </c>
      <c r="B7" s="135" t="s">
        <v>72</v>
      </c>
      <c r="C7" s="134" t="s">
        <v>163</v>
      </c>
      <c r="D7" s="137" t="e">
        <f>SUM(D4:D6)</f>
        <v>#REF!</v>
      </c>
      <c r="E7" s="134" t="s">
        <v>173</v>
      </c>
    </row>
    <row r="8" spans="1:5" ht="15.75">
      <c r="A8" s="138"/>
      <c r="B8" s="139" t="s">
        <v>41</v>
      </c>
      <c r="C8" s="139" t="s">
        <v>173</v>
      </c>
      <c r="D8" s="140" t="e">
        <f>ROUND(D7,-3)</f>
        <v>#REF!</v>
      </c>
      <c r="E8" s="141"/>
    </row>
  </sheetData>
  <mergeCells count="1">
    <mergeCell ref="A1:E1"/>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E368"/>
  <sheetViews>
    <sheetView tabSelected="1" zoomScaleNormal="100" workbookViewId="0">
      <pane ySplit="1" topLeftCell="A2" activePane="bottomLeft" state="frozen"/>
      <selection activeCell="I14" sqref="I14"/>
      <selection pane="bottomLeft" activeCell="G6" sqref="G6"/>
    </sheetView>
  </sheetViews>
  <sheetFormatPr defaultColWidth="14.42578125" defaultRowHeight="16.5"/>
  <cols>
    <col min="1" max="1" width="8.28515625" style="242" customWidth="1"/>
    <col min="2" max="2" width="17" style="309" customWidth="1"/>
    <col min="3" max="3" width="16.85546875" style="309" customWidth="1"/>
    <col min="4" max="4" width="16.28515625" style="225" customWidth="1"/>
    <col min="5" max="5" width="71.28515625" style="225" customWidth="1"/>
    <col min="6" max="13" width="8.42578125" style="225" customWidth="1"/>
    <col min="14" max="16384" width="14.42578125" style="225"/>
  </cols>
  <sheetData>
    <row r="1" spans="1:5">
      <c r="A1" s="226" t="s">
        <v>0</v>
      </c>
      <c r="B1" s="244" t="s">
        <v>250</v>
      </c>
      <c r="C1" s="226" t="s">
        <v>251</v>
      </c>
      <c r="D1" s="226" t="s">
        <v>252</v>
      </c>
      <c r="E1" s="226" t="s">
        <v>253</v>
      </c>
    </row>
    <row r="2" spans="1:5" ht="31.5" customHeight="1">
      <c r="A2" s="245" t="s">
        <v>55</v>
      </c>
      <c r="B2" s="246" t="s">
        <v>259</v>
      </c>
      <c r="C2" s="247"/>
      <c r="D2" s="227"/>
      <c r="E2" s="250"/>
    </row>
    <row r="3" spans="1:5" ht="32.25" customHeight="1">
      <c r="A3" s="267">
        <v>1</v>
      </c>
      <c r="B3" s="248" t="s">
        <v>260</v>
      </c>
      <c r="C3" s="248" t="s">
        <v>560</v>
      </c>
      <c r="D3" s="228"/>
      <c r="E3" s="252" t="s">
        <v>325</v>
      </c>
    </row>
    <row r="4" spans="1:5">
      <c r="A4" s="267" t="str">
        <f>IF(AND(B4&lt;&gt;"",C4&lt;&gt;""),MAX($A3:A$5)+1,"")</f>
        <v/>
      </c>
      <c r="B4" s="248"/>
      <c r="C4" s="248"/>
      <c r="D4" s="228"/>
      <c r="E4" s="252" t="s">
        <v>326</v>
      </c>
    </row>
    <row r="5" spans="1:5">
      <c r="A5" s="267" t="str">
        <f>IF(AND(B5&lt;&gt;"",C5&lt;&gt;""),MAX($A4:A$5)+1,"")</f>
        <v/>
      </c>
      <c r="B5" s="248"/>
      <c r="C5" s="248"/>
      <c r="D5" s="229"/>
      <c r="E5" s="252" t="s">
        <v>327</v>
      </c>
    </row>
    <row r="6" spans="1:5">
      <c r="A6" s="267" t="str">
        <f>IF(AND(B6&lt;&gt;"",C6&lt;&gt;""),MAX($A$5:A5)+1,"")</f>
        <v/>
      </c>
      <c r="B6" s="248"/>
      <c r="C6" s="248"/>
      <c r="D6" s="229"/>
      <c r="E6" s="252" t="s">
        <v>328</v>
      </c>
    </row>
    <row r="7" spans="1:5">
      <c r="A7" s="267" t="str">
        <f>IF(AND(B7&lt;&gt;"",C7&lt;&gt;""),MAX($A$5:A6)+1,"")</f>
        <v/>
      </c>
      <c r="B7" s="248"/>
      <c r="C7" s="248"/>
      <c r="D7" s="229"/>
      <c r="E7" s="252" t="s">
        <v>329</v>
      </c>
    </row>
    <row r="8" spans="1:5">
      <c r="A8" s="267" t="str">
        <f>IF(AND(B8&lt;&gt;"",C8&lt;&gt;""),MAX($A$5:A7)+1,"")</f>
        <v/>
      </c>
      <c r="B8" s="248"/>
      <c r="C8" s="248"/>
      <c r="D8" s="229"/>
      <c r="E8" s="252" t="s">
        <v>330</v>
      </c>
    </row>
    <row r="9" spans="1:5">
      <c r="A9" s="267" t="str">
        <f>IF(AND(B9&lt;&gt;"",C9&lt;&gt;""),MAX($A$5:A8)+1,"")</f>
        <v/>
      </c>
      <c r="B9" s="248"/>
      <c r="C9" s="248"/>
      <c r="D9" s="229"/>
      <c r="E9" s="252" t="s">
        <v>331</v>
      </c>
    </row>
    <row r="10" spans="1:5">
      <c r="A10" s="267" t="str">
        <f>IF(AND(B10&lt;&gt;"",C10&lt;&gt;""),MAX($A$5:A9)+1,"")</f>
        <v/>
      </c>
      <c r="B10" s="248"/>
      <c r="C10" s="248"/>
      <c r="D10" s="229"/>
      <c r="E10" s="252" t="s">
        <v>332</v>
      </c>
    </row>
    <row r="11" spans="1:5" ht="45">
      <c r="A11" s="267">
        <f>IF(AND(B11&lt;&gt;"",C11&lt;&gt;""),MAX($A$3:A10)+1,"")</f>
        <v>2</v>
      </c>
      <c r="B11" s="248" t="s">
        <v>261</v>
      </c>
      <c r="C11" s="248" t="s">
        <v>560</v>
      </c>
      <c r="D11" s="229"/>
      <c r="E11" s="252" t="s">
        <v>333</v>
      </c>
    </row>
    <row r="12" spans="1:5">
      <c r="A12" s="267" t="str">
        <f>IF(AND(B12&lt;&gt;"",C12&lt;&gt;""),MAX($A$5:A11)+1,"")</f>
        <v/>
      </c>
      <c r="B12" s="248"/>
      <c r="C12" s="248"/>
      <c r="D12" s="228"/>
      <c r="E12" s="252" t="s">
        <v>334</v>
      </c>
    </row>
    <row r="13" spans="1:5" ht="30">
      <c r="A13" s="267">
        <f>IF(AND(B13&lt;&gt;"",C13&lt;&gt;""),MAX($A$5:A12)+1,"")</f>
        <v>3</v>
      </c>
      <c r="B13" s="248" t="s">
        <v>262</v>
      </c>
      <c r="C13" s="248" t="s">
        <v>560</v>
      </c>
      <c r="D13" s="229"/>
      <c r="E13" s="252" t="s">
        <v>335</v>
      </c>
    </row>
    <row r="14" spans="1:5">
      <c r="A14" s="267" t="str">
        <f>IF(AND(B14&lt;&gt;"",C14&lt;&gt;""),MAX($A$5:A13)+1,"")</f>
        <v/>
      </c>
      <c r="B14" s="248"/>
      <c r="C14" s="248"/>
      <c r="D14" s="229"/>
      <c r="E14" s="252" t="s">
        <v>336</v>
      </c>
    </row>
    <row r="15" spans="1:5">
      <c r="A15" s="267" t="str">
        <f>IF(AND(B15&lt;&gt;"",C15&lt;&gt;""),MAX($A$5:A14)+1,"")</f>
        <v/>
      </c>
      <c r="B15" s="248"/>
      <c r="C15" s="248"/>
      <c r="D15" s="229"/>
      <c r="E15" s="252" t="s">
        <v>337</v>
      </c>
    </row>
    <row r="16" spans="1:5">
      <c r="A16" s="267" t="str">
        <f>IF(AND(B16&lt;&gt;"",C16&lt;&gt;""),MAX($A$5:A15)+1,"")</f>
        <v/>
      </c>
      <c r="B16" s="248"/>
      <c r="C16" s="248"/>
      <c r="D16" s="228"/>
      <c r="E16" s="252" t="s">
        <v>338</v>
      </c>
    </row>
    <row r="17" spans="1:5">
      <c r="A17" s="267" t="str">
        <f>IF(AND(B17&lt;&gt;"",C17&lt;&gt;""),MAX($A$5:A16)+1,"")</f>
        <v/>
      </c>
      <c r="B17" s="248"/>
      <c r="C17" s="248"/>
      <c r="D17" s="228"/>
      <c r="E17" s="252" t="s">
        <v>329</v>
      </c>
    </row>
    <row r="18" spans="1:5">
      <c r="A18" s="267" t="str">
        <f>IF(AND(B18&lt;&gt;"",C18&lt;&gt;""),MAX($A$5:A17)+1,"")</f>
        <v/>
      </c>
      <c r="B18" s="248"/>
      <c r="C18" s="248"/>
      <c r="D18" s="228"/>
      <c r="E18" s="252" t="s">
        <v>330</v>
      </c>
    </row>
    <row r="19" spans="1:5">
      <c r="A19" s="267" t="str">
        <f>IF(AND(B19&lt;&gt;"",C19&lt;&gt;""),MAX($A$5:A18)+1,"")</f>
        <v/>
      </c>
      <c r="B19" s="248"/>
      <c r="C19" s="248"/>
      <c r="D19" s="228"/>
      <c r="E19" s="252" t="s">
        <v>331</v>
      </c>
    </row>
    <row r="20" spans="1:5">
      <c r="A20" s="267" t="str">
        <f>IF(AND(B20&lt;&gt;"",C20&lt;&gt;""),MAX($A$5:A19)+1,"")</f>
        <v/>
      </c>
      <c r="B20" s="248"/>
      <c r="C20" s="248"/>
      <c r="D20" s="228"/>
      <c r="E20" s="252" t="s">
        <v>332</v>
      </c>
    </row>
    <row r="21" spans="1:5" ht="45">
      <c r="A21" s="267">
        <f>IF(AND(B21&lt;&gt;"",C21&lt;&gt;""),MAX($A$5:A20)+1,"")</f>
        <v>4</v>
      </c>
      <c r="B21" s="248" t="s">
        <v>263</v>
      </c>
      <c r="C21" s="248" t="s">
        <v>560</v>
      </c>
      <c r="D21" s="229"/>
      <c r="E21" s="252" t="s">
        <v>333</v>
      </c>
    </row>
    <row r="22" spans="1:5">
      <c r="A22" s="267" t="str">
        <f>IF(AND(B22&lt;&gt;"",C22&lt;&gt;""),MAX($A$5:A21)+1,"")</f>
        <v/>
      </c>
      <c r="B22" s="248"/>
      <c r="C22" s="248"/>
      <c r="D22" s="229"/>
      <c r="E22" s="252" t="s">
        <v>334</v>
      </c>
    </row>
    <row r="23" spans="1:5" ht="30">
      <c r="A23" s="267">
        <f>IF(AND(B23&lt;&gt;"",C23&lt;&gt;""),MAX($A$5:A22)+1,"")</f>
        <v>5</v>
      </c>
      <c r="B23" s="249" t="s">
        <v>264</v>
      </c>
      <c r="C23" s="248" t="s">
        <v>560</v>
      </c>
      <c r="D23" s="229"/>
      <c r="E23" s="253" t="s">
        <v>339</v>
      </c>
    </row>
    <row r="24" spans="1:5">
      <c r="A24" s="267" t="str">
        <f>IF(AND(B24&lt;&gt;"",C24&lt;&gt;""),MAX($A$5:A23)+1,"")</f>
        <v/>
      </c>
      <c r="B24" s="249"/>
      <c r="C24" s="249"/>
      <c r="D24" s="229"/>
      <c r="E24" s="253" t="s">
        <v>340</v>
      </c>
    </row>
    <row r="25" spans="1:5">
      <c r="A25" s="267" t="str">
        <f>IF(AND(B25&lt;&gt;"",C25&lt;&gt;""),MAX($A$5:A24)+1,"")</f>
        <v/>
      </c>
      <c r="B25" s="249"/>
      <c r="C25" s="249"/>
      <c r="D25" s="229"/>
      <c r="E25" s="253" t="s">
        <v>341</v>
      </c>
    </row>
    <row r="26" spans="1:5">
      <c r="A26" s="267" t="str">
        <f>IF(AND(B26&lt;&gt;"",C26&lt;&gt;""),MAX($A$5:A25)+1,"")</f>
        <v/>
      </c>
      <c r="B26" s="249"/>
      <c r="C26" s="249"/>
      <c r="D26" s="229"/>
      <c r="E26" s="253" t="s">
        <v>342</v>
      </c>
    </row>
    <row r="27" spans="1:5">
      <c r="A27" s="267" t="str">
        <f>IF(AND(B27&lt;&gt;"",C27&lt;&gt;""),MAX($A$5:A26)+1,"")</f>
        <v/>
      </c>
      <c r="B27" s="249"/>
      <c r="C27" s="249"/>
      <c r="D27" s="229"/>
      <c r="E27" s="253" t="s">
        <v>329</v>
      </c>
    </row>
    <row r="28" spans="1:5">
      <c r="A28" s="267" t="str">
        <f>IF(AND(B28&lt;&gt;"",C28&lt;&gt;""),MAX($A$5:A27)+1,"")</f>
        <v/>
      </c>
      <c r="B28" s="249"/>
      <c r="C28" s="249"/>
      <c r="D28" s="229"/>
      <c r="E28" s="253" t="s">
        <v>330</v>
      </c>
    </row>
    <row r="29" spans="1:5">
      <c r="A29" s="267" t="str">
        <f>IF(AND(B29&lt;&gt;"",C29&lt;&gt;""),MAX($A$5:A28)+1,"")</f>
        <v/>
      </c>
      <c r="B29" s="249"/>
      <c r="C29" s="249"/>
      <c r="D29" s="229"/>
      <c r="E29" s="253" t="s">
        <v>343</v>
      </c>
    </row>
    <row r="30" spans="1:5">
      <c r="A30" s="267" t="str">
        <f>IF(AND(B30&lt;&gt;"",C30&lt;&gt;""),MAX($A$5:A29)+1,"")</f>
        <v/>
      </c>
      <c r="B30" s="249"/>
      <c r="C30" s="249"/>
      <c r="D30" s="229"/>
      <c r="E30" s="253" t="s">
        <v>344</v>
      </c>
    </row>
    <row r="31" spans="1:5">
      <c r="A31" s="267" t="str">
        <f>IF(AND(B31&lt;&gt;"",C31&lt;&gt;""),MAX($A$5:A30)+1,"")</f>
        <v/>
      </c>
      <c r="B31" s="249"/>
      <c r="C31" s="249"/>
      <c r="D31" s="229"/>
      <c r="E31" s="253" t="s">
        <v>345</v>
      </c>
    </row>
    <row r="32" spans="1:5" ht="30">
      <c r="A32" s="267">
        <f>IF(AND(B32&lt;&gt;"",C32&lt;&gt;""),MAX($A$5:A31)+1,"")</f>
        <v>6</v>
      </c>
      <c r="B32" s="249" t="s">
        <v>265</v>
      </c>
      <c r="C32" s="248" t="s">
        <v>560</v>
      </c>
      <c r="D32" s="230"/>
      <c r="E32" s="253" t="s">
        <v>346</v>
      </c>
    </row>
    <row r="33" spans="1:5">
      <c r="A33" s="267" t="str">
        <f>IF(AND(B33&lt;&gt;"",C33&lt;&gt;""),MAX($A$5:A32)+1,"")</f>
        <v/>
      </c>
      <c r="B33" s="249"/>
      <c r="C33" s="249"/>
      <c r="D33" s="231"/>
      <c r="E33" s="253" t="s">
        <v>347</v>
      </c>
    </row>
    <row r="34" spans="1:5">
      <c r="A34" s="267" t="str">
        <f>IF(AND(B34&lt;&gt;"",C34&lt;&gt;""),MAX($A$5:A33)+1,"")</f>
        <v/>
      </c>
      <c r="B34" s="249"/>
      <c r="C34" s="249"/>
      <c r="D34" s="229"/>
      <c r="E34" s="253" t="s">
        <v>348</v>
      </c>
    </row>
    <row r="35" spans="1:5">
      <c r="A35" s="267" t="str">
        <f>IF(AND(B35&lt;&gt;"",C35&lt;&gt;""),MAX($A$5:A34)+1,"")</f>
        <v/>
      </c>
      <c r="B35" s="249"/>
      <c r="C35" s="249"/>
      <c r="D35" s="229"/>
      <c r="E35" s="253" t="s">
        <v>349</v>
      </c>
    </row>
    <row r="36" spans="1:5">
      <c r="A36" s="267" t="str">
        <f>IF(AND(B36&lt;&gt;"",C36&lt;&gt;""),MAX($A$5:A35)+1,"")</f>
        <v/>
      </c>
      <c r="B36" s="249"/>
      <c r="C36" s="249"/>
      <c r="D36" s="229"/>
      <c r="E36" s="253" t="s">
        <v>350</v>
      </c>
    </row>
    <row r="37" spans="1:5">
      <c r="A37" s="267" t="str">
        <f>IF(AND(B37&lt;&gt;"",C37&lt;&gt;""),MAX($A$5:A36)+1,"")</f>
        <v/>
      </c>
      <c r="B37" s="249"/>
      <c r="C37" s="249"/>
      <c r="D37" s="229"/>
      <c r="E37" s="253" t="s">
        <v>351</v>
      </c>
    </row>
    <row r="38" spans="1:5">
      <c r="A38" s="267" t="str">
        <f>IF(AND(B38&lt;&gt;"",C38&lt;&gt;""),MAX($A$5:A37)+1,"")</f>
        <v/>
      </c>
      <c r="B38" s="249"/>
      <c r="C38" s="249"/>
      <c r="D38" s="231"/>
      <c r="E38" s="253" t="s">
        <v>352</v>
      </c>
    </row>
    <row r="39" spans="1:5">
      <c r="A39" s="267" t="str">
        <f>IF(AND(B39&lt;&gt;"",C39&lt;&gt;""),MAX($A$5:A38)+1,"")</f>
        <v/>
      </c>
      <c r="B39" s="249"/>
      <c r="C39" s="249"/>
      <c r="D39" s="229"/>
      <c r="E39" s="253" t="s">
        <v>353</v>
      </c>
    </row>
    <row r="40" spans="1:5">
      <c r="A40" s="267" t="str">
        <f>IF(AND(B40&lt;&gt;"",C40&lt;&gt;""),MAX($A$5:A39)+1,"")</f>
        <v/>
      </c>
      <c r="B40" s="249"/>
      <c r="C40" s="249"/>
      <c r="D40" s="229"/>
      <c r="E40" s="253" t="s">
        <v>354</v>
      </c>
    </row>
    <row r="41" spans="1:5" ht="60">
      <c r="A41" s="267">
        <f>IF(AND(B41&lt;&gt;"",C41&lt;&gt;""),MAX($A$5:A40)+1,"")</f>
        <v>7</v>
      </c>
      <c r="B41" s="249" t="s">
        <v>266</v>
      </c>
      <c r="C41" s="248" t="s">
        <v>560</v>
      </c>
      <c r="D41" s="229"/>
      <c r="E41" s="253" t="s">
        <v>355</v>
      </c>
    </row>
    <row r="42" spans="1:5">
      <c r="A42" s="267" t="str">
        <f>IF(AND(B42&lt;&gt;"",C42&lt;&gt;""),MAX($A$5:A41)+1,"")</f>
        <v/>
      </c>
      <c r="B42" s="249"/>
      <c r="C42" s="249"/>
      <c r="D42" s="229"/>
      <c r="E42" s="253" t="s">
        <v>356</v>
      </c>
    </row>
    <row r="43" spans="1:5">
      <c r="A43" s="267" t="str">
        <f>IF(AND(B43&lt;&gt;"",C43&lt;&gt;""),MAX($A$5:A42)+1,"")</f>
        <v/>
      </c>
      <c r="B43" s="249"/>
      <c r="C43" s="249"/>
      <c r="D43" s="229"/>
      <c r="E43" s="253" t="s">
        <v>357</v>
      </c>
    </row>
    <row r="44" spans="1:5">
      <c r="A44" s="267" t="str">
        <f>IF(AND(B44&lt;&gt;"",C44&lt;&gt;""),MAX($A$5:A43)+1,"")</f>
        <v/>
      </c>
      <c r="B44" s="249"/>
      <c r="C44" s="249"/>
      <c r="D44" s="229"/>
      <c r="E44" s="253" t="s">
        <v>358</v>
      </c>
    </row>
    <row r="45" spans="1:5">
      <c r="A45" s="267" t="str">
        <f>IF(AND(B45&lt;&gt;"",C45&lt;&gt;""),MAX($A$5:A44)+1,"")</f>
        <v/>
      </c>
      <c r="B45" s="249"/>
      <c r="C45" s="249"/>
      <c r="D45" s="232"/>
      <c r="E45" s="253" t="s">
        <v>359</v>
      </c>
    </row>
    <row r="46" spans="1:5">
      <c r="A46" s="267">
        <f>IF(AND(B46&lt;&gt;"",C46&lt;&gt;""),MAX($A$5:A45)+1,"")</f>
        <v>8</v>
      </c>
      <c r="B46" s="249" t="s">
        <v>267</v>
      </c>
      <c r="C46" s="248" t="s">
        <v>560</v>
      </c>
      <c r="D46" s="231"/>
      <c r="E46" s="253" t="s">
        <v>360</v>
      </c>
    </row>
    <row r="47" spans="1:5">
      <c r="A47" s="267" t="str">
        <f>IF(AND(B47&lt;&gt;"",C47&lt;&gt;""),MAX($A$5:A46)+1,"")</f>
        <v/>
      </c>
      <c r="B47" s="249"/>
      <c r="C47" s="249"/>
      <c r="D47" s="229"/>
      <c r="E47" s="253" t="s">
        <v>361</v>
      </c>
    </row>
    <row r="48" spans="1:5">
      <c r="A48" s="267" t="str">
        <f>IF(AND(B48&lt;&gt;"",C48&lt;&gt;""),MAX($A$5:A47)+1,"")</f>
        <v/>
      </c>
      <c r="B48" s="249"/>
      <c r="C48" s="249"/>
      <c r="D48" s="229"/>
      <c r="E48" s="253" t="s">
        <v>362</v>
      </c>
    </row>
    <row r="49" spans="1:5">
      <c r="A49" s="267" t="str">
        <f>IF(AND(B49&lt;&gt;"",C49&lt;&gt;""),MAX($A$5:A48)+1,"")</f>
        <v/>
      </c>
      <c r="B49" s="249"/>
      <c r="C49" s="249"/>
      <c r="D49" s="231"/>
      <c r="E49" s="253" t="s">
        <v>363</v>
      </c>
    </row>
    <row r="50" spans="1:5">
      <c r="A50" s="267" t="str">
        <f>IF(AND(B50&lt;&gt;"",C50&lt;&gt;""),MAX($A$5:A49)+1,"")</f>
        <v/>
      </c>
      <c r="B50" s="249"/>
      <c r="C50" s="249"/>
      <c r="D50" s="231"/>
      <c r="E50" s="253" t="s">
        <v>364</v>
      </c>
    </row>
    <row r="51" spans="1:5">
      <c r="A51" s="267" t="str">
        <f>IF(AND(B51&lt;&gt;"",C51&lt;&gt;""),MAX($A$5:A50)+1,"")</f>
        <v/>
      </c>
      <c r="B51" s="249"/>
      <c r="C51" s="249"/>
      <c r="D51" s="232"/>
      <c r="E51" s="253" t="s">
        <v>365</v>
      </c>
    </row>
    <row r="52" spans="1:5">
      <c r="A52" s="267" t="str">
        <f>IF(AND(B52&lt;&gt;"",C52&lt;&gt;""),MAX($A$5:A51)+1,"")</f>
        <v/>
      </c>
      <c r="B52" s="249"/>
      <c r="C52" s="249"/>
      <c r="D52" s="231"/>
      <c r="E52" s="253" t="s">
        <v>366</v>
      </c>
    </row>
    <row r="53" spans="1:5">
      <c r="A53" s="267" t="str">
        <f>IF(AND(B53&lt;&gt;"",C53&lt;&gt;""),MAX($A$5:A52)+1,"")</f>
        <v/>
      </c>
      <c r="B53" s="249"/>
      <c r="C53" s="249"/>
      <c r="D53" s="229"/>
      <c r="E53" s="253" t="s">
        <v>367</v>
      </c>
    </row>
    <row r="54" spans="1:5">
      <c r="A54" s="267" t="str">
        <f>IF(AND(B54&lt;&gt;"",C54&lt;&gt;""),MAX($A$5:A53)+1,"")</f>
        <v/>
      </c>
      <c r="B54" s="249"/>
      <c r="C54" s="249"/>
      <c r="D54" s="229"/>
      <c r="E54" s="253" t="s">
        <v>368</v>
      </c>
    </row>
    <row r="55" spans="1:5" ht="30">
      <c r="A55" s="267">
        <f>IF(AND(B55&lt;&gt;"",C55&lt;&gt;""),MAX($A$5:A54)+1,"")</f>
        <v>9</v>
      </c>
      <c r="B55" s="249" t="s">
        <v>268</v>
      </c>
      <c r="C55" s="248" t="s">
        <v>560</v>
      </c>
      <c r="D55" s="231"/>
      <c r="E55" s="253" t="s">
        <v>369</v>
      </c>
    </row>
    <row r="56" spans="1:5">
      <c r="A56" s="267" t="str">
        <f>IF(AND(B56&lt;&gt;"",C56&lt;&gt;""),MAX($A$5:A55)+1,"")</f>
        <v/>
      </c>
      <c r="B56" s="249"/>
      <c r="C56" s="249"/>
      <c r="D56" s="231"/>
      <c r="E56" s="253" t="s">
        <v>370</v>
      </c>
    </row>
    <row r="57" spans="1:5">
      <c r="A57" s="267" t="str">
        <f>IF(AND(B57&lt;&gt;"",C57&lt;&gt;""),MAX($A$5:A56)+1,"")</f>
        <v/>
      </c>
      <c r="B57" s="249"/>
      <c r="C57" s="249"/>
      <c r="D57" s="232"/>
      <c r="E57" s="253" t="s">
        <v>371</v>
      </c>
    </row>
    <row r="58" spans="1:5">
      <c r="A58" s="267" t="str">
        <f>IF(AND(B58&lt;&gt;"",C58&lt;&gt;""),MAX($A$5:A57)+1,"")</f>
        <v/>
      </c>
      <c r="B58" s="249"/>
      <c r="C58" s="249"/>
      <c r="D58" s="231"/>
      <c r="E58" s="253" t="s">
        <v>372</v>
      </c>
    </row>
    <row r="59" spans="1:5">
      <c r="A59" s="267" t="str">
        <f>IF(AND(B59&lt;&gt;"",C59&lt;&gt;""),MAX($A$5:A58)+1,"")</f>
        <v/>
      </c>
      <c r="B59" s="249"/>
      <c r="C59" s="249"/>
      <c r="D59" s="229"/>
      <c r="E59" s="253" t="s">
        <v>373</v>
      </c>
    </row>
    <row r="60" spans="1:5">
      <c r="A60" s="267" t="str">
        <f>IF(AND(B60&lt;&gt;"",C60&lt;&gt;""),MAX($A$5:A59)+1,"")</f>
        <v/>
      </c>
      <c r="B60" s="249"/>
      <c r="C60" s="249"/>
      <c r="D60" s="229"/>
      <c r="E60" s="253" t="s">
        <v>374</v>
      </c>
    </row>
    <row r="61" spans="1:5">
      <c r="A61" s="267" t="str">
        <f>IF(AND(B61&lt;&gt;"",C61&lt;&gt;""),MAX($A$5:A60)+1,"")</f>
        <v/>
      </c>
      <c r="B61" s="249"/>
      <c r="C61" s="249"/>
      <c r="D61" s="231"/>
      <c r="E61" s="253" t="s">
        <v>363</v>
      </c>
    </row>
    <row r="62" spans="1:5" ht="30">
      <c r="A62" s="267">
        <f>IF(AND(B62&lt;&gt;"",C62&lt;&gt;""),MAX($A$5:A61)+1,"")</f>
        <v>10</v>
      </c>
      <c r="B62" s="249" t="s">
        <v>269</v>
      </c>
      <c r="C62" s="248" t="s">
        <v>560</v>
      </c>
      <c r="D62" s="231"/>
      <c r="E62" s="253" t="s">
        <v>375</v>
      </c>
    </row>
    <row r="63" spans="1:5">
      <c r="A63" s="267" t="str">
        <f>IF(AND(B63&lt;&gt;"",C63&lt;&gt;""),MAX($A$5:A62)+1,"")</f>
        <v/>
      </c>
      <c r="B63" s="249"/>
      <c r="C63" s="249"/>
      <c r="D63" s="232"/>
      <c r="E63" s="253" t="s">
        <v>376</v>
      </c>
    </row>
    <row r="64" spans="1:5">
      <c r="A64" s="267" t="str">
        <f>IF(AND(B64&lt;&gt;"",C64&lt;&gt;""),MAX($A$5:A63)+1,"")</f>
        <v/>
      </c>
      <c r="B64" s="249"/>
      <c r="C64" s="249"/>
      <c r="D64" s="229"/>
      <c r="E64" s="253" t="s">
        <v>377</v>
      </c>
    </row>
    <row r="65" spans="1:5">
      <c r="A65" s="267" t="str">
        <f>IF(AND(B65&lt;&gt;"",C65&lt;&gt;""),MAX($A$5:A64)+1,"")</f>
        <v/>
      </c>
      <c r="B65" s="249"/>
      <c r="C65" s="249"/>
      <c r="D65" s="229"/>
      <c r="E65" s="253" t="s">
        <v>378</v>
      </c>
    </row>
    <row r="66" spans="1:5">
      <c r="A66" s="267" t="str">
        <f>IF(AND(B66&lt;&gt;"",C66&lt;&gt;""),MAX($A$5:A65)+1,"")</f>
        <v/>
      </c>
      <c r="B66" s="249"/>
      <c r="C66" s="249"/>
      <c r="D66" s="230"/>
      <c r="E66" s="253" t="s">
        <v>379</v>
      </c>
    </row>
    <row r="67" spans="1:5" ht="30">
      <c r="A67" s="267">
        <f>IF(AND(B67&lt;&gt;"",C67&lt;&gt;""),MAX($A$5:A66)+1,"")</f>
        <v>11</v>
      </c>
      <c r="B67" s="249" t="s">
        <v>270</v>
      </c>
      <c r="C67" s="248" t="s">
        <v>560</v>
      </c>
      <c r="D67" s="229"/>
      <c r="E67" s="253" t="s">
        <v>380</v>
      </c>
    </row>
    <row r="68" spans="1:5">
      <c r="A68" s="267" t="str">
        <f>IF(AND(B68&lt;&gt;"",C68&lt;&gt;""),MAX($A$5:A67)+1,"")</f>
        <v/>
      </c>
      <c r="B68" s="249"/>
      <c r="C68" s="249"/>
      <c r="D68" s="229"/>
      <c r="E68" s="253" t="s">
        <v>381</v>
      </c>
    </row>
    <row r="69" spans="1:5">
      <c r="A69" s="267" t="str">
        <f>IF(AND(B69&lt;&gt;"",C69&lt;&gt;""),MAX($A$5:A68)+1,"")</f>
        <v/>
      </c>
      <c r="B69" s="249"/>
      <c r="C69" s="249"/>
      <c r="D69" s="229"/>
      <c r="E69" s="253" t="s">
        <v>382</v>
      </c>
    </row>
    <row r="70" spans="1:5">
      <c r="A70" s="267" t="str">
        <f>IF(AND(B70&lt;&gt;"",C70&lt;&gt;""),MAX($A$5:A69)+1,"")</f>
        <v/>
      </c>
      <c r="B70" s="249"/>
      <c r="C70" s="249"/>
      <c r="D70" s="229"/>
      <c r="E70" s="253" t="s">
        <v>383</v>
      </c>
    </row>
    <row r="71" spans="1:5">
      <c r="A71" s="267" t="str">
        <f>IF(AND(B71&lt;&gt;"",C71&lt;&gt;""),MAX($A$5:A70)+1,"")</f>
        <v/>
      </c>
      <c r="B71" s="249"/>
      <c r="C71" s="249"/>
      <c r="D71" s="229"/>
      <c r="E71" s="253" t="s">
        <v>384</v>
      </c>
    </row>
    <row r="72" spans="1:5">
      <c r="A72" s="267" t="str">
        <f>IF(AND(B72&lt;&gt;"",C72&lt;&gt;""),MAX($A$5:A71)+1,"")</f>
        <v/>
      </c>
      <c r="B72" s="249"/>
      <c r="C72" s="249"/>
      <c r="D72" s="232"/>
      <c r="E72" s="253" t="s">
        <v>385</v>
      </c>
    </row>
    <row r="73" spans="1:5">
      <c r="A73" s="267" t="str">
        <f>IF(AND(B73&lt;&gt;"",C73&lt;&gt;""),MAX($A$5:A72)+1,"")</f>
        <v/>
      </c>
      <c r="B73" s="249"/>
      <c r="C73" s="249"/>
      <c r="D73" s="229"/>
      <c r="E73" s="253" t="s">
        <v>386</v>
      </c>
    </row>
    <row r="74" spans="1:5">
      <c r="A74" s="267" t="str">
        <f>IF(AND(B74&lt;&gt;"",C74&lt;&gt;""),MAX($A$5:A73)+1,"")</f>
        <v/>
      </c>
      <c r="B74" s="249"/>
      <c r="C74" s="249"/>
      <c r="D74" s="230"/>
      <c r="E74" s="253" t="s">
        <v>387</v>
      </c>
    </row>
    <row r="75" spans="1:5" ht="45">
      <c r="A75" s="267">
        <f>IF(AND(B75&lt;&gt;"",C75&lt;&gt;""),MAX($A$5:A74)+1,"")</f>
        <v>12</v>
      </c>
      <c r="B75" s="249" t="s">
        <v>271</v>
      </c>
      <c r="C75" s="248" t="s">
        <v>560</v>
      </c>
      <c r="D75" s="231"/>
      <c r="E75" s="253" t="s">
        <v>388</v>
      </c>
    </row>
    <row r="76" spans="1:5">
      <c r="A76" s="267" t="str">
        <f>IF(AND(B76&lt;&gt;"",C76&lt;&gt;""),MAX($A$5:A75)+1,"")</f>
        <v/>
      </c>
      <c r="B76" s="249"/>
      <c r="C76" s="249"/>
      <c r="D76" s="229"/>
      <c r="E76" s="253" t="s">
        <v>389</v>
      </c>
    </row>
    <row r="77" spans="1:5">
      <c r="A77" s="267" t="str">
        <f>IF(AND(B77&lt;&gt;"",C77&lt;&gt;""),MAX($A$5:A76)+1,"")</f>
        <v/>
      </c>
      <c r="B77" s="249"/>
      <c r="C77" s="249"/>
      <c r="D77" s="229"/>
      <c r="E77" s="253" t="s">
        <v>390</v>
      </c>
    </row>
    <row r="78" spans="1:5">
      <c r="A78" s="267" t="str">
        <f>IF(AND(B78&lt;&gt;"",C78&lt;&gt;""),MAX($A$5:A77)+1,"")</f>
        <v/>
      </c>
      <c r="B78" s="249"/>
      <c r="C78" s="249"/>
      <c r="D78" s="229"/>
      <c r="E78" s="253" t="s">
        <v>391</v>
      </c>
    </row>
    <row r="79" spans="1:5">
      <c r="A79" s="267" t="str">
        <f>IF(AND(B79&lt;&gt;"",C79&lt;&gt;""),MAX($A$5:A78)+1,"")</f>
        <v/>
      </c>
      <c r="B79" s="249"/>
      <c r="C79" s="249"/>
      <c r="D79" s="229"/>
      <c r="E79" s="253" t="s">
        <v>392</v>
      </c>
    </row>
    <row r="80" spans="1:5" ht="30">
      <c r="A80" s="267">
        <f>IF(AND(B80&lt;&gt;"",C80&lt;&gt;""),MAX($A$5:A79)+1,"")</f>
        <v>13</v>
      </c>
      <c r="B80" s="249" t="s">
        <v>562</v>
      </c>
      <c r="C80" s="250" t="s">
        <v>561</v>
      </c>
      <c r="D80" s="229"/>
      <c r="E80" s="254" t="s">
        <v>563</v>
      </c>
    </row>
    <row r="81" spans="1:5" ht="30">
      <c r="A81" s="267" t="str">
        <f>IF(AND(B81&lt;&gt;"",C81&lt;&gt;""),MAX($A$5:A80)+1,"")</f>
        <v/>
      </c>
      <c r="B81" s="249"/>
      <c r="C81" s="249"/>
      <c r="D81" s="229"/>
      <c r="E81" s="255" t="s">
        <v>564</v>
      </c>
    </row>
    <row r="82" spans="1:5" ht="30">
      <c r="A82" s="267" t="str">
        <f>IF(AND(B82&lt;&gt;"",C82&lt;&gt;""),MAX($A$5:A81)+1,"")</f>
        <v/>
      </c>
      <c r="B82" s="249"/>
      <c r="C82" s="249"/>
      <c r="D82" s="229"/>
      <c r="E82" s="255" t="s">
        <v>565</v>
      </c>
    </row>
    <row r="83" spans="1:5">
      <c r="A83" s="267">
        <f>IF(AND(B83&lt;&gt;"",C83&lt;&gt;""),MAX($A$5:A82)+1,"")</f>
        <v>14</v>
      </c>
      <c r="B83" s="249" t="s">
        <v>566</v>
      </c>
      <c r="C83" s="250" t="s">
        <v>561</v>
      </c>
      <c r="D83" s="229"/>
      <c r="E83" s="254" t="s">
        <v>567</v>
      </c>
    </row>
    <row r="84" spans="1:5" ht="45">
      <c r="A84" s="267" t="str">
        <f>IF(AND(B84&lt;&gt;"",C84&lt;&gt;""),MAX($A$5:A83)+1,"")</f>
        <v/>
      </c>
      <c r="B84" s="249"/>
      <c r="C84" s="249"/>
      <c r="D84" s="229"/>
      <c r="E84" s="254" t="s">
        <v>568</v>
      </c>
    </row>
    <row r="85" spans="1:5" ht="45">
      <c r="A85" s="267" t="str">
        <f>IF(AND(B85&lt;&gt;"",C85&lt;&gt;""),MAX($A$5:A84)+1,"")</f>
        <v/>
      </c>
      <c r="B85" s="249"/>
      <c r="C85" s="249"/>
      <c r="D85" s="229"/>
      <c r="E85" s="254" t="s">
        <v>569</v>
      </c>
    </row>
    <row r="86" spans="1:5" ht="45">
      <c r="A86" s="267" t="str">
        <f>IF(AND(B86&lt;&gt;"",C86&lt;&gt;""),MAX($A$5:A85)+1,"")</f>
        <v/>
      </c>
      <c r="B86" s="249"/>
      <c r="C86" s="249"/>
      <c r="D86" s="229"/>
      <c r="E86" s="254" t="s">
        <v>579</v>
      </c>
    </row>
    <row r="87" spans="1:5" ht="30">
      <c r="A87" s="267" t="str">
        <f>IF(AND(B87&lt;&gt;"",C87&lt;&gt;""),MAX($A$5:A86)+1,"")</f>
        <v/>
      </c>
      <c r="B87" s="249"/>
      <c r="C87" s="249"/>
      <c r="D87" s="229"/>
      <c r="E87" s="254" t="s">
        <v>570</v>
      </c>
    </row>
    <row r="88" spans="1:5">
      <c r="A88" s="267">
        <f>IF(AND(B88&lt;&gt;"",C88&lt;&gt;""),MAX($A$5:A87)+1,"")</f>
        <v>15</v>
      </c>
      <c r="B88" s="249" t="s">
        <v>606</v>
      </c>
      <c r="C88" s="250" t="s">
        <v>561</v>
      </c>
      <c r="D88" s="229"/>
      <c r="E88" s="254" t="s">
        <v>571</v>
      </c>
    </row>
    <row r="89" spans="1:5">
      <c r="A89" s="267" t="str">
        <f>IF(AND(B89&lt;&gt;"",C89&lt;&gt;""),MAX($A$5:A88)+1,"")</f>
        <v/>
      </c>
      <c r="B89" s="249"/>
      <c r="C89" s="249"/>
      <c r="D89" s="229"/>
      <c r="E89" s="254" t="s">
        <v>572</v>
      </c>
    </row>
    <row r="90" spans="1:5" ht="71.25">
      <c r="A90" s="245" t="s">
        <v>62</v>
      </c>
      <c r="B90" s="246" t="s">
        <v>272</v>
      </c>
      <c r="C90" s="246"/>
      <c r="D90" s="229"/>
      <c r="E90" s="250"/>
    </row>
    <row r="91" spans="1:5" ht="30">
      <c r="A91" s="267">
        <f>IF(AND(B91&lt;&gt;"",C91&lt;&gt;""),MAX($A$3:A90)+1,"")</f>
        <v>16</v>
      </c>
      <c r="B91" s="250" t="s">
        <v>273</v>
      </c>
      <c r="C91" s="250" t="s">
        <v>561</v>
      </c>
      <c r="D91" s="229"/>
      <c r="E91" s="253" t="s">
        <v>393</v>
      </c>
    </row>
    <row r="92" spans="1:5">
      <c r="A92" s="267" t="str">
        <f>IF(AND(B92&lt;&gt;"",C92&lt;&gt;""),MAX($A$3:A91)+1,"")</f>
        <v/>
      </c>
      <c r="B92" s="250"/>
      <c r="C92" s="250"/>
      <c r="D92" s="229"/>
      <c r="E92" s="253" t="s">
        <v>394</v>
      </c>
    </row>
    <row r="93" spans="1:5">
      <c r="A93" s="267" t="str">
        <f>IF(AND(B93&lt;&gt;"",C93&lt;&gt;""),MAX($A$3:A92)+1,"")</f>
        <v/>
      </c>
      <c r="B93" s="250"/>
      <c r="C93" s="250"/>
      <c r="D93" s="231"/>
      <c r="E93" s="253" t="s">
        <v>395</v>
      </c>
    </row>
    <row r="94" spans="1:5">
      <c r="A94" s="267" t="str">
        <f>IF(AND(B94&lt;&gt;"",C94&lt;&gt;""),MAX($A$3:A93)+1,"")</f>
        <v/>
      </c>
      <c r="B94" s="250"/>
      <c r="C94" s="250"/>
      <c r="D94" s="229"/>
      <c r="E94" s="253" t="s">
        <v>396</v>
      </c>
    </row>
    <row r="95" spans="1:5" ht="30">
      <c r="A95" s="267">
        <f>IF(AND(B95&lt;&gt;"",C95&lt;&gt;""),MAX($A$3:A94)+1,"")</f>
        <v>17</v>
      </c>
      <c r="B95" s="250" t="s">
        <v>274</v>
      </c>
      <c r="C95" s="250" t="s">
        <v>561</v>
      </c>
      <c r="D95" s="229"/>
      <c r="E95" s="253" t="s">
        <v>397</v>
      </c>
    </row>
    <row r="96" spans="1:5">
      <c r="A96" s="267" t="str">
        <f>IF(AND(B96&lt;&gt;"",C96&lt;&gt;""),MAX($A$3:A95)+1,"")</f>
        <v/>
      </c>
      <c r="B96" s="250"/>
      <c r="C96" s="250"/>
      <c r="D96" s="229"/>
      <c r="E96" s="253" t="s">
        <v>398</v>
      </c>
    </row>
    <row r="97" spans="1:5">
      <c r="A97" s="267" t="str">
        <f>IF(AND(B97&lt;&gt;"",C97&lt;&gt;""),MAX($A$3:A96)+1,"")</f>
        <v/>
      </c>
      <c r="B97" s="250"/>
      <c r="C97" s="250"/>
      <c r="D97" s="230"/>
      <c r="E97" s="253" t="s">
        <v>399</v>
      </c>
    </row>
    <row r="98" spans="1:5" ht="30">
      <c r="A98" s="267">
        <f>IF(AND(B98&lt;&gt;"",C98&lt;&gt;""),MAX($A$3:A97)+1,"")</f>
        <v>18</v>
      </c>
      <c r="B98" s="250" t="s">
        <v>275</v>
      </c>
      <c r="C98" s="250" t="s">
        <v>561</v>
      </c>
      <c r="D98" s="231"/>
      <c r="E98" s="253" t="s">
        <v>400</v>
      </c>
    </row>
    <row r="99" spans="1:5">
      <c r="A99" s="267" t="str">
        <f>IF(AND(B99&lt;&gt;"",C99&lt;&gt;""),MAX($A$3:A98)+1,"")</f>
        <v/>
      </c>
      <c r="B99" s="250"/>
      <c r="C99" s="250"/>
      <c r="D99" s="230"/>
      <c r="E99" s="253" t="s">
        <v>401</v>
      </c>
    </row>
    <row r="100" spans="1:5" ht="42.75">
      <c r="A100" s="245" t="s">
        <v>68</v>
      </c>
      <c r="B100" s="246" t="s">
        <v>276</v>
      </c>
      <c r="C100" s="246"/>
      <c r="D100" s="230"/>
      <c r="E100" s="250"/>
    </row>
    <row r="101" spans="1:5" ht="30">
      <c r="A101" s="267">
        <f>IF(AND(B101&lt;&gt;"",C101&lt;&gt;""),MAX($A$3:A100)+1,"")</f>
        <v>19</v>
      </c>
      <c r="B101" s="250" t="s">
        <v>277</v>
      </c>
      <c r="C101" s="250" t="s">
        <v>561</v>
      </c>
      <c r="D101" s="234"/>
      <c r="E101" s="253" t="s">
        <v>402</v>
      </c>
    </row>
    <row r="102" spans="1:5">
      <c r="A102" s="267" t="str">
        <f>IF(AND(B102&lt;&gt;"",C102&lt;&gt;""),MAX($A$3:A101)+1,"")</f>
        <v/>
      </c>
      <c r="B102" s="250"/>
      <c r="C102" s="250"/>
      <c r="D102" s="234"/>
      <c r="E102" s="253" t="s">
        <v>394</v>
      </c>
    </row>
    <row r="103" spans="1:5">
      <c r="A103" s="267" t="str">
        <f>IF(AND(B103&lt;&gt;"",C103&lt;&gt;""),MAX($A$3:A102)+1,"")</f>
        <v/>
      </c>
      <c r="B103" s="250"/>
      <c r="C103" s="250"/>
      <c r="D103" s="237"/>
      <c r="E103" s="253" t="s">
        <v>395</v>
      </c>
    </row>
    <row r="104" spans="1:5">
      <c r="A104" s="267" t="str">
        <f>IF(AND(B104&lt;&gt;"",C104&lt;&gt;""),MAX($A$3:A103)+1,"")</f>
        <v/>
      </c>
      <c r="B104" s="250"/>
      <c r="C104" s="250"/>
      <c r="D104" s="235"/>
      <c r="E104" s="253" t="s">
        <v>396</v>
      </c>
    </row>
    <row r="105" spans="1:5" ht="30">
      <c r="A105" s="267">
        <f>IF(AND(B105&lt;&gt;"",C105&lt;&gt;""),MAX($A$3:A104)+1,"")</f>
        <v>20</v>
      </c>
      <c r="B105" s="250" t="s">
        <v>278</v>
      </c>
      <c r="C105" s="250" t="s">
        <v>561</v>
      </c>
      <c r="D105" s="234"/>
      <c r="E105" s="253" t="s">
        <v>397</v>
      </c>
    </row>
    <row r="106" spans="1:5">
      <c r="A106" s="267" t="str">
        <f>IF(AND(B106&lt;&gt;"",C106&lt;&gt;""),MAX($A$3:A105)+1,"")</f>
        <v/>
      </c>
      <c r="B106" s="250"/>
      <c r="C106" s="250"/>
      <c r="D106" s="234"/>
      <c r="E106" s="253" t="s">
        <v>403</v>
      </c>
    </row>
    <row r="107" spans="1:5">
      <c r="A107" s="267" t="str">
        <f>IF(AND(B107&lt;&gt;"",C107&lt;&gt;""),MAX($A$3:A106)+1,"")</f>
        <v/>
      </c>
      <c r="B107" s="250"/>
      <c r="C107" s="250"/>
      <c r="D107" s="234"/>
      <c r="E107" s="253" t="s">
        <v>399</v>
      </c>
    </row>
    <row r="108" spans="1:5">
      <c r="A108" s="267" t="str">
        <f>IF(AND(B108&lt;&gt;"",C108&lt;&gt;""),MAX($A$3:A107)+1,"")</f>
        <v/>
      </c>
      <c r="B108" s="250"/>
      <c r="C108" s="250"/>
      <c r="D108" s="234"/>
      <c r="E108" s="253" t="s">
        <v>404</v>
      </c>
    </row>
    <row r="109" spans="1:5" ht="30">
      <c r="A109" s="267">
        <f>IF(AND(B109&lt;&gt;"",C109&lt;&gt;""),MAX($A$3:A108)+1,"")</f>
        <v>21</v>
      </c>
      <c r="B109" s="250" t="s">
        <v>279</v>
      </c>
      <c r="C109" s="250" t="s">
        <v>561</v>
      </c>
      <c r="D109" s="234"/>
      <c r="E109" s="253" t="s">
        <v>405</v>
      </c>
    </row>
    <row r="110" spans="1:5">
      <c r="A110" s="267" t="str">
        <f>IF(AND(B110&lt;&gt;"",C110&lt;&gt;""),MAX($A$3:A109)+1,"")</f>
        <v/>
      </c>
      <c r="B110" s="250"/>
      <c r="C110" s="250"/>
      <c r="D110" s="235"/>
      <c r="E110" s="253" t="s">
        <v>406</v>
      </c>
    </row>
    <row r="111" spans="1:5">
      <c r="A111" s="267" t="str">
        <f>IF(AND(B111&lt;&gt;"",C111&lt;&gt;""),MAX($A$3:A110)+1,"")</f>
        <v/>
      </c>
      <c r="B111" s="250"/>
      <c r="C111" s="250"/>
      <c r="D111" s="235"/>
      <c r="E111" s="253" t="s">
        <v>407</v>
      </c>
    </row>
    <row r="112" spans="1:5" ht="71.25">
      <c r="A112" s="245" t="s">
        <v>156</v>
      </c>
      <c r="B112" s="246" t="s">
        <v>280</v>
      </c>
      <c r="C112" s="246"/>
      <c r="D112" s="235"/>
      <c r="E112" s="250"/>
    </row>
    <row r="113" spans="1:5" ht="45">
      <c r="A113" s="267">
        <f>IF(AND(B113&lt;&gt;"",C113&lt;&gt;""),MAX($A$3:A112)+1,"")</f>
        <v>22</v>
      </c>
      <c r="B113" s="250" t="s">
        <v>281</v>
      </c>
      <c r="C113" s="250" t="s">
        <v>561</v>
      </c>
      <c r="D113" s="235"/>
      <c r="E113" s="253" t="s">
        <v>408</v>
      </c>
    </row>
    <row r="114" spans="1:5">
      <c r="A114" s="267" t="str">
        <f>IF(AND(B114&lt;&gt;"",C114&lt;&gt;""),MAX($A$3:A113)+1,"")</f>
        <v/>
      </c>
      <c r="B114" s="250"/>
      <c r="C114" s="250"/>
      <c r="D114" s="235"/>
      <c r="E114" s="253" t="s">
        <v>409</v>
      </c>
    </row>
    <row r="115" spans="1:5">
      <c r="A115" s="267" t="str">
        <f>IF(AND(B115&lt;&gt;"",C115&lt;&gt;""),MAX($A$3:A114)+1,"")</f>
        <v/>
      </c>
      <c r="B115" s="250"/>
      <c r="C115" s="250"/>
      <c r="D115" s="232"/>
      <c r="E115" s="253" t="s">
        <v>394</v>
      </c>
    </row>
    <row r="116" spans="1:5">
      <c r="A116" s="267" t="str">
        <f>IF(AND(B116&lt;&gt;"",C116&lt;&gt;""),MAX($A$3:A115)+1,"")</f>
        <v/>
      </c>
      <c r="B116" s="250"/>
      <c r="C116" s="250"/>
      <c r="D116" s="234"/>
      <c r="E116" s="253" t="s">
        <v>395</v>
      </c>
    </row>
    <row r="117" spans="1:5">
      <c r="A117" s="267" t="str">
        <f>IF(AND(B117&lt;&gt;"",C117&lt;&gt;""),MAX($A$3:A116)+1,"")</f>
        <v/>
      </c>
      <c r="B117" s="250"/>
      <c r="C117" s="250"/>
      <c r="D117" s="234"/>
      <c r="E117" s="253" t="s">
        <v>410</v>
      </c>
    </row>
    <row r="118" spans="1:5" ht="30">
      <c r="A118" s="267">
        <f>IF(AND(B118&lt;&gt;"",C118&lt;&gt;""),MAX($A$3:A117)+1,"")</f>
        <v>23</v>
      </c>
      <c r="B118" s="250" t="s">
        <v>274</v>
      </c>
      <c r="C118" s="250" t="s">
        <v>274</v>
      </c>
      <c r="D118" s="234"/>
      <c r="E118" s="253" t="s">
        <v>397</v>
      </c>
    </row>
    <row r="119" spans="1:5">
      <c r="A119" s="267" t="str">
        <f>IF(AND(B119&lt;&gt;"",C119&lt;&gt;""),MAX($A$3:A118)+1,"")</f>
        <v/>
      </c>
      <c r="B119" s="250"/>
      <c r="C119" s="250" t="s">
        <v>561</v>
      </c>
      <c r="D119" s="237"/>
      <c r="E119" s="253" t="s">
        <v>411</v>
      </c>
    </row>
    <row r="120" spans="1:5">
      <c r="A120" s="267" t="str">
        <f>IF(AND(B120&lt;&gt;"",C120&lt;&gt;""),MAX($A$3:A119)+1,"")</f>
        <v/>
      </c>
      <c r="B120" s="250"/>
      <c r="C120" s="250"/>
      <c r="D120" s="235"/>
      <c r="E120" s="253" t="s">
        <v>399</v>
      </c>
    </row>
    <row r="121" spans="1:5">
      <c r="A121" s="267" t="str">
        <f>IF(AND(B121&lt;&gt;"",C121&lt;&gt;""),MAX($A$3:A120)+1,"")</f>
        <v/>
      </c>
      <c r="B121" s="250"/>
      <c r="C121" s="250"/>
      <c r="D121" s="235"/>
      <c r="E121" s="253" t="s">
        <v>404</v>
      </c>
    </row>
    <row r="122" spans="1:5" ht="45">
      <c r="A122" s="267">
        <f>IF(AND(B122&lt;&gt;"",C122&lt;&gt;""),MAX($A$3:A121)+1,"")</f>
        <v>24</v>
      </c>
      <c r="B122" s="250" t="s">
        <v>282</v>
      </c>
      <c r="C122" s="250" t="s">
        <v>561</v>
      </c>
      <c r="D122" s="234"/>
      <c r="E122" s="253" t="s">
        <v>412</v>
      </c>
    </row>
    <row r="123" spans="1:5">
      <c r="A123" s="267" t="str">
        <f>IF(AND(B123&lt;&gt;"",C123&lt;&gt;""),MAX($A$3:A122)+1,"")</f>
        <v/>
      </c>
      <c r="B123" s="250"/>
      <c r="C123" s="250"/>
      <c r="D123" s="234"/>
      <c r="E123" s="253" t="s">
        <v>413</v>
      </c>
    </row>
    <row r="124" spans="1:5">
      <c r="A124" s="267" t="str">
        <f>IF(AND(B124&lt;&gt;"",C124&lt;&gt;""),MAX($A$3:A123)+1,"")</f>
        <v/>
      </c>
      <c r="B124" s="250"/>
      <c r="C124" s="250"/>
      <c r="D124" s="234"/>
      <c r="E124" s="253" t="s">
        <v>414</v>
      </c>
    </row>
    <row r="125" spans="1:5">
      <c r="A125" s="267" t="str">
        <f>IF(AND(B125&lt;&gt;"",C125&lt;&gt;""),MAX($A$3:A124)+1,"")</f>
        <v/>
      </c>
      <c r="B125" s="250"/>
      <c r="C125" s="250"/>
      <c r="D125" s="234"/>
      <c r="E125" s="253" t="s">
        <v>415</v>
      </c>
    </row>
    <row r="126" spans="1:5">
      <c r="A126" s="267" t="str">
        <f>IF(AND(B126&lt;&gt;"",C126&lt;&gt;""),MAX($A$3:A125)+1,"")</f>
        <v/>
      </c>
      <c r="B126" s="250"/>
      <c r="C126" s="250"/>
      <c r="D126" s="234"/>
      <c r="E126" s="253" t="s">
        <v>416</v>
      </c>
    </row>
    <row r="127" spans="1:5" ht="71.25">
      <c r="A127" s="245" t="s">
        <v>157</v>
      </c>
      <c r="B127" s="246" t="s">
        <v>283</v>
      </c>
      <c r="C127" s="246"/>
      <c r="D127" s="234"/>
      <c r="E127" s="250"/>
    </row>
    <row r="128" spans="1:5" ht="30">
      <c r="A128" s="267">
        <f>IF(AND(B128&lt;&gt;"",C128&lt;&gt;""),MAX($A$3:A127)+1,"")</f>
        <v>25</v>
      </c>
      <c r="B128" s="250" t="s">
        <v>284</v>
      </c>
      <c r="C128" s="250" t="s">
        <v>561</v>
      </c>
      <c r="D128" s="234"/>
      <c r="E128" s="250" t="s">
        <v>417</v>
      </c>
    </row>
    <row r="129" spans="1:5">
      <c r="A129" s="267" t="str">
        <f>IF(AND(B129&lt;&gt;"",C129&lt;&gt;""),MAX($A$3:A128)+1,"")</f>
        <v/>
      </c>
      <c r="B129" s="250"/>
      <c r="C129" s="250"/>
      <c r="D129" s="234"/>
      <c r="E129" s="250" t="s">
        <v>394</v>
      </c>
    </row>
    <row r="130" spans="1:5">
      <c r="A130" s="267" t="str">
        <f>IF(AND(B130&lt;&gt;"",C130&lt;&gt;""),MAX($A$3:A129)+1,"")</f>
        <v/>
      </c>
      <c r="B130" s="250"/>
      <c r="C130" s="250"/>
      <c r="D130" s="234"/>
      <c r="E130" s="250" t="s">
        <v>395</v>
      </c>
    </row>
    <row r="131" spans="1:5">
      <c r="A131" s="267" t="str">
        <f>IF(AND(B131&lt;&gt;"",C131&lt;&gt;""),MAX($A$3:A130)+1,"")</f>
        <v/>
      </c>
      <c r="B131" s="250"/>
      <c r="C131" s="250"/>
      <c r="D131" s="235"/>
      <c r="E131" s="250" t="s">
        <v>396</v>
      </c>
    </row>
    <row r="132" spans="1:5" ht="30">
      <c r="A132" s="267">
        <f>IF(AND(B132&lt;&gt;"",C132&lt;&gt;""),MAX($A$3:A131)+1,"")</f>
        <v>26</v>
      </c>
      <c r="B132" s="250" t="s">
        <v>278</v>
      </c>
      <c r="C132" s="250" t="s">
        <v>561</v>
      </c>
      <c r="D132" s="235"/>
      <c r="E132" s="250" t="s">
        <v>397</v>
      </c>
    </row>
    <row r="133" spans="1:5">
      <c r="A133" s="267" t="str">
        <f>IF(AND(B133&lt;&gt;"",C133&lt;&gt;""),MAX($A$3:A132)+1,"")</f>
        <v/>
      </c>
      <c r="B133" s="250"/>
      <c r="C133" s="250"/>
      <c r="D133" s="234"/>
      <c r="E133" s="250" t="s">
        <v>418</v>
      </c>
    </row>
    <row r="134" spans="1:5">
      <c r="A134" s="267" t="str">
        <f>IF(AND(B134&lt;&gt;"",C134&lt;&gt;""),MAX($A$3:A133)+1,"")</f>
        <v/>
      </c>
      <c r="B134" s="250"/>
      <c r="C134" s="250"/>
      <c r="D134" s="234"/>
      <c r="E134" s="250" t="s">
        <v>399</v>
      </c>
    </row>
    <row r="135" spans="1:5">
      <c r="A135" s="267" t="str">
        <f>IF(AND(B135&lt;&gt;"",C135&lt;&gt;""),MAX($A$3:A134)+1,"")</f>
        <v/>
      </c>
      <c r="B135" s="250"/>
      <c r="C135" s="250"/>
      <c r="D135" s="234"/>
      <c r="E135" s="250" t="s">
        <v>404</v>
      </c>
    </row>
    <row r="136" spans="1:5" ht="99.75">
      <c r="A136" s="245" t="s">
        <v>162</v>
      </c>
      <c r="B136" s="246" t="s">
        <v>285</v>
      </c>
      <c r="C136" s="246"/>
      <c r="D136" s="228"/>
      <c r="E136" s="250"/>
    </row>
    <row r="137" spans="1:5" ht="45">
      <c r="A137" s="267">
        <f>IF(AND(B137&lt;&gt;"",C137&lt;&gt;""),MAX($A$3:A136)+1,"")</f>
        <v>27</v>
      </c>
      <c r="B137" s="250" t="s">
        <v>286</v>
      </c>
      <c r="C137" s="250" t="s">
        <v>561</v>
      </c>
      <c r="D137" s="228"/>
      <c r="E137" s="250" t="s">
        <v>419</v>
      </c>
    </row>
    <row r="138" spans="1:5">
      <c r="A138" s="267" t="str">
        <f>IF(AND(B138&lt;&gt;"",C138&lt;&gt;""),MAX($A$3:A137)+1,"")</f>
        <v/>
      </c>
      <c r="B138" s="250"/>
      <c r="C138" s="250"/>
      <c r="D138" s="229"/>
      <c r="E138" s="250" t="s">
        <v>394</v>
      </c>
    </row>
    <row r="139" spans="1:5">
      <c r="A139" s="267" t="str">
        <f>IF(AND(B139&lt;&gt;"",C139&lt;&gt;""),MAX($A$3:A138)+1,"")</f>
        <v/>
      </c>
      <c r="B139" s="250"/>
      <c r="C139" s="250"/>
      <c r="D139" s="232"/>
      <c r="E139" s="250" t="s">
        <v>395</v>
      </c>
    </row>
    <row r="140" spans="1:5">
      <c r="A140" s="267" t="str">
        <f>IF(AND(B140&lt;&gt;"",C140&lt;&gt;""),MAX($A$3:A139)+1,"")</f>
        <v/>
      </c>
      <c r="B140" s="250"/>
      <c r="C140" s="250"/>
      <c r="D140" s="230"/>
      <c r="E140" s="250" t="s">
        <v>396</v>
      </c>
    </row>
    <row r="141" spans="1:5" ht="30">
      <c r="A141" s="267">
        <f>IF(AND(B141&lt;&gt;"",C141&lt;&gt;""),MAX($A$3:A140)+1,"")</f>
        <v>28</v>
      </c>
      <c r="B141" s="250" t="s">
        <v>278</v>
      </c>
      <c r="C141" s="250" t="s">
        <v>561</v>
      </c>
      <c r="D141" s="230"/>
      <c r="E141" s="250" t="s">
        <v>397</v>
      </c>
    </row>
    <row r="142" spans="1:5">
      <c r="A142" s="267" t="str">
        <f>IF(AND(B142&lt;&gt;"",C142&lt;&gt;""),MAX($A$3:A141)+1,"")</f>
        <v/>
      </c>
      <c r="B142" s="250"/>
      <c r="C142" s="250"/>
      <c r="D142" s="230"/>
      <c r="E142" s="250" t="s">
        <v>418</v>
      </c>
    </row>
    <row r="143" spans="1:5">
      <c r="A143" s="267" t="str">
        <f>IF(AND(B143&lt;&gt;"",C143&lt;&gt;""),MAX($A$3:A142)+1,"")</f>
        <v/>
      </c>
      <c r="B143" s="250"/>
      <c r="C143" s="250"/>
      <c r="D143" s="230"/>
      <c r="E143" s="250" t="s">
        <v>399</v>
      </c>
    </row>
    <row r="144" spans="1:5">
      <c r="A144" s="267" t="str">
        <f>IF(AND(B144&lt;&gt;"",C144&lt;&gt;""),MAX($A$3:A143)+1,"")</f>
        <v/>
      </c>
      <c r="B144" s="250"/>
      <c r="C144" s="250"/>
      <c r="D144" s="230"/>
      <c r="E144" s="250" t="s">
        <v>404</v>
      </c>
    </row>
    <row r="145" spans="1:5" ht="57">
      <c r="A145" s="245" t="s">
        <v>255</v>
      </c>
      <c r="B145" s="246" t="s">
        <v>287</v>
      </c>
      <c r="C145" s="246"/>
      <c r="D145" s="230"/>
      <c r="E145" s="250"/>
    </row>
    <row r="146" spans="1:5" ht="30">
      <c r="A146" s="267">
        <f>IF(AND(B146&lt;&gt;"",C146&lt;&gt;""),MAX($A$3:A145)+1,"")</f>
        <v>29</v>
      </c>
      <c r="B146" s="250" t="s">
        <v>288</v>
      </c>
      <c r="C146" s="250" t="s">
        <v>561</v>
      </c>
      <c r="D146" s="230"/>
      <c r="E146" s="250" t="s">
        <v>420</v>
      </c>
    </row>
    <row r="147" spans="1:5">
      <c r="A147" s="267" t="str">
        <f>IF(AND(B147&lt;&gt;"",C147&lt;&gt;""),MAX($A$3:A146)+1,"")</f>
        <v/>
      </c>
      <c r="B147" s="250"/>
      <c r="C147" s="250"/>
      <c r="D147" s="230"/>
      <c r="E147" s="250" t="s">
        <v>421</v>
      </c>
    </row>
    <row r="148" spans="1:5">
      <c r="A148" s="267" t="str">
        <f>IF(AND(B148&lt;&gt;"",C148&lt;&gt;""),MAX($A$3:A147)+1,"")</f>
        <v/>
      </c>
      <c r="B148" s="250"/>
      <c r="C148" s="250"/>
      <c r="D148" s="236"/>
      <c r="E148" s="250" t="s">
        <v>422</v>
      </c>
    </row>
    <row r="149" spans="1:5" ht="30">
      <c r="A149" s="267">
        <f>IF(AND(B149&lt;&gt;"",C149&lt;&gt;""),MAX($A$3:A148)+1,"")</f>
        <v>30</v>
      </c>
      <c r="B149" s="250" t="s">
        <v>289</v>
      </c>
      <c r="C149" s="250" t="s">
        <v>561</v>
      </c>
      <c r="D149" s="230"/>
      <c r="E149" s="250" t="s">
        <v>423</v>
      </c>
    </row>
    <row r="150" spans="1:5">
      <c r="A150" s="267" t="str">
        <f>IF(AND(B150&lt;&gt;"",C150&lt;&gt;""),MAX($A$3:A149)+1,"")</f>
        <v/>
      </c>
      <c r="B150" s="250"/>
      <c r="C150" s="250"/>
      <c r="D150" s="229"/>
      <c r="E150" s="250" t="s">
        <v>424</v>
      </c>
    </row>
    <row r="151" spans="1:5">
      <c r="A151" s="267" t="str">
        <f>IF(AND(B151&lt;&gt;"",C151&lt;&gt;""),MAX($A$3:A150)+1,"")</f>
        <v/>
      </c>
      <c r="B151" s="250"/>
      <c r="C151" s="250"/>
      <c r="D151" s="229"/>
      <c r="E151" s="250" t="s">
        <v>425</v>
      </c>
    </row>
    <row r="152" spans="1:5" ht="42.75">
      <c r="A152" s="245" t="s">
        <v>256</v>
      </c>
      <c r="B152" s="246" t="s">
        <v>290</v>
      </c>
      <c r="C152" s="246"/>
      <c r="D152" s="229"/>
      <c r="E152" s="250"/>
    </row>
    <row r="153" spans="1:5" ht="30">
      <c r="A153" s="267">
        <f>IF(AND(B153&lt;&gt;"",C153&lt;&gt;""),MAX($A$3:A152)+1,"")</f>
        <v>31</v>
      </c>
      <c r="B153" s="250" t="s">
        <v>291</v>
      </c>
      <c r="C153" s="250" t="s">
        <v>561</v>
      </c>
      <c r="D153" s="229"/>
      <c r="E153" s="250" t="s">
        <v>426</v>
      </c>
    </row>
    <row r="154" spans="1:5">
      <c r="A154" s="267" t="str">
        <f>IF(AND(B154&lt;&gt;"",C154&lt;&gt;""),MAX($A$3:A153)+1,"")</f>
        <v/>
      </c>
      <c r="B154" s="250"/>
      <c r="C154" s="250"/>
      <c r="D154" s="229"/>
      <c r="E154" s="250" t="s">
        <v>427</v>
      </c>
    </row>
    <row r="155" spans="1:5">
      <c r="A155" s="267" t="str">
        <f>IF(AND(B155&lt;&gt;"",C155&lt;&gt;""),MAX($A$3:A154)+1,"")</f>
        <v/>
      </c>
      <c r="B155" s="250"/>
      <c r="C155" s="250"/>
      <c r="D155" s="230"/>
      <c r="E155" s="250" t="s">
        <v>428</v>
      </c>
    </row>
    <row r="156" spans="1:5" ht="30">
      <c r="A156" s="267">
        <f>IF(AND(B156&lt;&gt;"",C156&lt;&gt;""),MAX($A$3:A155)+1,"")</f>
        <v>32</v>
      </c>
      <c r="B156" s="250" t="s">
        <v>292</v>
      </c>
      <c r="C156" s="250" t="s">
        <v>561</v>
      </c>
      <c r="D156" s="230"/>
      <c r="E156" s="250" t="s">
        <v>429</v>
      </c>
    </row>
    <row r="157" spans="1:5">
      <c r="A157" s="267" t="str">
        <f>IF(AND(B157&lt;&gt;"",C157&lt;&gt;""),MAX($A$3:A156)+1,"")</f>
        <v/>
      </c>
      <c r="B157" s="250"/>
      <c r="C157" s="250"/>
      <c r="D157" s="230"/>
      <c r="E157" s="250" t="s">
        <v>430</v>
      </c>
    </row>
    <row r="158" spans="1:5">
      <c r="A158" s="267" t="str">
        <f>IF(AND(B158&lt;&gt;"",C158&lt;&gt;""),MAX($A$3:A157)+1,"")</f>
        <v/>
      </c>
      <c r="B158" s="250"/>
      <c r="C158" s="250"/>
      <c r="D158" s="230"/>
      <c r="E158" s="250" t="s">
        <v>431</v>
      </c>
    </row>
    <row r="159" spans="1:5" ht="42.75">
      <c r="A159" s="245" t="s">
        <v>258</v>
      </c>
      <c r="B159" s="246" t="s">
        <v>293</v>
      </c>
      <c r="C159" s="246"/>
      <c r="D159" s="230"/>
      <c r="E159" s="250"/>
    </row>
    <row r="160" spans="1:5" ht="30">
      <c r="A160" s="267">
        <f>IF(AND(B160&lt;&gt;"",C160&lt;&gt;""),MAX($A$3:A159)+1,"")</f>
        <v>33</v>
      </c>
      <c r="B160" s="250" t="s">
        <v>294</v>
      </c>
      <c r="C160" s="250" t="s">
        <v>561</v>
      </c>
      <c r="D160" s="230"/>
      <c r="E160" s="250" t="s">
        <v>432</v>
      </c>
    </row>
    <row r="161" spans="1:5">
      <c r="A161" s="267" t="str">
        <f>IF(AND(B161&lt;&gt;"",C161&lt;&gt;""),MAX($A$3:A160)+1,"")</f>
        <v/>
      </c>
      <c r="B161" s="250"/>
      <c r="C161" s="250"/>
      <c r="D161" s="230"/>
      <c r="E161" s="250" t="s">
        <v>433</v>
      </c>
    </row>
    <row r="162" spans="1:5">
      <c r="A162" s="267" t="str">
        <f>IF(AND(B162&lt;&gt;"",C162&lt;&gt;""),MAX($A$3:A161)+1,"")</f>
        <v/>
      </c>
      <c r="B162" s="250"/>
      <c r="C162" s="250"/>
      <c r="D162" s="230"/>
      <c r="E162" s="250" t="s">
        <v>434</v>
      </c>
    </row>
    <row r="163" spans="1:5">
      <c r="A163" s="267" t="str">
        <f>IF(AND(B163&lt;&gt;"",C163&lt;&gt;""),MAX($A$3:A162)+1,"")</f>
        <v/>
      </c>
      <c r="B163" s="250"/>
      <c r="C163" s="250"/>
      <c r="D163" s="230"/>
      <c r="E163" s="250" t="s">
        <v>435</v>
      </c>
    </row>
    <row r="164" spans="1:5" ht="30">
      <c r="A164" s="267">
        <f>IF(AND(B164&lt;&gt;"",C164&lt;&gt;""),MAX($A$3:A163)+1,"")</f>
        <v>34</v>
      </c>
      <c r="B164" s="250" t="s">
        <v>295</v>
      </c>
      <c r="C164" s="250" t="s">
        <v>561</v>
      </c>
      <c r="D164" s="230"/>
      <c r="E164" s="250" t="s">
        <v>436</v>
      </c>
    </row>
    <row r="165" spans="1:5">
      <c r="A165" s="267" t="str">
        <f>IF(AND(B165&lt;&gt;"",C165&lt;&gt;""),MAX($A$3:A164)+1,"")</f>
        <v/>
      </c>
      <c r="B165" s="250"/>
      <c r="C165" s="250"/>
      <c r="D165" s="230"/>
      <c r="E165" s="250" t="s">
        <v>437</v>
      </c>
    </row>
    <row r="166" spans="1:5">
      <c r="A166" s="267" t="str">
        <f>IF(AND(B166&lt;&gt;"",C166&lt;&gt;""),MAX($A$3:A165)+1,"")</f>
        <v/>
      </c>
      <c r="B166" s="250"/>
      <c r="C166" s="250"/>
      <c r="D166" s="230"/>
      <c r="E166" s="250" t="s">
        <v>438</v>
      </c>
    </row>
    <row r="167" spans="1:5">
      <c r="A167" s="267" t="str">
        <f>IF(AND(B167&lt;&gt;"",C167&lt;&gt;""),MAX($A$3:A166)+1,"")</f>
        <v/>
      </c>
      <c r="B167" s="250"/>
      <c r="C167" s="250"/>
      <c r="D167" s="230"/>
      <c r="E167" s="250" t="s">
        <v>439</v>
      </c>
    </row>
    <row r="168" spans="1:5" ht="60">
      <c r="A168" s="267">
        <f>IF(AND(B168&lt;&gt;"",C168&lt;&gt;""),MAX($A$3:A167)+1,"")</f>
        <v>35</v>
      </c>
      <c r="B168" s="250" t="s">
        <v>296</v>
      </c>
      <c r="C168" s="250" t="s">
        <v>561</v>
      </c>
      <c r="D168" s="236"/>
      <c r="E168" s="250" t="s">
        <v>440</v>
      </c>
    </row>
    <row r="169" spans="1:5">
      <c r="A169" s="267" t="str">
        <f>IF(AND(B169&lt;&gt;"",C169&lt;&gt;""),MAX($A$3:A168)+1,"")</f>
        <v/>
      </c>
      <c r="B169" s="250"/>
      <c r="C169" s="250"/>
      <c r="D169" s="230"/>
      <c r="E169" s="250" t="s">
        <v>441</v>
      </c>
    </row>
    <row r="170" spans="1:5">
      <c r="A170" s="267" t="str">
        <f>IF(AND(B170&lt;&gt;"",C170&lt;&gt;""),MAX($A$3:A169)+1,"")</f>
        <v/>
      </c>
      <c r="B170" s="250"/>
      <c r="C170" s="250"/>
      <c r="D170" s="236"/>
      <c r="E170" s="250" t="s">
        <v>442</v>
      </c>
    </row>
    <row r="171" spans="1:5">
      <c r="A171" s="267" t="str">
        <f>IF(AND(B171&lt;&gt;"",C171&lt;&gt;""),MAX($A$3:A170)+1,"")</f>
        <v/>
      </c>
      <c r="B171" s="250"/>
      <c r="C171" s="250"/>
      <c r="D171" s="230"/>
      <c r="E171" s="250" t="s">
        <v>443</v>
      </c>
    </row>
    <row r="172" spans="1:5">
      <c r="A172" s="245" t="s">
        <v>257</v>
      </c>
      <c r="B172" s="246" t="s">
        <v>297</v>
      </c>
      <c r="C172" s="246"/>
      <c r="D172" s="229"/>
      <c r="E172" s="250"/>
    </row>
    <row r="173" spans="1:5" ht="30">
      <c r="A173" s="267">
        <f>IF(AND(B173&lt;&gt;"",C173&lt;&gt;""),MAX($A$3:A172)+1,"")</f>
        <v>36</v>
      </c>
      <c r="B173" s="250" t="s">
        <v>298</v>
      </c>
      <c r="C173" s="250" t="s">
        <v>561</v>
      </c>
      <c r="D173" s="229"/>
      <c r="E173" s="250" t="s">
        <v>444</v>
      </c>
    </row>
    <row r="174" spans="1:5">
      <c r="A174" s="267" t="str">
        <f>IF(AND(B174&lt;&gt;"",C174&lt;&gt;""),MAX($A$3:A173)+1,"")</f>
        <v/>
      </c>
      <c r="B174" s="250"/>
      <c r="C174" s="250"/>
      <c r="D174" s="236"/>
      <c r="E174" s="250" t="s">
        <v>445</v>
      </c>
    </row>
    <row r="175" spans="1:5">
      <c r="A175" s="267" t="str">
        <f>IF(AND(B175&lt;&gt;"",C175&lt;&gt;""),MAX($A$3:A174)+1,"")</f>
        <v/>
      </c>
      <c r="B175" s="250"/>
      <c r="C175" s="250"/>
      <c r="D175" s="230"/>
      <c r="E175" s="250" t="s">
        <v>446</v>
      </c>
    </row>
    <row r="176" spans="1:5">
      <c r="A176" s="267" t="str">
        <f>IF(AND(B176&lt;&gt;"",C176&lt;&gt;""),MAX($A$3:A175)+1,"")</f>
        <v/>
      </c>
      <c r="B176" s="250"/>
      <c r="C176" s="250"/>
      <c r="D176" s="230"/>
      <c r="E176" s="250" t="s">
        <v>447</v>
      </c>
    </row>
    <row r="177" spans="1:5">
      <c r="A177" s="267" t="str">
        <f>IF(AND(B177&lt;&gt;"",C177&lt;&gt;""),MAX($A$3:A176)+1,"")</f>
        <v/>
      </c>
      <c r="B177" s="250"/>
      <c r="C177" s="250"/>
      <c r="D177" s="230"/>
      <c r="E177" s="250" t="s">
        <v>448</v>
      </c>
    </row>
    <row r="178" spans="1:5">
      <c r="A178" s="267" t="str">
        <f>IF(AND(B178&lt;&gt;"",C178&lt;&gt;""),MAX($A$3:A177)+1,"")</f>
        <v/>
      </c>
      <c r="B178" s="250"/>
      <c r="C178" s="250"/>
      <c r="D178" s="229"/>
      <c r="E178" s="253" t="s">
        <v>449</v>
      </c>
    </row>
    <row r="179" spans="1:5">
      <c r="A179" s="267" t="str">
        <f>IF(AND(B179&lt;&gt;"",C179&lt;&gt;""),MAX($A$3:A178)+1,"")</f>
        <v/>
      </c>
      <c r="B179" s="250"/>
      <c r="C179" s="250"/>
      <c r="D179" s="229"/>
      <c r="E179" s="253" t="s">
        <v>450</v>
      </c>
    </row>
    <row r="180" spans="1:5" ht="30">
      <c r="A180" s="267">
        <f>IF(AND(B180&lt;&gt;"",C180&lt;&gt;""),MAX($A$3:A179)+1,"")</f>
        <v>37</v>
      </c>
      <c r="B180" s="250" t="s">
        <v>299</v>
      </c>
      <c r="C180" s="250" t="s">
        <v>561</v>
      </c>
      <c r="D180" s="229"/>
      <c r="E180" s="250" t="s">
        <v>451</v>
      </c>
    </row>
    <row r="181" spans="1:5">
      <c r="A181" s="267" t="str">
        <f>IF(AND(B181&lt;&gt;"",C181&lt;&gt;""),MAX($A$3:A180)+1,"")</f>
        <v/>
      </c>
      <c r="B181" s="250"/>
      <c r="C181" s="250"/>
      <c r="D181" s="227"/>
      <c r="E181" s="250" t="s">
        <v>452</v>
      </c>
    </row>
    <row r="182" spans="1:5">
      <c r="A182" s="267" t="str">
        <f>IF(AND(B182&lt;&gt;"",C182&lt;&gt;""),MAX($A$3:A181)+1,"")</f>
        <v/>
      </c>
      <c r="B182" s="250"/>
      <c r="C182" s="250"/>
      <c r="D182" s="232"/>
      <c r="E182" s="250" t="s">
        <v>453</v>
      </c>
    </row>
    <row r="183" spans="1:5">
      <c r="A183" s="267" t="str">
        <f>IF(AND(B183&lt;&gt;"",C183&lt;&gt;""),MAX($A$3:A182)+1,"")</f>
        <v/>
      </c>
      <c r="B183" s="250"/>
      <c r="C183" s="250"/>
      <c r="D183" s="229"/>
      <c r="E183" s="250" t="s">
        <v>454</v>
      </c>
    </row>
    <row r="184" spans="1:5">
      <c r="A184" s="267" t="str">
        <f>IF(AND(B184&lt;&gt;"",C184&lt;&gt;""),MAX($A$3:A183)+1,"")</f>
        <v/>
      </c>
      <c r="B184" s="250"/>
      <c r="C184" s="250"/>
      <c r="D184" s="229"/>
      <c r="E184" s="250" t="s">
        <v>455</v>
      </c>
    </row>
    <row r="185" spans="1:5">
      <c r="A185" s="267" t="str">
        <f>IF(AND(B185&lt;&gt;"",C185&lt;&gt;""),MAX($A$3:A184)+1,"")</f>
        <v/>
      </c>
      <c r="B185" s="250"/>
      <c r="C185" s="250"/>
      <c r="D185" s="230"/>
      <c r="E185" s="253" t="s">
        <v>449</v>
      </c>
    </row>
    <row r="186" spans="1:5">
      <c r="A186" s="267" t="str">
        <f>IF(AND(B186&lt;&gt;"",C186&lt;&gt;""),MAX($A$3:A185)+1,"")</f>
        <v/>
      </c>
      <c r="B186" s="250"/>
      <c r="C186" s="250"/>
      <c r="D186" s="230"/>
      <c r="E186" s="253" t="s">
        <v>450</v>
      </c>
    </row>
    <row r="187" spans="1:5" ht="45">
      <c r="A187" s="267">
        <f>IF(AND(B187&lt;&gt;"",C187&lt;&gt;""),MAX($A$3:A186)+1,"")</f>
        <v>38</v>
      </c>
      <c r="B187" s="250" t="s">
        <v>300</v>
      </c>
      <c r="C187" s="250" t="s">
        <v>561</v>
      </c>
      <c r="D187" s="232"/>
      <c r="E187" s="250" t="s">
        <v>456</v>
      </c>
    </row>
    <row r="188" spans="1:5">
      <c r="A188" s="267" t="str">
        <f>IF(AND(B188&lt;&gt;"",C188&lt;&gt;""),MAX($A$3:A187)+1,"")</f>
        <v/>
      </c>
      <c r="B188" s="250"/>
      <c r="C188" s="250"/>
      <c r="D188" s="229"/>
      <c r="E188" s="250" t="s">
        <v>457</v>
      </c>
    </row>
    <row r="189" spans="1:5">
      <c r="A189" s="267" t="str">
        <f>IF(AND(B189&lt;&gt;"",C189&lt;&gt;""),MAX($A$3:A188)+1,"")</f>
        <v/>
      </c>
      <c r="B189" s="250"/>
      <c r="C189" s="250"/>
      <c r="D189" s="229"/>
      <c r="E189" s="250" t="s">
        <v>458</v>
      </c>
    </row>
    <row r="190" spans="1:5">
      <c r="A190" s="267" t="str">
        <f>IF(AND(B190&lt;&gt;"",C190&lt;&gt;""),MAX($A$3:A189)+1,"")</f>
        <v/>
      </c>
      <c r="B190" s="250"/>
      <c r="C190" s="250"/>
      <c r="D190" s="230"/>
      <c r="E190" s="250" t="s">
        <v>459</v>
      </c>
    </row>
    <row r="191" spans="1:5">
      <c r="A191" s="267" t="str">
        <f>IF(AND(B191&lt;&gt;"",C191&lt;&gt;""),MAX($A$3:A190)+1,"")</f>
        <v/>
      </c>
      <c r="B191" s="250"/>
      <c r="C191" s="250"/>
      <c r="D191" s="230"/>
      <c r="E191" s="250" t="s">
        <v>460</v>
      </c>
    </row>
    <row r="192" spans="1:5">
      <c r="A192" s="267" t="str">
        <f>IF(AND(B192&lt;&gt;"",C192&lt;&gt;""),MAX($A$3:A191)+1,"")</f>
        <v/>
      </c>
      <c r="B192" s="250"/>
      <c r="C192" s="250"/>
      <c r="D192" s="228"/>
      <c r="E192" s="253" t="s">
        <v>449</v>
      </c>
    </row>
    <row r="193" spans="1:5">
      <c r="A193" s="267" t="str">
        <f>IF(AND(B193&lt;&gt;"",C193&lt;&gt;""),MAX($A$3:A192)+1,"")</f>
        <v/>
      </c>
      <c r="B193" s="250"/>
      <c r="C193" s="250"/>
      <c r="D193" s="229"/>
      <c r="E193" s="253" t="s">
        <v>450</v>
      </c>
    </row>
    <row r="194" spans="1:5" ht="30">
      <c r="A194" s="267">
        <f>IF(AND(B194&lt;&gt;"",C194&lt;&gt;""),MAX($A$3:A193)+1,"")</f>
        <v>39</v>
      </c>
      <c r="B194" s="250" t="s">
        <v>301</v>
      </c>
      <c r="C194" s="250" t="s">
        <v>561</v>
      </c>
      <c r="D194" s="229"/>
      <c r="E194" s="250" t="s">
        <v>461</v>
      </c>
    </row>
    <row r="195" spans="1:5">
      <c r="A195" s="267" t="str">
        <f>IF(AND(B195&lt;&gt;"",C195&lt;&gt;""),MAX($A$3:A194)+1,"")</f>
        <v/>
      </c>
      <c r="B195" s="250"/>
      <c r="C195" s="250"/>
      <c r="D195" s="229"/>
      <c r="E195" s="250" t="s">
        <v>462</v>
      </c>
    </row>
    <row r="196" spans="1:5">
      <c r="A196" s="267" t="str">
        <f>IF(AND(B196&lt;&gt;"",C196&lt;&gt;""),MAX($A$3:A195)+1,"")</f>
        <v/>
      </c>
      <c r="B196" s="250"/>
      <c r="C196" s="250"/>
      <c r="D196" s="229"/>
      <c r="E196" s="250" t="s">
        <v>463</v>
      </c>
    </row>
    <row r="197" spans="1:5">
      <c r="A197" s="267" t="str">
        <f>IF(AND(B197&lt;&gt;"",C197&lt;&gt;""),MAX($A$3:A196)+1,"")</f>
        <v/>
      </c>
      <c r="B197" s="250"/>
      <c r="C197" s="250"/>
      <c r="D197" s="229"/>
      <c r="E197" s="250" t="s">
        <v>464</v>
      </c>
    </row>
    <row r="198" spans="1:5">
      <c r="A198" s="267" t="str">
        <f>IF(AND(B198&lt;&gt;"",C198&lt;&gt;""),MAX($A$3:A197)+1,"")</f>
        <v/>
      </c>
      <c r="B198" s="250"/>
      <c r="C198" s="250"/>
      <c r="D198" s="229"/>
      <c r="E198" s="250" t="s">
        <v>465</v>
      </c>
    </row>
    <row r="199" spans="1:5">
      <c r="A199" s="267" t="str">
        <f>IF(AND(B199&lt;&gt;"",C199&lt;&gt;""),MAX($A$3:A198)+1,"")</f>
        <v/>
      </c>
      <c r="B199" s="250"/>
      <c r="C199" s="250"/>
      <c r="D199" s="229"/>
      <c r="E199" s="253" t="s">
        <v>449</v>
      </c>
    </row>
    <row r="200" spans="1:5">
      <c r="A200" s="267" t="str">
        <f>IF(AND(B200&lt;&gt;"",C200&lt;&gt;""),MAX($A$3:A199)+1,"")</f>
        <v/>
      </c>
      <c r="B200" s="250"/>
      <c r="C200" s="250"/>
      <c r="D200" s="229"/>
      <c r="E200" s="253" t="s">
        <v>450</v>
      </c>
    </row>
    <row r="201" spans="1:5" ht="45">
      <c r="A201" s="267">
        <f>IF(AND(B201&lt;&gt;"",C201&lt;&gt;""),MAX($A$3:A200)+1,"")</f>
        <v>40</v>
      </c>
      <c r="B201" s="251" t="s">
        <v>302</v>
      </c>
      <c r="C201" s="250" t="s">
        <v>561</v>
      </c>
      <c r="D201" s="228"/>
      <c r="E201" s="250" t="s">
        <v>466</v>
      </c>
    </row>
    <row r="202" spans="1:5">
      <c r="A202" s="267" t="str">
        <f>IF(AND(B202&lt;&gt;"",C202&lt;&gt;""),MAX($A$3:A201)+1,"")</f>
        <v/>
      </c>
      <c r="B202" s="251"/>
      <c r="C202" s="251"/>
      <c r="D202" s="229"/>
      <c r="E202" s="250" t="s">
        <v>467</v>
      </c>
    </row>
    <row r="203" spans="1:5">
      <c r="A203" s="267" t="str">
        <f>IF(AND(B203&lt;&gt;"",C203&lt;&gt;""),MAX($A$3:A202)+1,"")</f>
        <v/>
      </c>
      <c r="B203" s="251"/>
      <c r="C203" s="251"/>
      <c r="D203" s="229"/>
      <c r="E203" s="250" t="s">
        <v>468</v>
      </c>
    </row>
    <row r="204" spans="1:5">
      <c r="A204" s="267" t="str">
        <f>IF(AND(B204&lt;&gt;"",C204&lt;&gt;""),MAX($A$3:A203)+1,"")</f>
        <v/>
      </c>
      <c r="B204" s="251"/>
      <c r="C204" s="251"/>
      <c r="D204" s="229"/>
      <c r="E204" s="250" t="s">
        <v>469</v>
      </c>
    </row>
    <row r="205" spans="1:5">
      <c r="A205" s="267" t="str">
        <f>IF(AND(B205&lt;&gt;"",C205&lt;&gt;""),MAX($A$3:A204)+1,"")</f>
        <v/>
      </c>
      <c r="B205" s="251"/>
      <c r="C205" s="251"/>
      <c r="D205" s="229"/>
      <c r="E205" s="250" t="s">
        <v>470</v>
      </c>
    </row>
    <row r="206" spans="1:5">
      <c r="A206" s="267" t="str">
        <f>IF(AND(B206&lt;&gt;"",C206&lt;&gt;""),MAX($A$3:A205)+1,"")</f>
        <v/>
      </c>
      <c r="B206" s="251"/>
      <c r="C206" s="251"/>
      <c r="D206" s="229"/>
      <c r="E206" s="253" t="s">
        <v>449</v>
      </c>
    </row>
    <row r="207" spans="1:5">
      <c r="A207" s="267" t="str">
        <f>IF(AND(B207&lt;&gt;"",C207&lt;&gt;""),MAX($A$3:A206)+1,"")</f>
        <v/>
      </c>
      <c r="B207" s="251"/>
      <c r="C207" s="251"/>
      <c r="D207" s="229"/>
      <c r="E207" s="253" t="s">
        <v>450</v>
      </c>
    </row>
    <row r="208" spans="1:5" ht="30">
      <c r="A208" s="267">
        <f>IF(AND(B208&lt;&gt;"",C208&lt;&gt;""),MAX($A$3:A207)+1,"")</f>
        <v>41</v>
      </c>
      <c r="B208" s="250" t="s">
        <v>303</v>
      </c>
      <c r="C208" s="250" t="s">
        <v>561</v>
      </c>
      <c r="D208" s="229"/>
      <c r="E208" s="250" t="s">
        <v>471</v>
      </c>
    </row>
    <row r="209" spans="1:5">
      <c r="A209" s="267" t="str">
        <f>IF(AND(B209&lt;&gt;"",C209&lt;&gt;""),MAX($A$3:A208)+1,"")</f>
        <v/>
      </c>
      <c r="B209" s="250"/>
      <c r="C209" s="250"/>
      <c r="D209" s="229"/>
      <c r="E209" s="250" t="s">
        <v>472</v>
      </c>
    </row>
    <row r="210" spans="1:5">
      <c r="A210" s="267" t="str">
        <f>IF(AND(B210&lt;&gt;"",C210&lt;&gt;""),MAX($A$3:A209)+1,"")</f>
        <v/>
      </c>
      <c r="B210" s="250"/>
      <c r="C210" s="250"/>
      <c r="D210" s="229"/>
      <c r="E210" s="250" t="s">
        <v>473</v>
      </c>
    </row>
    <row r="211" spans="1:5">
      <c r="A211" s="267" t="str">
        <f>IF(AND(B211&lt;&gt;"",C211&lt;&gt;""),MAX($A$3:A210)+1,"")</f>
        <v/>
      </c>
      <c r="B211" s="250"/>
      <c r="C211" s="250"/>
      <c r="D211" s="229"/>
      <c r="E211" s="250" t="s">
        <v>474</v>
      </c>
    </row>
    <row r="212" spans="1:5">
      <c r="A212" s="267" t="str">
        <f>IF(AND(B212&lt;&gt;"",C212&lt;&gt;""),MAX($A$3:A211)+1,"")</f>
        <v/>
      </c>
      <c r="B212" s="250"/>
      <c r="C212" s="250"/>
      <c r="D212" s="229"/>
      <c r="E212" s="250" t="s">
        <v>475</v>
      </c>
    </row>
    <row r="213" spans="1:5">
      <c r="A213" s="267" t="str">
        <f>IF(AND(B213&lt;&gt;"",C213&lt;&gt;""),MAX($A$3:A212)+1,"")</f>
        <v/>
      </c>
      <c r="B213" s="250"/>
      <c r="C213" s="250"/>
      <c r="D213" s="229"/>
      <c r="E213" s="253" t="s">
        <v>449</v>
      </c>
    </row>
    <row r="214" spans="1:5">
      <c r="A214" s="267" t="str">
        <f>IF(AND(B214&lt;&gt;"",C214&lt;&gt;""),MAX($A$3:A213)+1,"")</f>
        <v/>
      </c>
      <c r="B214" s="250"/>
      <c r="C214" s="250"/>
      <c r="D214" s="229"/>
      <c r="E214" s="253" t="s">
        <v>450</v>
      </c>
    </row>
    <row r="215" spans="1:5" ht="45">
      <c r="A215" s="267">
        <f>IF(AND(B215&lt;&gt;"",C215&lt;&gt;""),MAX($A$3:A214)+1,"")</f>
        <v>42</v>
      </c>
      <c r="B215" s="250" t="s">
        <v>304</v>
      </c>
      <c r="C215" s="250" t="s">
        <v>561</v>
      </c>
      <c r="D215" s="229"/>
      <c r="E215" s="250" t="s">
        <v>476</v>
      </c>
    </row>
    <row r="216" spans="1:5">
      <c r="A216" s="267" t="str">
        <f>IF(AND(B216&lt;&gt;"",C216&lt;&gt;""),MAX($A$3:A215)+1,"")</f>
        <v/>
      </c>
      <c r="B216" s="250"/>
      <c r="C216" s="250"/>
      <c r="D216" s="229"/>
      <c r="E216" s="250" t="s">
        <v>477</v>
      </c>
    </row>
    <row r="217" spans="1:5">
      <c r="A217" s="267" t="str">
        <f>IF(AND(B217&lt;&gt;"",C217&lt;&gt;""),MAX($A$3:A216)+1,"")</f>
        <v/>
      </c>
      <c r="B217" s="250"/>
      <c r="C217" s="250"/>
      <c r="D217" s="229"/>
      <c r="E217" s="250" t="s">
        <v>478</v>
      </c>
    </row>
    <row r="218" spans="1:5">
      <c r="A218" s="267" t="str">
        <f>IF(AND(B218&lt;&gt;"",C218&lt;&gt;""),MAX($A$3:A217)+1,"")</f>
        <v/>
      </c>
      <c r="B218" s="250"/>
      <c r="C218" s="250"/>
      <c r="D218" s="229"/>
      <c r="E218" s="250" t="s">
        <v>479</v>
      </c>
    </row>
    <row r="219" spans="1:5">
      <c r="A219" s="267" t="str">
        <f>IF(AND(B219&lt;&gt;"",C219&lt;&gt;""),MAX($A$3:A218)+1,"")</f>
        <v/>
      </c>
      <c r="B219" s="250"/>
      <c r="C219" s="250"/>
      <c r="D219" s="229"/>
      <c r="E219" s="250" t="s">
        <v>480</v>
      </c>
    </row>
    <row r="220" spans="1:5">
      <c r="A220" s="267" t="str">
        <f>IF(AND(B220&lt;&gt;"",C220&lt;&gt;""),MAX($A$3:A219)+1,"")</f>
        <v/>
      </c>
      <c r="B220" s="250"/>
      <c r="C220" s="250"/>
      <c r="D220" s="229"/>
      <c r="E220" s="253" t="s">
        <v>449</v>
      </c>
    </row>
    <row r="221" spans="1:5">
      <c r="A221" s="267" t="str">
        <f>IF(AND(B221&lt;&gt;"",C221&lt;&gt;""),MAX($A$3:A220)+1,"")</f>
        <v/>
      </c>
      <c r="B221" s="250"/>
      <c r="C221" s="250"/>
      <c r="D221" s="229"/>
      <c r="E221" s="253" t="s">
        <v>450</v>
      </c>
    </row>
    <row r="222" spans="1:5" ht="45">
      <c r="A222" s="267">
        <f>IF(AND(B222&lt;&gt;"",C222&lt;&gt;""),MAX($A$3:A221)+1,"")</f>
        <v>43</v>
      </c>
      <c r="B222" s="250" t="s">
        <v>305</v>
      </c>
      <c r="C222" s="250" t="s">
        <v>561</v>
      </c>
      <c r="D222" s="229"/>
      <c r="E222" s="250" t="s">
        <v>481</v>
      </c>
    </row>
    <row r="223" spans="1:5">
      <c r="A223" s="267" t="str">
        <f>IF(AND(B223&lt;&gt;"",C223&lt;&gt;""),MAX($A$3:A222)+1,"")</f>
        <v/>
      </c>
      <c r="B223" s="250"/>
      <c r="C223" s="250"/>
      <c r="D223" s="229"/>
      <c r="E223" s="250" t="s">
        <v>482</v>
      </c>
    </row>
    <row r="224" spans="1:5">
      <c r="A224" s="267" t="str">
        <f>IF(AND(B224&lt;&gt;"",C224&lt;&gt;""),MAX($A$3:A223)+1,"")</f>
        <v/>
      </c>
      <c r="B224" s="250"/>
      <c r="C224" s="250"/>
      <c r="D224" s="229"/>
      <c r="E224" s="250" t="s">
        <v>483</v>
      </c>
    </row>
    <row r="225" spans="1:5">
      <c r="A225" s="267" t="str">
        <f>IF(AND(B225&lt;&gt;"",C225&lt;&gt;""),MAX($A$3:A224)+1,"")</f>
        <v/>
      </c>
      <c r="B225" s="250"/>
      <c r="C225" s="250"/>
      <c r="D225" s="229"/>
      <c r="E225" s="250" t="s">
        <v>484</v>
      </c>
    </row>
    <row r="226" spans="1:5">
      <c r="A226" s="267" t="str">
        <f>IF(AND(B226&lt;&gt;"",C226&lt;&gt;""),MAX($A$3:A225)+1,"")</f>
        <v/>
      </c>
      <c r="B226" s="250"/>
      <c r="C226" s="250"/>
      <c r="D226" s="229"/>
      <c r="E226" s="250" t="s">
        <v>485</v>
      </c>
    </row>
    <row r="227" spans="1:5">
      <c r="A227" s="267" t="str">
        <f>IF(AND(B227&lt;&gt;"",C227&lt;&gt;""),MAX($A$3:A226)+1,"")</f>
        <v/>
      </c>
      <c r="B227" s="250"/>
      <c r="C227" s="250"/>
      <c r="D227" s="229"/>
      <c r="E227" s="253" t="s">
        <v>449</v>
      </c>
    </row>
    <row r="228" spans="1:5">
      <c r="A228" s="267" t="str">
        <f>IF(AND(B228&lt;&gt;"",C228&lt;&gt;""),MAX($A$3:A227)+1,"")</f>
        <v/>
      </c>
      <c r="B228" s="250"/>
      <c r="C228" s="250"/>
      <c r="D228" s="229"/>
      <c r="E228" s="253" t="s">
        <v>450</v>
      </c>
    </row>
    <row r="229" spans="1:5" ht="45">
      <c r="A229" s="267">
        <f>IF(AND(B229&lt;&gt;"",C229&lt;&gt;""),MAX($A$3:A228)+1,"")</f>
        <v>44</v>
      </c>
      <c r="B229" s="250" t="s">
        <v>306</v>
      </c>
      <c r="C229" s="250" t="s">
        <v>561</v>
      </c>
      <c r="D229" s="229"/>
      <c r="E229" s="250" t="s">
        <v>486</v>
      </c>
    </row>
    <row r="230" spans="1:5">
      <c r="A230" s="267" t="str">
        <f>IF(AND(B230&lt;&gt;"",C230&lt;&gt;""),MAX($A$3:A229)+1,"")</f>
        <v/>
      </c>
      <c r="B230" s="250"/>
      <c r="C230" s="250"/>
      <c r="D230" s="229"/>
      <c r="E230" s="250" t="s">
        <v>487</v>
      </c>
    </row>
    <row r="231" spans="1:5">
      <c r="A231" s="267" t="str">
        <f>IF(AND(B231&lt;&gt;"",C231&lt;&gt;""),MAX($A$3:A230)+1,"")</f>
        <v/>
      </c>
      <c r="B231" s="250"/>
      <c r="C231" s="250"/>
      <c r="D231" s="229"/>
      <c r="E231" s="250" t="s">
        <v>488</v>
      </c>
    </row>
    <row r="232" spans="1:5">
      <c r="A232" s="267" t="str">
        <f>IF(AND(B232&lt;&gt;"",C232&lt;&gt;""),MAX($A$3:A231)+1,"")</f>
        <v/>
      </c>
      <c r="B232" s="250"/>
      <c r="C232" s="250"/>
      <c r="D232" s="229"/>
      <c r="E232" s="250" t="s">
        <v>489</v>
      </c>
    </row>
    <row r="233" spans="1:5">
      <c r="A233" s="267" t="str">
        <f>IF(AND(B233&lt;&gt;"",C233&lt;&gt;""),MAX($A$3:A232)+1,"")</f>
        <v/>
      </c>
      <c r="B233" s="250"/>
      <c r="C233" s="250"/>
      <c r="D233" s="229"/>
      <c r="E233" s="250" t="s">
        <v>490</v>
      </c>
    </row>
    <row r="234" spans="1:5">
      <c r="A234" s="267" t="str">
        <f>IF(AND(B234&lt;&gt;"",C234&lt;&gt;""),MAX($A$3:A233)+1,"")</f>
        <v/>
      </c>
      <c r="B234" s="250"/>
      <c r="C234" s="250"/>
      <c r="D234" s="229"/>
      <c r="E234" s="253" t="s">
        <v>449</v>
      </c>
    </row>
    <row r="235" spans="1:5">
      <c r="A235" s="267" t="str">
        <f>IF(AND(B235&lt;&gt;"",C235&lt;&gt;""),MAX($A$3:A234)+1,"")</f>
        <v/>
      </c>
      <c r="B235" s="250"/>
      <c r="C235" s="250"/>
      <c r="D235" s="229"/>
      <c r="E235" s="253" t="s">
        <v>450</v>
      </c>
    </row>
    <row r="236" spans="1:5" ht="45">
      <c r="A236" s="267">
        <f>IF(AND(B236&lt;&gt;"",C236&lt;&gt;""),MAX($A$3:A235)+1,"")</f>
        <v>45</v>
      </c>
      <c r="B236" s="250" t="s">
        <v>307</v>
      </c>
      <c r="C236" s="250" t="s">
        <v>307</v>
      </c>
      <c r="D236" s="229"/>
      <c r="E236" s="250" t="s">
        <v>491</v>
      </c>
    </row>
    <row r="237" spans="1:5">
      <c r="A237" s="267" t="str">
        <f>IF(AND(B237&lt;&gt;"",C237&lt;&gt;""),MAX($A$3:A236)+1,"")</f>
        <v/>
      </c>
      <c r="B237" s="250"/>
      <c r="C237" s="250"/>
      <c r="D237" s="229"/>
      <c r="E237" s="250" t="s">
        <v>492</v>
      </c>
    </row>
    <row r="238" spans="1:5">
      <c r="A238" s="267" t="str">
        <f>IF(AND(B238&lt;&gt;"",C238&lt;&gt;""),MAX($A$3:A237)+1,"")</f>
        <v/>
      </c>
      <c r="B238" s="250"/>
      <c r="C238" s="250"/>
      <c r="D238" s="229"/>
      <c r="E238" s="250" t="s">
        <v>493</v>
      </c>
    </row>
    <row r="239" spans="1:5">
      <c r="A239" s="267" t="str">
        <f>IF(AND(B239&lt;&gt;"",C239&lt;&gt;""),MAX($A$3:A238)+1,"")</f>
        <v/>
      </c>
      <c r="B239" s="250"/>
      <c r="C239" s="250"/>
      <c r="D239" s="229"/>
      <c r="E239" s="250" t="s">
        <v>494</v>
      </c>
    </row>
    <row r="240" spans="1:5">
      <c r="A240" s="267" t="str">
        <f>IF(AND(B240&lt;&gt;"",C240&lt;&gt;""),MAX($A$3:A239)+1,"")</f>
        <v/>
      </c>
      <c r="B240" s="250"/>
      <c r="C240" s="250"/>
      <c r="D240" s="229"/>
      <c r="E240" s="250" t="s">
        <v>495</v>
      </c>
    </row>
    <row r="241" spans="1:5">
      <c r="A241" s="267" t="str">
        <f>IF(AND(B241&lt;&gt;"",C241&lt;&gt;""),MAX($A$3:A240)+1,"")</f>
        <v/>
      </c>
      <c r="B241" s="250"/>
      <c r="C241" s="250"/>
      <c r="D241" s="229"/>
      <c r="E241" s="253" t="s">
        <v>449</v>
      </c>
    </row>
    <row r="242" spans="1:5">
      <c r="A242" s="267" t="str">
        <f>IF(AND(B242&lt;&gt;"",C242&lt;&gt;""),MAX($A$3:A241)+1,"")</f>
        <v/>
      </c>
      <c r="B242" s="250"/>
      <c r="C242" s="250"/>
      <c r="D242" s="229"/>
      <c r="E242" s="253" t="s">
        <v>450</v>
      </c>
    </row>
    <row r="243" spans="1:5" ht="30">
      <c r="A243" s="267">
        <f>IF(AND(B243&lt;&gt;"",C243&lt;&gt;""),MAX($A$3:A242)+1,"")</f>
        <v>46</v>
      </c>
      <c r="B243" s="250" t="s">
        <v>308</v>
      </c>
      <c r="C243" s="250" t="s">
        <v>561</v>
      </c>
      <c r="D243" s="229"/>
      <c r="E243" s="250" t="s">
        <v>496</v>
      </c>
    </row>
    <row r="244" spans="1:5">
      <c r="A244" s="267" t="str">
        <f>IF(AND(B244&lt;&gt;"",C244&lt;&gt;""),MAX($A$3:A243)+1,"")</f>
        <v/>
      </c>
      <c r="B244" s="250"/>
      <c r="C244" s="250"/>
      <c r="D244" s="229"/>
      <c r="E244" s="250" t="s">
        <v>497</v>
      </c>
    </row>
    <row r="245" spans="1:5">
      <c r="A245" s="267" t="str">
        <f>IF(AND(B245&lt;&gt;"",C245&lt;&gt;""),MAX($A$3:A244)+1,"")</f>
        <v/>
      </c>
      <c r="B245" s="250"/>
      <c r="C245" s="250"/>
      <c r="D245" s="229"/>
      <c r="E245" s="250" t="s">
        <v>498</v>
      </c>
    </row>
    <row r="246" spans="1:5">
      <c r="A246" s="267" t="str">
        <f>IF(AND(B246&lt;&gt;"",C246&lt;&gt;""),MAX($A$3:A245)+1,"")</f>
        <v/>
      </c>
      <c r="B246" s="250"/>
      <c r="C246" s="250"/>
      <c r="D246" s="229"/>
      <c r="E246" s="250" t="s">
        <v>499</v>
      </c>
    </row>
    <row r="247" spans="1:5">
      <c r="A247" s="267" t="str">
        <f>IF(AND(B247&lt;&gt;"",C247&lt;&gt;""),MAX($A$3:A246)+1,"")</f>
        <v/>
      </c>
      <c r="B247" s="250"/>
      <c r="C247" s="250"/>
      <c r="D247" s="229"/>
      <c r="E247" s="250" t="s">
        <v>500</v>
      </c>
    </row>
    <row r="248" spans="1:5">
      <c r="A248" s="267" t="str">
        <f>IF(AND(B248&lt;&gt;"",C248&lt;&gt;""),MAX($A$3:A247)+1,"")</f>
        <v/>
      </c>
      <c r="B248" s="250"/>
      <c r="C248" s="250"/>
      <c r="D248" s="229"/>
      <c r="E248" s="253" t="s">
        <v>449</v>
      </c>
    </row>
    <row r="249" spans="1:5">
      <c r="A249" s="267" t="str">
        <f>IF(AND(B249&lt;&gt;"",C249&lt;&gt;""),MAX($A$3:A248)+1,"")</f>
        <v/>
      </c>
      <c r="B249" s="250"/>
      <c r="C249" s="250"/>
      <c r="D249" s="229"/>
      <c r="E249" s="253" t="s">
        <v>450</v>
      </c>
    </row>
    <row r="250" spans="1:5" ht="45">
      <c r="A250" s="267">
        <f>IF(AND(B250&lt;&gt;"",C250&lt;&gt;""),MAX($A$3:A249)+1,"")</f>
        <v>47</v>
      </c>
      <c r="B250" s="250" t="s">
        <v>309</v>
      </c>
      <c r="C250" s="250" t="s">
        <v>561</v>
      </c>
      <c r="D250" s="229"/>
      <c r="E250" s="250" t="s">
        <v>501</v>
      </c>
    </row>
    <row r="251" spans="1:5">
      <c r="A251" s="267" t="str">
        <f>IF(AND(B251&lt;&gt;"",C251&lt;&gt;""),MAX($A$3:A250)+1,"")</f>
        <v/>
      </c>
      <c r="B251" s="250"/>
      <c r="C251" s="250"/>
      <c r="D251" s="229"/>
      <c r="E251" s="250" t="s">
        <v>502</v>
      </c>
    </row>
    <row r="252" spans="1:5">
      <c r="A252" s="267" t="str">
        <f>IF(AND(B252&lt;&gt;"",C252&lt;&gt;""),MAX($A$3:A251)+1,"")</f>
        <v/>
      </c>
      <c r="B252" s="250"/>
      <c r="C252" s="250"/>
      <c r="D252" s="229"/>
      <c r="E252" s="250" t="s">
        <v>503</v>
      </c>
    </row>
    <row r="253" spans="1:5">
      <c r="A253" s="267" t="str">
        <f>IF(AND(B253&lt;&gt;"",C253&lt;&gt;""),MAX($A$3:A252)+1,"")</f>
        <v/>
      </c>
      <c r="B253" s="250"/>
      <c r="C253" s="250"/>
      <c r="D253" s="229"/>
      <c r="E253" s="250" t="s">
        <v>504</v>
      </c>
    </row>
    <row r="254" spans="1:5">
      <c r="A254" s="267" t="str">
        <f>IF(AND(B254&lt;&gt;"",C254&lt;&gt;""),MAX($A$3:A253)+1,"")</f>
        <v/>
      </c>
      <c r="B254" s="250"/>
      <c r="C254" s="250"/>
      <c r="D254" s="229"/>
      <c r="E254" s="250" t="s">
        <v>505</v>
      </c>
    </row>
    <row r="255" spans="1:5">
      <c r="A255" s="267" t="str">
        <f>IF(AND(B255&lt;&gt;"",C255&lt;&gt;""),MAX($A$3:A254)+1,"")</f>
        <v/>
      </c>
      <c r="B255" s="250"/>
      <c r="C255" s="250"/>
      <c r="D255" s="229"/>
      <c r="E255" s="253" t="s">
        <v>449</v>
      </c>
    </row>
    <row r="256" spans="1:5">
      <c r="A256" s="267" t="str">
        <f>IF(AND(B256&lt;&gt;"",C256&lt;&gt;""),MAX($A$3:A255)+1,"")</f>
        <v/>
      </c>
      <c r="B256" s="250"/>
      <c r="C256" s="250"/>
      <c r="D256" s="229"/>
      <c r="E256" s="253" t="s">
        <v>450</v>
      </c>
    </row>
    <row r="257" spans="1:5" ht="30">
      <c r="A257" s="267">
        <f>IF(AND(B257&lt;&gt;"",C257&lt;&gt;""),MAX($A$3:A256)+1,"")</f>
        <v>48</v>
      </c>
      <c r="B257" s="250" t="s">
        <v>310</v>
      </c>
      <c r="C257" s="250" t="s">
        <v>561</v>
      </c>
      <c r="D257" s="229"/>
      <c r="E257" s="250" t="s">
        <v>506</v>
      </c>
    </row>
    <row r="258" spans="1:5">
      <c r="A258" s="267" t="str">
        <f>IF(AND(B258&lt;&gt;"",C258&lt;&gt;""),MAX($A$3:A257)+1,"")</f>
        <v/>
      </c>
      <c r="B258" s="250"/>
      <c r="C258" s="250"/>
      <c r="D258" s="236"/>
      <c r="E258" s="250" t="s">
        <v>507</v>
      </c>
    </row>
    <row r="259" spans="1:5">
      <c r="A259" s="267" t="str">
        <f>IF(AND(B259&lt;&gt;"",C259&lt;&gt;""),MAX($A$3:A258)+1,"")</f>
        <v/>
      </c>
      <c r="B259" s="250"/>
      <c r="C259" s="250"/>
      <c r="D259" s="243"/>
      <c r="E259" s="250" t="s">
        <v>508</v>
      </c>
    </row>
    <row r="260" spans="1:5">
      <c r="A260" s="267" t="str">
        <f>IF(AND(B260&lt;&gt;"",C260&lt;&gt;""),MAX($A$3:A259)+1,"")</f>
        <v/>
      </c>
      <c r="B260" s="250"/>
      <c r="C260" s="250"/>
      <c r="D260" s="230"/>
      <c r="E260" s="250" t="s">
        <v>509</v>
      </c>
    </row>
    <row r="261" spans="1:5">
      <c r="A261" s="267" t="str">
        <f>IF(AND(B261&lt;&gt;"",C261&lt;&gt;""),MAX($A$3:A260)+1,"")</f>
        <v/>
      </c>
      <c r="B261" s="250"/>
      <c r="C261" s="250"/>
      <c r="D261" s="230"/>
      <c r="E261" s="250" t="s">
        <v>510</v>
      </c>
    </row>
    <row r="262" spans="1:5">
      <c r="A262" s="267" t="str">
        <f>IF(AND(B262&lt;&gt;"",C262&lt;&gt;""),MAX($A$3:A261)+1,"")</f>
        <v/>
      </c>
      <c r="B262" s="250"/>
      <c r="C262" s="250"/>
      <c r="D262" s="230"/>
      <c r="E262" s="253" t="s">
        <v>449</v>
      </c>
    </row>
    <row r="263" spans="1:5">
      <c r="A263" s="267" t="str">
        <f>IF(AND(B263&lt;&gt;"",C263&lt;&gt;""),MAX($A$3:A262)+1,"")</f>
        <v/>
      </c>
      <c r="B263" s="250"/>
      <c r="C263" s="250"/>
      <c r="D263" s="230"/>
      <c r="E263" s="253" t="s">
        <v>450</v>
      </c>
    </row>
    <row r="264" spans="1:5" ht="30">
      <c r="A264" s="267">
        <f>IF(AND(B264&lt;&gt;"",C264&lt;&gt;""),MAX($A$3:A263)+1,"")</f>
        <v>49</v>
      </c>
      <c r="B264" s="250" t="s">
        <v>311</v>
      </c>
      <c r="C264" s="250" t="s">
        <v>561</v>
      </c>
      <c r="D264" s="230"/>
      <c r="E264" s="250" t="s">
        <v>511</v>
      </c>
    </row>
    <row r="265" spans="1:5">
      <c r="A265" s="267" t="str">
        <f>IF(AND(B265&lt;&gt;"",C265&lt;&gt;""),MAX($A$3:A264)+1,"")</f>
        <v/>
      </c>
      <c r="B265" s="250"/>
      <c r="C265" s="250"/>
      <c r="D265" s="230"/>
      <c r="E265" s="250" t="s">
        <v>512</v>
      </c>
    </row>
    <row r="266" spans="1:5">
      <c r="A266" s="267" t="str">
        <f>IF(AND(B266&lt;&gt;"",C266&lt;&gt;""),MAX($A$3:A265)+1,"")</f>
        <v/>
      </c>
      <c r="B266" s="250"/>
      <c r="C266" s="250"/>
      <c r="D266" s="230"/>
      <c r="E266" s="250" t="s">
        <v>513</v>
      </c>
    </row>
    <row r="267" spans="1:5">
      <c r="A267" s="267" t="str">
        <f>IF(AND(B267&lt;&gt;"",C267&lt;&gt;""),MAX($A$3:A266)+1,"")</f>
        <v/>
      </c>
      <c r="B267" s="250"/>
      <c r="C267" s="250"/>
      <c r="D267" s="236"/>
      <c r="E267" s="250" t="s">
        <v>514</v>
      </c>
    </row>
    <row r="268" spans="1:5">
      <c r="A268" s="267" t="str">
        <f>IF(AND(B268&lt;&gt;"",C268&lt;&gt;""),MAX($A$3:A267)+1,"")</f>
        <v/>
      </c>
      <c r="B268" s="250"/>
      <c r="C268" s="250"/>
      <c r="D268" s="238"/>
      <c r="E268" s="250" t="s">
        <v>515</v>
      </c>
    </row>
    <row r="269" spans="1:5">
      <c r="A269" s="267" t="str">
        <f>IF(AND(B269&lt;&gt;"",C269&lt;&gt;""),MAX($A$3:A268)+1,"")</f>
        <v/>
      </c>
      <c r="B269" s="250"/>
      <c r="C269" s="250"/>
      <c r="D269" s="239"/>
      <c r="E269" s="253" t="s">
        <v>449</v>
      </c>
    </row>
    <row r="270" spans="1:5">
      <c r="A270" s="267" t="str">
        <f>IF(AND(B270&lt;&gt;"",C270&lt;&gt;""),MAX($A$3:A269)+1,"")</f>
        <v/>
      </c>
      <c r="B270" s="250"/>
      <c r="C270" s="250"/>
      <c r="D270" s="239"/>
      <c r="E270" s="253" t="s">
        <v>450</v>
      </c>
    </row>
    <row r="271" spans="1:5" ht="30">
      <c r="A271" s="267">
        <f>IF(AND(B271&lt;&gt;"",C271&lt;&gt;""),MAX($A$3:A270)+1,"")</f>
        <v>50</v>
      </c>
      <c r="B271" s="250" t="s">
        <v>312</v>
      </c>
      <c r="C271" s="250" t="s">
        <v>561</v>
      </c>
      <c r="D271" s="239"/>
      <c r="E271" s="250" t="s">
        <v>516</v>
      </c>
    </row>
    <row r="272" spans="1:5">
      <c r="A272" s="267" t="str">
        <f>IF(AND(B272&lt;&gt;"",C272&lt;&gt;""),MAX($A$3:A271)+1,"")</f>
        <v/>
      </c>
      <c r="B272" s="250"/>
      <c r="C272" s="250"/>
      <c r="D272" s="240"/>
      <c r="E272" s="250" t="s">
        <v>517</v>
      </c>
    </row>
    <row r="273" spans="1:5">
      <c r="A273" s="267" t="str">
        <f>IF(AND(B273&lt;&gt;"",C273&lt;&gt;""),MAX($A$3:A272)+1,"")</f>
        <v/>
      </c>
      <c r="B273" s="250"/>
      <c r="C273" s="250"/>
      <c r="D273" s="233"/>
      <c r="E273" s="250" t="s">
        <v>518</v>
      </c>
    </row>
    <row r="274" spans="1:5">
      <c r="A274" s="267" t="str">
        <f>IF(AND(B274&lt;&gt;"",C274&lt;&gt;""),MAX($A$3:A273)+1,"")</f>
        <v/>
      </c>
      <c r="B274" s="250"/>
      <c r="C274" s="250"/>
      <c r="D274" s="239"/>
      <c r="E274" s="250" t="s">
        <v>519</v>
      </c>
    </row>
    <row r="275" spans="1:5">
      <c r="A275" s="267" t="str">
        <f>IF(AND(B275&lt;&gt;"",C275&lt;&gt;""),MAX($A$3:A274)+1,"")</f>
        <v/>
      </c>
      <c r="B275" s="250"/>
      <c r="C275" s="250"/>
      <c r="D275" s="239"/>
      <c r="E275" s="250" t="s">
        <v>520</v>
      </c>
    </row>
    <row r="276" spans="1:5">
      <c r="A276" s="267" t="str">
        <f>IF(AND(B276&lt;&gt;"",C276&lt;&gt;""),MAX($A$3:A275)+1,"")</f>
        <v/>
      </c>
      <c r="B276" s="250"/>
      <c r="C276" s="250"/>
      <c r="D276" s="238"/>
      <c r="E276" s="253" t="s">
        <v>449</v>
      </c>
    </row>
    <row r="277" spans="1:5">
      <c r="A277" s="267" t="str">
        <f>IF(AND(B277&lt;&gt;"",C277&lt;&gt;""),MAX($A$3:A276)+1,"")</f>
        <v/>
      </c>
      <c r="B277" s="250"/>
      <c r="C277" s="250"/>
      <c r="D277" s="238"/>
      <c r="E277" s="253" t="s">
        <v>450</v>
      </c>
    </row>
    <row r="278" spans="1:5" ht="30">
      <c r="A278" s="267">
        <f>IF(AND(B278&lt;&gt;"",C278&lt;&gt;""),MAX($A$3:A277)+1,"")</f>
        <v>51</v>
      </c>
      <c r="B278" s="250" t="s">
        <v>313</v>
      </c>
      <c r="C278" s="250" t="s">
        <v>561</v>
      </c>
      <c r="D278" s="238"/>
      <c r="E278" s="250" t="s">
        <v>521</v>
      </c>
    </row>
    <row r="279" spans="1:5">
      <c r="A279" s="267" t="str">
        <f>IF(AND(B279&lt;&gt;"",C279&lt;&gt;""),MAX($A$3:A278)+1,"")</f>
        <v/>
      </c>
      <c r="B279" s="250"/>
      <c r="C279" s="250"/>
      <c r="D279" s="238"/>
      <c r="E279" s="250" t="s">
        <v>522</v>
      </c>
    </row>
    <row r="280" spans="1:5">
      <c r="A280" s="267" t="str">
        <f>IF(AND(B280&lt;&gt;"",C280&lt;&gt;""),MAX($A$3:A279)+1,"")</f>
        <v/>
      </c>
      <c r="B280" s="250"/>
      <c r="C280" s="250"/>
      <c r="D280" s="241"/>
      <c r="E280" s="250" t="s">
        <v>523</v>
      </c>
    </row>
    <row r="281" spans="1:5">
      <c r="A281" s="267" t="str">
        <f>IF(AND(B281&lt;&gt;"",C281&lt;&gt;""),MAX($A$3:A280)+1,"")</f>
        <v/>
      </c>
      <c r="B281" s="250"/>
      <c r="C281" s="250"/>
      <c r="D281" s="229"/>
      <c r="E281" s="250" t="s">
        <v>524</v>
      </c>
    </row>
    <row r="282" spans="1:5">
      <c r="A282" s="267" t="str">
        <f>IF(AND(B282&lt;&gt;"",C282&lt;&gt;""),MAX($A$3:A281)+1,"")</f>
        <v/>
      </c>
      <c r="B282" s="250"/>
      <c r="C282" s="250"/>
      <c r="D282" s="229"/>
      <c r="E282" s="250" t="s">
        <v>525</v>
      </c>
    </row>
    <row r="283" spans="1:5">
      <c r="A283" s="267" t="str">
        <f>IF(AND(B283&lt;&gt;"",C283&lt;&gt;""),MAX($A$3:A282)+1,"")</f>
        <v/>
      </c>
      <c r="B283" s="250"/>
      <c r="C283" s="250"/>
      <c r="D283" s="229"/>
      <c r="E283" s="253" t="s">
        <v>449</v>
      </c>
    </row>
    <row r="284" spans="1:5">
      <c r="A284" s="267" t="str">
        <f>IF(AND(B284&lt;&gt;"",C284&lt;&gt;""),MAX($A$3:A283)+1,"")</f>
        <v/>
      </c>
      <c r="B284" s="250"/>
      <c r="C284" s="250"/>
      <c r="D284" s="229"/>
      <c r="E284" s="253" t="s">
        <v>450</v>
      </c>
    </row>
    <row r="285" spans="1:5" ht="30">
      <c r="A285" s="267">
        <f>IF(AND(B285&lt;&gt;"",C285&lt;&gt;""),MAX($A$3:A284)+1,"")</f>
        <v>52</v>
      </c>
      <c r="B285" s="250" t="s">
        <v>314</v>
      </c>
      <c r="C285" s="250" t="s">
        <v>561</v>
      </c>
      <c r="D285" s="230"/>
      <c r="E285" s="250" t="s">
        <v>526</v>
      </c>
    </row>
    <row r="286" spans="1:5">
      <c r="A286" s="267" t="str">
        <f>IF(AND(B286&lt;&gt;"",C286&lt;&gt;""),MAX($A$3:A285)+1,"")</f>
        <v/>
      </c>
      <c r="B286" s="250"/>
      <c r="C286" s="250"/>
      <c r="D286" s="230"/>
      <c r="E286" s="250" t="s">
        <v>527</v>
      </c>
    </row>
    <row r="287" spans="1:5">
      <c r="A287" s="267" t="str">
        <f>IF(AND(B287&lt;&gt;"",C287&lt;&gt;""),MAX($A$3:A286)+1,"")</f>
        <v/>
      </c>
      <c r="B287" s="250"/>
      <c r="C287" s="250"/>
      <c r="D287" s="230"/>
      <c r="E287" s="250" t="s">
        <v>528</v>
      </c>
    </row>
    <row r="288" spans="1:5">
      <c r="A288" s="267" t="str">
        <f>IF(AND(B288&lt;&gt;"",C288&lt;&gt;""),MAX($A$3:A287)+1,"")</f>
        <v/>
      </c>
      <c r="B288" s="250"/>
      <c r="C288" s="250"/>
      <c r="D288" s="230"/>
      <c r="E288" s="250" t="s">
        <v>529</v>
      </c>
    </row>
    <row r="289" spans="1:5">
      <c r="A289" s="267" t="str">
        <f>IF(AND(B289&lt;&gt;"",C289&lt;&gt;""),MAX($A$3:A288)+1,"")</f>
        <v/>
      </c>
      <c r="B289" s="250"/>
      <c r="C289" s="250"/>
      <c r="D289" s="230"/>
      <c r="E289" s="250" t="s">
        <v>530</v>
      </c>
    </row>
    <row r="290" spans="1:5">
      <c r="A290" s="267" t="str">
        <f>IF(AND(B290&lt;&gt;"",C290&lt;&gt;""),MAX($A$3:A289)+1,"")</f>
        <v/>
      </c>
      <c r="B290" s="250"/>
      <c r="C290" s="250"/>
      <c r="D290" s="229"/>
      <c r="E290" s="253" t="s">
        <v>449</v>
      </c>
    </row>
    <row r="291" spans="1:5">
      <c r="A291" s="267" t="str">
        <f>IF(AND(B291&lt;&gt;"",C291&lt;&gt;""),MAX($A$3:A290)+1,"")</f>
        <v/>
      </c>
      <c r="B291" s="250"/>
      <c r="C291" s="250"/>
      <c r="D291" s="232"/>
      <c r="E291" s="253" t="s">
        <v>450</v>
      </c>
    </row>
    <row r="292" spans="1:5" ht="30">
      <c r="A292" s="267">
        <f>IF(AND(B292&lt;&gt;"",C292&lt;&gt;""),MAX($A$3:A291)+1,"")</f>
        <v>53</v>
      </c>
      <c r="B292" s="250" t="s">
        <v>315</v>
      </c>
      <c r="C292" s="250" t="s">
        <v>561</v>
      </c>
      <c r="D292" s="232"/>
      <c r="E292" s="250" t="s">
        <v>531</v>
      </c>
    </row>
    <row r="293" spans="1:5">
      <c r="A293" s="267" t="str">
        <f>IF(AND(B293&lt;&gt;"",C293&lt;&gt;""),MAX($A$3:A292)+1,"")</f>
        <v/>
      </c>
      <c r="B293" s="250"/>
      <c r="C293" s="250"/>
      <c r="D293" s="229"/>
      <c r="E293" s="250" t="s">
        <v>532</v>
      </c>
    </row>
    <row r="294" spans="1:5">
      <c r="A294" s="267" t="str">
        <f>IF(AND(B294&lt;&gt;"",C294&lt;&gt;""),MAX($A$3:A293)+1,"")</f>
        <v/>
      </c>
      <c r="B294" s="250"/>
      <c r="C294" s="250"/>
      <c r="D294" s="230"/>
      <c r="E294" s="250" t="s">
        <v>533</v>
      </c>
    </row>
    <row r="295" spans="1:5">
      <c r="A295" s="267" t="str">
        <f>IF(AND(B295&lt;&gt;"",C295&lt;&gt;""),MAX($A$3:A294)+1,"")</f>
        <v/>
      </c>
      <c r="B295" s="250"/>
      <c r="C295" s="250"/>
      <c r="D295" s="230"/>
      <c r="E295" s="250" t="s">
        <v>534</v>
      </c>
    </row>
    <row r="296" spans="1:5">
      <c r="A296" s="267" t="str">
        <f>IF(AND(B296&lt;&gt;"",C296&lt;&gt;""),MAX($A$3:A295)+1,"")</f>
        <v/>
      </c>
      <c r="B296" s="250"/>
      <c r="C296" s="250"/>
      <c r="D296" s="230"/>
      <c r="E296" s="250" t="s">
        <v>535</v>
      </c>
    </row>
    <row r="297" spans="1:5">
      <c r="A297" s="267" t="str">
        <f>IF(AND(B297&lt;&gt;"",C297&lt;&gt;""),MAX($A$3:A296)+1,"")</f>
        <v/>
      </c>
      <c r="B297" s="250"/>
      <c r="C297" s="250"/>
      <c r="D297" s="236"/>
      <c r="E297" s="253" t="s">
        <v>449</v>
      </c>
    </row>
    <row r="298" spans="1:5">
      <c r="A298" s="267" t="str">
        <f>IF(AND(B298&lt;&gt;"",C298&lt;&gt;""),MAX($A$3:A297)+1,"")</f>
        <v/>
      </c>
      <c r="B298" s="250"/>
      <c r="C298" s="250"/>
      <c r="D298" s="230"/>
      <c r="E298" s="253" t="s">
        <v>450</v>
      </c>
    </row>
    <row r="299" spans="1:5" ht="45">
      <c r="A299" s="267">
        <f>IF(AND(B299&lt;&gt;"",C299&lt;&gt;""),MAX($A$3:A298)+1,"")</f>
        <v>54</v>
      </c>
      <c r="B299" s="250" t="s">
        <v>316</v>
      </c>
      <c r="C299" s="250" t="s">
        <v>561</v>
      </c>
      <c r="D299" s="230"/>
      <c r="E299" s="250" t="s">
        <v>536</v>
      </c>
    </row>
    <row r="300" spans="1:5">
      <c r="A300" s="267" t="str">
        <f>IF(AND(B300&lt;&gt;"",C300&lt;&gt;""),MAX($A$3:A299)+1,"")</f>
        <v/>
      </c>
      <c r="B300" s="250"/>
      <c r="C300" s="250"/>
      <c r="D300" s="239"/>
      <c r="E300" s="250" t="s">
        <v>537</v>
      </c>
    </row>
    <row r="301" spans="1:5">
      <c r="A301" s="267" t="str">
        <f>IF(AND(B301&lt;&gt;"",C301&lt;&gt;""),MAX($A$3:A300)+1,"")</f>
        <v/>
      </c>
      <c r="B301" s="250"/>
      <c r="C301" s="250"/>
      <c r="D301" s="239"/>
      <c r="E301" s="250" t="s">
        <v>538</v>
      </c>
    </row>
    <row r="302" spans="1:5">
      <c r="A302" s="267" t="str">
        <f>IF(AND(B302&lt;&gt;"",C302&lt;&gt;""),MAX($A$3:A301)+1,"")</f>
        <v/>
      </c>
      <c r="B302" s="250"/>
      <c r="C302" s="250"/>
      <c r="D302" s="240"/>
      <c r="E302" s="250" t="s">
        <v>539</v>
      </c>
    </row>
    <row r="303" spans="1:5">
      <c r="A303" s="267" t="str">
        <f>IF(AND(B303&lt;&gt;"",C303&lt;&gt;""),MAX($A$3:A302)+1,"")</f>
        <v/>
      </c>
      <c r="B303" s="250"/>
      <c r="C303" s="250"/>
      <c r="D303" s="239"/>
      <c r="E303" s="250" t="s">
        <v>540</v>
      </c>
    </row>
    <row r="304" spans="1:5">
      <c r="A304" s="267" t="str">
        <f>IF(AND(B304&lt;&gt;"",C304&lt;&gt;""),MAX($A$3:A303)+1,"")</f>
        <v/>
      </c>
      <c r="B304" s="250"/>
      <c r="C304" s="250"/>
      <c r="D304" s="239"/>
      <c r="E304" s="253" t="s">
        <v>449</v>
      </c>
    </row>
    <row r="305" spans="1:5">
      <c r="A305" s="267" t="str">
        <f>IF(AND(B305&lt;&gt;"",C305&lt;&gt;""),MAX($A$3:A304)+1,"")</f>
        <v/>
      </c>
      <c r="B305" s="250"/>
      <c r="C305" s="250"/>
      <c r="D305" s="238"/>
      <c r="E305" s="253" t="s">
        <v>450</v>
      </c>
    </row>
    <row r="306" spans="1:5" ht="30">
      <c r="A306" s="267">
        <f>IF(AND(B306&lt;&gt;"",C306&lt;&gt;""),MAX($A$3:A305)+1,"")</f>
        <v>55</v>
      </c>
      <c r="B306" s="250" t="s">
        <v>317</v>
      </c>
      <c r="C306" s="250" t="s">
        <v>561</v>
      </c>
      <c r="D306" s="238"/>
      <c r="E306" s="250" t="s">
        <v>541</v>
      </c>
    </row>
    <row r="307" spans="1:5">
      <c r="A307" s="267" t="str">
        <f>IF(AND(B307&lt;&gt;"",C307&lt;&gt;""),MAX($A$3:A306)+1,"")</f>
        <v/>
      </c>
      <c r="B307" s="250"/>
      <c r="C307" s="250"/>
      <c r="D307" s="241"/>
      <c r="E307" s="250" t="s">
        <v>542</v>
      </c>
    </row>
    <row r="308" spans="1:5">
      <c r="A308" s="267" t="str">
        <f>IF(AND(B308&lt;&gt;"",C308&lt;&gt;""),MAX($A$3:A307)+1,"")</f>
        <v/>
      </c>
      <c r="B308" s="250"/>
      <c r="C308" s="250"/>
      <c r="D308" s="238"/>
      <c r="E308" s="250" t="s">
        <v>543</v>
      </c>
    </row>
    <row r="309" spans="1:5">
      <c r="A309" s="267" t="str">
        <f>IF(AND(B309&lt;&gt;"",C309&lt;&gt;""),MAX($A$3:A308)+1,"")</f>
        <v/>
      </c>
      <c r="B309" s="250"/>
      <c r="C309" s="250"/>
      <c r="D309" s="229"/>
      <c r="E309" s="250" t="s">
        <v>544</v>
      </c>
    </row>
    <row r="310" spans="1:5">
      <c r="A310" s="267" t="str">
        <f>IF(AND(B310&lt;&gt;"",C310&lt;&gt;""),MAX($A$3:A309)+1,"")</f>
        <v/>
      </c>
      <c r="B310" s="250"/>
      <c r="C310" s="250"/>
      <c r="D310" s="229"/>
      <c r="E310" s="250" t="s">
        <v>545</v>
      </c>
    </row>
    <row r="311" spans="1:5">
      <c r="A311" s="267" t="str">
        <f>IF(AND(B311&lt;&gt;"",C311&lt;&gt;""),MAX($A$3:A310)+1,"")</f>
        <v/>
      </c>
      <c r="B311" s="250"/>
      <c r="C311" s="250"/>
      <c r="D311" s="229"/>
      <c r="E311" s="253" t="s">
        <v>449</v>
      </c>
    </row>
    <row r="312" spans="1:5">
      <c r="A312" s="267" t="str">
        <f>IF(AND(B312&lt;&gt;"",C312&lt;&gt;""),MAX($A$3:A311)+1,"")</f>
        <v/>
      </c>
      <c r="B312" s="250"/>
      <c r="C312" s="250"/>
      <c r="D312" s="229"/>
      <c r="E312" s="253" t="s">
        <v>450</v>
      </c>
    </row>
    <row r="313" spans="1:5" ht="30">
      <c r="A313" s="267">
        <f>IF(AND(B313&lt;&gt;"",C313&lt;&gt;""),MAX($A$3:A312)+1,"")</f>
        <v>56</v>
      </c>
      <c r="B313" s="250" t="s">
        <v>318</v>
      </c>
      <c r="C313" s="250" t="s">
        <v>318</v>
      </c>
      <c r="D313" s="229"/>
      <c r="E313" s="250" t="s">
        <v>546</v>
      </c>
    </row>
    <row r="314" spans="1:5">
      <c r="A314" s="267" t="str">
        <f>IF(AND(B314&lt;&gt;"",C314&lt;&gt;""),MAX($A$3:A313)+1,"")</f>
        <v/>
      </c>
      <c r="B314" s="250"/>
      <c r="C314" s="250"/>
      <c r="D314" s="229"/>
      <c r="E314" s="250" t="s">
        <v>547</v>
      </c>
    </row>
    <row r="315" spans="1:5">
      <c r="A315" s="267" t="str">
        <f>IF(AND(B315&lt;&gt;"",C315&lt;&gt;""),MAX($A$3:A314)+1,"")</f>
        <v/>
      </c>
      <c r="B315" s="250"/>
      <c r="C315" s="250"/>
      <c r="D315" s="229"/>
      <c r="E315" s="250" t="s">
        <v>548</v>
      </c>
    </row>
    <row r="316" spans="1:5">
      <c r="A316" s="267" t="str">
        <f>IF(AND(B316&lt;&gt;"",C316&lt;&gt;""),MAX($A$3:A315)+1,"")</f>
        <v/>
      </c>
      <c r="B316" s="250"/>
      <c r="C316" s="250"/>
      <c r="D316" s="229"/>
      <c r="E316" s="250" t="s">
        <v>549</v>
      </c>
    </row>
    <row r="317" spans="1:5">
      <c r="A317" s="267" t="str">
        <f>IF(AND(B317&lt;&gt;"",C317&lt;&gt;""),MAX($A$3:A316)+1,"")</f>
        <v/>
      </c>
      <c r="B317" s="250"/>
      <c r="C317" s="250"/>
      <c r="D317" s="229"/>
      <c r="E317" s="250" t="s">
        <v>550</v>
      </c>
    </row>
    <row r="318" spans="1:5">
      <c r="A318" s="267" t="str">
        <f>IF(AND(B318&lt;&gt;"",C318&lt;&gt;""),MAX($A$3:A317)+1,"")</f>
        <v/>
      </c>
      <c r="B318" s="250"/>
      <c r="C318" s="250"/>
      <c r="D318" s="229"/>
      <c r="E318" s="253" t="s">
        <v>449</v>
      </c>
    </row>
    <row r="319" spans="1:5">
      <c r="A319" s="267" t="str">
        <f>IF(AND(B319&lt;&gt;"",C319&lt;&gt;""),MAX($A$3:A318)+1,"")</f>
        <v/>
      </c>
      <c r="B319" s="250"/>
      <c r="C319" s="250"/>
      <c r="D319" s="229"/>
      <c r="E319" s="253" t="s">
        <v>450</v>
      </c>
    </row>
    <row r="320" spans="1:5" ht="28.5">
      <c r="A320" s="245" t="s">
        <v>257</v>
      </c>
      <c r="B320" s="246" t="s">
        <v>254</v>
      </c>
      <c r="C320" s="246"/>
      <c r="D320" s="229"/>
      <c r="E320" s="250"/>
    </row>
    <row r="321" spans="1:5" ht="30">
      <c r="A321" s="267">
        <f>IF(AND(B321&lt;&gt;"",C321&lt;&gt;""),MAX($A$5:A320)+1,"")</f>
        <v>57</v>
      </c>
      <c r="B321" s="250" t="s">
        <v>319</v>
      </c>
      <c r="C321" s="250" t="s">
        <v>561</v>
      </c>
      <c r="D321" s="227"/>
      <c r="E321" s="253" t="s">
        <v>551</v>
      </c>
    </row>
    <row r="322" spans="1:5">
      <c r="A322" s="267" t="str">
        <f>IF(AND(B322&lt;&gt;"",C322&lt;&gt;""),MAX($A$5:A321)+1,"")</f>
        <v/>
      </c>
      <c r="B322" s="250"/>
      <c r="C322" s="250"/>
      <c r="D322" s="232"/>
      <c r="E322" s="253" t="s">
        <v>552</v>
      </c>
    </row>
    <row r="323" spans="1:5">
      <c r="A323" s="267" t="str">
        <f>IF(AND(B323&lt;&gt;"",C323&lt;&gt;""),MAX($A$5:A322)+1,"")</f>
        <v/>
      </c>
      <c r="B323" s="250"/>
      <c r="C323" s="250"/>
      <c r="D323" s="243"/>
      <c r="E323" s="253" t="s">
        <v>553</v>
      </c>
    </row>
    <row r="324" spans="1:5">
      <c r="A324" s="267" t="str">
        <f>IF(AND(B324&lt;&gt;"",C324&lt;&gt;""),MAX($A$5:A323)+1,"")</f>
        <v/>
      </c>
      <c r="B324" s="250"/>
      <c r="C324" s="250"/>
      <c r="D324" s="230"/>
      <c r="E324" s="253" t="s">
        <v>554</v>
      </c>
    </row>
    <row r="325" spans="1:5">
      <c r="A325" s="267" t="str">
        <f>IF(AND(B325&lt;&gt;"",C325&lt;&gt;""),MAX($A$5:A324)+1,"")</f>
        <v/>
      </c>
      <c r="B325" s="250"/>
      <c r="C325" s="250"/>
      <c r="D325" s="230"/>
      <c r="E325" s="253" t="s">
        <v>449</v>
      </c>
    </row>
    <row r="326" spans="1:5">
      <c r="A326" s="267" t="str">
        <f>IF(AND(B326&lt;&gt;"",C326&lt;&gt;""),MAX($A$5:A325)+1,"")</f>
        <v/>
      </c>
      <c r="B326" s="250"/>
      <c r="C326" s="250"/>
      <c r="D326" s="230"/>
      <c r="E326" s="253" t="s">
        <v>450</v>
      </c>
    </row>
    <row r="327" spans="1:5" ht="45">
      <c r="A327" s="267">
        <f>IF(AND(B327&lt;&gt;"",C327&lt;&gt;""),MAX($A$5:A326)+1,"")</f>
        <v>58</v>
      </c>
      <c r="B327" s="250" t="s">
        <v>320</v>
      </c>
      <c r="C327" s="250" t="s">
        <v>561</v>
      </c>
      <c r="D327" s="239"/>
      <c r="E327" s="253" t="s">
        <v>555</v>
      </c>
    </row>
    <row r="328" spans="1:5">
      <c r="A328" s="267" t="str">
        <f>IF(AND(B328&lt;&gt;"",C328&lt;&gt;""),MAX($A$5:A327)+1,"")</f>
        <v/>
      </c>
      <c r="B328" s="250"/>
      <c r="C328" s="250"/>
      <c r="D328" s="240"/>
      <c r="E328" s="253" t="s">
        <v>449</v>
      </c>
    </row>
    <row r="329" spans="1:5">
      <c r="A329" s="267" t="str">
        <f>IF(AND(B329&lt;&gt;"",C329&lt;&gt;""),MAX($A$5:A328)+1,"")</f>
        <v/>
      </c>
      <c r="B329" s="250"/>
      <c r="C329" s="250"/>
      <c r="D329" s="239"/>
      <c r="E329" s="253" t="s">
        <v>450</v>
      </c>
    </row>
    <row r="330" spans="1:5" ht="30">
      <c r="A330" s="267">
        <f>IF(AND(B330&lt;&gt;"",C330&lt;&gt;""),MAX($A$5:A329)+1,"")</f>
        <v>59</v>
      </c>
      <c r="B330" s="250" t="s">
        <v>321</v>
      </c>
      <c r="C330" s="250" t="s">
        <v>561</v>
      </c>
      <c r="D330" s="239"/>
      <c r="E330" s="253" t="s">
        <v>556</v>
      </c>
    </row>
    <row r="331" spans="1:5">
      <c r="A331" s="267" t="str">
        <f>IF(AND(B331&lt;&gt;"",C331&lt;&gt;""),MAX($A$5:A330)+1,"")</f>
        <v/>
      </c>
      <c r="B331" s="250"/>
      <c r="C331" s="250"/>
      <c r="D331" s="238"/>
      <c r="E331" s="253" t="s">
        <v>449</v>
      </c>
    </row>
    <row r="332" spans="1:5">
      <c r="A332" s="267" t="str">
        <f>IF(AND(B332&lt;&gt;"",C332&lt;&gt;""),MAX($A$5:A331)+1,"")</f>
        <v/>
      </c>
      <c r="B332" s="250"/>
      <c r="C332" s="250"/>
      <c r="D332" s="238"/>
      <c r="E332" s="253" t="s">
        <v>450</v>
      </c>
    </row>
    <row r="333" spans="1:5" ht="30">
      <c r="A333" s="267">
        <f>IF(AND(B333&lt;&gt;"",C333&lt;&gt;""),MAX($A$5:A332)+1,"")</f>
        <v>60</v>
      </c>
      <c r="B333" s="250" t="s">
        <v>322</v>
      </c>
      <c r="C333" s="250" t="s">
        <v>561</v>
      </c>
      <c r="D333" s="241"/>
      <c r="E333" s="253" t="s">
        <v>557</v>
      </c>
    </row>
    <row r="334" spans="1:5">
      <c r="A334" s="267" t="str">
        <f>IF(AND(B334&lt;&gt;"",C334&lt;&gt;""),MAX($A$5:A333)+1,"")</f>
        <v/>
      </c>
      <c r="B334" s="250"/>
      <c r="C334" s="250"/>
      <c r="D334" s="239"/>
      <c r="E334" s="253" t="s">
        <v>449</v>
      </c>
    </row>
    <row r="335" spans="1:5">
      <c r="A335" s="267" t="str">
        <f>IF(AND(B335&lt;&gt;"",C335&lt;&gt;""),MAX($A$5:A334)+1,"")</f>
        <v/>
      </c>
      <c r="B335" s="250"/>
      <c r="C335" s="250"/>
      <c r="D335" s="239"/>
      <c r="E335" s="253" t="s">
        <v>450</v>
      </c>
    </row>
    <row r="336" spans="1:5" ht="30">
      <c r="A336" s="267">
        <f>IF(AND(B336&lt;&gt;"",C336&lt;&gt;""),MAX($A$5:A335)+1,"")</f>
        <v>61</v>
      </c>
      <c r="B336" s="250" t="s">
        <v>323</v>
      </c>
      <c r="C336" s="250" t="s">
        <v>561</v>
      </c>
      <c r="D336" s="239"/>
      <c r="E336" s="253" t="s">
        <v>558</v>
      </c>
    </row>
    <row r="337" spans="1:5">
      <c r="A337" s="267" t="str">
        <f>IF(AND(B337&lt;&gt;"",C337&lt;&gt;""),MAX($A$5:A336)+1,"")</f>
        <v/>
      </c>
      <c r="B337" s="250"/>
      <c r="C337" s="250"/>
      <c r="D337" s="239"/>
      <c r="E337" s="253" t="s">
        <v>449</v>
      </c>
    </row>
    <row r="338" spans="1:5">
      <c r="A338" s="267" t="str">
        <f>IF(AND(B338&lt;&gt;"",C338&lt;&gt;""),MAX($A$5:A337)+1,"")</f>
        <v/>
      </c>
      <c r="B338" s="250"/>
      <c r="C338" s="250"/>
      <c r="D338" s="241"/>
      <c r="E338" s="253" t="s">
        <v>450</v>
      </c>
    </row>
    <row r="339" spans="1:5" ht="45">
      <c r="A339" s="267">
        <f>IF(AND(B339&lt;&gt;"",C339&lt;&gt;""),MAX($A$5:A338)+1,"")</f>
        <v>62</v>
      </c>
      <c r="B339" s="250" t="s">
        <v>324</v>
      </c>
      <c r="C339" s="250" t="s">
        <v>561</v>
      </c>
      <c r="D339" s="238"/>
      <c r="E339" s="253" t="s">
        <v>559</v>
      </c>
    </row>
    <row r="340" spans="1:5">
      <c r="A340" s="250"/>
      <c r="B340" s="250"/>
      <c r="C340" s="250"/>
      <c r="D340" s="239"/>
      <c r="E340" s="253" t="s">
        <v>449</v>
      </c>
    </row>
    <row r="341" spans="1:5">
      <c r="A341" s="250"/>
      <c r="B341" s="250"/>
      <c r="C341" s="250"/>
      <c r="D341" s="239"/>
      <c r="E341" s="253" t="s">
        <v>450</v>
      </c>
    </row>
    <row r="342" spans="1:5" ht="33">
      <c r="A342" s="256" t="s">
        <v>607</v>
      </c>
      <c r="B342" s="257" t="s">
        <v>573</v>
      </c>
      <c r="C342" s="258"/>
      <c r="D342" s="259"/>
      <c r="E342" s="259"/>
    </row>
    <row r="343" spans="1:5" ht="30">
      <c r="A343" s="267">
        <f>IF(AND(B343&lt;&gt;"",C343&lt;&gt;""),MAX($A$5:A342)+1,"")</f>
        <v>63</v>
      </c>
      <c r="B343" s="261" t="s">
        <v>574</v>
      </c>
      <c r="C343" s="274" t="s">
        <v>560</v>
      </c>
      <c r="D343" s="262"/>
      <c r="E343" s="263" t="s">
        <v>580</v>
      </c>
    </row>
    <row r="344" spans="1:5" ht="30">
      <c r="A344" s="260" t="str">
        <f>IF(AND(B344&lt;&gt;"",C344&lt;&gt;""),MAX($A$1:A343)+1,"")</f>
        <v/>
      </c>
      <c r="B344" s="261"/>
      <c r="C344" s="261"/>
      <c r="D344" s="262"/>
      <c r="E344" s="263" t="s">
        <v>581</v>
      </c>
    </row>
    <row r="345" spans="1:5" ht="30">
      <c r="A345" s="260" t="str">
        <f>IF(AND(B345&lt;&gt;"",C345&lt;&gt;""),MAX($A$1:A344)+1,"")</f>
        <v/>
      </c>
      <c r="B345" s="264"/>
      <c r="C345" s="265"/>
      <c r="D345" s="266"/>
      <c r="E345" s="263" t="s">
        <v>582</v>
      </c>
    </row>
    <row r="346" spans="1:5" ht="30">
      <c r="A346" s="260" t="str">
        <f>IF(AND(B346&lt;&gt;"",C346&lt;&gt;""),MAX($A$1:A345)+1,"")</f>
        <v/>
      </c>
      <c r="B346" s="264"/>
      <c r="C346" s="265"/>
      <c r="D346" s="266"/>
      <c r="E346" s="263" t="s">
        <v>583</v>
      </c>
    </row>
    <row r="347" spans="1:5">
      <c r="A347" s="260" t="str">
        <f>IF(AND(B347&lt;&gt;"",C347&lt;&gt;""),MAX($A$1:A346)+1,"")</f>
        <v/>
      </c>
      <c r="B347" s="264"/>
      <c r="C347" s="265"/>
      <c r="D347" s="266"/>
      <c r="E347" s="263" t="s">
        <v>584</v>
      </c>
    </row>
    <row r="348" spans="1:5" ht="30">
      <c r="A348" s="260" t="str">
        <f>IF(AND(B348&lt;&gt;"",C348&lt;&gt;""),MAX($A$1:A347)+1,"")</f>
        <v/>
      </c>
      <c r="B348" s="264"/>
      <c r="C348" s="265"/>
      <c r="D348" s="266"/>
      <c r="E348" s="263" t="s">
        <v>585</v>
      </c>
    </row>
    <row r="349" spans="1:5" ht="30">
      <c r="A349" s="260" t="str">
        <f>IF(AND(B349&lt;&gt;"",C349&lt;&gt;""),MAX($A$1:A348)+1,"")</f>
        <v/>
      </c>
      <c r="B349" s="261"/>
      <c r="C349" s="261"/>
      <c r="D349" s="262"/>
      <c r="E349" s="263" t="s">
        <v>586</v>
      </c>
    </row>
    <row r="350" spans="1:5" ht="30">
      <c r="A350" s="260" t="str">
        <f>IF(AND(B350&lt;&gt;"",C350&lt;&gt;""),MAX($A$1:A349)+1,"")</f>
        <v/>
      </c>
      <c r="B350" s="264"/>
      <c r="C350" s="265"/>
      <c r="D350" s="266"/>
      <c r="E350" s="263" t="s">
        <v>587</v>
      </c>
    </row>
    <row r="351" spans="1:5" ht="30">
      <c r="A351" s="267">
        <f>IF(AND(B351&lt;&gt;"",C351&lt;&gt;""),MAX($A$5:A350)+1,"")</f>
        <v>64</v>
      </c>
      <c r="B351" s="268" t="s">
        <v>575</v>
      </c>
      <c r="C351" s="269" t="s">
        <v>560</v>
      </c>
      <c r="D351" s="270"/>
      <c r="E351" s="263" t="s">
        <v>588</v>
      </c>
    </row>
    <row r="352" spans="1:5">
      <c r="A352" s="267" t="str">
        <f>IF(AND(B352&lt;&gt;"",C352&lt;&gt;""),MAX($A$5:A350)+1,"")</f>
        <v/>
      </c>
      <c r="B352" s="271"/>
      <c r="C352" s="272"/>
      <c r="D352" s="270"/>
      <c r="E352" s="263" t="s">
        <v>589</v>
      </c>
    </row>
    <row r="353" spans="1:5" ht="30">
      <c r="A353" s="267" t="str">
        <f>IF(AND(B353&lt;&gt;"",C353&lt;&gt;""),MAX($A$5:A351)+1,"")</f>
        <v/>
      </c>
      <c r="B353" s="269"/>
      <c r="C353" s="273"/>
      <c r="D353" s="180"/>
      <c r="E353" s="263" t="s">
        <v>590</v>
      </c>
    </row>
    <row r="354" spans="1:5" ht="30">
      <c r="A354" s="267" t="str">
        <f>IF(AND(B354&lt;&gt;"",C354&lt;&gt;""),MAX($A$5:A352)+1,"")</f>
        <v/>
      </c>
      <c r="B354" s="271"/>
      <c r="C354" s="272"/>
      <c r="D354" s="270"/>
      <c r="E354" s="263" t="s">
        <v>591</v>
      </c>
    </row>
    <row r="355" spans="1:5" ht="30">
      <c r="A355" s="267" t="str">
        <f>IF(AND(B355&lt;&gt;"",C355&lt;&gt;""),MAX($A$5:A353)+1,"")</f>
        <v/>
      </c>
      <c r="B355" s="269"/>
      <c r="C355" s="273"/>
      <c r="D355" s="180"/>
      <c r="E355" s="263" t="s">
        <v>605</v>
      </c>
    </row>
    <row r="356" spans="1:5" ht="30">
      <c r="A356" s="267">
        <f>IF(AND(B356&lt;&gt;"",C356&lt;&gt;""),MAX($A$5:A355)+1,"")</f>
        <v>65</v>
      </c>
      <c r="B356" s="261" t="s">
        <v>576</v>
      </c>
      <c r="C356" s="274" t="s">
        <v>560</v>
      </c>
      <c r="D356" s="262"/>
      <c r="E356" s="263" t="s">
        <v>592</v>
      </c>
    </row>
    <row r="357" spans="1:5" ht="30">
      <c r="A357" s="260" t="str">
        <f>IF(AND(B357&lt;&gt;"",C357&lt;&gt;""),MAX($A$1:A356)+1,"")</f>
        <v/>
      </c>
      <c r="B357" s="261"/>
      <c r="C357" s="261"/>
      <c r="D357" s="262"/>
      <c r="E357" s="263" t="s">
        <v>593</v>
      </c>
    </row>
    <row r="358" spans="1:5" ht="30">
      <c r="A358" s="260" t="str">
        <f>IF(AND(B358&lt;&gt;"",C358&lt;&gt;""),MAX($A$1:A357)+1,"")</f>
        <v/>
      </c>
      <c r="B358" s="264"/>
      <c r="C358" s="265"/>
      <c r="D358" s="266"/>
      <c r="E358" s="263" t="s">
        <v>594</v>
      </c>
    </row>
    <row r="359" spans="1:5" ht="30">
      <c r="A359" s="260" t="str">
        <f>IF(AND(B359&lt;&gt;"",C359&lt;&gt;""),MAX($A$1:A358)+1,"")</f>
        <v/>
      </c>
      <c r="B359" s="264"/>
      <c r="C359" s="265"/>
      <c r="D359" s="266"/>
      <c r="E359" s="263" t="s">
        <v>595</v>
      </c>
    </row>
    <row r="360" spans="1:5" ht="60">
      <c r="A360" s="260">
        <f>IF(AND(B360&lt;&gt;"",C360&lt;&gt;""),MAX($A$1:A359)+1,"")</f>
        <v>66</v>
      </c>
      <c r="B360" s="261" t="s">
        <v>577</v>
      </c>
      <c r="C360" s="274" t="s">
        <v>560</v>
      </c>
      <c r="D360" s="262"/>
      <c r="E360" s="263" t="s">
        <v>596</v>
      </c>
    </row>
    <row r="361" spans="1:5" ht="30">
      <c r="A361" s="260" t="str">
        <f>IF(AND(B361&lt;&gt;"",C361&lt;&gt;""),MAX($A$1:A360)+1,"")</f>
        <v/>
      </c>
      <c r="B361" s="264"/>
      <c r="C361" s="265"/>
      <c r="D361" s="266"/>
      <c r="E361" s="263" t="s">
        <v>597</v>
      </c>
    </row>
    <row r="362" spans="1:5" ht="30">
      <c r="A362" s="260" t="str">
        <f>IF(AND(B362&lt;&gt;"",C362&lt;&gt;""),MAX($A$1:A361)+1,"")</f>
        <v/>
      </c>
      <c r="B362" s="264"/>
      <c r="C362" s="265"/>
      <c r="D362" s="266"/>
      <c r="E362" s="263" t="s">
        <v>598</v>
      </c>
    </row>
    <row r="363" spans="1:5" ht="30">
      <c r="A363" s="260" t="str">
        <f>IF(AND(B363&lt;&gt;"",C363&lt;&gt;""),MAX($A$1:A362)+1,"")</f>
        <v/>
      </c>
      <c r="B363" s="261"/>
      <c r="C363" s="261"/>
      <c r="D363" s="262"/>
      <c r="E363" s="263" t="s">
        <v>599</v>
      </c>
    </row>
    <row r="364" spans="1:5" ht="30">
      <c r="A364" s="260" t="str">
        <f>IF(AND(B364&lt;&gt;"",C364&lt;&gt;""),MAX($A$1:A363)+1,"")</f>
        <v/>
      </c>
      <c r="B364" s="271"/>
      <c r="C364" s="272"/>
      <c r="D364" s="270"/>
      <c r="E364" s="263" t="s">
        <v>600</v>
      </c>
    </row>
    <row r="365" spans="1:5" ht="30">
      <c r="A365" s="260" t="str">
        <f>IF(AND(B365&lt;&gt;"",C365&lt;&gt;""),MAX($A$1:A364)+1,"")</f>
        <v/>
      </c>
      <c r="B365" s="271"/>
      <c r="C365" s="272"/>
      <c r="D365" s="270"/>
      <c r="E365" s="263" t="s">
        <v>601</v>
      </c>
    </row>
    <row r="366" spans="1:5" ht="30">
      <c r="A366" s="260" t="str">
        <f>IF(AND(B366&lt;&gt;"",C366&lt;&gt;""),MAX($A$1:A365)+1,"")</f>
        <v/>
      </c>
      <c r="B366" s="271"/>
      <c r="C366" s="272"/>
      <c r="D366" s="270"/>
      <c r="E366" s="263" t="s">
        <v>602</v>
      </c>
    </row>
    <row r="367" spans="1:5" ht="45">
      <c r="A367" s="267">
        <f>IF(AND(B367&lt;&gt;"",C367&lt;&gt;""),MAX($A$5:A366)+1,"")</f>
        <v>67</v>
      </c>
      <c r="B367" s="250" t="s">
        <v>578</v>
      </c>
      <c r="C367" s="269" t="s">
        <v>560</v>
      </c>
      <c r="D367" s="250"/>
      <c r="E367" s="250" t="s">
        <v>603</v>
      </c>
    </row>
    <row r="368" spans="1:5" ht="30">
      <c r="A368" s="267" t="str">
        <f>IF(AND(B368&lt;&gt;"",C368&lt;&gt;""),MAX($A$5:A366)+1,"")</f>
        <v/>
      </c>
      <c r="B368" s="250"/>
      <c r="C368" s="273"/>
      <c r="D368" s="250"/>
      <c r="E368" s="250" t="s">
        <v>604</v>
      </c>
    </row>
  </sheetData>
  <autoFilter ref="A1:E341" xr:uid="{00000000-0009-0000-0000-000005000000}"/>
  <phoneticPr fontId="111" type="noConversion"/>
  <conditionalFormatting sqref="A342">
    <cfRule type="duplicateValues" dxfId="20" priority="10"/>
  </conditionalFormatting>
  <conditionalFormatting sqref="B2">
    <cfRule type="duplicateValues" dxfId="19" priority="269"/>
  </conditionalFormatting>
  <conditionalFormatting sqref="B46:B50 B52:B53">
    <cfRule type="duplicateValues" dxfId="18" priority="274"/>
  </conditionalFormatting>
  <conditionalFormatting sqref="B62:B63">
    <cfRule type="duplicateValues" dxfId="17" priority="271"/>
    <cfRule type="duplicateValues" dxfId="16" priority="272"/>
  </conditionalFormatting>
  <conditionalFormatting sqref="B64:B67 B71:B72">
    <cfRule type="duplicateValues" dxfId="15" priority="275"/>
  </conditionalFormatting>
  <conditionalFormatting sqref="B159:B160">
    <cfRule type="duplicateValues" dxfId="14" priority="270"/>
  </conditionalFormatting>
  <conditionalFormatting sqref="B342:B366">
    <cfRule type="duplicateValues" dxfId="13" priority="2362"/>
  </conditionalFormatting>
  <conditionalFormatting sqref="B342:B368">
    <cfRule type="duplicateValues" dxfId="12" priority="2377"/>
  </conditionalFormatting>
  <conditionalFormatting sqref="B356:B366 B342:B350">
    <cfRule type="duplicateValues" dxfId="11" priority="2327"/>
  </conditionalFormatting>
  <conditionalFormatting sqref="B367:B368">
    <cfRule type="duplicateValues" dxfId="10" priority="2376"/>
  </conditionalFormatting>
  <conditionalFormatting sqref="B369:B1048576 B1">
    <cfRule type="duplicateValues" dxfId="9" priority="278"/>
    <cfRule type="duplicateValues" dxfId="8" priority="458"/>
    <cfRule type="duplicateValues" dxfId="7" priority="470"/>
  </conditionalFormatting>
  <conditionalFormatting sqref="B369:B1048576">
    <cfRule type="duplicateValues" dxfId="6" priority="367"/>
  </conditionalFormatting>
  <conditionalFormatting sqref="B51:C51">
    <cfRule type="duplicateValues" dxfId="5" priority="273"/>
  </conditionalFormatting>
  <conditionalFormatting sqref="C47:C50 C52:C53">
    <cfRule type="duplicateValues" dxfId="4" priority="267"/>
  </conditionalFormatting>
  <conditionalFormatting sqref="C63">
    <cfRule type="duplicateValues" dxfId="3" priority="265"/>
    <cfRule type="duplicateValues" dxfId="2" priority="266"/>
  </conditionalFormatting>
  <conditionalFormatting sqref="C64:C66 C71:C72">
    <cfRule type="duplicateValues" dxfId="1" priority="268"/>
  </conditionalFormatting>
  <conditionalFormatting sqref="C159">
    <cfRule type="duplicateValues" dxfId="0" priority="264"/>
  </conditionalFormatting>
  <pageMargins left="0.7" right="0.7" top="0.75" bottom="0.75" header="0" footer="0"/>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00"/>
  </sheetPr>
  <dimension ref="A1:I12"/>
  <sheetViews>
    <sheetView zoomScale="82" zoomScaleNormal="82" workbookViewId="0">
      <selection activeCell="F23" sqref="F23"/>
    </sheetView>
  </sheetViews>
  <sheetFormatPr defaultColWidth="15.42578125" defaultRowHeight="15.75"/>
  <cols>
    <col min="1" max="1" width="5.28515625" style="126" bestFit="1" customWidth="1"/>
    <col min="2" max="2" width="37.7109375" style="126" customWidth="1"/>
    <col min="3" max="3" width="14" style="128" customWidth="1"/>
    <col min="4" max="4" width="13.42578125" style="129" customWidth="1"/>
    <col min="5" max="5" width="14.7109375" style="129" customWidth="1"/>
    <col min="6" max="6" width="18.42578125" style="129" bestFit="1" customWidth="1"/>
    <col min="7" max="7" width="20.42578125" style="130" customWidth="1"/>
    <col min="8" max="8" width="18.28515625" style="126" customWidth="1"/>
    <col min="9" max="9" width="9.28515625" style="126" customWidth="1"/>
    <col min="10" max="10" width="16.42578125" style="126" customWidth="1"/>
    <col min="11" max="245" width="9.28515625" style="126" customWidth="1"/>
    <col min="246" max="246" width="5.28515625" style="126" bestFit="1" customWidth="1"/>
    <col min="247" max="247" width="22.42578125" style="126" bestFit="1" customWidth="1"/>
    <col min="248" max="248" width="12.42578125" style="126" bestFit="1" customWidth="1"/>
    <col min="249" max="250" width="11.42578125" style="126" bestFit="1" customWidth="1"/>
    <col min="251" max="253" width="15.42578125" style="126"/>
    <col min="254" max="254" width="5.28515625" style="126" bestFit="1" customWidth="1"/>
    <col min="255" max="255" width="34.42578125" style="126" customWidth="1"/>
    <col min="256" max="256" width="14" style="126" customWidth="1"/>
    <col min="257" max="257" width="13.42578125" style="126" customWidth="1"/>
    <col min="258" max="258" width="14.7109375" style="126" customWidth="1"/>
    <col min="259" max="259" width="18.42578125" style="126" bestFit="1" customWidth="1"/>
    <col min="260" max="260" width="22.42578125" style="126" customWidth="1"/>
    <col min="261" max="261" width="21.7109375" style="126" bestFit="1" customWidth="1"/>
    <col min="262" max="501" width="9.28515625" style="126" customWidth="1"/>
    <col min="502" max="502" width="5.28515625" style="126" bestFit="1" customWidth="1"/>
    <col min="503" max="503" width="22.42578125" style="126" bestFit="1" customWidth="1"/>
    <col min="504" max="504" width="12.42578125" style="126" bestFit="1" customWidth="1"/>
    <col min="505" max="506" width="11.42578125" style="126" bestFit="1" customWidth="1"/>
    <col min="507" max="509" width="15.42578125" style="126"/>
    <col min="510" max="510" width="5.28515625" style="126" bestFit="1" customWidth="1"/>
    <col min="511" max="511" width="34.42578125" style="126" customWidth="1"/>
    <col min="512" max="512" width="14" style="126" customWidth="1"/>
    <col min="513" max="513" width="13.42578125" style="126" customWidth="1"/>
    <col min="514" max="514" width="14.7109375" style="126" customWidth="1"/>
    <col min="515" max="515" width="18.42578125" style="126" bestFit="1" customWidth="1"/>
    <col min="516" max="516" width="22.42578125" style="126" customWidth="1"/>
    <col min="517" max="517" width="21.7109375" style="126" bestFit="1" customWidth="1"/>
    <col min="518" max="757" width="9.28515625" style="126" customWidth="1"/>
    <col min="758" max="758" width="5.28515625" style="126" bestFit="1" customWidth="1"/>
    <col min="759" max="759" width="22.42578125" style="126" bestFit="1" customWidth="1"/>
    <col min="760" max="760" width="12.42578125" style="126" bestFit="1" customWidth="1"/>
    <col min="761" max="762" width="11.42578125" style="126" bestFit="1" customWidth="1"/>
    <col min="763" max="765" width="15.42578125" style="126"/>
    <col min="766" max="766" width="5.28515625" style="126" bestFit="1" customWidth="1"/>
    <col min="767" max="767" width="34.42578125" style="126" customWidth="1"/>
    <col min="768" max="768" width="14" style="126" customWidth="1"/>
    <col min="769" max="769" width="13.42578125" style="126" customWidth="1"/>
    <col min="770" max="770" width="14.7109375" style="126" customWidth="1"/>
    <col min="771" max="771" width="18.42578125" style="126" bestFit="1" customWidth="1"/>
    <col min="772" max="772" width="22.42578125" style="126" customWidth="1"/>
    <col min="773" max="773" width="21.7109375" style="126" bestFit="1" customWidth="1"/>
    <col min="774" max="1013" width="9.28515625" style="126" customWidth="1"/>
    <col min="1014" max="1014" width="5.28515625" style="126" bestFit="1" customWidth="1"/>
    <col min="1015" max="1015" width="22.42578125" style="126" bestFit="1" customWidth="1"/>
    <col min="1016" max="1016" width="12.42578125" style="126" bestFit="1" customWidth="1"/>
    <col min="1017" max="1018" width="11.42578125" style="126" bestFit="1" customWidth="1"/>
    <col min="1019" max="1021" width="15.42578125" style="126"/>
    <col min="1022" max="1022" width="5.28515625" style="126" bestFit="1" customWidth="1"/>
    <col min="1023" max="1023" width="34.42578125" style="126" customWidth="1"/>
    <col min="1024" max="1024" width="14" style="126" customWidth="1"/>
    <col min="1025" max="1025" width="13.42578125" style="126" customWidth="1"/>
    <col min="1026" max="1026" width="14.7109375" style="126" customWidth="1"/>
    <col min="1027" max="1027" width="18.42578125" style="126" bestFit="1" customWidth="1"/>
    <col min="1028" max="1028" width="22.42578125" style="126" customWidth="1"/>
    <col min="1029" max="1029" width="21.7109375" style="126" bestFit="1" customWidth="1"/>
    <col min="1030" max="1269" width="9.28515625" style="126" customWidth="1"/>
    <col min="1270" max="1270" width="5.28515625" style="126" bestFit="1" customWidth="1"/>
    <col min="1271" max="1271" width="22.42578125" style="126" bestFit="1" customWidth="1"/>
    <col min="1272" max="1272" width="12.42578125" style="126" bestFit="1" customWidth="1"/>
    <col min="1273" max="1274" width="11.42578125" style="126" bestFit="1" customWidth="1"/>
    <col min="1275" max="1277" width="15.42578125" style="126"/>
    <col min="1278" max="1278" width="5.28515625" style="126" bestFit="1" customWidth="1"/>
    <col min="1279" max="1279" width="34.42578125" style="126" customWidth="1"/>
    <col min="1280" max="1280" width="14" style="126" customWidth="1"/>
    <col min="1281" max="1281" width="13.42578125" style="126" customWidth="1"/>
    <col min="1282" max="1282" width="14.7109375" style="126" customWidth="1"/>
    <col min="1283" max="1283" width="18.42578125" style="126" bestFit="1" customWidth="1"/>
    <col min="1284" max="1284" width="22.42578125" style="126" customWidth="1"/>
    <col min="1285" max="1285" width="21.7109375" style="126" bestFit="1" customWidth="1"/>
    <col min="1286" max="1525" width="9.28515625" style="126" customWidth="1"/>
    <col min="1526" max="1526" width="5.28515625" style="126" bestFit="1" customWidth="1"/>
    <col min="1527" max="1527" width="22.42578125" style="126" bestFit="1" customWidth="1"/>
    <col min="1528" max="1528" width="12.42578125" style="126" bestFit="1" customWidth="1"/>
    <col min="1529" max="1530" width="11.42578125" style="126" bestFit="1" customWidth="1"/>
    <col min="1531" max="1533" width="15.42578125" style="126"/>
    <col min="1534" max="1534" width="5.28515625" style="126" bestFit="1" customWidth="1"/>
    <col min="1535" max="1535" width="34.42578125" style="126" customWidth="1"/>
    <col min="1536" max="1536" width="14" style="126" customWidth="1"/>
    <col min="1537" max="1537" width="13.42578125" style="126" customWidth="1"/>
    <col min="1538" max="1538" width="14.7109375" style="126" customWidth="1"/>
    <col min="1539" max="1539" width="18.42578125" style="126" bestFit="1" customWidth="1"/>
    <col min="1540" max="1540" width="22.42578125" style="126" customWidth="1"/>
    <col min="1541" max="1541" width="21.7109375" style="126" bestFit="1" customWidth="1"/>
    <col min="1542" max="1781" width="9.28515625" style="126" customWidth="1"/>
    <col min="1782" max="1782" width="5.28515625" style="126" bestFit="1" customWidth="1"/>
    <col min="1783" max="1783" width="22.42578125" style="126" bestFit="1" customWidth="1"/>
    <col min="1784" max="1784" width="12.42578125" style="126" bestFit="1" customWidth="1"/>
    <col min="1785" max="1786" width="11.42578125" style="126" bestFit="1" customWidth="1"/>
    <col min="1787" max="1789" width="15.42578125" style="126"/>
    <col min="1790" max="1790" width="5.28515625" style="126" bestFit="1" customWidth="1"/>
    <col min="1791" max="1791" width="34.42578125" style="126" customWidth="1"/>
    <col min="1792" max="1792" width="14" style="126" customWidth="1"/>
    <col min="1793" max="1793" width="13.42578125" style="126" customWidth="1"/>
    <col min="1794" max="1794" width="14.7109375" style="126" customWidth="1"/>
    <col min="1795" max="1795" width="18.42578125" style="126" bestFit="1" customWidth="1"/>
    <col min="1796" max="1796" width="22.42578125" style="126" customWidth="1"/>
    <col min="1797" max="1797" width="21.7109375" style="126" bestFit="1" customWidth="1"/>
    <col min="1798" max="2037" width="9.28515625" style="126" customWidth="1"/>
    <col min="2038" max="2038" width="5.28515625" style="126" bestFit="1" customWidth="1"/>
    <col min="2039" max="2039" width="22.42578125" style="126" bestFit="1" customWidth="1"/>
    <col min="2040" max="2040" width="12.42578125" style="126" bestFit="1" customWidth="1"/>
    <col min="2041" max="2042" width="11.42578125" style="126" bestFit="1" customWidth="1"/>
    <col min="2043" max="2045" width="15.42578125" style="126"/>
    <col min="2046" max="2046" width="5.28515625" style="126" bestFit="1" customWidth="1"/>
    <col min="2047" max="2047" width="34.42578125" style="126" customWidth="1"/>
    <col min="2048" max="2048" width="14" style="126" customWidth="1"/>
    <col min="2049" max="2049" width="13.42578125" style="126" customWidth="1"/>
    <col min="2050" max="2050" width="14.7109375" style="126" customWidth="1"/>
    <col min="2051" max="2051" width="18.42578125" style="126" bestFit="1" customWidth="1"/>
    <col min="2052" max="2052" width="22.42578125" style="126" customWidth="1"/>
    <col min="2053" max="2053" width="21.7109375" style="126" bestFit="1" customWidth="1"/>
    <col min="2054" max="2293" width="9.28515625" style="126" customWidth="1"/>
    <col min="2294" max="2294" width="5.28515625" style="126" bestFit="1" customWidth="1"/>
    <col min="2295" max="2295" width="22.42578125" style="126" bestFit="1" customWidth="1"/>
    <col min="2296" max="2296" width="12.42578125" style="126" bestFit="1" customWidth="1"/>
    <col min="2297" max="2298" width="11.42578125" style="126" bestFit="1" customWidth="1"/>
    <col min="2299" max="2301" width="15.42578125" style="126"/>
    <col min="2302" max="2302" width="5.28515625" style="126" bestFit="1" customWidth="1"/>
    <col min="2303" max="2303" width="34.42578125" style="126" customWidth="1"/>
    <col min="2304" max="2304" width="14" style="126" customWidth="1"/>
    <col min="2305" max="2305" width="13.42578125" style="126" customWidth="1"/>
    <col min="2306" max="2306" width="14.7109375" style="126" customWidth="1"/>
    <col min="2307" max="2307" width="18.42578125" style="126" bestFit="1" customWidth="1"/>
    <col min="2308" max="2308" width="22.42578125" style="126" customWidth="1"/>
    <col min="2309" max="2309" width="21.7109375" style="126" bestFit="1" customWidth="1"/>
    <col min="2310" max="2549" width="9.28515625" style="126" customWidth="1"/>
    <col min="2550" max="2550" width="5.28515625" style="126" bestFit="1" customWidth="1"/>
    <col min="2551" max="2551" width="22.42578125" style="126" bestFit="1" customWidth="1"/>
    <col min="2552" max="2552" width="12.42578125" style="126" bestFit="1" customWidth="1"/>
    <col min="2553" max="2554" width="11.42578125" style="126" bestFit="1" customWidth="1"/>
    <col min="2555" max="2557" width="15.42578125" style="126"/>
    <col min="2558" max="2558" width="5.28515625" style="126" bestFit="1" customWidth="1"/>
    <col min="2559" max="2559" width="34.42578125" style="126" customWidth="1"/>
    <col min="2560" max="2560" width="14" style="126" customWidth="1"/>
    <col min="2561" max="2561" width="13.42578125" style="126" customWidth="1"/>
    <col min="2562" max="2562" width="14.7109375" style="126" customWidth="1"/>
    <col min="2563" max="2563" width="18.42578125" style="126" bestFit="1" customWidth="1"/>
    <col min="2564" max="2564" width="22.42578125" style="126" customWidth="1"/>
    <col min="2565" max="2565" width="21.7109375" style="126" bestFit="1" customWidth="1"/>
    <col min="2566" max="2805" width="9.28515625" style="126" customWidth="1"/>
    <col min="2806" max="2806" width="5.28515625" style="126" bestFit="1" customWidth="1"/>
    <col min="2807" max="2807" width="22.42578125" style="126" bestFit="1" customWidth="1"/>
    <col min="2808" max="2808" width="12.42578125" style="126" bestFit="1" customWidth="1"/>
    <col min="2809" max="2810" width="11.42578125" style="126" bestFit="1" customWidth="1"/>
    <col min="2811" max="2813" width="15.42578125" style="126"/>
    <col min="2814" max="2814" width="5.28515625" style="126" bestFit="1" customWidth="1"/>
    <col min="2815" max="2815" width="34.42578125" style="126" customWidth="1"/>
    <col min="2816" max="2816" width="14" style="126" customWidth="1"/>
    <col min="2817" max="2817" width="13.42578125" style="126" customWidth="1"/>
    <col min="2818" max="2818" width="14.7109375" style="126" customWidth="1"/>
    <col min="2819" max="2819" width="18.42578125" style="126" bestFit="1" customWidth="1"/>
    <col min="2820" max="2820" width="22.42578125" style="126" customWidth="1"/>
    <col min="2821" max="2821" width="21.7109375" style="126" bestFit="1" customWidth="1"/>
    <col min="2822" max="3061" width="9.28515625" style="126" customWidth="1"/>
    <col min="3062" max="3062" width="5.28515625" style="126" bestFit="1" customWidth="1"/>
    <col min="3063" max="3063" width="22.42578125" style="126" bestFit="1" customWidth="1"/>
    <col min="3064" max="3064" width="12.42578125" style="126" bestFit="1" customWidth="1"/>
    <col min="3065" max="3066" width="11.42578125" style="126" bestFit="1" customWidth="1"/>
    <col min="3067" max="3069" width="15.42578125" style="126"/>
    <col min="3070" max="3070" width="5.28515625" style="126" bestFit="1" customWidth="1"/>
    <col min="3071" max="3071" width="34.42578125" style="126" customWidth="1"/>
    <col min="3072" max="3072" width="14" style="126" customWidth="1"/>
    <col min="3073" max="3073" width="13.42578125" style="126" customWidth="1"/>
    <col min="3074" max="3074" width="14.7109375" style="126" customWidth="1"/>
    <col min="3075" max="3075" width="18.42578125" style="126" bestFit="1" customWidth="1"/>
    <col min="3076" max="3076" width="22.42578125" style="126" customWidth="1"/>
    <col min="3077" max="3077" width="21.7109375" style="126" bestFit="1" customWidth="1"/>
    <col min="3078" max="3317" width="9.28515625" style="126" customWidth="1"/>
    <col min="3318" max="3318" width="5.28515625" style="126" bestFit="1" customWidth="1"/>
    <col min="3319" max="3319" width="22.42578125" style="126" bestFit="1" customWidth="1"/>
    <col min="3320" max="3320" width="12.42578125" style="126" bestFit="1" customWidth="1"/>
    <col min="3321" max="3322" width="11.42578125" style="126" bestFit="1" customWidth="1"/>
    <col min="3323" max="3325" width="15.42578125" style="126"/>
    <col min="3326" max="3326" width="5.28515625" style="126" bestFit="1" customWidth="1"/>
    <col min="3327" max="3327" width="34.42578125" style="126" customWidth="1"/>
    <col min="3328" max="3328" width="14" style="126" customWidth="1"/>
    <col min="3329" max="3329" width="13.42578125" style="126" customWidth="1"/>
    <col min="3330" max="3330" width="14.7109375" style="126" customWidth="1"/>
    <col min="3331" max="3331" width="18.42578125" style="126" bestFit="1" customWidth="1"/>
    <col min="3332" max="3332" width="22.42578125" style="126" customWidth="1"/>
    <col min="3333" max="3333" width="21.7109375" style="126" bestFit="1" customWidth="1"/>
    <col min="3334" max="3573" width="9.28515625" style="126" customWidth="1"/>
    <col min="3574" max="3574" width="5.28515625" style="126" bestFit="1" customWidth="1"/>
    <col min="3575" max="3575" width="22.42578125" style="126" bestFit="1" customWidth="1"/>
    <col min="3576" max="3576" width="12.42578125" style="126" bestFit="1" customWidth="1"/>
    <col min="3577" max="3578" width="11.42578125" style="126" bestFit="1" customWidth="1"/>
    <col min="3579" max="3581" width="15.42578125" style="126"/>
    <col min="3582" max="3582" width="5.28515625" style="126" bestFit="1" customWidth="1"/>
    <col min="3583" max="3583" width="34.42578125" style="126" customWidth="1"/>
    <col min="3584" max="3584" width="14" style="126" customWidth="1"/>
    <col min="3585" max="3585" width="13.42578125" style="126" customWidth="1"/>
    <col min="3586" max="3586" width="14.7109375" style="126" customWidth="1"/>
    <col min="3587" max="3587" width="18.42578125" style="126" bestFit="1" customWidth="1"/>
    <col min="3588" max="3588" width="22.42578125" style="126" customWidth="1"/>
    <col min="3589" max="3589" width="21.7109375" style="126" bestFit="1" customWidth="1"/>
    <col min="3590" max="3829" width="9.28515625" style="126" customWidth="1"/>
    <col min="3830" max="3830" width="5.28515625" style="126" bestFit="1" customWidth="1"/>
    <col min="3831" max="3831" width="22.42578125" style="126" bestFit="1" customWidth="1"/>
    <col min="3832" max="3832" width="12.42578125" style="126" bestFit="1" customWidth="1"/>
    <col min="3833" max="3834" width="11.42578125" style="126" bestFit="1" customWidth="1"/>
    <col min="3835" max="3837" width="15.42578125" style="126"/>
    <col min="3838" max="3838" width="5.28515625" style="126" bestFit="1" customWidth="1"/>
    <col min="3839" max="3839" width="34.42578125" style="126" customWidth="1"/>
    <col min="3840" max="3840" width="14" style="126" customWidth="1"/>
    <col min="3841" max="3841" width="13.42578125" style="126" customWidth="1"/>
    <col min="3842" max="3842" width="14.7109375" style="126" customWidth="1"/>
    <col min="3843" max="3843" width="18.42578125" style="126" bestFit="1" customWidth="1"/>
    <col min="3844" max="3844" width="22.42578125" style="126" customWidth="1"/>
    <col min="3845" max="3845" width="21.7109375" style="126" bestFit="1" customWidth="1"/>
    <col min="3846" max="4085" width="9.28515625" style="126" customWidth="1"/>
    <col min="4086" max="4086" width="5.28515625" style="126" bestFit="1" customWidth="1"/>
    <col min="4087" max="4087" width="22.42578125" style="126" bestFit="1" customWidth="1"/>
    <col min="4088" max="4088" width="12.42578125" style="126" bestFit="1" customWidth="1"/>
    <col min="4089" max="4090" width="11.42578125" style="126" bestFit="1" customWidth="1"/>
    <col min="4091" max="4093" width="15.42578125" style="126"/>
    <col min="4094" max="4094" width="5.28515625" style="126" bestFit="1" customWidth="1"/>
    <col min="4095" max="4095" width="34.42578125" style="126" customWidth="1"/>
    <col min="4096" max="4096" width="14" style="126" customWidth="1"/>
    <col min="4097" max="4097" width="13.42578125" style="126" customWidth="1"/>
    <col min="4098" max="4098" width="14.7109375" style="126" customWidth="1"/>
    <col min="4099" max="4099" width="18.42578125" style="126" bestFit="1" customWidth="1"/>
    <col min="4100" max="4100" width="22.42578125" style="126" customWidth="1"/>
    <col min="4101" max="4101" width="21.7109375" style="126" bestFit="1" customWidth="1"/>
    <col min="4102" max="4341" width="9.28515625" style="126" customWidth="1"/>
    <col min="4342" max="4342" width="5.28515625" style="126" bestFit="1" customWidth="1"/>
    <col min="4343" max="4343" width="22.42578125" style="126" bestFit="1" customWidth="1"/>
    <col min="4344" max="4344" width="12.42578125" style="126" bestFit="1" customWidth="1"/>
    <col min="4345" max="4346" width="11.42578125" style="126" bestFit="1" customWidth="1"/>
    <col min="4347" max="4349" width="15.42578125" style="126"/>
    <col min="4350" max="4350" width="5.28515625" style="126" bestFit="1" customWidth="1"/>
    <col min="4351" max="4351" width="34.42578125" style="126" customWidth="1"/>
    <col min="4352" max="4352" width="14" style="126" customWidth="1"/>
    <col min="4353" max="4353" width="13.42578125" style="126" customWidth="1"/>
    <col min="4354" max="4354" width="14.7109375" style="126" customWidth="1"/>
    <col min="4355" max="4355" width="18.42578125" style="126" bestFit="1" customWidth="1"/>
    <col min="4356" max="4356" width="22.42578125" style="126" customWidth="1"/>
    <col min="4357" max="4357" width="21.7109375" style="126" bestFit="1" customWidth="1"/>
    <col min="4358" max="4597" width="9.28515625" style="126" customWidth="1"/>
    <col min="4598" max="4598" width="5.28515625" style="126" bestFit="1" customWidth="1"/>
    <col min="4599" max="4599" width="22.42578125" style="126" bestFit="1" customWidth="1"/>
    <col min="4600" max="4600" width="12.42578125" style="126" bestFit="1" customWidth="1"/>
    <col min="4601" max="4602" width="11.42578125" style="126" bestFit="1" customWidth="1"/>
    <col min="4603" max="4605" width="15.42578125" style="126"/>
    <col min="4606" max="4606" width="5.28515625" style="126" bestFit="1" customWidth="1"/>
    <col min="4607" max="4607" width="34.42578125" style="126" customWidth="1"/>
    <col min="4608" max="4608" width="14" style="126" customWidth="1"/>
    <col min="4609" max="4609" width="13.42578125" style="126" customWidth="1"/>
    <col min="4610" max="4610" width="14.7109375" style="126" customWidth="1"/>
    <col min="4611" max="4611" width="18.42578125" style="126" bestFit="1" customWidth="1"/>
    <col min="4612" max="4612" width="22.42578125" style="126" customWidth="1"/>
    <col min="4613" max="4613" width="21.7109375" style="126" bestFit="1" customWidth="1"/>
    <col min="4614" max="4853" width="9.28515625" style="126" customWidth="1"/>
    <col min="4854" max="4854" width="5.28515625" style="126" bestFit="1" customWidth="1"/>
    <col min="4855" max="4855" width="22.42578125" style="126" bestFit="1" customWidth="1"/>
    <col min="4856" max="4856" width="12.42578125" style="126" bestFit="1" customWidth="1"/>
    <col min="4857" max="4858" width="11.42578125" style="126" bestFit="1" customWidth="1"/>
    <col min="4859" max="4861" width="15.42578125" style="126"/>
    <col min="4862" max="4862" width="5.28515625" style="126" bestFit="1" customWidth="1"/>
    <col min="4863" max="4863" width="34.42578125" style="126" customWidth="1"/>
    <col min="4864" max="4864" width="14" style="126" customWidth="1"/>
    <col min="4865" max="4865" width="13.42578125" style="126" customWidth="1"/>
    <col min="4866" max="4866" width="14.7109375" style="126" customWidth="1"/>
    <col min="4867" max="4867" width="18.42578125" style="126" bestFit="1" customWidth="1"/>
    <col min="4868" max="4868" width="22.42578125" style="126" customWidth="1"/>
    <col min="4869" max="4869" width="21.7109375" style="126" bestFit="1" customWidth="1"/>
    <col min="4870" max="5109" width="9.28515625" style="126" customWidth="1"/>
    <col min="5110" max="5110" width="5.28515625" style="126" bestFit="1" customWidth="1"/>
    <col min="5111" max="5111" width="22.42578125" style="126" bestFit="1" customWidth="1"/>
    <col min="5112" max="5112" width="12.42578125" style="126" bestFit="1" customWidth="1"/>
    <col min="5113" max="5114" width="11.42578125" style="126" bestFit="1" customWidth="1"/>
    <col min="5115" max="5117" width="15.42578125" style="126"/>
    <col min="5118" max="5118" width="5.28515625" style="126" bestFit="1" customWidth="1"/>
    <col min="5119" max="5119" width="34.42578125" style="126" customWidth="1"/>
    <col min="5120" max="5120" width="14" style="126" customWidth="1"/>
    <col min="5121" max="5121" width="13.42578125" style="126" customWidth="1"/>
    <col min="5122" max="5122" width="14.7109375" style="126" customWidth="1"/>
    <col min="5123" max="5123" width="18.42578125" style="126" bestFit="1" customWidth="1"/>
    <col min="5124" max="5124" width="22.42578125" style="126" customWidth="1"/>
    <col min="5125" max="5125" width="21.7109375" style="126" bestFit="1" customWidth="1"/>
    <col min="5126" max="5365" width="9.28515625" style="126" customWidth="1"/>
    <col min="5366" max="5366" width="5.28515625" style="126" bestFit="1" customWidth="1"/>
    <col min="5367" max="5367" width="22.42578125" style="126" bestFit="1" customWidth="1"/>
    <col min="5368" max="5368" width="12.42578125" style="126" bestFit="1" customWidth="1"/>
    <col min="5369" max="5370" width="11.42578125" style="126" bestFit="1" customWidth="1"/>
    <col min="5371" max="5373" width="15.42578125" style="126"/>
    <col min="5374" max="5374" width="5.28515625" style="126" bestFit="1" customWidth="1"/>
    <col min="5375" max="5375" width="34.42578125" style="126" customWidth="1"/>
    <col min="5376" max="5376" width="14" style="126" customWidth="1"/>
    <col min="5377" max="5377" width="13.42578125" style="126" customWidth="1"/>
    <col min="5378" max="5378" width="14.7109375" style="126" customWidth="1"/>
    <col min="5379" max="5379" width="18.42578125" style="126" bestFit="1" customWidth="1"/>
    <col min="5380" max="5380" width="22.42578125" style="126" customWidth="1"/>
    <col min="5381" max="5381" width="21.7109375" style="126" bestFit="1" customWidth="1"/>
    <col min="5382" max="5621" width="9.28515625" style="126" customWidth="1"/>
    <col min="5622" max="5622" width="5.28515625" style="126" bestFit="1" customWidth="1"/>
    <col min="5623" max="5623" width="22.42578125" style="126" bestFit="1" customWidth="1"/>
    <col min="5624" max="5624" width="12.42578125" style="126" bestFit="1" customWidth="1"/>
    <col min="5625" max="5626" width="11.42578125" style="126" bestFit="1" customWidth="1"/>
    <col min="5627" max="5629" width="15.42578125" style="126"/>
    <col min="5630" max="5630" width="5.28515625" style="126" bestFit="1" customWidth="1"/>
    <col min="5631" max="5631" width="34.42578125" style="126" customWidth="1"/>
    <col min="5632" max="5632" width="14" style="126" customWidth="1"/>
    <col min="5633" max="5633" width="13.42578125" style="126" customWidth="1"/>
    <col min="5634" max="5634" width="14.7109375" style="126" customWidth="1"/>
    <col min="5635" max="5635" width="18.42578125" style="126" bestFit="1" customWidth="1"/>
    <col min="5636" max="5636" width="22.42578125" style="126" customWidth="1"/>
    <col min="5637" max="5637" width="21.7109375" style="126" bestFit="1" customWidth="1"/>
    <col min="5638" max="5877" width="9.28515625" style="126" customWidth="1"/>
    <col min="5878" max="5878" width="5.28515625" style="126" bestFit="1" customWidth="1"/>
    <col min="5879" max="5879" width="22.42578125" style="126" bestFit="1" customWidth="1"/>
    <col min="5880" max="5880" width="12.42578125" style="126" bestFit="1" customWidth="1"/>
    <col min="5881" max="5882" width="11.42578125" style="126" bestFit="1" customWidth="1"/>
    <col min="5883" max="5885" width="15.42578125" style="126"/>
    <col min="5886" max="5886" width="5.28515625" style="126" bestFit="1" customWidth="1"/>
    <col min="5887" max="5887" width="34.42578125" style="126" customWidth="1"/>
    <col min="5888" max="5888" width="14" style="126" customWidth="1"/>
    <col min="5889" max="5889" width="13.42578125" style="126" customWidth="1"/>
    <col min="5890" max="5890" width="14.7109375" style="126" customWidth="1"/>
    <col min="5891" max="5891" width="18.42578125" style="126" bestFit="1" customWidth="1"/>
    <col min="5892" max="5892" width="22.42578125" style="126" customWidth="1"/>
    <col min="5893" max="5893" width="21.7109375" style="126" bestFit="1" customWidth="1"/>
    <col min="5894" max="6133" width="9.28515625" style="126" customWidth="1"/>
    <col min="6134" max="6134" width="5.28515625" style="126" bestFit="1" customWidth="1"/>
    <col min="6135" max="6135" width="22.42578125" style="126" bestFit="1" customWidth="1"/>
    <col min="6136" max="6136" width="12.42578125" style="126" bestFit="1" customWidth="1"/>
    <col min="6137" max="6138" width="11.42578125" style="126" bestFit="1" customWidth="1"/>
    <col min="6139" max="6141" width="15.42578125" style="126"/>
    <col min="6142" max="6142" width="5.28515625" style="126" bestFit="1" customWidth="1"/>
    <col min="6143" max="6143" width="34.42578125" style="126" customWidth="1"/>
    <col min="6144" max="6144" width="14" style="126" customWidth="1"/>
    <col min="6145" max="6145" width="13.42578125" style="126" customWidth="1"/>
    <col min="6146" max="6146" width="14.7109375" style="126" customWidth="1"/>
    <col min="6147" max="6147" width="18.42578125" style="126" bestFit="1" customWidth="1"/>
    <col min="6148" max="6148" width="22.42578125" style="126" customWidth="1"/>
    <col min="6149" max="6149" width="21.7109375" style="126" bestFit="1" customWidth="1"/>
    <col min="6150" max="6389" width="9.28515625" style="126" customWidth="1"/>
    <col min="6390" max="6390" width="5.28515625" style="126" bestFit="1" customWidth="1"/>
    <col min="6391" max="6391" width="22.42578125" style="126" bestFit="1" customWidth="1"/>
    <col min="6392" max="6392" width="12.42578125" style="126" bestFit="1" customWidth="1"/>
    <col min="6393" max="6394" width="11.42578125" style="126" bestFit="1" customWidth="1"/>
    <col min="6395" max="6397" width="15.42578125" style="126"/>
    <col min="6398" max="6398" width="5.28515625" style="126" bestFit="1" customWidth="1"/>
    <col min="6399" max="6399" width="34.42578125" style="126" customWidth="1"/>
    <col min="6400" max="6400" width="14" style="126" customWidth="1"/>
    <col min="6401" max="6401" width="13.42578125" style="126" customWidth="1"/>
    <col min="6402" max="6402" width="14.7109375" style="126" customWidth="1"/>
    <col min="6403" max="6403" width="18.42578125" style="126" bestFit="1" customWidth="1"/>
    <col min="6404" max="6404" width="22.42578125" style="126" customWidth="1"/>
    <col min="6405" max="6405" width="21.7109375" style="126" bestFit="1" customWidth="1"/>
    <col min="6406" max="6645" width="9.28515625" style="126" customWidth="1"/>
    <col min="6646" max="6646" width="5.28515625" style="126" bestFit="1" customWidth="1"/>
    <col min="6647" max="6647" width="22.42578125" style="126" bestFit="1" customWidth="1"/>
    <col min="6648" max="6648" width="12.42578125" style="126" bestFit="1" customWidth="1"/>
    <col min="6649" max="6650" width="11.42578125" style="126" bestFit="1" customWidth="1"/>
    <col min="6651" max="6653" width="15.42578125" style="126"/>
    <col min="6654" max="6654" width="5.28515625" style="126" bestFit="1" customWidth="1"/>
    <col min="6655" max="6655" width="34.42578125" style="126" customWidth="1"/>
    <col min="6656" max="6656" width="14" style="126" customWidth="1"/>
    <col min="6657" max="6657" width="13.42578125" style="126" customWidth="1"/>
    <col min="6658" max="6658" width="14.7109375" style="126" customWidth="1"/>
    <col min="6659" max="6659" width="18.42578125" style="126" bestFit="1" customWidth="1"/>
    <col min="6660" max="6660" width="22.42578125" style="126" customWidth="1"/>
    <col min="6661" max="6661" width="21.7109375" style="126" bestFit="1" customWidth="1"/>
    <col min="6662" max="6901" width="9.28515625" style="126" customWidth="1"/>
    <col min="6902" max="6902" width="5.28515625" style="126" bestFit="1" customWidth="1"/>
    <col min="6903" max="6903" width="22.42578125" style="126" bestFit="1" customWidth="1"/>
    <col min="6904" max="6904" width="12.42578125" style="126" bestFit="1" customWidth="1"/>
    <col min="6905" max="6906" width="11.42578125" style="126" bestFit="1" customWidth="1"/>
    <col min="6907" max="6909" width="15.42578125" style="126"/>
    <col min="6910" max="6910" width="5.28515625" style="126" bestFit="1" customWidth="1"/>
    <col min="6911" max="6911" width="34.42578125" style="126" customWidth="1"/>
    <col min="6912" max="6912" width="14" style="126" customWidth="1"/>
    <col min="6913" max="6913" width="13.42578125" style="126" customWidth="1"/>
    <col min="6914" max="6914" width="14.7109375" style="126" customWidth="1"/>
    <col min="6915" max="6915" width="18.42578125" style="126" bestFit="1" customWidth="1"/>
    <col min="6916" max="6916" width="22.42578125" style="126" customWidth="1"/>
    <col min="6917" max="6917" width="21.7109375" style="126" bestFit="1" customWidth="1"/>
    <col min="6918" max="7157" width="9.28515625" style="126" customWidth="1"/>
    <col min="7158" max="7158" width="5.28515625" style="126" bestFit="1" customWidth="1"/>
    <col min="7159" max="7159" width="22.42578125" style="126" bestFit="1" customWidth="1"/>
    <col min="7160" max="7160" width="12.42578125" style="126" bestFit="1" customWidth="1"/>
    <col min="7161" max="7162" width="11.42578125" style="126" bestFit="1" customWidth="1"/>
    <col min="7163" max="7165" width="15.42578125" style="126"/>
    <col min="7166" max="7166" width="5.28515625" style="126" bestFit="1" customWidth="1"/>
    <col min="7167" max="7167" width="34.42578125" style="126" customWidth="1"/>
    <col min="7168" max="7168" width="14" style="126" customWidth="1"/>
    <col min="7169" max="7169" width="13.42578125" style="126" customWidth="1"/>
    <col min="7170" max="7170" width="14.7109375" style="126" customWidth="1"/>
    <col min="7171" max="7171" width="18.42578125" style="126" bestFit="1" customWidth="1"/>
    <col min="7172" max="7172" width="22.42578125" style="126" customWidth="1"/>
    <col min="7173" max="7173" width="21.7109375" style="126" bestFit="1" customWidth="1"/>
    <col min="7174" max="7413" width="9.28515625" style="126" customWidth="1"/>
    <col min="7414" max="7414" width="5.28515625" style="126" bestFit="1" customWidth="1"/>
    <col min="7415" max="7415" width="22.42578125" style="126" bestFit="1" customWidth="1"/>
    <col min="7416" max="7416" width="12.42578125" style="126" bestFit="1" customWidth="1"/>
    <col min="7417" max="7418" width="11.42578125" style="126" bestFit="1" customWidth="1"/>
    <col min="7419" max="7421" width="15.42578125" style="126"/>
    <col min="7422" max="7422" width="5.28515625" style="126" bestFit="1" customWidth="1"/>
    <col min="7423" max="7423" width="34.42578125" style="126" customWidth="1"/>
    <col min="7424" max="7424" width="14" style="126" customWidth="1"/>
    <col min="7425" max="7425" width="13.42578125" style="126" customWidth="1"/>
    <col min="7426" max="7426" width="14.7109375" style="126" customWidth="1"/>
    <col min="7427" max="7427" width="18.42578125" style="126" bestFit="1" customWidth="1"/>
    <col min="7428" max="7428" width="22.42578125" style="126" customWidth="1"/>
    <col min="7429" max="7429" width="21.7109375" style="126" bestFit="1" customWidth="1"/>
    <col min="7430" max="7669" width="9.28515625" style="126" customWidth="1"/>
    <col min="7670" max="7670" width="5.28515625" style="126" bestFit="1" customWidth="1"/>
    <col min="7671" max="7671" width="22.42578125" style="126" bestFit="1" customWidth="1"/>
    <col min="7672" max="7672" width="12.42578125" style="126" bestFit="1" customWidth="1"/>
    <col min="7673" max="7674" width="11.42578125" style="126" bestFit="1" customWidth="1"/>
    <col min="7675" max="7677" width="15.42578125" style="126"/>
    <col min="7678" max="7678" width="5.28515625" style="126" bestFit="1" customWidth="1"/>
    <col min="7679" max="7679" width="34.42578125" style="126" customWidth="1"/>
    <col min="7680" max="7680" width="14" style="126" customWidth="1"/>
    <col min="7681" max="7681" width="13.42578125" style="126" customWidth="1"/>
    <col min="7682" max="7682" width="14.7109375" style="126" customWidth="1"/>
    <col min="7683" max="7683" width="18.42578125" style="126" bestFit="1" customWidth="1"/>
    <col min="7684" max="7684" width="22.42578125" style="126" customWidth="1"/>
    <col min="7685" max="7685" width="21.7109375" style="126" bestFit="1" customWidth="1"/>
    <col min="7686" max="7925" width="9.28515625" style="126" customWidth="1"/>
    <col min="7926" max="7926" width="5.28515625" style="126" bestFit="1" customWidth="1"/>
    <col min="7927" max="7927" width="22.42578125" style="126" bestFit="1" customWidth="1"/>
    <col min="7928" max="7928" width="12.42578125" style="126" bestFit="1" customWidth="1"/>
    <col min="7929" max="7930" width="11.42578125" style="126" bestFit="1" customWidth="1"/>
    <col min="7931" max="7933" width="15.42578125" style="126"/>
    <col min="7934" max="7934" width="5.28515625" style="126" bestFit="1" customWidth="1"/>
    <col min="7935" max="7935" width="34.42578125" style="126" customWidth="1"/>
    <col min="7936" max="7936" width="14" style="126" customWidth="1"/>
    <col min="7937" max="7937" width="13.42578125" style="126" customWidth="1"/>
    <col min="7938" max="7938" width="14.7109375" style="126" customWidth="1"/>
    <col min="7939" max="7939" width="18.42578125" style="126" bestFit="1" customWidth="1"/>
    <col min="7940" max="7940" width="22.42578125" style="126" customWidth="1"/>
    <col min="7941" max="7941" width="21.7109375" style="126" bestFit="1" customWidth="1"/>
    <col min="7942" max="8181" width="9.28515625" style="126" customWidth="1"/>
    <col min="8182" max="8182" width="5.28515625" style="126" bestFit="1" customWidth="1"/>
    <col min="8183" max="8183" width="22.42578125" style="126" bestFit="1" customWidth="1"/>
    <col min="8184" max="8184" width="12.42578125" style="126" bestFit="1" customWidth="1"/>
    <col min="8185" max="8186" width="11.42578125" style="126" bestFit="1" customWidth="1"/>
    <col min="8187" max="8189" width="15.42578125" style="126"/>
    <col min="8190" max="8190" width="5.28515625" style="126" bestFit="1" customWidth="1"/>
    <col min="8191" max="8191" width="34.42578125" style="126" customWidth="1"/>
    <col min="8192" max="8192" width="14" style="126" customWidth="1"/>
    <col min="8193" max="8193" width="13.42578125" style="126" customWidth="1"/>
    <col min="8194" max="8194" width="14.7109375" style="126" customWidth="1"/>
    <col min="8195" max="8195" width="18.42578125" style="126" bestFit="1" customWidth="1"/>
    <col min="8196" max="8196" width="22.42578125" style="126" customWidth="1"/>
    <col min="8197" max="8197" width="21.7109375" style="126" bestFit="1" customWidth="1"/>
    <col min="8198" max="8437" width="9.28515625" style="126" customWidth="1"/>
    <col min="8438" max="8438" width="5.28515625" style="126" bestFit="1" customWidth="1"/>
    <col min="8439" max="8439" width="22.42578125" style="126" bestFit="1" customWidth="1"/>
    <col min="8440" max="8440" width="12.42578125" style="126" bestFit="1" customWidth="1"/>
    <col min="8441" max="8442" width="11.42578125" style="126" bestFit="1" customWidth="1"/>
    <col min="8443" max="8445" width="15.42578125" style="126"/>
    <col min="8446" max="8446" width="5.28515625" style="126" bestFit="1" customWidth="1"/>
    <col min="8447" max="8447" width="34.42578125" style="126" customWidth="1"/>
    <col min="8448" max="8448" width="14" style="126" customWidth="1"/>
    <col min="8449" max="8449" width="13.42578125" style="126" customWidth="1"/>
    <col min="8450" max="8450" width="14.7109375" style="126" customWidth="1"/>
    <col min="8451" max="8451" width="18.42578125" style="126" bestFit="1" customWidth="1"/>
    <col min="8452" max="8452" width="22.42578125" style="126" customWidth="1"/>
    <col min="8453" max="8453" width="21.7109375" style="126" bestFit="1" customWidth="1"/>
    <col min="8454" max="8693" width="9.28515625" style="126" customWidth="1"/>
    <col min="8694" max="8694" width="5.28515625" style="126" bestFit="1" customWidth="1"/>
    <col min="8695" max="8695" width="22.42578125" style="126" bestFit="1" customWidth="1"/>
    <col min="8696" max="8696" width="12.42578125" style="126" bestFit="1" customWidth="1"/>
    <col min="8697" max="8698" width="11.42578125" style="126" bestFit="1" customWidth="1"/>
    <col min="8699" max="8701" width="15.42578125" style="126"/>
    <col min="8702" max="8702" width="5.28515625" style="126" bestFit="1" customWidth="1"/>
    <col min="8703" max="8703" width="34.42578125" style="126" customWidth="1"/>
    <col min="8704" max="8704" width="14" style="126" customWidth="1"/>
    <col min="8705" max="8705" width="13.42578125" style="126" customWidth="1"/>
    <col min="8706" max="8706" width="14.7109375" style="126" customWidth="1"/>
    <col min="8707" max="8707" width="18.42578125" style="126" bestFit="1" customWidth="1"/>
    <col min="8708" max="8708" width="22.42578125" style="126" customWidth="1"/>
    <col min="8709" max="8709" width="21.7109375" style="126" bestFit="1" customWidth="1"/>
    <col min="8710" max="8949" width="9.28515625" style="126" customWidth="1"/>
    <col min="8950" max="8950" width="5.28515625" style="126" bestFit="1" customWidth="1"/>
    <col min="8951" max="8951" width="22.42578125" style="126" bestFit="1" customWidth="1"/>
    <col min="8952" max="8952" width="12.42578125" style="126" bestFit="1" customWidth="1"/>
    <col min="8953" max="8954" width="11.42578125" style="126" bestFit="1" customWidth="1"/>
    <col min="8955" max="8957" width="15.42578125" style="126"/>
    <col min="8958" max="8958" width="5.28515625" style="126" bestFit="1" customWidth="1"/>
    <col min="8959" max="8959" width="34.42578125" style="126" customWidth="1"/>
    <col min="8960" max="8960" width="14" style="126" customWidth="1"/>
    <col min="8961" max="8961" width="13.42578125" style="126" customWidth="1"/>
    <col min="8962" max="8962" width="14.7109375" style="126" customWidth="1"/>
    <col min="8963" max="8963" width="18.42578125" style="126" bestFit="1" customWidth="1"/>
    <col min="8964" max="8964" width="22.42578125" style="126" customWidth="1"/>
    <col min="8965" max="8965" width="21.7109375" style="126" bestFit="1" customWidth="1"/>
    <col min="8966" max="9205" width="9.28515625" style="126" customWidth="1"/>
    <col min="9206" max="9206" width="5.28515625" style="126" bestFit="1" customWidth="1"/>
    <col min="9207" max="9207" width="22.42578125" style="126" bestFit="1" customWidth="1"/>
    <col min="9208" max="9208" width="12.42578125" style="126" bestFit="1" customWidth="1"/>
    <col min="9209" max="9210" width="11.42578125" style="126" bestFit="1" customWidth="1"/>
    <col min="9211" max="9213" width="15.42578125" style="126"/>
    <col min="9214" max="9214" width="5.28515625" style="126" bestFit="1" customWidth="1"/>
    <col min="9215" max="9215" width="34.42578125" style="126" customWidth="1"/>
    <col min="9216" max="9216" width="14" style="126" customWidth="1"/>
    <col min="9217" max="9217" width="13.42578125" style="126" customWidth="1"/>
    <col min="9218" max="9218" width="14.7109375" style="126" customWidth="1"/>
    <col min="9219" max="9219" width="18.42578125" style="126" bestFit="1" customWidth="1"/>
    <col min="9220" max="9220" width="22.42578125" style="126" customWidth="1"/>
    <col min="9221" max="9221" width="21.7109375" style="126" bestFit="1" customWidth="1"/>
    <col min="9222" max="9461" width="9.28515625" style="126" customWidth="1"/>
    <col min="9462" max="9462" width="5.28515625" style="126" bestFit="1" customWidth="1"/>
    <col min="9463" max="9463" width="22.42578125" style="126" bestFit="1" customWidth="1"/>
    <col min="9464" max="9464" width="12.42578125" style="126" bestFit="1" customWidth="1"/>
    <col min="9465" max="9466" width="11.42578125" style="126" bestFit="1" customWidth="1"/>
    <col min="9467" max="9469" width="15.42578125" style="126"/>
    <col min="9470" max="9470" width="5.28515625" style="126" bestFit="1" customWidth="1"/>
    <col min="9471" max="9471" width="34.42578125" style="126" customWidth="1"/>
    <col min="9472" max="9472" width="14" style="126" customWidth="1"/>
    <col min="9473" max="9473" width="13.42578125" style="126" customWidth="1"/>
    <col min="9474" max="9474" width="14.7109375" style="126" customWidth="1"/>
    <col min="9475" max="9475" width="18.42578125" style="126" bestFit="1" customWidth="1"/>
    <col min="9476" max="9476" width="22.42578125" style="126" customWidth="1"/>
    <col min="9477" max="9477" width="21.7109375" style="126" bestFit="1" customWidth="1"/>
    <col min="9478" max="9717" width="9.28515625" style="126" customWidth="1"/>
    <col min="9718" max="9718" width="5.28515625" style="126" bestFit="1" customWidth="1"/>
    <col min="9719" max="9719" width="22.42578125" style="126" bestFit="1" customWidth="1"/>
    <col min="9720" max="9720" width="12.42578125" style="126" bestFit="1" customWidth="1"/>
    <col min="9721" max="9722" width="11.42578125" style="126" bestFit="1" customWidth="1"/>
    <col min="9723" max="9725" width="15.42578125" style="126"/>
    <col min="9726" max="9726" width="5.28515625" style="126" bestFit="1" customWidth="1"/>
    <col min="9727" max="9727" width="34.42578125" style="126" customWidth="1"/>
    <col min="9728" max="9728" width="14" style="126" customWidth="1"/>
    <col min="9729" max="9729" width="13.42578125" style="126" customWidth="1"/>
    <col min="9730" max="9730" width="14.7109375" style="126" customWidth="1"/>
    <col min="9731" max="9731" width="18.42578125" style="126" bestFit="1" customWidth="1"/>
    <col min="9732" max="9732" width="22.42578125" style="126" customWidth="1"/>
    <col min="9733" max="9733" width="21.7109375" style="126" bestFit="1" customWidth="1"/>
    <col min="9734" max="9973" width="9.28515625" style="126" customWidth="1"/>
    <col min="9974" max="9974" width="5.28515625" style="126" bestFit="1" customWidth="1"/>
    <col min="9975" max="9975" width="22.42578125" style="126" bestFit="1" customWidth="1"/>
    <col min="9976" max="9976" width="12.42578125" style="126" bestFit="1" customWidth="1"/>
    <col min="9977" max="9978" width="11.42578125" style="126" bestFit="1" customWidth="1"/>
    <col min="9979" max="9981" width="15.42578125" style="126"/>
    <col min="9982" max="9982" width="5.28515625" style="126" bestFit="1" customWidth="1"/>
    <col min="9983" max="9983" width="34.42578125" style="126" customWidth="1"/>
    <col min="9984" max="9984" width="14" style="126" customWidth="1"/>
    <col min="9985" max="9985" width="13.42578125" style="126" customWidth="1"/>
    <col min="9986" max="9986" width="14.7109375" style="126" customWidth="1"/>
    <col min="9987" max="9987" width="18.42578125" style="126" bestFit="1" customWidth="1"/>
    <col min="9988" max="9988" width="22.42578125" style="126" customWidth="1"/>
    <col min="9989" max="9989" width="21.7109375" style="126" bestFit="1" customWidth="1"/>
    <col min="9990" max="10229" width="9.28515625" style="126" customWidth="1"/>
    <col min="10230" max="10230" width="5.28515625" style="126" bestFit="1" customWidth="1"/>
    <col min="10231" max="10231" width="22.42578125" style="126" bestFit="1" customWidth="1"/>
    <col min="10232" max="10232" width="12.42578125" style="126" bestFit="1" customWidth="1"/>
    <col min="10233" max="10234" width="11.42578125" style="126" bestFit="1" customWidth="1"/>
    <col min="10235" max="10237" width="15.42578125" style="126"/>
    <col min="10238" max="10238" width="5.28515625" style="126" bestFit="1" customWidth="1"/>
    <col min="10239" max="10239" width="34.42578125" style="126" customWidth="1"/>
    <col min="10240" max="10240" width="14" style="126" customWidth="1"/>
    <col min="10241" max="10241" width="13.42578125" style="126" customWidth="1"/>
    <col min="10242" max="10242" width="14.7109375" style="126" customWidth="1"/>
    <col min="10243" max="10243" width="18.42578125" style="126" bestFit="1" customWidth="1"/>
    <col min="10244" max="10244" width="22.42578125" style="126" customWidth="1"/>
    <col min="10245" max="10245" width="21.7109375" style="126" bestFit="1" customWidth="1"/>
    <col min="10246" max="10485" width="9.28515625" style="126" customWidth="1"/>
    <col min="10486" max="10486" width="5.28515625" style="126" bestFit="1" customWidth="1"/>
    <col min="10487" max="10487" width="22.42578125" style="126" bestFit="1" customWidth="1"/>
    <col min="10488" max="10488" width="12.42578125" style="126" bestFit="1" customWidth="1"/>
    <col min="10489" max="10490" width="11.42578125" style="126" bestFit="1" customWidth="1"/>
    <col min="10491" max="10493" width="15.42578125" style="126"/>
    <col min="10494" max="10494" width="5.28515625" style="126" bestFit="1" customWidth="1"/>
    <col min="10495" max="10495" width="34.42578125" style="126" customWidth="1"/>
    <col min="10496" max="10496" width="14" style="126" customWidth="1"/>
    <col min="10497" max="10497" width="13.42578125" style="126" customWidth="1"/>
    <col min="10498" max="10498" width="14.7109375" style="126" customWidth="1"/>
    <col min="10499" max="10499" width="18.42578125" style="126" bestFit="1" customWidth="1"/>
    <col min="10500" max="10500" width="22.42578125" style="126" customWidth="1"/>
    <col min="10501" max="10501" width="21.7109375" style="126" bestFit="1" customWidth="1"/>
    <col min="10502" max="10741" width="9.28515625" style="126" customWidth="1"/>
    <col min="10742" max="10742" width="5.28515625" style="126" bestFit="1" customWidth="1"/>
    <col min="10743" max="10743" width="22.42578125" style="126" bestFit="1" customWidth="1"/>
    <col min="10744" max="10744" width="12.42578125" style="126" bestFit="1" customWidth="1"/>
    <col min="10745" max="10746" width="11.42578125" style="126" bestFit="1" customWidth="1"/>
    <col min="10747" max="10749" width="15.42578125" style="126"/>
    <col min="10750" max="10750" width="5.28515625" style="126" bestFit="1" customWidth="1"/>
    <col min="10751" max="10751" width="34.42578125" style="126" customWidth="1"/>
    <col min="10752" max="10752" width="14" style="126" customWidth="1"/>
    <col min="10753" max="10753" width="13.42578125" style="126" customWidth="1"/>
    <col min="10754" max="10754" width="14.7109375" style="126" customWidth="1"/>
    <col min="10755" max="10755" width="18.42578125" style="126" bestFit="1" customWidth="1"/>
    <col min="10756" max="10756" width="22.42578125" style="126" customWidth="1"/>
    <col min="10757" max="10757" width="21.7109375" style="126" bestFit="1" customWidth="1"/>
    <col min="10758" max="10997" width="9.28515625" style="126" customWidth="1"/>
    <col min="10998" max="10998" width="5.28515625" style="126" bestFit="1" customWidth="1"/>
    <col min="10999" max="10999" width="22.42578125" style="126" bestFit="1" customWidth="1"/>
    <col min="11000" max="11000" width="12.42578125" style="126" bestFit="1" customWidth="1"/>
    <col min="11001" max="11002" width="11.42578125" style="126" bestFit="1" customWidth="1"/>
    <col min="11003" max="11005" width="15.42578125" style="126"/>
    <col min="11006" max="11006" width="5.28515625" style="126" bestFit="1" customWidth="1"/>
    <col min="11007" max="11007" width="34.42578125" style="126" customWidth="1"/>
    <col min="11008" max="11008" width="14" style="126" customWidth="1"/>
    <col min="11009" max="11009" width="13.42578125" style="126" customWidth="1"/>
    <col min="11010" max="11010" width="14.7109375" style="126" customWidth="1"/>
    <col min="11011" max="11011" width="18.42578125" style="126" bestFit="1" customWidth="1"/>
    <col min="11012" max="11012" width="22.42578125" style="126" customWidth="1"/>
    <col min="11013" max="11013" width="21.7109375" style="126" bestFit="1" customWidth="1"/>
    <col min="11014" max="11253" width="9.28515625" style="126" customWidth="1"/>
    <col min="11254" max="11254" width="5.28515625" style="126" bestFit="1" customWidth="1"/>
    <col min="11255" max="11255" width="22.42578125" style="126" bestFit="1" customWidth="1"/>
    <col min="11256" max="11256" width="12.42578125" style="126" bestFit="1" customWidth="1"/>
    <col min="11257" max="11258" width="11.42578125" style="126" bestFit="1" customWidth="1"/>
    <col min="11259" max="11261" width="15.42578125" style="126"/>
    <col min="11262" max="11262" width="5.28515625" style="126" bestFit="1" customWidth="1"/>
    <col min="11263" max="11263" width="34.42578125" style="126" customWidth="1"/>
    <col min="11264" max="11264" width="14" style="126" customWidth="1"/>
    <col min="11265" max="11265" width="13.42578125" style="126" customWidth="1"/>
    <col min="11266" max="11266" width="14.7109375" style="126" customWidth="1"/>
    <col min="11267" max="11267" width="18.42578125" style="126" bestFit="1" customWidth="1"/>
    <col min="11268" max="11268" width="22.42578125" style="126" customWidth="1"/>
    <col min="11269" max="11269" width="21.7109375" style="126" bestFit="1" customWidth="1"/>
    <col min="11270" max="11509" width="9.28515625" style="126" customWidth="1"/>
    <col min="11510" max="11510" width="5.28515625" style="126" bestFit="1" customWidth="1"/>
    <col min="11511" max="11511" width="22.42578125" style="126" bestFit="1" customWidth="1"/>
    <col min="11512" max="11512" width="12.42578125" style="126" bestFit="1" customWidth="1"/>
    <col min="11513" max="11514" width="11.42578125" style="126" bestFit="1" customWidth="1"/>
    <col min="11515" max="11517" width="15.42578125" style="126"/>
    <col min="11518" max="11518" width="5.28515625" style="126" bestFit="1" customWidth="1"/>
    <col min="11519" max="11519" width="34.42578125" style="126" customWidth="1"/>
    <col min="11520" max="11520" width="14" style="126" customWidth="1"/>
    <col min="11521" max="11521" width="13.42578125" style="126" customWidth="1"/>
    <col min="11522" max="11522" width="14.7109375" style="126" customWidth="1"/>
    <col min="11523" max="11523" width="18.42578125" style="126" bestFit="1" customWidth="1"/>
    <col min="11524" max="11524" width="22.42578125" style="126" customWidth="1"/>
    <col min="11525" max="11525" width="21.7109375" style="126" bestFit="1" customWidth="1"/>
    <col min="11526" max="11765" width="9.28515625" style="126" customWidth="1"/>
    <col min="11766" max="11766" width="5.28515625" style="126" bestFit="1" customWidth="1"/>
    <col min="11767" max="11767" width="22.42578125" style="126" bestFit="1" customWidth="1"/>
    <col min="11768" max="11768" width="12.42578125" style="126" bestFit="1" customWidth="1"/>
    <col min="11769" max="11770" width="11.42578125" style="126" bestFit="1" customWidth="1"/>
    <col min="11771" max="11773" width="15.42578125" style="126"/>
    <col min="11774" max="11774" width="5.28515625" style="126" bestFit="1" customWidth="1"/>
    <col min="11775" max="11775" width="34.42578125" style="126" customWidth="1"/>
    <col min="11776" max="11776" width="14" style="126" customWidth="1"/>
    <col min="11777" max="11777" width="13.42578125" style="126" customWidth="1"/>
    <col min="11778" max="11778" width="14.7109375" style="126" customWidth="1"/>
    <col min="11779" max="11779" width="18.42578125" style="126" bestFit="1" customWidth="1"/>
    <col min="11780" max="11780" width="22.42578125" style="126" customWidth="1"/>
    <col min="11781" max="11781" width="21.7109375" style="126" bestFit="1" customWidth="1"/>
    <col min="11782" max="12021" width="9.28515625" style="126" customWidth="1"/>
    <col min="12022" max="12022" width="5.28515625" style="126" bestFit="1" customWidth="1"/>
    <col min="12023" max="12023" width="22.42578125" style="126" bestFit="1" customWidth="1"/>
    <col min="12024" max="12024" width="12.42578125" style="126" bestFit="1" customWidth="1"/>
    <col min="12025" max="12026" width="11.42578125" style="126" bestFit="1" customWidth="1"/>
    <col min="12027" max="12029" width="15.42578125" style="126"/>
    <col min="12030" max="12030" width="5.28515625" style="126" bestFit="1" customWidth="1"/>
    <col min="12031" max="12031" width="34.42578125" style="126" customWidth="1"/>
    <col min="12032" max="12032" width="14" style="126" customWidth="1"/>
    <col min="12033" max="12033" width="13.42578125" style="126" customWidth="1"/>
    <col min="12034" max="12034" width="14.7109375" style="126" customWidth="1"/>
    <col min="12035" max="12035" width="18.42578125" style="126" bestFit="1" customWidth="1"/>
    <col min="12036" max="12036" width="22.42578125" style="126" customWidth="1"/>
    <col min="12037" max="12037" width="21.7109375" style="126" bestFit="1" customWidth="1"/>
    <col min="12038" max="12277" width="9.28515625" style="126" customWidth="1"/>
    <col min="12278" max="12278" width="5.28515625" style="126" bestFit="1" customWidth="1"/>
    <col min="12279" max="12279" width="22.42578125" style="126" bestFit="1" customWidth="1"/>
    <col min="12280" max="12280" width="12.42578125" style="126" bestFit="1" customWidth="1"/>
    <col min="12281" max="12282" width="11.42578125" style="126" bestFit="1" customWidth="1"/>
    <col min="12283" max="12285" width="15.42578125" style="126"/>
    <col min="12286" max="12286" width="5.28515625" style="126" bestFit="1" customWidth="1"/>
    <col min="12287" max="12287" width="34.42578125" style="126" customWidth="1"/>
    <col min="12288" max="12288" width="14" style="126" customWidth="1"/>
    <col min="12289" max="12289" width="13.42578125" style="126" customWidth="1"/>
    <col min="12290" max="12290" width="14.7109375" style="126" customWidth="1"/>
    <col min="12291" max="12291" width="18.42578125" style="126" bestFit="1" customWidth="1"/>
    <col min="12292" max="12292" width="22.42578125" style="126" customWidth="1"/>
    <col min="12293" max="12293" width="21.7109375" style="126" bestFit="1" customWidth="1"/>
    <col min="12294" max="12533" width="9.28515625" style="126" customWidth="1"/>
    <col min="12534" max="12534" width="5.28515625" style="126" bestFit="1" customWidth="1"/>
    <col min="12535" max="12535" width="22.42578125" style="126" bestFit="1" customWidth="1"/>
    <col min="12536" max="12536" width="12.42578125" style="126" bestFit="1" customWidth="1"/>
    <col min="12537" max="12538" width="11.42578125" style="126" bestFit="1" customWidth="1"/>
    <col min="12539" max="12541" width="15.42578125" style="126"/>
    <col min="12542" max="12542" width="5.28515625" style="126" bestFit="1" customWidth="1"/>
    <col min="12543" max="12543" width="34.42578125" style="126" customWidth="1"/>
    <col min="12544" max="12544" width="14" style="126" customWidth="1"/>
    <col min="12545" max="12545" width="13.42578125" style="126" customWidth="1"/>
    <col min="12546" max="12546" width="14.7109375" style="126" customWidth="1"/>
    <col min="12547" max="12547" width="18.42578125" style="126" bestFit="1" customWidth="1"/>
    <col min="12548" max="12548" width="22.42578125" style="126" customWidth="1"/>
    <col min="12549" max="12549" width="21.7109375" style="126" bestFit="1" customWidth="1"/>
    <col min="12550" max="12789" width="9.28515625" style="126" customWidth="1"/>
    <col min="12790" max="12790" width="5.28515625" style="126" bestFit="1" customWidth="1"/>
    <col min="12791" max="12791" width="22.42578125" style="126" bestFit="1" customWidth="1"/>
    <col min="12792" max="12792" width="12.42578125" style="126" bestFit="1" customWidth="1"/>
    <col min="12793" max="12794" width="11.42578125" style="126" bestFit="1" customWidth="1"/>
    <col min="12795" max="12797" width="15.42578125" style="126"/>
    <col min="12798" max="12798" width="5.28515625" style="126" bestFit="1" customWidth="1"/>
    <col min="12799" max="12799" width="34.42578125" style="126" customWidth="1"/>
    <col min="12800" max="12800" width="14" style="126" customWidth="1"/>
    <col min="12801" max="12801" width="13.42578125" style="126" customWidth="1"/>
    <col min="12802" max="12802" width="14.7109375" style="126" customWidth="1"/>
    <col min="12803" max="12803" width="18.42578125" style="126" bestFit="1" customWidth="1"/>
    <col min="12804" max="12804" width="22.42578125" style="126" customWidth="1"/>
    <col min="12805" max="12805" width="21.7109375" style="126" bestFit="1" customWidth="1"/>
    <col min="12806" max="13045" width="9.28515625" style="126" customWidth="1"/>
    <col min="13046" max="13046" width="5.28515625" style="126" bestFit="1" customWidth="1"/>
    <col min="13047" max="13047" width="22.42578125" style="126" bestFit="1" customWidth="1"/>
    <col min="13048" max="13048" width="12.42578125" style="126" bestFit="1" customWidth="1"/>
    <col min="13049" max="13050" width="11.42578125" style="126" bestFit="1" customWidth="1"/>
    <col min="13051" max="13053" width="15.42578125" style="126"/>
    <col min="13054" max="13054" width="5.28515625" style="126" bestFit="1" customWidth="1"/>
    <col min="13055" max="13055" width="34.42578125" style="126" customWidth="1"/>
    <col min="13056" max="13056" width="14" style="126" customWidth="1"/>
    <col min="13057" max="13057" width="13.42578125" style="126" customWidth="1"/>
    <col min="13058" max="13058" width="14.7109375" style="126" customWidth="1"/>
    <col min="13059" max="13059" width="18.42578125" style="126" bestFit="1" customWidth="1"/>
    <col min="13060" max="13060" width="22.42578125" style="126" customWidth="1"/>
    <col min="13061" max="13061" width="21.7109375" style="126" bestFit="1" customWidth="1"/>
    <col min="13062" max="13301" width="9.28515625" style="126" customWidth="1"/>
    <col min="13302" max="13302" width="5.28515625" style="126" bestFit="1" customWidth="1"/>
    <col min="13303" max="13303" width="22.42578125" style="126" bestFit="1" customWidth="1"/>
    <col min="13304" max="13304" width="12.42578125" style="126" bestFit="1" customWidth="1"/>
    <col min="13305" max="13306" width="11.42578125" style="126" bestFit="1" customWidth="1"/>
    <col min="13307" max="13309" width="15.42578125" style="126"/>
    <col min="13310" max="13310" width="5.28515625" style="126" bestFit="1" customWidth="1"/>
    <col min="13311" max="13311" width="34.42578125" style="126" customWidth="1"/>
    <col min="13312" max="13312" width="14" style="126" customWidth="1"/>
    <col min="13313" max="13313" width="13.42578125" style="126" customWidth="1"/>
    <col min="13314" max="13314" width="14.7109375" style="126" customWidth="1"/>
    <col min="13315" max="13315" width="18.42578125" style="126" bestFit="1" customWidth="1"/>
    <col min="13316" max="13316" width="22.42578125" style="126" customWidth="1"/>
    <col min="13317" max="13317" width="21.7109375" style="126" bestFit="1" customWidth="1"/>
    <col min="13318" max="13557" width="9.28515625" style="126" customWidth="1"/>
    <col min="13558" max="13558" width="5.28515625" style="126" bestFit="1" customWidth="1"/>
    <col min="13559" max="13559" width="22.42578125" style="126" bestFit="1" customWidth="1"/>
    <col min="13560" max="13560" width="12.42578125" style="126" bestFit="1" customWidth="1"/>
    <col min="13561" max="13562" width="11.42578125" style="126" bestFit="1" customWidth="1"/>
    <col min="13563" max="13565" width="15.42578125" style="126"/>
    <col min="13566" max="13566" width="5.28515625" style="126" bestFit="1" customWidth="1"/>
    <col min="13567" max="13567" width="34.42578125" style="126" customWidth="1"/>
    <col min="13568" max="13568" width="14" style="126" customWidth="1"/>
    <col min="13569" max="13569" width="13.42578125" style="126" customWidth="1"/>
    <col min="13570" max="13570" width="14.7109375" style="126" customWidth="1"/>
    <col min="13571" max="13571" width="18.42578125" style="126" bestFit="1" customWidth="1"/>
    <col min="13572" max="13572" width="22.42578125" style="126" customWidth="1"/>
    <col min="13573" max="13573" width="21.7109375" style="126" bestFit="1" customWidth="1"/>
    <col min="13574" max="13813" width="9.28515625" style="126" customWidth="1"/>
    <col min="13814" max="13814" width="5.28515625" style="126" bestFit="1" customWidth="1"/>
    <col min="13815" max="13815" width="22.42578125" style="126" bestFit="1" customWidth="1"/>
    <col min="13816" max="13816" width="12.42578125" style="126" bestFit="1" customWidth="1"/>
    <col min="13817" max="13818" width="11.42578125" style="126" bestFit="1" customWidth="1"/>
    <col min="13819" max="13821" width="15.42578125" style="126"/>
    <col min="13822" max="13822" width="5.28515625" style="126" bestFit="1" customWidth="1"/>
    <col min="13823" max="13823" width="34.42578125" style="126" customWidth="1"/>
    <col min="13824" max="13824" width="14" style="126" customWidth="1"/>
    <col min="13825" max="13825" width="13.42578125" style="126" customWidth="1"/>
    <col min="13826" max="13826" width="14.7109375" style="126" customWidth="1"/>
    <col min="13827" max="13827" width="18.42578125" style="126" bestFit="1" customWidth="1"/>
    <col min="13828" max="13828" width="22.42578125" style="126" customWidth="1"/>
    <col min="13829" max="13829" width="21.7109375" style="126" bestFit="1" customWidth="1"/>
    <col min="13830" max="14069" width="9.28515625" style="126" customWidth="1"/>
    <col min="14070" max="14070" width="5.28515625" style="126" bestFit="1" customWidth="1"/>
    <col min="14071" max="14071" width="22.42578125" style="126" bestFit="1" customWidth="1"/>
    <col min="14072" max="14072" width="12.42578125" style="126" bestFit="1" customWidth="1"/>
    <col min="14073" max="14074" width="11.42578125" style="126" bestFit="1" customWidth="1"/>
    <col min="14075" max="14077" width="15.42578125" style="126"/>
    <col min="14078" max="14078" width="5.28515625" style="126" bestFit="1" customWidth="1"/>
    <col min="14079" max="14079" width="34.42578125" style="126" customWidth="1"/>
    <col min="14080" max="14080" width="14" style="126" customWidth="1"/>
    <col min="14081" max="14081" width="13.42578125" style="126" customWidth="1"/>
    <col min="14082" max="14082" width="14.7109375" style="126" customWidth="1"/>
    <col min="14083" max="14083" width="18.42578125" style="126" bestFit="1" customWidth="1"/>
    <col min="14084" max="14084" width="22.42578125" style="126" customWidth="1"/>
    <col min="14085" max="14085" width="21.7109375" style="126" bestFit="1" customWidth="1"/>
    <col min="14086" max="14325" width="9.28515625" style="126" customWidth="1"/>
    <col min="14326" max="14326" width="5.28515625" style="126" bestFit="1" customWidth="1"/>
    <col min="14327" max="14327" width="22.42578125" style="126" bestFit="1" customWidth="1"/>
    <col min="14328" max="14328" width="12.42578125" style="126" bestFit="1" customWidth="1"/>
    <col min="14329" max="14330" width="11.42578125" style="126" bestFit="1" customWidth="1"/>
    <col min="14331" max="14333" width="15.42578125" style="126"/>
    <col min="14334" max="14334" width="5.28515625" style="126" bestFit="1" customWidth="1"/>
    <col min="14335" max="14335" width="34.42578125" style="126" customWidth="1"/>
    <col min="14336" max="14336" width="14" style="126" customWidth="1"/>
    <col min="14337" max="14337" width="13.42578125" style="126" customWidth="1"/>
    <col min="14338" max="14338" width="14.7109375" style="126" customWidth="1"/>
    <col min="14339" max="14339" width="18.42578125" style="126" bestFit="1" customWidth="1"/>
    <col min="14340" max="14340" width="22.42578125" style="126" customWidth="1"/>
    <col min="14341" max="14341" width="21.7109375" style="126" bestFit="1" customWidth="1"/>
    <col min="14342" max="14581" width="9.28515625" style="126" customWidth="1"/>
    <col min="14582" max="14582" width="5.28515625" style="126" bestFit="1" customWidth="1"/>
    <col min="14583" max="14583" width="22.42578125" style="126" bestFit="1" customWidth="1"/>
    <col min="14584" max="14584" width="12.42578125" style="126" bestFit="1" customWidth="1"/>
    <col min="14585" max="14586" width="11.42578125" style="126" bestFit="1" customWidth="1"/>
    <col min="14587" max="14589" width="15.42578125" style="126"/>
    <col min="14590" max="14590" width="5.28515625" style="126" bestFit="1" customWidth="1"/>
    <col min="14591" max="14591" width="34.42578125" style="126" customWidth="1"/>
    <col min="14592" max="14592" width="14" style="126" customWidth="1"/>
    <col min="14593" max="14593" width="13.42578125" style="126" customWidth="1"/>
    <col min="14594" max="14594" width="14.7109375" style="126" customWidth="1"/>
    <col min="14595" max="14595" width="18.42578125" style="126" bestFit="1" customWidth="1"/>
    <col min="14596" max="14596" width="22.42578125" style="126" customWidth="1"/>
    <col min="14597" max="14597" width="21.7109375" style="126" bestFit="1" customWidth="1"/>
    <col min="14598" max="14837" width="9.28515625" style="126" customWidth="1"/>
    <col min="14838" max="14838" width="5.28515625" style="126" bestFit="1" customWidth="1"/>
    <col min="14839" max="14839" width="22.42578125" style="126" bestFit="1" customWidth="1"/>
    <col min="14840" max="14840" width="12.42578125" style="126" bestFit="1" customWidth="1"/>
    <col min="14841" max="14842" width="11.42578125" style="126" bestFit="1" customWidth="1"/>
    <col min="14843" max="14845" width="15.42578125" style="126"/>
    <col min="14846" max="14846" width="5.28515625" style="126" bestFit="1" customWidth="1"/>
    <col min="14847" max="14847" width="34.42578125" style="126" customWidth="1"/>
    <col min="14848" max="14848" width="14" style="126" customWidth="1"/>
    <col min="14849" max="14849" width="13.42578125" style="126" customWidth="1"/>
    <col min="14850" max="14850" width="14.7109375" style="126" customWidth="1"/>
    <col min="14851" max="14851" width="18.42578125" style="126" bestFit="1" customWidth="1"/>
    <col min="14852" max="14852" width="22.42578125" style="126" customWidth="1"/>
    <col min="14853" max="14853" width="21.7109375" style="126" bestFit="1" customWidth="1"/>
    <col min="14854" max="15093" width="9.28515625" style="126" customWidth="1"/>
    <col min="15094" max="15094" width="5.28515625" style="126" bestFit="1" customWidth="1"/>
    <col min="15095" max="15095" width="22.42578125" style="126" bestFit="1" customWidth="1"/>
    <col min="15096" max="15096" width="12.42578125" style="126" bestFit="1" customWidth="1"/>
    <col min="15097" max="15098" width="11.42578125" style="126" bestFit="1" customWidth="1"/>
    <col min="15099" max="15101" width="15.42578125" style="126"/>
    <col min="15102" max="15102" width="5.28515625" style="126" bestFit="1" customWidth="1"/>
    <col min="15103" max="15103" width="34.42578125" style="126" customWidth="1"/>
    <col min="15104" max="15104" width="14" style="126" customWidth="1"/>
    <col min="15105" max="15105" width="13.42578125" style="126" customWidth="1"/>
    <col min="15106" max="15106" width="14.7109375" style="126" customWidth="1"/>
    <col min="15107" max="15107" width="18.42578125" style="126" bestFit="1" customWidth="1"/>
    <col min="15108" max="15108" width="22.42578125" style="126" customWidth="1"/>
    <col min="15109" max="15109" width="21.7109375" style="126" bestFit="1" customWidth="1"/>
    <col min="15110" max="15349" width="9.28515625" style="126" customWidth="1"/>
    <col min="15350" max="15350" width="5.28515625" style="126" bestFit="1" customWidth="1"/>
    <col min="15351" max="15351" width="22.42578125" style="126" bestFit="1" customWidth="1"/>
    <col min="15352" max="15352" width="12.42578125" style="126" bestFit="1" customWidth="1"/>
    <col min="15353" max="15354" width="11.42578125" style="126" bestFit="1" customWidth="1"/>
    <col min="15355" max="15357" width="15.42578125" style="126"/>
    <col min="15358" max="15358" width="5.28515625" style="126" bestFit="1" customWidth="1"/>
    <col min="15359" max="15359" width="34.42578125" style="126" customWidth="1"/>
    <col min="15360" max="15360" width="14" style="126" customWidth="1"/>
    <col min="15361" max="15361" width="13.42578125" style="126" customWidth="1"/>
    <col min="15362" max="15362" width="14.7109375" style="126" customWidth="1"/>
    <col min="15363" max="15363" width="18.42578125" style="126" bestFit="1" customWidth="1"/>
    <col min="15364" max="15364" width="22.42578125" style="126" customWidth="1"/>
    <col min="15365" max="15365" width="21.7109375" style="126" bestFit="1" customWidth="1"/>
    <col min="15366" max="15605" width="9.28515625" style="126" customWidth="1"/>
    <col min="15606" max="15606" width="5.28515625" style="126" bestFit="1" customWidth="1"/>
    <col min="15607" max="15607" width="22.42578125" style="126" bestFit="1" customWidth="1"/>
    <col min="15608" max="15608" width="12.42578125" style="126" bestFit="1" customWidth="1"/>
    <col min="15609" max="15610" width="11.42578125" style="126" bestFit="1" customWidth="1"/>
    <col min="15611" max="15613" width="15.42578125" style="126"/>
    <col min="15614" max="15614" width="5.28515625" style="126" bestFit="1" customWidth="1"/>
    <col min="15615" max="15615" width="34.42578125" style="126" customWidth="1"/>
    <col min="15616" max="15616" width="14" style="126" customWidth="1"/>
    <col min="15617" max="15617" width="13.42578125" style="126" customWidth="1"/>
    <col min="15618" max="15618" width="14.7109375" style="126" customWidth="1"/>
    <col min="15619" max="15619" width="18.42578125" style="126" bestFit="1" customWidth="1"/>
    <col min="15620" max="15620" width="22.42578125" style="126" customWidth="1"/>
    <col min="15621" max="15621" width="21.7109375" style="126" bestFit="1" customWidth="1"/>
    <col min="15622" max="15861" width="9.28515625" style="126" customWidth="1"/>
    <col min="15862" max="15862" width="5.28515625" style="126" bestFit="1" customWidth="1"/>
    <col min="15863" max="15863" width="22.42578125" style="126" bestFit="1" customWidth="1"/>
    <col min="15864" max="15864" width="12.42578125" style="126" bestFit="1" customWidth="1"/>
    <col min="15865" max="15866" width="11.42578125" style="126" bestFit="1" customWidth="1"/>
    <col min="15867" max="15869" width="15.42578125" style="126"/>
    <col min="15870" max="15870" width="5.28515625" style="126" bestFit="1" customWidth="1"/>
    <col min="15871" max="15871" width="34.42578125" style="126" customWidth="1"/>
    <col min="15872" max="15872" width="14" style="126" customWidth="1"/>
    <col min="15873" max="15873" width="13.42578125" style="126" customWidth="1"/>
    <col min="15874" max="15874" width="14.7109375" style="126" customWidth="1"/>
    <col min="15875" max="15875" width="18.42578125" style="126" bestFit="1" customWidth="1"/>
    <col min="15876" max="15876" width="22.42578125" style="126" customWidth="1"/>
    <col min="15877" max="15877" width="21.7109375" style="126" bestFit="1" customWidth="1"/>
    <col min="15878" max="16117" width="9.28515625" style="126" customWidth="1"/>
    <col min="16118" max="16118" width="5.28515625" style="126" bestFit="1" customWidth="1"/>
    <col min="16119" max="16119" width="22.42578125" style="126" bestFit="1" customWidth="1"/>
    <col min="16120" max="16120" width="12.42578125" style="126" bestFit="1" customWidth="1"/>
    <col min="16121" max="16122" width="11.42578125" style="126" bestFit="1" customWidth="1"/>
    <col min="16123" max="16125" width="15.42578125" style="126"/>
    <col min="16126" max="16126" width="5.28515625" style="126" bestFit="1" customWidth="1"/>
    <col min="16127" max="16127" width="34.42578125" style="126" customWidth="1"/>
    <col min="16128" max="16128" width="14" style="126" customWidth="1"/>
    <col min="16129" max="16129" width="13.42578125" style="126" customWidth="1"/>
    <col min="16130" max="16130" width="14.7109375" style="126" customWidth="1"/>
    <col min="16131" max="16131" width="18.42578125" style="126" bestFit="1" customWidth="1"/>
    <col min="16132" max="16132" width="22.42578125" style="126" customWidth="1"/>
    <col min="16133" max="16133" width="21.7109375" style="126" bestFit="1" customWidth="1"/>
    <col min="16134" max="16373" width="9.28515625" style="126" customWidth="1"/>
    <col min="16374" max="16374" width="5.28515625" style="126" bestFit="1" customWidth="1"/>
    <col min="16375" max="16375" width="22.42578125" style="126" bestFit="1" customWidth="1"/>
    <col min="16376" max="16376" width="12.42578125" style="126" bestFit="1" customWidth="1"/>
    <col min="16377" max="16378" width="11.42578125" style="126" bestFit="1" customWidth="1"/>
    <col min="16379" max="16384" width="15.42578125" style="126"/>
  </cols>
  <sheetData>
    <row r="1" spans="1:9" ht="31.5" customHeight="1">
      <c r="A1" s="297" t="s">
        <v>175</v>
      </c>
      <c r="B1" s="297"/>
      <c r="C1" s="297"/>
      <c r="D1" s="297"/>
      <c r="E1" s="297"/>
      <c r="F1" s="297"/>
      <c r="G1" s="297"/>
      <c r="H1" s="297"/>
    </row>
    <row r="2" spans="1:9">
      <c r="A2" s="168" t="s">
        <v>0</v>
      </c>
      <c r="B2" s="168" t="s">
        <v>176</v>
      </c>
      <c r="C2" s="169" t="s">
        <v>177</v>
      </c>
      <c r="D2" s="170" t="s">
        <v>178</v>
      </c>
      <c r="E2" s="170" t="s">
        <v>179</v>
      </c>
      <c r="F2" s="171" t="s">
        <v>180</v>
      </c>
      <c r="G2" s="171" t="s">
        <v>181</v>
      </c>
      <c r="H2" s="168" t="s">
        <v>54</v>
      </c>
      <c r="I2" s="168" t="s">
        <v>182</v>
      </c>
    </row>
    <row r="3" spans="1:9" s="127" customFormat="1" ht="23.25" customHeight="1">
      <c r="A3" s="172" t="s">
        <v>55</v>
      </c>
      <c r="B3" s="173" t="s">
        <v>183</v>
      </c>
      <c r="C3" s="174"/>
      <c r="D3" s="175"/>
      <c r="E3" s="176"/>
      <c r="F3" s="176">
        <f>F4</f>
        <v>180601544.86154231</v>
      </c>
      <c r="G3" s="177"/>
      <c r="H3" s="172"/>
      <c r="I3" s="173"/>
    </row>
    <row r="4" spans="1:9" s="127" customFormat="1">
      <c r="A4" s="178">
        <v>1</v>
      </c>
      <c r="B4" s="179" t="s">
        <v>184</v>
      </c>
      <c r="C4" s="180" t="s">
        <v>185</v>
      </c>
      <c r="D4" s="181"/>
      <c r="E4" s="182"/>
      <c r="F4" s="182">
        <f>F5</f>
        <v>180601544.86154231</v>
      </c>
      <c r="G4" s="298"/>
      <c r="H4" s="178"/>
      <c r="I4" s="179"/>
    </row>
    <row r="5" spans="1:9" s="127" customFormat="1">
      <c r="A5" s="183"/>
      <c r="B5" s="184" t="s">
        <v>186</v>
      </c>
      <c r="C5" s="185" t="s">
        <v>187</v>
      </c>
      <c r="D5" s="186">
        <v>86709.415192507804</v>
      </c>
      <c r="E5" s="187">
        <v>2082.8366153846155</v>
      </c>
      <c r="F5" s="187">
        <f>D5*E5</f>
        <v>180601544.86154231</v>
      </c>
      <c r="G5" s="298"/>
      <c r="H5" s="188"/>
      <c r="I5" s="178"/>
    </row>
    <row r="6" spans="1:9" s="127" customFormat="1">
      <c r="A6" s="172" t="s">
        <v>62</v>
      </c>
      <c r="B6" s="173" t="s">
        <v>188</v>
      </c>
      <c r="C6" s="174"/>
      <c r="D6" s="189"/>
      <c r="E6" s="190"/>
      <c r="F6" s="176">
        <f>SUM(F7:F8)</f>
        <v>95821034.937965244</v>
      </c>
      <c r="G6" s="177"/>
      <c r="H6" s="172"/>
      <c r="I6" s="173"/>
    </row>
    <row r="7" spans="1:9" s="127" customFormat="1">
      <c r="A7" s="178">
        <v>1</v>
      </c>
      <c r="B7" s="179" t="s">
        <v>189</v>
      </c>
      <c r="C7" s="185" t="s">
        <v>190</v>
      </c>
      <c r="D7" s="181">
        <v>1</v>
      </c>
      <c r="E7" s="182">
        <v>3035244.6153846155</v>
      </c>
      <c r="F7" s="182">
        <f>D7*E7</f>
        <v>3035244.6153846155</v>
      </c>
      <c r="G7" s="191" t="s">
        <v>191</v>
      </c>
      <c r="H7" s="178"/>
      <c r="I7" s="179"/>
    </row>
    <row r="8" spans="1:9" s="127" customFormat="1">
      <c r="A8" s="178">
        <v>2</v>
      </c>
      <c r="B8" s="179" t="s">
        <v>192</v>
      </c>
      <c r="C8" s="185" t="s">
        <v>193</v>
      </c>
      <c r="D8" s="192">
        <v>247428.77419354836</v>
      </c>
      <c r="E8" s="182">
        <v>375</v>
      </c>
      <c r="F8" s="182">
        <f>D8*E8</f>
        <v>92785790.322580636</v>
      </c>
      <c r="G8" s="191" t="s">
        <v>194</v>
      </c>
      <c r="H8" s="193"/>
      <c r="I8" s="179"/>
    </row>
    <row r="9" spans="1:9" s="127" customFormat="1">
      <c r="A9" s="194"/>
      <c r="B9" s="195" t="s">
        <v>195</v>
      </c>
      <c r="C9" s="196"/>
      <c r="D9" s="197"/>
      <c r="E9" s="198"/>
      <c r="F9" s="199">
        <f>F3+F6</f>
        <v>276422579.79950756</v>
      </c>
      <c r="G9" s="200"/>
      <c r="H9" s="201"/>
      <c r="I9" s="201"/>
    </row>
    <row r="10" spans="1:9" s="127" customFormat="1">
      <c r="A10" s="194"/>
      <c r="B10" s="195" t="s">
        <v>196</v>
      </c>
      <c r="C10" s="196"/>
      <c r="D10" s="197"/>
      <c r="E10" s="198"/>
      <c r="F10" s="199">
        <f>ROUND(F9,-3)</f>
        <v>276423000</v>
      </c>
      <c r="G10" s="200"/>
      <c r="H10" s="201"/>
      <c r="I10" s="201"/>
    </row>
    <row r="11" spans="1:9" s="127" customFormat="1">
      <c r="A11" s="194"/>
      <c r="B11" s="195" t="s">
        <v>197</v>
      </c>
      <c r="C11" s="202"/>
      <c r="D11" s="197"/>
      <c r="E11" s="198"/>
      <c r="F11" s="199">
        <f>F10*10%</f>
        <v>27642300</v>
      </c>
      <c r="G11" s="200"/>
      <c r="H11" s="201"/>
      <c r="I11" s="201"/>
    </row>
    <row r="12" spans="1:9" ht="16.5" customHeight="1">
      <c r="A12" s="203"/>
      <c r="B12" s="204" t="s">
        <v>198</v>
      </c>
      <c r="C12" s="205"/>
      <c r="D12" s="206"/>
      <c r="E12" s="206"/>
      <c r="F12" s="175">
        <f>F10+F11</f>
        <v>304065300</v>
      </c>
      <c r="G12" s="207"/>
      <c r="H12" s="208"/>
      <c r="I12" s="208"/>
    </row>
  </sheetData>
  <mergeCells count="2">
    <mergeCell ref="A1:H1"/>
    <mergeCell ref="G4:G5"/>
  </mergeCells>
  <hyperlinks>
    <hyperlink ref="B3" location="TTDL!A1" display="Thu thập bản gốc" xr:uid="{00000000-0004-0000-0C00-000000000000}"/>
  </hyperlinks>
  <pageMargins left="0.45" right="0.45" top="0.5" bottom="0.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4"/>
  <sheetViews>
    <sheetView workbookViewId="0">
      <selection activeCell="D11" sqref="D11"/>
    </sheetView>
  </sheetViews>
  <sheetFormatPr defaultColWidth="8.7109375" defaultRowHeight="15"/>
  <cols>
    <col min="1" max="1" width="22.42578125" customWidth="1"/>
    <col min="2" max="2" width="17.42578125" customWidth="1"/>
    <col min="3" max="3" width="22.42578125" customWidth="1"/>
    <col min="4" max="4" width="20.7109375" customWidth="1"/>
    <col min="5" max="5" width="17.42578125" customWidth="1"/>
    <col min="7" max="7" width="15.42578125" customWidth="1"/>
    <col min="8" max="8" width="12.42578125" customWidth="1"/>
    <col min="9" max="9" width="14.28515625" customWidth="1"/>
  </cols>
  <sheetData>
    <row r="1" spans="1:9" ht="60.6" customHeight="1">
      <c r="A1" s="144" t="s">
        <v>174</v>
      </c>
      <c r="B1" s="145" t="s">
        <v>199</v>
      </c>
      <c r="C1" s="145" t="s">
        <v>200</v>
      </c>
      <c r="D1" s="145" t="s">
        <v>201</v>
      </c>
      <c r="E1" s="145" t="s">
        <v>202</v>
      </c>
      <c r="F1" s="145" t="s">
        <v>203</v>
      </c>
      <c r="G1" s="145" t="s">
        <v>204</v>
      </c>
      <c r="H1" s="144" t="s">
        <v>185</v>
      </c>
      <c r="I1" s="144" t="s">
        <v>205</v>
      </c>
    </row>
    <row r="2" spans="1:9" ht="16.5">
      <c r="A2" s="146" t="s">
        <v>206</v>
      </c>
      <c r="B2" s="147" t="s">
        <v>207</v>
      </c>
      <c r="C2" s="148"/>
      <c r="D2" s="149">
        <v>7.064516129032258</v>
      </c>
      <c r="E2" s="149">
        <v>6.903225806451613</v>
      </c>
      <c r="F2" s="150">
        <v>1778</v>
      </c>
      <c r="G2" s="150">
        <f t="shared" ref="G2:H3" si="0">F2*D2</f>
        <v>12560.709677419354</v>
      </c>
      <c r="H2" s="151">
        <f t="shared" si="0"/>
        <v>86709.415192507804</v>
      </c>
      <c r="I2" s="151">
        <f t="shared" ref="I2:I3" si="1">F2*12+G2*18</f>
        <v>247428.77419354836</v>
      </c>
    </row>
    <row r="3" spans="1:9" ht="16.5">
      <c r="A3" s="146" t="s">
        <v>208</v>
      </c>
      <c r="B3" s="147" t="s">
        <v>209</v>
      </c>
      <c r="C3" s="148"/>
      <c r="D3" s="149">
        <v>7.064516129032258</v>
      </c>
      <c r="E3" s="149">
        <v>6.903225806451613</v>
      </c>
      <c r="F3" s="150">
        <v>0</v>
      </c>
      <c r="G3" s="150">
        <v>0</v>
      </c>
      <c r="H3" s="151">
        <f t="shared" si="0"/>
        <v>0</v>
      </c>
      <c r="I3" s="151">
        <f t="shared" si="1"/>
        <v>0</v>
      </c>
    </row>
    <row r="4" spans="1:9" ht="17.25">
      <c r="A4" s="223"/>
      <c r="B4" s="223"/>
      <c r="C4" s="223"/>
      <c r="D4" s="223"/>
      <c r="E4" s="223"/>
      <c r="F4" s="224">
        <f>F2+F3</f>
        <v>1778</v>
      </c>
      <c r="G4" s="224">
        <f t="shared" ref="G4:I4" si="2">G2+G3</f>
        <v>12560.709677419354</v>
      </c>
      <c r="H4" s="224">
        <f t="shared" si="2"/>
        <v>86709.415192507804</v>
      </c>
      <c r="I4" s="224">
        <f t="shared" si="2"/>
        <v>247428.77419354836</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14"/>
  <sheetViews>
    <sheetView workbookViewId="0">
      <selection activeCell="G7" sqref="G7"/>
    </sheetView>
  </sheetViews>
  <sheetFormatPr defaultColWidth="8.7109375" defaultRowHeight="15"/>
  <cols>
    <col min="3" max="3" width="43.42578125" customWidth="1"/>
    <col min="4" max="4" width="42.28515625" style="209" customWidth="1"/>
    <col min="5" max="6" width="14.28515625" customWidth="1"/>
    <col min="7" max="7" width="14.42578125" customWidth="1"/>
    <col min="8" max="8" width="14" customWidth="1"/>
    <col min="9" max="9" width="16.28515625" customWidth="1"/>
    <col min="10" max="10" width="15.7109375" customWidth="1"/>
    <col min="11" max="11" width="13.28515625" customWidth="1"/>
    <col min="12" max="12" width="15.7109375" customWidth="1"/>
  </cols>
  <sheetData>
    <row r="1" spans="1:12" ht="16.5">
      <c r="A1" s="300" t="s">
        <v>210</v>
      </c>
      <c r="B1" s="301"/>
      <c r="C1" s="301"/>
      <c r="D1" s="301"/>
      <c r="E1" s="301"/>
      <c r="F1" s="301"/>
      <c r="G1" s="301"/>
      <c r="H1" s="301"/>
      <c r="I1" s="301"/>
      <c r="J1" s="301"/>
      <c r="K1" s="301"/>
      <c r="L1" s="302"/>
    </row>
    <row r="2" spans="1:12" ht="66">
      <c r="A2" s="144" t="s">
        <v>48</v>
      </c>
      <c r="B2" s="144" t="s">
        <v>211</v>
      </c>
      <c r="C2" s="144" t="s">
        <v>212</v>
      </c>
      <c r="D2" s="145" t="s">
        <v>174</v>
      </c>
      <c r="E2" s="145" t="s">
        <v>199</v>
      </c>
      <c r="F2" s="145" t="s">
        <v>200</v>
      </c>
      <c r="G2" s="145" t="s">
        <v>201</v>
      </c>
      <c r="H2" s="145" t="s">
        <v>202</v>
      </c>
      <c r="I2" s="145" t="s">
        <v>203</v>
      </c>
      <c r="J2" s="145" t="s">
        <v>204</v>
      </c>
      <c r="K2" s="144" t="s">
        <v>185</v>
      </c>
      <c r="L2" s="152" t="s">
        <v>205</v>
      </c>
    </row>
    <row r="3" spans="1:12" ht="17.25">
      <c r="A3" s="144"/>
      <c r="B3" s="153"/>
      <c r="C3" s="153"/>
      <c r="D3" s="154"/>
      <c r="E3" s="154"/>
      <c r="F3" s="154"/>
      <c r="G3" s="154"/>
      <c r="H3" s="154"/>
      <c r="I3" s="155">
        <v>1</v>
      </c>
      <c r="J3" s="155">
        <v>2</v>
      </c>
      <c r="K3" s="144">
        <v>3</v>
      </c>
      <c r="L3" s="152">
        <v>4</v>
      </c>
    </row>
    <row r="4" spans="1:12" ht="16.5">
      <c r="A4" s="303">
        <v>1</v>
      </c>
      <c r="B4" s="305" t="s">
        <v>213</v>
      </c>
      <c r="C4" s="146" t="s">
        <v>214</v>
      </c>
      <c r="D4" s="147" t="s">
        <v>215</v>
      </c>
      <c r="E4" s="156" t="s">
        <v>207</v>
      </c>
      <c r="F4" s="148"/>
      <c r="G4" s="149">
        <v>8.5384615384615383</v>
      </c>
      <c r="H4" s="149">
        <v>6.5714285714285712</v>
      </c>
      <c r="I4" s="150">
        <v>0</v>
      </c>
      <c r="J4" s="150">
        <f>I4*G4</f>
        <v>0</v>
      </c>
      <c r="K4" s="151">
        <f>J4*H4</f>
        <v>0</v>
      </c>
      <c r="L4" s="157">
        <f>I4*12+J4*18</f>
        <v>0</v>
      </c>
    </row>
    <row r="5" spans="1:12" ht="16.5">
      <c r="A5" s="304"/>
      <c r="B5" s="306"/>
      <c r="C5" s="307" t="s">
        <v>216</v>
      </c>
      <c r="D5" s="147" t="s">
        <v>206</v>
      </c>
      <c r="E5" s="156" t="s">
        <v>207</v>
      </c>
      <c r="F5" s="148"/>
      <c r="G5" s="149">
        <v>7.064516129032258</v>
      </c>
      <c r="H5" s="149">
        <v>6.903225806451613</v>
      </c>
      <c r="I5" s="150">
        <v>32000</v>
      </c>
      <c r="J5" s="150">
        <f t="shared" ref="J5:K7" si="0">I5*G5</f>
        <v>226064.51612903224</v>
      </c>
      <c r="K5" s="151">
        <f t="shared" si="0"/>
        <v>1560574.4016649323</v>
      </c>
      <c r="L5" s="157">
        <f t="shared" ref="L5:L7" si="1">I5*12+J5*18</f>
        <v>4453161.2903225804</v>
      </c>
    </row>
    <row r="6" spans="1:12" ht="16.5">
      <c r="A6" s="304"/>
      <c r="B6" s="306"/>
      <c r="C6" s="308"/>
      <c r="D6" s="147" t="s">
        <v>208</v>
      </c>
      <c r="E6" s="158" t="s">
        <v>209</v>
      </c>
      <c r="F6" s="148"/>
      <c r="G6" s="149"/>
      <c r="H6" s="149"/>
      <c r="I6" s="150">
        <v>35000</v>
      </c>
      <c r="J6" s="150"/>
      <c r="K6" s="151"/>
      <c r="L6" s="157"/>
    </row>
    <row r="7" spans="1:12" ht="16.5">
      <c r="A7" s="304"/>
      <c r="B7" s="306"/>
      <c r="C7" s="307" t="s">
        <v>217</v>
      </c>
      <c r="D7" s="147" t="s">
        <v>206</v>
      </c>
      <c r="E7" s="156" t="s">
        <v>207</v>
      </c>
      <c r="F7" s="148"/>
      <c r="G7" s="149">
        <v>43.523809523809526</v>
      </c>
      <c r="H7" s="149">
        <v>1.7619047619047619</v>
      </c>
      <c r="I7" s="150">
        <v>30000</v>
      </c>
      <c r="J7" s="150">
        <f t="shared" si="0"/>
        <v>1305714.2857142857</v>
      </c>
      <c r="K7" s="151">
        <f t="shared" si="0"/>
        <v>2300544.2176870746</v>
      </c>
      <c r="L7" s="157">
        <f t="shared" si="1"/>
        <v>23862857.142857142</v>
      </c>
    </row>
    <row r="8" spans="1:12" ht="16.5">
      <c r="A8" s="304"/>
      <c r="B8" s="306"/>
      <c r="C8" s="308"/>
      <c r="D8" s="147" t="s">
        <v>208</v>
      </c>
      <c r="E8" s="158" t="s">
        <v>209</v>
      </c>
      <c r="F8" s="159"/>
      <c r="G8" s="160"/>
      <c r="H8" s="160"/>
      <c r="I8" s="161">
        <v>35000</v>
      </c>
      <c r="J8" s="161"/>
      <c r="K8" s="151"/>
      <c r="L8" s="157"/>
    </row>
    <row r="9" spans="1:12" ht="16.5">
      <c r="A9" s="304"/>
      <c r="B9" s="306"/>
      <c r="C9" s="307" t="s">
        <v>218</v>
      </c>
      <c r="D9" s="147" t="s">
        <v>206</v>
      </c>
      <c r="E9" s="156" t="s">
        <v>207</v>
      </c>
      <c r="F9" s="159"/>
      <c r="G9" s="160"/>
      <c r="H9" s="160"/>
      <c r="I9" s="161">
        <v>500000</v>
      </c>
      <c r="J9" s="161"/>
      <c r="K9" s="151"/>
      <c r="L9" s="157"/>
    </row>
    <row r="10" spans="1:12" ht="16.5">
      <c r="A10" s="304"/>
      <c r="B10" s="306"/>
      <c r="C10" s="308"/>
      <c r="D10" s="147" t="s">
        <v>208</v>
      </c>
      <c r="E10" s="158" t="s">
        <v>209</v>
      </c>
      <c r="F10" s="159"/>
      <c r="G10" s="160"/>
      <c r="H10" s="160"/>
      <c r="I10" s="161">
        <v>300000</v>
      </c>
      <c r="J10" s="161"/>
      <c r="K10" s="151"/>
      <c r="L10" s="157"/>
    </row>
    <row r="11" spans="1:12" ht="16.5">
      <c r="A11" s="304"/>
      <c r="B11" s="306"/>
      <c r="C11" s="307" t="s">
        <v>219</v>
      </c>
      <c r="D11" s="147" t="s">
        <v>206</v>
      </c>
      <c r="E11" s="156" t="s">
        <v>207</v>
      </c>
      <c r="F11" s="159"/>
      <c r="G11" s="160"/>
      <c r="H11" s="160"/>
      <c r="I11" s="161"/>
      <c r="J11" s="161"/>
      <c r="K11" s="151"/>
      <c r="L11" s="157"/>
    </row>
    <row r="12" spans="1:12" ht="16.5">
      <c r="A12" s="304"/>
      <c r="B12" s="306"/>
      <c r="C12" s="308"/>
      <c r="D12" s="147" t="s">
        <v>208</v>
      </c>
      <c r="E12" s="158" t="s">
        <v>209</v>
      </c>
      <c r="F12" s="159"/>
      <c r="G12" s="160"/>
      <c r="H12" s="160"/>
      <c r="I12" s="161"/>
      <c r="J12" s="161"/>
      <c r="K12" s="151"/>
      <c r="L12" s="157"/>
    </row>
    <row r="13" spans="1:12" ht="16.5">
      <c r="A13" s="304"/>
      <c r="B13" s="306"/>
      <c r="C13" s="162" t="s">
        <v>220</v>
      </c>
      <c r="D13" s="147"/>
      <c r="E13" s="156" t="s">
        <v>207</v>
      </c>
      <c r="F13" s="159"/>
      <c r="G13" s="160"/>
      <c r="H13" s="160"/>
      <c r="I13" s="161">
        <v>100</v>
      </c>
      <c r="J13" s="161"/>
      <c r="K13" s="151"/>
      <c r="L13" s="157"/>
    </row>
    <row r="14" spans="1:12" ht="16.5">
      <c r="A14" s="299" t="s">
        <v>221</v>
      </c>
      <c r="B14" s="299"/>
      <c r="C14" s="299"/>
      <c r="D14" s="299"/>
      <c r="E14" s="299"/>
      <c r="F14" s="163"/>
      <c r="G14" s="164"/>
      <c r="H14" s="164"/>
      <c r="I14" s="165">
        <f>SUM(I4:I13)</f>
        <v>932100</v>
      </c>
      <c r="J14" s="165">
        <f>SUM(J4:J7)</f>
        <v>1531778.8018433179</v>
      </c>
      <c r="K14" s="166">
        <f>SUM(K4:K7)</f>
        <v>3861118.6193520068</v>
      </c>
      <c r="L14" s="167">
        <f>SUM(L4:L7)</f>
        <v>28316018.433179721</v>
      </c>
    </row>
  </sheetData>
  <mergeCells count="8">
    <mergeCell ref="A14:E14"/>
    <mergeCell ref="A1:L1"/>
    <mergeCell ref="A4:A13"/>
    <mergeCell ref="B4:B13"/>
    <mergeCell ref="C5:C6"/>
    <mergeCell ref="C7:C8"/>
    <mergeCell ref="C9:C10"/>
    <mergeCell ref="C11:C12"/>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5"/>
  <sheetViews>
    <sheetView workbookViewId="0">
      <selection activeCell="G13" sqref="G13"/>
    </sheetView>
  </sheetViews>
  <sheetFormatPr defaultColWidth="8.42578125" defaultRowHeight="15.75"/>
  <cols>
    <col min="1" max="1" width="6.42578125" style="211" bestFit="1" customWidth="1"/>
    <col min="2" max="2" width="33.28515625" style="211" customWidth="1"/>
    <col min="3" max="3" width="29.42578125" style="211" customWidth="1"/>
    <col min="4" max="4" width="14" style="211" customWidth="1"/>
    <col min="5" max="5" width="11.42578125" style="211" customWidth="1"/>
    <col min="6" max="6" width="18" style="211" customWidth="1"/>
    <col min="7" max="7" width="18" style="211" bestFit="1" customWidth="1"/>
    <col min="8" max="8" width="19.28515625" style="211" customWidth="1"/>
    <col min="9" max="9" width="18.42578125" style="211" customWidth="1"/>
    <col min="10" max="16384" width="8.42578125" style="211"/>
  </cols>
  <sheetData>
    <row r="1" spans="1:9">
      <c r="B1" s="212" t="s">
        <v>222</v>
      </c>
    </row>
    <row r="3" spans="1:9" ht="47.25">
      <c r="A3" s="213" t="s">
        <v>0</v>
      </c>
      <c r="B3" s="213" t="s">
        <v>223</v>
      </c>
      <c r="C3" s="213" t="s">
        <v>54</v>
      </c>
      <c r="D3" s="213" t="s">
        <v>224</v>
      </c>
      <c r="E3" s="213" t="s">
        <v>225</v>
      </c>
      <c r="F3" s="214" t="s">
        <v>226</v>
      </c>
      <c r="G3" s="214" t="s">
        <v>227</v>
      </c>
      <c r="H3" s="214" t="s">
        <v>51</v>
      </c>
      <c r="I3" s="214" t="s">
        <v>228</v>
      </c>
    </row>
    <row r="4" spans="1:9">
      <c r="A4" s="215"/>
      <c r="B4" s="216" t="s">
        <v>229</v>
      </c>
      <c r="C4" s="216"/>
      <c r="D4" s="216"/>
      <c r="E4" s="215"/>
      <c r="F4" s="217"/>
      <c r="G4" s="217">
        <f>SUM(G5)</f>
        <v>220800000</v>
      </c>
      <c r="H4" s="217">
        <f>SUM(H5)</f>
        <v>22080000</v>
      </c>
      <c r="I4" s="217">
        <f>SUM(I5)</f>
        <v>242880000</v>
      </c>
    </row>
    <row r="5" spans="1:9" ht="31.5">
      <c r="A5" s="218">
        <v>1</v>
      </c>
      <c r="B5" s="219" t="s">
        <v>230</v>
      </c>
      <c r="C5" s="219" t="s">
        <v>231</v>
      </c>
      <c r="D5" s="218" t="s">
        <v>232</v>
      </c>
      <c r="E5" s="220">
        <v>12</v>
      </c>
      <c r="F5" s="221">
        <f>9200000*2</f>
        <v>18400000</v>
      </c>
      <c r="G5" s="221">
        <f>F5*E5</f>
        <v>220800000</v>
      </c>
      <c r="H5" s="221">
        <f>G5*10%</f>
        <v>22080000</v>
      </c>
      <c r="I5" s="221">
        <f>G5+H5</f>
        <v>242880000</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T39"/>
  <sheetViews>
    <sheetView workbookViewId="0"/>
  </sheetViews>
  <sheetFormatPr defaultColWidth="9.28515625" defaultRowHeight="15"/>
  <cols>
    <col min="1" max="1" width="48" style="13" bestFit="1" customWidth="1"/>
    <col min="2" max="2" width="13.42578125" style="67" bestFit="1" customWidth="1"/>
    <col min="3" max="3" width="18.7109375" style="13" customWidth="1"/>
    <col min="4" max="4" width="7.42578125" style="13" bestFit="1" customWidth="1"/>
    <col min="5" max="5" width="7.7109375" style="13" bestFit="1" customWidth="1"/>
    <col min="6" max="6" width="15" style="14" bestFit="1" customWidth="1"/>
    <col min="7" max="8" width="16" style="13" bestFit="1" customWidth="1"/>
    <col min="9" max="9" width="5.42578125" style="83" customWidth="1"/>
    <col min="10" max="10" width="39.42578125" style="13" customWidth="1"/>
    <col min="11" max="11" width="15.42578125" style="13" bestFit="1" customWidth="1"/>
    <col min="12" max="13" width="16.42578125" style="13" customWidth="1"/>
    <col min="14" max="15" width="17.7109375" style="13" bestFit="1" customWidth="1"/>
    <col min="16" max="16" width="19.42578125" style="13" bestFit="1" customWidth="1"/>
    <col min="17" max="17" width="20.7109375" style="13" bestFit="1" customWidth="1"/>
    <col min="18" max="18" width="17.7109375" style="13" bestFit="1" customWidth="1"/>
    <col min="19" max="19" width="20.7109375" style="13" bestFit="1" customWidth="1"/>
    <col min="20" max="20" width="19.42578125" style="13" bestFit="1" customWidth="1"/>
    <col min="21" max="16384" width="9.28515625" style="13"/>
  </cols>
  <sheetData>
    <row r="2" spans="1:20">
      <c r="A2" s="10" t="s">
        <v>233</v>
      </c>
      <c r="B2" s="11"/>
      <c r="C2" s="12"/>
    </row>
    <row r="3" spans="1:20">
      <c r="A3" s="10" t="s">
        <v>234</v>
      </c>
      <c r="B3" s="11"/>
      <c r="C3" s="15">
        <v>0</v>
      </c>
    </row>
    <row r="4" spans="1:20">
      <c r="A4" s="10" t="s">
        <v>235</v>
      </c>
      <c r="B4" s="11"/>
      <c r="C4" s="12" t="e">
        <f>#REF!</f>
        <v>#REF!</v>
      </c>
    </row>
    <row r="6" spans="1:20" s="16" customFormat="1" ht="14.25">
      <c r="A6" s="282" t="s">
        <v>89</v>
      </c>
      <c r="B6" s="282"/>
      <c r="C6" s="282"/>
      <c r="D6" s="282"/>
      <c r="E6" s="282"/>
      <c r="F6" s="282"/>
      <c r="G6" s="282"/>
      <c r="H6" s="282"/>
      <c r="I6" s="82"/>
      <c r="J6" s="283" t="s">
        <v>236</v>
      </c>
      <c r="K6" s="284"/>
      <c r="L6" s="284"/>
      <c r="M6" s="284"/>
      <c r="N6" s="284"/>
    </row>
    <row r="8" spans="1:20" ht="28.5">
      <c r="A8" s="17"/>
      <c r="B8" s="18" t="s">
        <v>91</v>
      </c>
      <c r="C8" s="19" t="s">
        <v>93</v>
      </c>
      <c r="D8" s="19" t="s">
        <v>94</v>
      </c>
      <c r="E8" s="19" t="s">
        <v>95</v>
      </c>
      <c r="F8" s="20" t="s">
        <v>96</v>
      </c>
      <c r="G8" s="19" t="s">
        <v>97</v>
      </c>
      <c r="H8" s="19" t="s">
        <v>98</v>
      </c>
      <c r="J8" s="19" t="s">
        <v>99</v>
      </c>
      <c r="K8" s="285" t="s">
        <v>100</v>
      </c>
      <c r="L8" s="286"/>
      <c r="M8" s="286"/>
      <c r="N8" s="286"/>
      <c r="O8" s="286"/>
      <c r="P8" s="286"/>
      <c r="Q8" s="286"/>
      <c r="R8" s="286"/>
      <c r="S8" s="286"/>
      <c r="T8" s="287"/>
    </row>
    <row r="9" spans="1:20" ht="28.5">
      <c r="A9" s="21" t="s">
        <v>101</v>
      </c>
      <c r="B9" s="22" t="e">
        <f>SUM(B10:B11)</f>
        <v>#REF!</v>
      </c>
      <c r="C9" s="21"/>
      <c r="D9" s="21"/>
      <c r="E9" s="21"/>
      <c r="F9" s="23"/>
      <c r="G9" s="21"/>
      <c r="H9" s="21"/>
      <c r="I9" s="83">
        <v>1</v>
      </c>
      <c r="J9" s="24" t="s">
        <v>237</v>
      </c>
      <c r="K9" s="25">
        <v>7000000000</v>
      </c>
      <c r="L9" s="25">
        <v>15000000000</v>
      </c>
      <c r="M9" s="25">
        <v>20000000000</v>
      </c>
      <c r="N9" s="25">
        <v>30000000000</v>
      </c>
      <c r="O9" s="25">
        <v>50000000000</v>
      </c>
      <c r="P9" s="25">
        <v>100000000000</v>
      </c>
      <c r="Q9" s="25">
        <v>150000000000</v>
      </c>
      <c r="R9" s="25">
        <v>200000000000</v>
      </c>
      <c r="S9" s="25">
        <v>500000000000</v>
      </c>
      <c r="T9" s="25">
        <v>1000000000000</v>
      </c>
    </row>
    <row r="10" spans="1:20">
      <c r="A10" s="26" t="s">
        <v>103</v>
      </c>
      <c r="B10" s="27">
        <f>C10*H10/100</f>
        <v>0</v>
      </c>
      <c r="C10" s="28">
        <f>E10-(E10-D10)*(H10-G10)/(F10-G10)</f>
        <v>2.6440000000000001</v>
      </c>
      <c r="D10" s="28">
        <f>IF(F10=0,K10,HLOOKUP(F10,dinhmuc,$I10,TRUE))</f>
        <v>2.6440000000000001</v>
      </c>
      <c r="E10" s="28">
        <f>IF(G10=0,L10,HLOOKUP(G10,dinhmuc,$I10,TRUE))</f>
        <v>2.6440000000000001</v>
      </c>
      <c r="F10" s="29">
        <f>IF(H10&lt;$K$9,0,INDEX(budget,MATCH(H10,budget,1)))</f>
        <v>0</v>
      </c>
      <c r="G10" s="27">
        <f>IF(H10&lt;$K$9,$K$9,INDEX(budget,MATCH(H10,budget,1)+1))</f>
        <v>7000000000</v>
      </c>
      <c r="H10" s="27">
        <f>C3</f>
        <v>0</v>
      </c>
      <c r="I10" s="83">
        <v>2</v>
      </c>
      <c r="J10" s="26" t="s">
        <v>104</v>
      </c>
      <c r="K10" s="28">
        <v>2.6440000000000001</v>
      </c>
      <c r="L10" s="28">
        <v>2.1840000000000002</v>
      </c>
      <c r="M10" s="28">
        <v>1.913</v>
      </c>
      <c r="N10" s="28">
        <v>1.7470000000000001</v>
      </c>
      <c r="O10" s="30">
        <v>1.3240000000000001</v>
      </c>
      <c r="P10" s="28">
        <v>1.0449999999999999</v>
      </c>
      <c r="Q10" s="28">
        <v>1.0069999999999999</v>
      </c>
      <c r="R10" s="28">
        <v>0.97499999999999998</v>
      </c>
      <c r="S10" s="28">
        <v>0.84099999999999997</v>
      </c>
      <c r="T10" s="28">
        <v>0.69599999999999995</v>
      </c>
    </row>
    <row r="11" spans="1:20">
      <c r="A11" s="26" t="s">
        <v>105</v>
      </c>
      <c r="B11" s="27" t="e">
        <f>C11*H11/100</f>
        <v>#REF!</v>
      </c>
      <c r="C11" s="28" t="e">
        <f>E11-(E11-D11)*(H11-G11)/(F11-G11)</f>
        <v>#REF!</v>
      </c>
      <c r="D11" s="28" t="e">
        <f>IF(F11=0,K11,HLOOKUP(F11,dinhmuc,$I11,TRUE))</f>
        <v>#REF!</v>
      </c>
      <c r="E11" s="28" t="e">
        <f>IF(G11=0,L11,HLOOKUP(G11,dinhmuc,$I11,TRUE))</f>
        <v>#REF!</v>
      </c>
      <c r="F11" s="29" t="e">
        <f>IF(H11&lt;$K$9,0,INDEX(budget,MATCH(H11,budget,1)))</f>
        <v>#REF!</v>
      </c>
      <c r="G11" s="27" t="e">
        <f>IF(H11&lt;$K$9,$K$9,INDEX(budget,MATCH(H11,budget,1)+1))</f>
        <v>#REF!</v>
      </c>
      <c r="H11" s="27" t="e">
        <f>C4</f>
        <v>#REF!</v>
      </c>
      <c r="I11" s="83">
        <v>3</v>
      </c>
      <c r="J11" s="26" t="s">
        <v>106</v>
      </c>
      <c r="K11" s="28">
        <v>2.8090000000000002</v>
      </c>
      <c r="L11" s="28">
        <v>2.133</v>
      </c>
      <c r="M11" s="28">
        <v>1.964</v>
      </c>
      <c r="N11" s="28">
        <v>1.782</v>
      </c>
      <c r="O11" s="30">
        <v>1.71</v>
      </c>
      <c r="P11" s="28">
        <v>1.3460000000000001</v>
      </c>
      <c r="Q11" s="28">
        <v>1.2869999999999999</v>
      </c>
      <c r="R11" s="28">
        <v>1.248</v>
      </c>
      <c r="S11" s="28"/>
      <c r="T11" s="28"/>
    </row>
    <row r="12" spans="1:20" ht="28.5">
      <c r="A12" s="21" t="s">
        <v>238</v>
      </c>
      <c r="B12" s="22" t="e">
        <f>SUM(B13:B14)</f>
        <v>#REF!</v>
      </c>
      <c r="C12" s="31"/>
      <c r="D12" s="31"/>
      <c r="E12" s="31"/>
      <c r="F12" s="32"/>
      <c r="G12" s="22"/>
      <c r="H12" s="22"/>
      <c r="I12" s="83">
        <v>4</v>
      </c>
      <c r="J12" s="21" t="s">
        <v>239</v>
      </c>
      <c r="K12" s="21"/>
      <c r="L12" s="21"/>
      <c r="M12" s="21"/>
      <c r="N12" s="21"/>
      <c r="O12" s="21"/>
      <c r="P12" s="21"/>
      <c r="Q12" s="21"/>
      <c r="R12" s="21"/>
      <c r="S12" s="21"/>
      <c r="T12" s="21"/>
    </row>
    <row r="13" spans="1:20">
      <c r="A13" s="26" t="s">
        <v>103</v>
      </c>
      <c r="B13" s="27">
        <f>C13*H13/100</f>
        <v>0</v>
      </c>
      <c r="C13" s="28">
        <f>E13-(E13-D13)*(H13-G13)/(F13-G13)</f>
        <v>0.99200000000000021</v>
      </c>
      <c r="D13" s="28">
        <f>IF(F13=0,K13,HLOOKUP(F13,dinhmuc,$I13,TRUE))</f>
        <v>0.99199999999999999</v>
      </c>
      <c r="E13" s="28">
        <f>IF(G13=0,L13,HLOOKUP(G13,dinhmuc,$I13,TRUE))</f>
        <v>2.6440000000000001</v>
      </c>
      <c r="F13" s="29">
        <f>IF(H13&lt;$K$9,0,INDEX(budget,MATCH(H13,budget,1)))</f>
        <v>0</v>
      </c>
      <c r="G13" s="27">
        <f>IF(H13&lt;$K$9,$K$9,INDEX(budget,MATCH(H13,budget,1)+1))</f>
        <v>7000000000</v>
      </c>
      <c r="H13" s="27">
        <f>C3</f>
        <v>0</v>
      </c>
      <c r="I13" s="83">
        <v>5</v>
      </c>
      <c r="J13" s="26" t="s">
        <v>104</v>
      </c>
      <c r="K13" s="28">
        <v>0.99199999999999999</v>
      </c>
      <c r="L13" s="28">
        <v>0.73899999999999999</v>
      </c>
      <c r="M13" s="28">
        <v>0.65200000000000002</v>
      </c>
      <c r="N13" s="28">
        <v>0.53300000000000003</v>
      </c>
      <c r="O13" s="30">
        <v>0.42</v>
      </c>
      <c r="P13" s="28">
        <v>0.31</v>
      </c>
      <c r="Q13" s="28">
        <v>0.253</v>
      </c>
      <c r="R13" s="28">
        <v>0.20499999999999999</v>
      </c>
      <c r="S13" s="28">
        <v>0.16400000000000001</v>
      </c>
      <c r="T13" s="28">
        <v>0.14399999999999999</v>
      </c>
    </row>
    <row r="14" spans="1:20">
      <c r="A14" s="33" t="s">
        <v>105</v>
      </c>
      <c r="B14" s="27" t="e">
        <f>C14*H14/100</f>
        <v>#REF!</v>
      </c>
      <c r="C14" s="28" t="e">
        <f>E14-(E14-D14)*(H14-G14)/(F14-G14)</f>
        <v>#REF!</v>
      </c>
      <c r="D14" s="28" t="e">
        <f>IF(F14=0,K14,HLOOKUP(F14,dinhmuc,$I14,TRUE))</f>
        <v>#REF!</v>
      </c>
      <c r="E14" s="28" t="e">
        <f>IF(G14=0,L14,HLOOKUP(G14,dinhmuc,$I14,TRUE))</f>
        <v>#REF!</v>
      </c>
      <c r="F14" s="29" t="e">
        <f>IF(H14&lt;$K$9,0,INDEX(budget,MATCH(H14,budget,1)))</f>
        <v>#REF!</v>
      </c>
      <c r="G14" s="27" t="e">
        <f>IF(H14&lt;$K$9,$K$9,INDEX(budget,MATCH(H14,budget,1)+1))</f>
        <v>#REF!</v>
      </c>
      <c r="H14" s="27" t="e">
        <f>C4</f>
        <v>#REF!</v>
      </c>
      <c r="I14" s="83">
        <v>6</v>
      </c>
      <c r="J14" s="26" t="s">
        <v>106</v>
      </c>
      <c r="K14" s="28">
        <v>0.99199999999999999</v>
      </c>
      <c r="L14" s="28">
        <v>0.90600000000000003</v>
      </c>
      <c r="M14" s="28">
        <v>0.81200000000000006</v>
      </c>
      <c r="N14" s="28">
        <v>0.76300000000000001</v>
      </c>
      <c r="O14" s="30">
        <v>0.64800000000000002</v>
      </c>
      <c r="P14" s="28">
        <v>0.48499999999999999</v>
      </c>
      <c r="Q14" s="28">
        <v>0.437</v>
      </c>
      <c r="R14" s="28">
        <v>0.38100000000000001</v>
      </c>
      <c r="S14" s="28"/>
      <c r="T14" s="28"/>
    </row>
    <row r="15" spans="1:20" ht="28.5">
      <c r="A15" s="35" t="s">
        <v>240</v>
      </c>
      <c r="B15" s="22" t="e">
        <f>SUM(B16:B17)</f>
        <v>#REF!</v>
      </c>
      <c r="C15" s="36"/>
      <c r="D15" s="36"/>
      <c r="E15" s="36"/>
      <c r="F15" s="37"/>
      <c r="G15" s="38"/>
      <c r="H15" s="38"/>
      <c r="I15" s="83">
        <v>7</v>
      </c>
      <c r="J15" s="21" t="s">
        <v>241</v>
      </c>
      <c r="K15" s="21"/>
      <c r="L15" s="21"/>
      <c r="M15" s="21"/>
      <c r="N15" s="21"/>
      <c r="O15" s="21"/>
      <c r="P15" s="21"/>
      <c r="Q15" s="21"/>
      <c r="R15" s="21"/>
      <c r="S15" s="21"/>
      <c r="T15" s="21"/>
    </row>
    <row r="16" spans="1:20">
      <c r="A16" s="26" t="s">
        <v>103</v>
      </c>
      <c r="B16" s="27">
        <v>0</v>
      </c>
      <c r="C16" s="28">
        <f>E16-(E16-D16)*(H16-G16)/(F16-G16)</f>
        <v>1.4990000000000001</v>
      </c>
      <c r="D16" s="28">
        <f>IF(F16=0,K16,HLOOKUP(F16,dinhmuc,$I16,TRUE))</f>
        <v>1.4990000000000001</v>
      </c>
      <c r="E16" s="28">
        <f>IF(G16=0,L16,HLOOKUP(G16,dinhmuc,$I16,TRUE))</f>
        <v>0.99199999999999999</v>
      </c>
      <c r="F16" s="29">
        <f>IF(H16&lt;$K$9,0,INDEX(budget,MATCH(H16,budget,1)))</f>
        <v>0</v>
      </c>
      <c r="G16" s="27">
        <f>IF(H16&lt;$K$9,$K$9,INDEX(budget,MATCH(H16,budget,1)+1))</f>
        <v>7000000000</v>
      </c>
      <c r="H16" s="27">
        <f>C3</f>
        <v>0</v>
      </c>
      <c r="I16" s="83">
        <v>8</v>
      </c>
      <c r="J16" s="26" t="s">
        <v>104</v>
      </c>
      <c r="K16" s="28">
        <v>1.4990000000000001</v>
      </c>
      <c r="L16" s="28">
        <v>1.198</v>
      </c>
      <c r="M16" s="28">
        <v>0.99099999999999999</v>
      </c>
      <c r="N16" s="28">
        <v>0.82</v>
      </c>
      <c r="O16" s="30">
        <v>0.64600000000000002</v>
      </c>
      <c r="P16" s="28">
        <v>0.52200000000000002</v>
      </c>
      <c r="Q16" s="28">
        <v>0.46100000000000002</v>
      </c>
      <c r="R16" s="28">
        <v>0.41099999999999998</v>
      </c>
      <c r="S16" s="28">
        <v>0.32100000000000001</v>
      </c>
      <c r="T16" s="28">
        <v>0.24</v>
      </c>
    </row>
    <row r="17" spans="1:20">
      <c r="A17" s="26" t="s">
        <v>105</v>
      </c>
      <c r="B17" s="27" t="e">
        <f>IF(C17*H17/100&lt;2000000,2000000,C17*H17/100)</f>
        <v>#REF!</v>
      </c>
      <c r="C17" s="28" t="e">
        <f>E17-(E17-D17)*(H17-G17)/(F17-G17)</f>
        <v>#REF!</v>
      </c>
      <c r="D17" s="28" t="e">
        <f>IF(F17=0,K17,HLOOKUP(F17,dinhmuc,$I17,TRUE))</f>
        <v>#REF!</v>
      </c>
      <c r="E17" s="28" t="e">
        <f>IF(G17=0,L17,HLOOKUP(G17,dinhmuc,$I17,TRUE))</f>
        <v>#REF!</v>
      </c>
      <c r="F17" s="29" t="e">
        <f>IF(H17&lt;$K$9,0,INDEX(budget,MATCH(H17,budget,1)))</f>
        <v>#REF!</v>
      </c>
      <c r="G17" s="27" t="e">
        <f>IF(H17&lt;$K$9,$K$9,INDEX(budget,MATCH(H17,budget,1)+1))</f>
        <v>#REF!</v>
      </c>
      <c r="H17" s="27" t="e">
        <f>C4</f>
        <v>#REF!</v>
      </c>
      <c r="I17" s="83">
        <v>9</v>
      </c>
      <c r="J17" s="33" t="s">
        <v>106</v>
      </c>
      <c r="K17" s="34">
        <v>3.3759999999999999</v>
      </c>
      <c r="L17" s="34">
        <v>3.1549999999999998</v>
      </c>
      <c r="M17" s="34">
        <v>3.0230000000000001</v>
      </c>
      <c r="N17" s="34">
        <v>2.847</v>
      </c>
      <c r="O17" s="40">
        <v>2.5059999999999998</v>
      </c>
      <c r="P17" s="34">
        <v>2.2109999999999999</v>
      </c>
      <c r="Q17" s="34">
        <v>2.0910000000000002</v>
      </c>
      <c r="R17" s="34">
        <v>1.9750000000000001</v>
      </c>
      <c r="S17" s="34"/>
      <c r="T17" s="34"/>
    </row>
    <row r="18" spans="1:20" ht="42.75">
      <c r="A18" s="35" t="s">
        <v>115</v>
      </c>
      <c r="B18" s="22" t="e">
        <f>SUM(B19:B20)</f>
        <v>#REF!</v>
      </c>
      <c r="C18" s="36"/>
      <c r="D18" s="36"/>
      <c r="E18" s="36"/>
      <c r="F18" s="37"/>
      <c r="G18" s="38"/>
      <c r="H18" s="38"/>
      <c r="I18" s="83">
        <v>10</v>
      </c>
      <c r="J18" s="35" t="s">
        <v>242</v>
      </c>
      <c r="K18" s="41"/>
      <c r="L18" s="41"/>
      <c r="M18" s="41"/>
      <c r="N18" s="41"/>
      <c r="O18" s="41"/>
      <c r="P18" s="41"/>
      <c r="Q18" s="41"/>
      <c r="R18" s="41"/>
      <c r="S18" s="41"/>
      <c r="T18" s="42"/>
    </row>
    <row r="19" spans="1:20">
      <c r="A19" s="26" t="s">
        <v>103</v>
      </c>
      <c r="B19" s="27">
        <v>0</v>
      </c>
      <c r="C19" s="28">
        <f>E19-(E19-D19)*(H19-G19)/(F19-G19)</f>
        <v>0.10499999999999998</v>
      </c>
      <c r="D19" s="28">
        <f>IF(F19=0,K19,HLOOKUP(F19,dinhmuc,$I19,TRUE))</f>
        <v>0.105</v>
      </c>
      <c r="E19" s="28">
        <f>IF(G19=0,L19,HLOOKUP(G19,dinhmuc,$I19,TRUE))</f>
        <v>0.99199999999999999</v>
      </c>
      <c r="F19" s="29">
        <f>IF(H19&lt;$K$9,0,INDEX(budget,MATCH(H19,budget,1)))</f>
        <v>0</v>
      </c>
      <c r="G19" s="27">
        <f>IF(H19&lt;$K$9,$K$9,INDEX(budget,MATCH(H19,budget,1)+1))</f>
        <v>7000000000</v>
      </c>
      <c r="H19" s="27">
        <f>C3</f>
        <v>0</v>
      </c>
      <c r="I19" s="83">
        <v>11</v>
      </c>
      <c r="J19" s="26" t="s">
        <v>104</v>
      </c>
      <c r="K19" s="39">
        <v>0.105</v>
      </c>
      <c r="L19" s="39">
        <v>7.3999999999999996E-2</v>
      </c>
      <c r="M19" s="39">
        <v>6.6000000000000003E-2</v>
      </c>
      <c r="N19" s="39">
        <v>5.8999999999999997E-2</v>
      </c>
      <c r="O19" s="43">
        <v>4.7E-2</v>
      </c>
      <c r="P19" s="39">
        <v>3.5000000000000003E-2</v>
      </c>
      <c r="Q19" s="39">
        <v>0.03</v>
      </c>
      <c r="R19" s="39">
        <v>2.5999999999999999E-2</v>
      </c>
      <c r="S19" s="39">
        <v>1.52E-2</v>
      </c>
      <c r="T19" s="39">
        <v>1.4200000000000001E-2</v>
      </c>
    </row>
    <row r="20" spans="1:20">
      <c r="A20" s="26" t="s">
        <v>105</v>
      </c>
      <c r="B20" s="27" t="e">
        <f>IF(C20*H20/100&lt;2000000,2000000,C20*H20/100)</f>
        <v>#REF!</v>
      </c>
      <c r="C20" s="28" t="e">
        <f>E20-(E20-D20)*(H20-G20)/(F20-G20)</f>
        <v>#REF!</v>
      </c>
      <c r="D20" s="28" t="e">
        <f>IF(F20=0,K20,HLOOKUP(F20,dinhmuc,$I20,TRUE))</f>
        <v>#REF!</v>
      </c>
      <c r="E20" s="28" t="e">
        <f>IF(G20=0,L20,HLOOKUP(G20,dinhmuc,$I20,TRUE))</f>
        <v>#REF!</v>
      </c>
      <c r="F20" s="29" t="e">
        <f>IF(H20&lt;$K$9,0,INDEX(budget,MATCH(H20,budget,1)))</f>
        <v>#REF!</v>
      </c>
      <c r="G20" s="27" t="e">
        <f>IF(H20&lt;$K$9,$K$9,INDEX(budget,MATCH(H20,budget,1)+1))</f>
        <v>#REF!</v>
      </c>
      <c r="H20" s="27" t="e">
        <f>C4</f>
        <v>#REF!</v>
      </c>
      <c r="I20" s="83">
        <v>12</v>
      </c>
      <c r="J20" s="26" t="s">
        <v>106</v>
      </c>
      <c r="K20" s="39">
        <v>0.126</v>
      </c>
      <c r="L20" s="39">
        <v>8.7999999999999995E-2</v>
      </c>
      <c r="M20" s="39">
        <v>8.5000000000000006E-2</v>
      </c>
      <c r="N20" s="39">
        <v>7.6999999999999999E-2</v>
      </c>
      <c r="O20" s="43">
        <v>6.5000000000000002E-2</v>
      </c>
      <c r="P20" s="39">
        <v>5.0999999999999997E-2</v>
      </c>
      <c r="Q20" s="39">
        <v>4.2000000000000003E-2</v>
      </c>
      <c r="R20" s="39">
        <v>3.5999999999999997E-2</v>
      </c>
      <c r="S20" s="39" t="s">
        <v>117</v>
      </c>
      <c r="T20" s="39"/>
    </row>
    <row r="21" spans="1:20" ht="42.75">
      <c r="A21" s="21" t="s">
        <v>119</v>
      </c>
      <c r="B21" s="22" t="e">
        <f>SUM(B22:B23)</f>
        <v>#REF!</v>
      </c>
      <c r="C21" s="31"/>
      <c r="D21" s="31"/>
      <c r="E21" s="31"/>
      <c r="F21" s="32"/>
      <c r="G21" s="22"/>
      <c r="H21" s="22"/>
      <c r="I21" s="83">
        <v>13</v>
      </c>
      <c r="J21" s="35" t="s">
        <v>243</v>
      </c>
      <c r="K21" s="41"/>
      <c r="L21" s="41"/>
      <c r="M21" s="41"/>
      <c r="N21" s="41"/>
      <c r="O21" s="41"/>
      <c r="P21" s="41"/>
      <c r="Q21" s="41"/>
      <c r="R21" s="41"/>
      <c r="S21" s="41"/>
      <c r="T21" s="42"/>
    </row>
    <row r="22" spans="1:20">
      <c r="A22" s="26" t="s">
        <v>103</v>
      </c>
      <c r="B22" s="27">
        <v>0</v>
      </c>
      <c r="C22" s="28">
        <f>E22-(E22-D22)*(H22-G22)/(F22-G22)</f>
        <v>8.6999999999999744E-2</v>
      </c>
      <c r="D22" s="28">
        <f>IF(F22=0,K22,HLOOKUP(F22,dinhmuc,$I22,TRUE))</f>
        <v>8.6999999999999994E-2</v>
      </c>
      <c r="E22" s="28">
        <f>IF(G22=0,L22,HLOOKUP(G22,dinhmuc,$I22,TRUE))</f>
        <v>1.4990000000000001</v>
      </c>
      <c r="F22" s="29">
        <f>IF(H22&lt;$K$9,0,INDEX(budget,MATCH(H22,budget,1)))</f>
        <v>0</v>
      </c>
      <c r="G22" s="27">
        <f>IF(H22&lt;$K$9,$K$9,INDEX(budget,MATCH(H22,budget,1)+1))</f>
        <v>7000000000</v>
      </c>
      <c r="H22" s="27">
        <f>C3</f>
        <v>0</v>
      </c>
      <c r="I22" s="83">
        <v>14</v>
      </c>
      <c r="J22" s="26" t="s">
        <v>104</v>
      </c>
      <c r="K22" s="39">
        <v>8.6999999999999994E-2</v>
      </c>
      <c r="L22" s="39">
        <v>6.0999999999999999E-2</v>
      </c>
      <c r="M22" s="39">
        <v>5.3999999999999999E-2</v>
      </c>
      <c r="N22" s="39">
        <v>4.2999999999999997E-2</v>
      </c>
      <c r="O22" s="39">
        <v>0.03</v>
      </c>
      <c r="P22" s="39">
        <v>2.1999999999999999E-2</v>
      </c>
      <c r="Q22" s="39">
        <v>1.9E-2</v>
      </c>
      <c r="R22" s="39">
        <v>1.6E-2</v>
      </c>
      <c r="S22" s="39">
        <v>1.0999999999999999E-2</v>
      </c>
      <c r="T22" s="39">
        <v>8.0000000000000002E-3</v>
      </c>
    </row>
    <row r="23" spans="1:20">
      <c r="A23" s="26" t="s">
        <v>105</v>
      </c>
      <c r="B23" s="27" t="e">
        <f>IF(C23*H23/100&lt;2000000,2000000,C23*H23/100)</f>
        <v>#REF!</v>
      </c>
      <c r="C23" s="28" t="e">
        <f>E23-(E23-D23)*(H23-G23)/(F23-G23)</f>
        <v>#REF!</v>
      </c>
      <c r="D23" s="28" t="e">
        <f>IF(F23=0,K23,HLOOKUP(F23,dinhmuc,$I23,TRUE))</f>
        <v>#REF!</v>
      </c>
      <c r="E23" s="28" t="e">
        <f>IF(G23=0,L23,HLOOKUP(G23,dinhmuc,$I23,TRUE))</f>
        <v>#REF!</v>
      </c>
      <c r="F23" s="29" t="e">
        <f>IF(H23&lt;$K$9,0,INDEX(budget,MATCH(H23,budget,1)))</f>
        <v>#REF!</v>
      </c>
      <c r="G23" s="27" t="e">
        <f>IF(H23&lt;$K$9,$K$9,INDEX(budget,MATCH(H23,budget,1)+1))</f>
        <v>#REF!</v>
      </c>
      <c r="H23" s="27" t="e">
        <f>H11</f>
        <v>#REF!</v>
      </c>
      <c r="I23" s="83">
        <v>15</v>
      </c>
      <c r="J23" s="26" t="s">
        <v>106</v>
      </c>
      <c r="K23" s="39">
        <v>9.5000000000000001E-2</v>
      </c>
      <c r="L23" s="39">
        <v>6.6000000000000003E-2</v>
      </c>
      <c r="M23" s="39">
        <v>5.8999999999999997E-2</v>
      </c>
      <c r="N23" s="39">
        <v>4.7E-2</v>
      </c>
      <c r="O23" s="39">
        <v>3.2000000000000001E-2</v>
      </c>
      <c r="P23" s="39">
        <v>2.4E-2</v>
      </c>
      <c r="Q23" s="39">
        <v>0.02</v>
      </c>
      <c r="R23" s="39">
        <v>1.7000000000000001E-2</v>
      </c>
      <c r="S23" s="39"/>
      <c r="T23" s="39"/>
    </row>
    <row r="24" spans="1:20" ht="42.75">
      <c r="A24" s="21" t="s">
        <v>121</v>
      </c>
      <c r="B24" s="22" t="e">
        <f>SUM(B25:B26)</f>
        <v>#REF!</v>
      </c>
      <c r="C24" s="31"/>
      <c r="D24" s="31"/>
      <c r="E24" s="31"/>
      <c r="F24" s="32"/>
      <c r="G24" s="22"/>
      <c r="H24" s="22"/>
      <c r="I24" s="83">
        <v>16</v>
      </c>
      <c r="J24" s="21" t="s">
        <v>244</v>
      </c>
      <c r="K24" s="21"/>
      <c r="L24" s="21"/>
      <c r="M24" s="21"/>
      <c r="N24" s="21"/>
      <c r="O24" s="21"/>
      <c r="P24" s="21"/>
      <c r="Q24" s="21"/>
      <c r="R24" s="21"/>
      <c r="S24" s="21"/>
      <c r="T24" s="21"/>
    </row>
    <row r="25" spans="1:20">
      <c r="A25" s="26" t="s">
        <v>103</v>
      </c>
      <c r="B25" s="27">
        <v>0</v>
      </c>
      <c r="C25" s="39">
        <f>E25-(E25-D25)*(H25-G25)/(F25-G25)</f>
        <v>7.8E-2</v>
      </c>
      <c r="D25" s="28">
        <f>IF(F25=0,K25,HLOOKUP(F25,dinhmuc,$I25,TRUE))</f>
        <v>7.8E-2</v>
      </c>
      <c r="E25" s="28">
        <f>IF(G25=0,L25,HLOOKUP(G25,dinhmuc,$I25,TRUE))</f>
        <v>0.105</v>
      </c>
      <c r="F25" s="29">
        <f>IF(H25&lt;$K$9,0,INDEX(budget,MATCH(H25,budget,1)))</f>
        <v>0</v>
      </c>
      <c r="G25" s="27">
        <f>IF(H25&lt;$K$9,$K$9,INDEX(budget,MATCH(H25,budget,1)+1))</f>
        <v>7000000000</v>
      </c>
      <c r="H25" s="27">
        <f>C3</f>
        <v>0</v>
      </c>
      <c r="I25" s="83">
        <v>17</v>
      </c>
      <c r="J25" s="26" t="s">
        <v>104</v>
      </c>
      <c r="K25" s="39">
        <v>7.8E-2</v>
      </c>
      <c r="L25" s="39">
        <v>0.05</v>
      </c>
      <c r="M25" s="39">
        <v>4.3999999999999997E-2</v>
      </c>
      <c r="N25" s="39">
        <v>3.4000000000000002E-2</v>
      </c>
      <c r="O25" s="39">
        <v>2.5999999999999999E-2</v>
      </c>
      <c r="P25" s="39">
        <v>1.7999999999999999E-2</v>
      </c>
      <c r="Q25" s="39">
        <v>1.4999999999999999E-2</v>
      </c>
      <c r="R25" s="39">
        <v>1.2999999999999999E-2</v>
      </c>
      <c r="S25" s="39">
        <v>0.01</v>
      </c>
      <c r="T25" s="39">
        <v>7.0000000000000001E-3</v>
      </c>
    </row>
    <row r="26" spans="1:20">
      <c r="A26" s="26" t="s">
        <v>105</v>
      </c>
      <c r="B26" s="27" t="e">
        <f>IF(C26*H26/100&lt;2000000,2000000,C26*H26/100)</f>
        <v>#REF!</v>
      </c>
      <c r="C26" s="39" t="e">
        <f>E26-(E26-D26)*(H26-G26)/(F26-G26)</f>
        <v>#REF!</v>
      </c>
      <c r="D26" s="28" t="e">
        <f>IF(F26=0,K26,HLOOKUP(F26,dinhmuc,$I26,TRUE))</f>
        <v>#REF!</v>
      </c>
      <c r="E26" s="28" t="e">
        <f>IF(G26=0,L26,HLOOKUP(G26,dinhmuc,$I26,TRUE))</f>
        <v>#REF!</v>
      </c>
      <c r="F26" s="29" t="e">
        <f>IF(H26&lt;$K$9,0,INDEX(budget,MATCH(H26,budget,1)))</f>
        <v>#REF!</v>
      </c>
      <c r="G26" s="27" t="e">
        <f>IF(H26&lt;$K$9,$K$9,INDEX(budget,MATCH(H26,budget,1)+1))</f>
        <v>#REF!</v>
      </c>
      <c r="H26" s="44" t="e">
        <f>H11</f>
        <v>#REF!</v>
      </c>
      <c r="I26" s="83">
        <v>18</v>
      </c>
      <c r="J26" s="26" t="s">
        <v>106</v>
      </c>
      <c r="K26" s="39">
        <v>8.5000000000000006E-2</v>
      </c>
      <c r="L26" s="39">
        <v>5.3999999999999999E-2</v>
      </c>
      <c r="M26" s="39">
        <v>4.8000000000000001E-2</v>
      </c>
      <c r="N26" s="39">
        <v>3.6999999999999998E-2</v>
      </c>
      <c r="O26" s="39">
        <v>2.8000000000000001E-2</v>
      </c>
      <c r="P26" s="39">
        <v>1.9E-2</v>
      </c>
      <c r="Q26" s="39">
        <v>1.6E-2</v>
      </c>
      <c r="R26" s="39">
        <v>1.4E-2</v>
      </c>
      <c r="S26" s="39"/>
      <c r="T26" s="39"/>
    </row>
    <row r="27" spans="1:20" ht="28.5">
      <c r="A27" s="21" t="s">
        <v>123</v>
      </c>
      <c r="B27" s="45">
        <f>B28</f>
        <v>0</v>
      </c>
      <c r="C27" s="46"/>
      <c r="D27" s="46"/>
      <c r="E27" s="46"/>
      <c r="F27" s="32"/>
      <c r="G27" s="45"/>
      <c r="H27" s="45"/>
      <c r="I27" s="83">
        <v>19</v>
      </c>
      <c r="J27" s="21" t="s">
        <v>245</v>
      </c>
      <c r="K27" s="21"/>
      <c r="L27" s="21"/>
      <c r="M27" s="21"/>
      <c r="N27" s="21"/>
      <c r="O27" s="21"/>
      <c r="P27" s="21"/>
      <c r="Q27" s="21"/>
      <c r="R27" s="21"/>
      <c r="S27" s="21"/>
      <c r="T27" s="21"/>
    </row>
    <row r="28" spans="1:20">
      <c r="A28" s="26" t="s">
        <v>103</v>
      </c>
      <c r="B28" s="27">
        <f>C28*H28/100</f>
        <v>0</v>
      </c>
      <c r="C28" s="39">
        <f>E28-(E28-D28)*(H28-G28)/(F28-G28)</f>
        <v>0.36199999999999999</v>
      </c>
      <c r="D28" s="28">
        <f>IF(F28=0,K28,HLOOKUP(F28,dinhmuc,$I28,TRUE))</f>
        <v>0.36199999999999999</v>
      </c>
      <c r="E28" s="28">
        <f>IF(G28=0,L28,HLOOKUP(G28,dinhmuc,$I28,TRUE))</f>
        <v>0</v>
      </c>
      <c r="F28" s="29">
        <f>IF(H28&lt;$K$9,0,INDEX(budget,MATCH(H28,budget,1)))</f>
        <v>0</v>
      </c>
      <c r="G28" s="27">
        <f>IF(H28&lt;$K$9,$K$9,INDEX(budget,MATCH(H28,budget,1)+1))</f>
        <v>7000000000</v>
      </c>
      <c r="H28" s="27">
        <v>0</v>
      </c>
      <c r="I28" s="83">
        <v>20</v>
      </c>
      <c r="J28" s="26" t="s">
        <v>104</v>
      </c>
      <c r="K28" s="39">
        <v>0.36199999999999999</v>
      </c>
      <c r="L28" s="39">
        <v>0.33900000000000002</v>
      </c>
      <c r="M28" s="39">
        <v>0.30499999999999999</v>
      </c>
      <c r="N28" s="39">
        <v>0.255</v>
      </c>
      <c r="O28" s="39">
        <v>0.16400000000000001</v>
      </c>
      <c r="P28" s="39">
        <v>9.9000000000000005E-2</v>
      </c>
      <c r="Q28" s="39">
        <v>7.9000000000000001E-2</v>
      </c>
      <c r="R28" s="39">
        <v>6.3E-2</v>
      </c>
      <c r="S28" s="39">
        <v>4.7E-2</v>
      </c>
      <c r="T28" s="39">
        <v>2.8000000000000001E-2</v>
      </c>
    </row>
    <row r="29" spans="1:20" ht="42.75">
      <c r="A29" s="35" t="s">
        <v>125</v>
      </c>
      <c r="B29" s="22" t="e">
        <f>SUM(B30:B31)</f>
        <v>#REF!</v>
      </c>
      <c r="C29" s="36"/>
      <c r="D29" s="36"/>
      <c r="E29" s="36"/>
      <c r="F29" s="37"/>
      <c r="G29" s="38"/>
      <c r="H29" s="38"/>
      <c r="I29" s="83">
        <v>21</v>
      </c>
      <c r="J29" s="21" t="s">
        <v>246</v>
      </c>
      <c r="K29" s="21"/>
      <c r="L29" s="21"/>
      <c r="M29" s="21"/>
      <c r="N29" s="21"/>
      <c r="O29" s="21"/>
      <c r="P29" s="21"/>
      <c r="Q29" s="21"/>
      <c r="R29" s="21"/>
      <c r="S29" s="21"/>
      <c r="T29" s="21"/>
    </row>
    <row r="30" spans="1:20">
      <c r="A30" s="26" t="s">
        <v>103</v>
      </c>
      <c r="B30" s="27">
        <f>C30*H30/100</f>
        <v>0</v>
      </c>
      <c r="C30" s="39">
        <f>E30-(E30-D30)*(H30-G30)/(F30-G30)</f>
        <v>0.28299999999999997</v>
      </c>
      <c r="D30" s="28">
        <f>IF(F30=0,K30,HLOOKUP(F30,dinhmuc,$I30,TRUE))</f>
        <v>0.28299999999999997</v>
      </c>
      <c r="E30" s="28">
        <f>IF(G30=0,L30,HLOOKUP(G30,dinhmuc,$I30,TRUE))</f>
        <v>0</v>
      </c>
      <c r="F30" s="29">
        <f>IF(H30&lt;$K$9,0,INDEX(budget,MATCH(H30,budget,1)))</f>
        <v>0</v>
      </c>
      <c r="G30" s="27">
        <f>IF(H30&lt;$K$9,$K$9,INDEX(budget,MATCH(H30,budget,1)+1))</f>
        <v>7000000000</v>
      </c>
      <c r="H30" s="27">
        <f>C3</f>
        <v>0</v>
      </c>
      <c r="I30" s="83">
        <v>22</v>
      </c>
      <c r="J30" s="26" t="s">
        <v>104</v>
      </c>
      <c r="K30" s="39">
        <v>0.28299999999999997</v>
      </c>
      <c r="L30" s="39">
        <v>0.22800000000000001</v>
      </c>
      <c r="M30" s="39">
        <v>0.20599999999999999</v>
      </c>
      <c r="N30" s="39">
        <v>0.17199999999999999</v>
      </c>
      <c r="O30" s="39">
        <v>0.12</v>
      </c>
      <c r="P30" s="39">
        <v>7.8E-2</v>
      </c>
      <c r="Q30" s="39">
        <v>7.1999999999999995E-2</v>
      </c>
      <c r="R30" s="39">
        <v>6.4000000000000001E-2</v>
      </c>
      <c r="S30" s="39">
        <v>5.2999999999999999E-2</v>
      </c>
      <c r="T30" s="39">
        <v>4.1000000000000002E-2</v>
      </c>
    </row>
    <row r="31" spans="1:20">
      <c r="A31" s="33" t="s">
        <v>105</v>
      </c>
      <c r="B31" s="27" t="e">
        <f>C31*H31/100</f>
        <v>#REF!</v>
      </c>
      <c r="C31" s="39" t="e">
        <f>E31-(E31-D31)*(H31-G31)/(F31-G31)</f>
        <v>#REF!</v>
      </c>
      <c r="D31" s="28" t="e">
        <f>IF(F31=0,K31,HLOOKUP(F31,dinhmuc,$I31,TRUE))</f>
        <v>#REF!</v>
      </c>
      <c r="E31" s="28" t="e">
        <f>IF(G31=0,L31,HLOOKUP(G31,dinhmuc,$I31,TRUE))</f>
        <v>#REF!</v>
      </c>
      <c r="F31" s="29" t="e">
        <f>IF(H31&lt;$K$9,0,INDEX(budget,MATCH(H31,budget,1)))</f>
        <v>#REF!</v>
      </c>
      <c r="G31" s="27" t="e">
        <f>IF(H31&lt;$K$9,$K$9,INDEX(budget,MATCH(H31,budget,1)+1))</f>
        <v>#REF!</v>
      </c>
      <c r="H31" s="47" t="e">
        <f>H11</f>
        <v>#REF!</v>
      </c>
      <c r="I31" s="83">
        <v>23</v>
      </c>
      <c r="J31" s="33" t="s">
        <v>106</v>
      </c>
      <c r="K31" s="48">
        <v>0.40500000000000003</v>
      </c>
      <c r="L31" s="48">
        <v>0.33600000000000002</v>
      </c>
      <c r="M31" s="48">
        <v>0.311</v>
      </c>
      <c r="N31" s="48">
        <v>0.26500000000000001</v>
      </c>
      <c r="O31" s="48">
        <v>0.182</v>
      </c>
      <c r="P31" s="48">
        <v>0.11899999999999999</v>
      </c>
      <c r="Q31" s="48">
        <v>0.109</v>
      </c>
      <c r="R31" s="48">
        <v>0.10199999999999999</v>
      </c>
      <c r="S31" s="48"/>
      <c r="T31" s="48"/>
    </row>
    <row r="32" spans="1:20" ht="42.75">
      <c r="A32" s="24" t="s">
        <v>247</v>
      </c>
      <c r="B32" s="49" t="e">
        <f>SUM(B33:B34)</f>
        <v>#REF!</v>
      </c>
      <c r="C32" s="50"/>
      <c r="D32" s="50"/>
      <c r="E32" s="50"/>
      <c r="F32" s="51"/>
      <c r="G32" s="49"/>
      <c r="H32" s="49"/>
      <c r="I32" s="83">
        <v>24</v>
      </c>
      <c r="J32" s="52" t="s">
        <v>248</v>
      </c>
      <c r="K32" s="53"/>
      <c r="L32" s="53"/>
      <c r="M32" s="53"/>
      <c r="N32" s="53"/>
      <c r="O32" s="53"/>
      <c r="P32" s="53"/>
      <c r="Q32" s="53"/>
      <c r="R32" s="53"/>
      <c r="S32" s="53"/>
      <c r="T32" s="54"/>
    </row>
    <row r="33" spans="1:20">
      <c r="A33" s="26" t="s">
        <v>103</v>
      </c>
      <c r="B33" s="27">
        <f>C33*H33/100</f>
        <v>0</v>
      </c>
      <c r="C33" s="28">
        <f>E33-(E33-D33)*(H33-G33)/(F33-G33)</f>
        <v>0.71799999999999997</v>
      </c>
      <c r="D33" s="28">
        <f>IF(F33=0,K33,HLOOKUP(F33,dinhmuc,$I33,TRUE))</f>
        <v>0.71799999999999997</v>
      </c>
      <c r="E33" s="28">
        <f>IF(G33=0,L33,HLOOKUP(G33,dinhmuc,$I33,TRUE))</f>
        <v>0</v>
      </c>
      <c r="F33" s="29">
        <f>IF(H33&lt;$K$9,0,INDEX(budget,MATCH(H33,budget,1)))</f>
        <v>0</v>
      </c>
      <c r="G33" s="27">
        <f>IF(H33&lt;$K$9,$K$9,INDEX(budget,MATCH(H33,budget,1)+1))</f>
        <v>7000000000</v>
      </c>
      <c r="H33" s="27">
        <f>C3</f>
        <v>0</v>
      </c>
      <c r="I33" s="83">
        <v>25</v>
      </c>
      <c r="J33" s="26" t="s">
        <v>104</v>
      </c>
      <c r="K33" s="39">
        <v>0.71799999999999997</v>
      </c>
      <c r="L33" s="39">
        <v>0.60199999999999998</v>
      </c>
      <c r="M33" s="39">
        <v>0.58299999999999996</v>
      </c>
      <c r="N33" s="39">
        <v>0.52329999999999999</v>
      </c>
      <c r="O33" s="39">
        <v>0.46800000000000003</v>
      </c>
      <c r="P33" s="39">
        <v>0.311</v>
      </c>
      <c r="Q33" s="39">
        <v>0.27800000000000002</v>
      </c>
      <c r="R33" s="39">
        <v>0.25</v>
      </c>
      <c r="S33" s="39">
        <v>0.217</v>
      </c>
      <c r="T33" s="39">
        <v>0.14299999999999999</v>
      </c>
    </row>
    <row r="34" spans="1:20">
      <c r="A34" s="26" t="s">
        <v>105</v>
      </c>
      <c r="B34" s="27" t="e">
        <f>C34*H34/100</f>
        <v>#REF!</v>
      </c>
      <c r="C34" s="28" t="e">
        <f>E34-(E34-D34)*(H34-G34)/(F34-G34)</f>
        <v>#REF!</v>
      </c>
      <c r="D34" s="28" t="e">
        <f>IF(F34=0,K34,HLOOKUP(F34,dinhmuc,$I34,TRUE))</f>
        <v>#REF!</v>
      </c>
      <c r="E34" s="28" t="e">
        <f>IF(G34=0,L34,HLOOKUP(G34,dinhmuc,$I34,TRUE))</f>
        <v>#REF!</v>
      </c>
      <c r="F34" s="29" t="e">
        <f>IF(H34&lt;$K$9,0,INDEX(budget,MATCH(H34,budget,1)))</f>
        <v>#REF!</v>
      </c>
      <c r="G34" s="27" t="e">
        <f>IF(H34&lt;$K$9,$K$9,INDEX(budget,MATCH(H34,budget,1)+1))</f>
        <v>#REF!</v>
      </c>
      <c r="H34" s="27" t="e">
        <f>H11</f>
        <v>#REF!</v>
      </c>
      <c r="I34" s="83">
        <v>26</v>
      </c>
      <c r="J34" s="26" t="s">
        <v>106</v>
      </c>
      <c r="K34" s="39">
        <v>2.0630000000000002</v>
      </c>
      <c r="L34" s="39">
        <v>1.931</v>
      </c>
      <c r="M34" s="39">
        <v>1.833</v>
      </c>
      <c r="N34" s="39">
        <v>1.736</v>
      </c>
      <c r="O34" s="39">
        <v>1.595</v>
      </c>
      <c r="P34" s="39">
        <v>1.22</v>
      </c>
      <c r="Q34" s="39">
        <v>1.091</v>
      </c>
      <c r="R34" s="39">
        <v>0.95599999999999996</v>
      </c>
      <c r="S34" s="39"/>
      <c r="T34" s="39"/>
    </row>
    <row r="35" spans="1:20" ht="16.5">
      <c r="A35" s="7" t="s">
        <v>129</v>
      </c>
      <c r="B35" s="55" t="e">
        <f>H35*C35/100</f>
        <v>#REF!</v>
      </c>
      <c r="C35" s="56">
        <v>0.05</v>
      </c>
      <c r="D35" s="57"/>
      <c r="E35" s="57"/>
      <c r="F35" s="58"/>
      <c r="G35" s="55"/>
      <c r="H35" s="59" t="e">
        <f>#REF!</f>
        <v>#REF!</v>
      </c>
      <c r="J35" s="284" t="s">
        <v>249</v>
      </c>
      <c r="K35" s="284"/>
      <c r="L35" s="284"/>
      <c r="M35" s="284"/>
      <c r="N35" s="284"/>
    </row>
    <row r="36" spans="1:20" ht="16.5">
      <c r="A36" s="7" t="s">
        <v>131</v>
      </c>
      <c r="B36" s="55" t="e">
        <f>H36*C36/100</f>
        <v>#REF!</v>
      </c>
      <c r="C36" s="56">
        <v>0.05</v>
      </c>
      <c r="D36" s="57"/>
      <c r="E36" s="57"/>
      <c r="F36" s="58"/>
      <c r="G36" s="55"/>
      <c r="H36" s="59" t="e">
        <f>H35</f>
        <v>#REF!</v>
      </c>
      <c r="I36" s="83">
        <v>1</v>
      </c>
      <c r="J36" s="60" t="s">
        <v>132</v>
      </c>
      <c r="K36" s="61">
        <v>5000000000</v>
      </c>
      <c r="L36" s="61">
        <v>10000000000</v>
      </c>
      <c r="M36" s="61">
        <v>50000000000</v>
      </c>
      <c r="N36" s="61">
        <v>100000000000</v>
      </c>
      <c r="O36" s="61">
        <v>500000000000</v>
      </c>
      <c r="P36" s="61">
        <v>1000000000000</v>
      </c>
      <c r="Q36" s="61">
        <v>10000000000000</v>
      </c>
      <c r="R36" s="62"/>
      <c r="S36" s="61">
        <v>10000000000000</v>
      </c>
      <c r="T36" s="62"/>
    </row>
    <row r="37" spans="1:20">
      <c r="A37" s="63" t="s">
        <v>133</v>
      </c>
      <c r="B37" s="11">
        <f>H37*C37/100*70%</f>
        <v>22428000</v>
      </c>
      <c r="C37" s="64">
        <f>E37-(E37-D37)*(H37-G37)/(F37-G37)</f>
        <v>0.53400000000000003</v>
      </c>
      <c r="D37" s="28">
        <f>IF(F37=0,K37,HLOOKUP(F37,pdqt,$I37,TRUE))</f>
        <v>0.56999999999999995</v>
      </c>
      <c r="E37" s="28">
        <f>IF(G37=0,L37,HLOOKUP(G37,pdqt,$I37,TRUE))</f>
        <v>0.39</v>
      </c>
      <c r="F37" s="29">
        <f>IF(H37&lt;$K$36,0,INDEX(budget2,MATCH(H37,budget2,1)))</f>
        <v>5000000000</v>
      </c>
      <c r="G37" s="29">
        <f>IF(H37&lt;$K$36,$K$36,INDEX(budget2,MATCH(H37,budget2,1)+1))</f>
        <v>10000000000</v>
      </c>
      <c r="H37" s="65">
        <v>6000000000</v>
      </c>
      <c r="I37" s="83">
        <v>2</v>
      </c>
      <c r="J37" s="26" t="s">
        <v>134</v>
      </c>
      <c r="K37" s="66">
        <v>0.95</v>
      </c>
      <c r="L37" s="66">
        <v>0.65</v>
      </c>
      <c r="M37" s="66">
        <v>0.47499999999999998</v>
      </c>
      <c r="N37" s="66">
        <v>0.375</v>
      </c>
      <c r="O37" s="66">
        <v>0.22500000000000001</v>
      </c>
      <c r="P37" s="66">
        <v>0.15</v>
      </c>
      <c r="Q37" s="66">
        <v>0.08</v>
      </c>
      <c r="S37" s="66">
        <v>3.2000000000000001E-2</v>
      </c>
    </row>
    <row r="38" spans="1:20">
      <c r="A38" s="17" t="s">
        <v>135</v>
      </c>
      <c r="B38" s="11">
        <f>H38*C38/100*70%</f>
        <v>37674000</v>
      </c>
      <c r="C38" s="64">
        <f>E38-(E38-D38)*(H38-G38)/(F38-G38)</f>
        <v>0.89700000000000002</v>
      </c>
      <c r="D38" s="28">
        <f>IF(F38=0,K38,HLOOKUP(F38,pdqt,$I38,TRUE))</f>
        <v>0.96</v>
      </c>
      <c r="E38" s="28">
        <f>IF(G38=0,L38,HLOOKUP(G38,pdqt,$I38,TRUE))</f>
        <v>0.64500000000000002</v>
      </c>
      <c r="F38" s="29">
        <f>IF(H38&lt;$K$36,0,INDEX(budget2,MATCH(H38,budget2,1)))</f>
        <v>5000000000</v>
      </c>
      <c r="G38" s="29">
        <f>IF(H38&lt;$K$36,$K$36,INDEX(budget2,MATCH(H38,budget2,1)+1))</f>
        <v>10000000000</v>
      </c>
      <c r="H38" s="65">
        <f>H37</f>
        <v>6000000000</v>
      </c>
      <c r="I38" s="83">
        <v>3</v>
      </c>
      <c r="J38" s="26" t="s">
        <v>136</v>
      </c>
      <c r="K38" s="66">
        <v>1.6</v>
      </c>
      <c r="L38" s="66">
        <v>1.075</v>
      </c>
      <c r="M38" s="66">
        <v>0.75</v>
      </c>
      <c r="N38" s="66">
        <v>0.57499999999999996</v>
      </c>
      <c r="O38" s="66">
        <v>0.32500000000000001</v>
      </c>
      <c r="P38" s="66">
        <v>0.215</v>
      </c>
      <c r="Q38" s="66">
        <v>0.115</v>
      </c>
      <c r="S38" s="66">
        <v>4.5999999999999999E-2</v>
      </c>
    </row>
    <row r="39" spans="1:20">
      <c r="A39" s="288"/>
      <c r="B39" s="288"/>
      <c r="C39" s="288"/>
      <c r="D39" s="288"/>
      <c r="E39" s="288"/>
      <c r="F39" s="288"/>
      <c r="G39" s="288"/>
      <c r="H39" s="288"/>
    </row>
  </sheetData>
  <sheetProtection formatCells="0" formatColumns="0" formatRows="0" insertColumns="0" insertRows="0" insertHyperlinks="0" deleteColumns="0" deleteRows="0" sort="0" autoFilter="0" pivotTables="0"/>
  <mergeCells count="5">
    <mergeCell ref="A6:H6"/>
    <mergeCell ref="J6:N6"/>
    <mergeCell ref="K8:T8"/>
    <mergeCell ref="J35:N35"/>
    <mergeCell ref="A39:H39"/>
  </mergeCells>
  <pageMargins left="0.46" right="0.7" top="0.71" bottom="0.75" header="0.3" footer="0.3"/>
  <pageSetup paperSize="9" scale="60"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4</vt:i4>
      </vt:variant>
    </vt:vector>
  </HeadingPairs>
  <TitlesOfParts>
    <vt:vector size="14" baseType="lpstr">
      <vt:lpstr>Khối lượng tài liệu</vt:lpstr>
      <vt:lpstr>TDT</vt:lpstr>
      <vt:lpstr>Ty le tv</vt:lpstr>
      <vt:lpstr>CP Kiểm thử</vt:lpstr>
      <vt:lpstr>UC Detail</vt:lpstr>
      <vt:lpstr>CPSH</vt:lpstr>
      <vt:lpstr>Khối lượng dự toán</vt:lpstr>
      <vt:lpstr>Báo cáo khảo sát</vt:lpstr>
      <vt:lpstr>Hạ tầng</vt:lpstr>
      <vt:lpstr>Ty le tv (so hoa)</vt:lpstr>
      <vt:lpstr>budget</vt:lpstr>
      <vt:lpstr>budget2</vt:lpstr>
      <vt:lpstr>dinhmuc</vt:lpstr>
      <vt:lpstr>pdqt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2023-10-24T04:24:09Z</dcterms:created>
  <dcterms:modified xsi:type="dcterms:W3CDTF">2026-03-30T04:44:40Z</dcterms:modified>
  <cp:category/>
  <cp:contentStatus/>
</cp:coreProperties>
</file>
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FE14EB3E-3B8A-4DCC-9A59-73989B0835E8}" xr6:coauthVersionLast="47" xr6:coauthVersionMax="47" xr10:uidLastSave="{00000000-0000-0000-0000-000000000000}"/>
  <bookViews>
    <workbookView xWindow="-120" yWindow="-120" windowWidth="20730" windowHeight="11160" tabRatio="819" firstSheet="4" activeTab="4" xr2:uid="{00000000-000D-0000-FFFF-FFFF00000000}"/>
  </bookViews>
  <sheets>
    <sheet name="Khối lượng tài liệu" sheetId="25" state="hidden" r:id="rId1"/>
    <sheet name="TDT" sheetId="33" state="hidden" r:id="rId2"/>
    <sheet name="Ty le tv" sheetId="42" state="hidden" r:id="rId3"/>
    <sheet name="CP Kiểm thử" sheetId="59" state="hidden" r:id="rId4"/>
    <sheet name="UC Detail" sheetId="68" r:id="rId5"/>
    <sheet name="CPSH" sheetId="52" state="hidden" r:id="rId6"/>
    <sheet name="Khối lượng dự toán" sheetId="61" state="hidden" r:id="rId7"/>
    <sheet name="Báo cáo khảo sát" sheetId="62" state="hidden" r:id="rId8"/>
    <sheet name="Hạ tầng" sheetId="60" state="hidden" r:id="rId9"/>
    <sheet name="Ty le tv (so hoa)" sheetId="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0" localSheetId="7">'[1]PNT-QUOT-#3'!#REF!</definedName>
    <definedName name="\0" localSheetId="6">'[1]PNT-QUOT-#3'!#REF!</definedName>
    <definedName name="\0">'[1]PNT-QUOT-#3'!#REF!</definedName>
    <definedName name="\d" localSheetId="7">#REF!</definedName>
    <definedName name="\d" localSheetId="6">#REF!</definedName>
    <definedName name="\d">#REF!</definedName>
    <definedName name="\e" localSheetId="7">#REF!</definedName>
    <definedName name="\e" localSheetId="6">#REF!</definedName>
    <definedName name="\e">#REF!</definedName>
    <definedName name="\f" localSheetId="7">#REF!</definedName>
    <definedName name="\f" localSheetId="6">#REF!</definedName>
    <definedName name="\f">#REF!</definedName>
    <definedName name="\g" localSheetId="7">#REF!</definedName>
    <definedName name="\g" localSheetId="6">#REF!</definedName>
    <definedName name="\g">#REF!</definedName>
    <definedName name="\h" localSheetId="7">#REF!</definedName>
    <definedName name="\h" localSheetId="6">#REF!</definedName>
    <definedName name="\h">#REF!</definedName>
    <definedName name="\i" localSheetId="7">#REF!</definedName>
    <definedName name="\i" localSheetId="6">#REF!</definedName>
    <definedName name="\i">#REF!</definedName>
    <definedName name="\j" localSheetId="7">#REF!</definedName>
    <definedName name="\j" localSheetId="6">#REF!</definedName>
    <definedName name="\j">#REF!</definedName>
    <definedName name="\k" localSheetId="7">#REF!</definedName>
    <definedName name="\k" localSheetId="6">#REF!</definedName>
    <definedName name="\k">#REF!</definedName>
    <definedName name="\l" localSheetId="7">#REF!</definedName>
    <definedName name="\l" localSheetId="6">#REF!</definedName>
    <definedName name="\l">#REF!</definedName>
    <definedName name="\m" localSheetId="7">#REF!</definedName>
    <definedName name="\m" localSheetId="6">#REF!</definedName>
    <definedName name="\m">#REF!</definedName>
    <definedName name="\n" localSheetId="7">#REF!</definedName>
    <definedName name="\n" localSheetId="6">#REF!</definedName>
    <definedName name="\n">#REF!</definedName>
    <definedName name="\o" localSheetId="7">#REF!</definedName>
    <definedName name="\o" localSheetId="6">#REF!</definedName>
    <definedName name="\o">#REF!</definedName>
    <definedName name="\z" localSheetId="7">'[1]COAT&amp;WRAP-QIOT-#3'!#REF!</definedName>
    <definedName name="\z" localSheetId="6">'[1]COAT&amp;WRAP-QIOT-#3'!#REF!</definedName>
    <definedName name="\z">'[1]COAT&amp;WRAP-QIOT-#3'!#REF!</definedName>
    <definedName name="____atn1" localSheetId="7">#REF!</definedName>
    <definedName name="____atn1" localSheetId="6">#REF!</definedName>
    <definedName name="____atn1">#REF!</definedName>
    <definedName name="____atn10" localSheetId="7">#REF!</definedName>
    <definedName name="____atn10" localSheetId="6">#REF!</definedName>
    <definedName name="____atn10">#REF!</definedName>
    <definedName name="____atn3" localSheetId="7">#REF!</definedName>
    <definedName name="____atn3" localSheetId="6">#REF!</definedName>
    <definedName name="____atn3">#REF!</definedName>
    <definedName name="____atn4" localSheetId="7">#REF!</definedName>
    <definedName name="____atn4" localSheetId="6">#REF!</definedName>
    <definedName name="____atn4">#REF!</definedName>
    <definedName name="____atn5" localSheetId="7">#REF!</definedName>
    <definedName name="____atn5" localSheetId="6">#REF!</definedName>
    <definedName name="____atn5">#REF!</definedName>
    <definedName name="____atn6" localSheetId="7">#REF!</definedName>
    <definedName name="____atn6" localSheetId="6">#REF!</definedName>
    <definedName name="____atn6">#REF!</definedName>
    <definedName name="____atn7" localSheetId="7">#REF!</definedName>
    <definedName name="____atn7" localSheetId="6">#REF!</definedName>
    <definedName name="____atn7">#REF!</definedName>
    <definedName name="____atn8" localSheetId="7">#REF!</definedName>
    <definedName name="____atn8" localSheetId="6">#REF!</definedName>
    <definedName name="____atn8">#REF!</definedName>
    <definedName name="____atn9" localSheetId="7">#REF!</definedName>
    <definedName name="____atn9" localSheetId="6">#REF!</definedName>
    <definedName name="____atn9">#REF!</definedName>
    <definedName name="____bac1" localSheetId="7">'[2]5%'!#REF!</definedName>
    <definedName name="____bac1" localSheetId="6">'[2]5%'!#REF!</definedName>
    <definedName name="____bac1">'[2]5%'!#REF!</definedName>
    <definedName name="____bac2" localSheetId="7">'[2]5%'!#REF!</definedName>
    <definedName name="____bac2" localSheetId="6">'[2]5%'!#REF!</definedName>
    <definedName name="____bac2">'[2]5%'!#REF!</definedName>
    <definedName name="____deo1" localSheetId="7">#REF!</definedName>
    <definedName name="____deo1" localSheetId="6">#REF!</definedName>
    <definedName name="____deo1">#REF!</definedName>
    <definedName name="____deo10" localSheetId="7">#REF!</definedName>
    <definedName name="____deo10" localSheetId="6">#REF!</definedName>
    <definedName name="____deo10">#REF!</definedName>
    <definedName name="____deo2" localSheetId="7">#REF!</definedName>
    <definedName name="____deo2" localSheetId="6">#REF!</definedName>
    <definedName name="____deo2">#REF!</definedName>
    <definedName name="____deo3" localSheetId="7">#REF!</definedName>
    <definedName name="____deo3" localSheetId="6">#REF!</definedName>
    <definedName name="____deo3">#REF!</definedName>
    <definedName name="____deo4" localSheetId="7">#REF!</definedName>
    <definedName name="____deo4" localSheetId="6">#REF!</definedName>
    <definedName name="____deo4">#REF!</definedName>
    <definedName name="____deo7" localSheetId="7">#REF!</definedName>
    <definedName name="____deo7" localSheetId="6">#REF!</definedName>
    <definedName name="____deo7">#REF!</definedName>
    <definedName name="____deo8" localSheetId="7">#REF!</definedName>
    <definedName name="____deo8" localSheetId="6">#REF!</definedName>
    <definedName name="____deo8">#REF!</definedName>
    <definedName name="____deo9" localSheetId="7">#REF!</definedName>
    <definedName name="____deo9" localSheetId="6">#REF!</definedName>
    <definedName name="____deo9">#REF!</definedName>
    <definedName name="____NPV11" localSheetId="7">'[3]Cp&gt;10-Ln&lt;10'!#REF!</definedName>
    <definedName name="____NPV11" localSheetId="6">'[3]Cp&gt;10-Ln&lt;10'!#REF!</definedName>
    <definedName name="____NPV11">'[3]Cp&gt;10-Ln&lt;10'!#REF!</definedName>
    <definedName name="____tp2" localSheetId="7">#REF!</definedName>
    <definedName name="____tp2" localSheetId="6">#REF!</definedName>
    <definedName name="____tp2">#REF!</definedName>
    <definedName name="___atn1" localSheetId="7">#REF!</definedName>
    <definedName name="___atn1" localSheetId="6">#REF!</definedName>
    <definedName name="___atn1">#REF!</definedName>
    <definedName name="___atn10" localSheetId="7">#REF!</definedName>
    <definedName name="___atn10" localSheetId="6">#REF!</definedName>
    <definedName name="___atn10">#REF!</definedName>
    <definedName name="___atn2" localSheetId="7">#REF!</definedName>
    <definedName name="___atn2" localSheetId="6">#REF!</definedName>
    <definedName name="___atn2">#REF!</definedName>
    <definedName name="___atn3" localSheetId="7">#REF!</definedName>
    <definedName name="___atn3" localSheetId="6">#REF!</definedName>
    <definedName name="___atn3">#REF!</definedName>
    <definedName name="___atn4" localSheetId="7">#REF!</definedName>
    <definedName name="___atn4" localSheetId="6">#REF!</definedName>
    <definedName name="___atn4">#REF!</definedName>
    <definedName name="___atn5" localSheetId="7">#REF!</definedName>
    <definedName name="___atn5" localSheetId="6">#REF!</definedName>
    <definedName name="___atn5">#REF!</definedName>
    <definedName name="___atn6" localSheetId="7">#REF!</definedName>
    <definedName name="___atn6" localSheetId="6">#REF!</definedName>
    <definedName name="___atn6">#REF!</definedName>
    <definedName name="___atn7" localSheetId="7">#REF!</definedName>
    <definedName name="___atn7" localSheetId="6">#REF!</definedName>
    <definedName name="___atn7">#REF!</definedName>
    <definedName name="___atn8" localSheetId="7">#REF!</definedName>
    <definedName name="___atn8" localSheetId="6">#REF!</definedName>
    <definedName name="___atn8">#REF!</definedName>
    <definedName name="___atn9" localSheetId="7">#REF!</definedName>
    <definedName name="___atn9" localSheetId="6">#REF!</definedName>
    <definedName name="___atn9">#REF!</definedName>
    <definedName name="___bac1" localSheetId="7">'[2]5%'!#REF!</definedName>
    <definedName name="___bac1" localSheetId="6">'[2]5%'!#REF!</definedName>
    <definedName name="___bac1">'[2]5%'!#REF!</definedName>
    <definedName name="___bac2" localSheetId="7">'[2]5%'!#REF!</definedName>
    <definedName name="___bac2" localSheetId="6">'[2]5%'!#REF!</definedName>
    <definedName name="___bac2">'[2]5%'!#REF!</definedName>
    <definedName name="___deo1" localSheetId="7">#REF!</definedName>
    <definedName name="___deo1" localSheetId="6">#REF!</definedName>
    <definedName name="___deo1">#REF!</definedName>
    <definedName name="___deo10" localSheetId="7">#REF!</definedName>
    <definedName name="___deo10" localSheetId="6">#REF!</definedName>
    <definedName name="___deo10">#REF!</definedName>
    <definedName name="___deo2" localSheetId="7">#REF!</definedName>
    <definedName name="___deo2" localSheetId="6">#REF!</definedName>
    <definedName name="___deo2">#REF!</definedName>
    <definedName name="___deo3" localSheetId="7">#REF!</definedName>
    <definedName name="___deo3" localSheetId="6">#REF!</definedName>
    <definedName name="___deo3">#REF!</definedName>
    <definedName name="___deo4" localSheetId="7">#REF!</definedName>
    <definedName name="___deo4" localSheetId="6">#REF!</definedName>
    <definedName name="___deo4">#REF!</definedName>
    <definedName name="___deo5" localSheetId="7">#REF!</definedName>
    <definedName name="___deo5" localSheetId="6">#REF!</definedName>
    <definedName name="___deo5">#REF!</definedName>
    <definedName name="___deo6" localSheetId="7">#REF!</definedName>
    <definedName name="___deo6" localSheetId="6">#REF!</definedName>
    <definedName name="___deo6">#REF!</definedName>
    <definedName name="___deo7" localSheetId="7">#REF!</definedName>
    <definedName name="___deo7" localSheetId="6">#REF!</definedName>
    <definedName name="___deo7">#REF!</definedName>
    <definedName name="___deo8" localSheetId="7">#REF!</definedName>
    <definedName name="___deo8" localSheetId="6">#REF!</definedName>
    <definedName name="___deo8">#REF!</definedName>
    <definedName name="___deo9" localSheetId="7">#REF!</definedName>
    <definedName name="___deo9" localSheetId="6">#REF!</definedName>
    <definedName name="___deo9">#REF!</definedName>
    <definedName name="___NPV11" localSheetId="7">'[3]Cp&gt;10-Ln&lt;10'!#REF!</definedName>
    <definedName name="___NPV11" localSheetId="6">'[3]Cp&gt;10-Ln&lt;10'!#REF!</definedName>
    <definedName name="___NPV11">'[3]Cp&gt;10-Ln&lt;10'!#REF!</definedName>
    <definedName name="___tp2" localSheetId="7">#REF!</definedName>
    <definedName name="___tp2" localSheetId="6">#REF!</definedName>
    <definedName name="___tp2">#REF!</definedName>
    <definedName name="__atn1" localSheetId="7">#REF!</definedName>
    <definedName name="__atn1" localSheetId="6">#REF!</definedName>
    <definedName name="__atn1">#REF!</definedName>
    <definedName name="__atn10" localSheetId="7">#REF!</definedName>
    <definedName name="__atn10" localSheetId="6">#REF!</definedName>
    <definedName name="__atn10">#REF!</definedName>
    <definedName name="__atn2" localSheetId="7">#REF!</definedName>
    <definedName name="__atn2" localSheetId="6">#REF!</definedName>
    <definedName name="__atn2">#REF!</definedName>
    <definedName name="__atn3" localSheetId="7">#REF!</definedName>
    <definedName name="__atn3" localSheetId="6">#REF!</definedName>
    <definedName name="__atn3">#REF!</definedName>
    <definedName name="__atn4" localSheetId="7">#REF!</definedName>
    <definedName name="__atn4" localSheetId="6">#REF!</definedName>
    <definedName name="__atn4">#REF!</definedName>
    <definedName name="__atn5" localSheetId="7">#REF!</definedName>
    <definedName name="__atn5" localSheetId="6">#REF!</definedName>
    <definedName name="__atn5">#REF!</definedName>
    <definedName name="__atn6" localSheetId="7">#REF!</definedName>
    <definedName name="__atn6" localSheetId="6">#REF!</definedName>
    <definedName name="__atn6">#REF!</definedName>
    <definedName name="__atn7" localSheetId="7">#REF!</definedName>
    <definedName name="__atn7" localSheetId="6">#REF!</definedName>
    <definedName name="__atn7">#REF!</definedName>
    <definedName name="__atn8" localSheetId="7">#REF!</definedName>
    <definedName name="__atn8" localSheetId="6">#REF!</definedName>
    <definedName name="__atn8">#REF!</definedName>
    <definedName name="__atn9" localSheetId="7">#REF!</definedName>
    <definedName name="__atn9" localSheetId="6">#REF!</definedName>
    <definedName name="__atn9">#REF!</definedName>
    <definedName name="__bac1" localSheetId="7">'[4]5%'!#REF!</definedName>
    <definedName name="__bac1" localSheetId="6">'[4]5%'!#REF!</definedName>
    <definedName name="__bac1">'[4]5%'!#REF!</definedName>
    <definedName name="__bac2" localSheetId="7">'[4]5%'!#REF!</definedName>
    <definedName name="__bac2" localSheetId="6">'[4]5%'!#REF!</definedName>
    <definedName name="__bac2">'[4]5%'!#REF!</definedName>
    <definedName name="__CON1" localSheetId="7">#REF!</definedName>
    <definedName name="__CON1" localSheetId="6">#REF!</definedName>
    <definedName name="__CON1">#REF!</definedName>
    <definedName name="__CON2" localSheetId="7">#REF!</definedName>
    <definedName name="__CON2" localSheetId="6">#REF!</definedName>
    <definedName name="__CON2">#REF!</definedName>
    <definedName name="__deo1" localSheetId="7">#REF!</definedName>
    <definedName name="__deo1" localSheetId="6">#REF!</definedName>
    <definedName name="__deo1">#REF!</definedName>
    <definedName name="__deo10" localSheetId="7">#REF!</definedName>
    <definedName name="__deo10" localSheetId="6">#REF!</definedName>
    <definedName name="__deo10">#REF!</definedName>
    <definedName name="__deo2" localSheetId="7">#REF!</definedName>
    <definedName name="__deo2" localSheetId="6">#REF!</definedName>
    <definedName name="__deo2">#REF!</definedName>
    <definedName name="__deo3" localSheetId="7">#REF!</definedName>
    <definedName name="__deo3" localSheetId="6">#REF!</definedName>
    <definedName name="__deo3">#REF!</definedName>
    <definedName name="__deo4" localSheetId="7">#REF!</definedName>
    <definedName name="__deo4" localSheetId="6">#REF!</definedName>
    <definedName name="__deo4">#REF!</definedName>
    <definedName name="__deo5" localSheetId="7">#REF!</definedName>
    <definedName name="__deo5" localSheetId="6">#REF!</definedName>
    <definedName name="__deo5">#REF!</definedName>
    <definedName name="__deo6" localSheetId="7">#REF!</definedName>
    <definedName name="__deo6" localSheetId="6">#REF!</definedName>
    <definedName name="__deo6">#REF!</definedName>
    <definedName name="__deo7" localSheetId="7">#REF!</definedName>
    <definedName name="__deo7" localSheetId="6">#REF!</definedName>
    <definedName name="__deo7">#REF!</definedName>
    <definedName name="__deo8" localSheetId="7">#REF!</definedName>
    <definedName name="__deo8" localSheetId="6">#REF!</definedName>
    <definedName name="__deo8">#REF!</definedName>
    <definedName name="__deo9" localSheetId="7">#REF!</definedName>
    <definedName name="__deo9" localSheetId="6">#REF!</definedName>
    <definedName name="__deo9">#REF!</definedName>
    <definedName name="__NET2" localSheetId="7">#REF!</definedName>
    <definedName name="__NET2" localSheetId="6">#REF!</definedName>
    <definedName name="__NET2">#REF!</definedName>
    <definedName name="__NPV11" localSheetId="7">'[5]Cp&gt;10-Ln&lt;10'!#REF!</definedName>
    <definedName name="__NPV11" localSheetId="6">'[5]Cp&gt;10-Ln&lt;10'!#REF!</definedName>
    <definedName name="__NPV11">'[5]Cp&gt;10-Ln&lt;10'!#REF!</definedName>
    <definedName name="__tp2" localSheetId="7">#REF!</definedName>
    <definedName name="__tp2" localSheetId="6">#REF!</definedName>
    <definedName name="__tp2">#REF!</definedName>
    <definedName name="_1">#N/A</definedName>
    <definedName name="_1000A01">#N/A</definedName>
    <definedName name="_2">#N/A</definedName>
    <definedName name="_a1" localSheetId="7" hidden="1">{"'Sheet1'!$L$16"}</definedName>
    <definedName name="_a1" localSheetId="6" hidden="1">{"'Sheet1'!$L$16"}</definedName>
    <definedName name="_a1" hidden="1">{"'Sheet1'!$L$16"}</definedName>
    <definedName name="_A65700" localSheetId="7">'[6]MTO REV.2(ARMOR)'!#REF!</definedName>
    <definedName name="_A65700" localSheetId="6">'[6]MTO REV.2(ARMOR)'!#REF!</definedName>
    <definedName name="_A65700">'[6]MTO REV.2(ARMOR)'!#REF!</definedName>
    <definedName name="_A65800" localSheetId="7">'[6]MTO REV.2(ARMOR)'!#REF!</definedName>
    <definedName name="_A65800" localSheetId="6">'[6]MTO REV.2(ARMOR)'!#REF!</definedName>
    <definedName name="_A65800">'[6]MTO REV.2(ARMOR)'!#REF!</definedName>
    <definedName name="_A66000" localSheetId="7">'[6]MTO REV.2(ARMOR)'!#REF!</definedName>
    <definedName name="_A66000" localSheetId="6">'[6]MTO REV.2(ARMOR)'!#REF!</definedName>
    <definedName name="_A66000">'[6]MTO REV.2(ARMOR)'!#REF!</definedName>
    <definedName name="_A67000" localSheetId="7">'[6]MTO REV.2(ARMOR)'!#REF!</definedName>
    <definedName name="_A67000" localSheetId="6">'[6]MTO REV.2(ARMOR)'!#REF!</definedName>
    <definedName name="_A67000">'[6]MTO REV.2(ARMOR)'!#REF!</definedName>
    <definedName name="_A68000" localSheetId="7">'[6]MTO REV.2(ARMOR)'!#REF!</definedName>
    <definedName name="_A68000" localSheetId="6">'[6]MTO REV.2(ARMOR)'!#REF!</definedName>
    <definedName name="_A68000">'[6]MTO REV.2(ARMOR)'!#REF!</definedName>
    <definedName name="_A70000" localSheetId="7">'[6]MTO REV.2(ARMOR)'!#REF!</definedName>
    <definedName name="_A70000" localSheetId="6">'[6]MTO REV.2(ARMOR)'!#REF!</definedName>
    <definedName name="_A70000">'[6]MTO REV.2(ARMOR)'!#REF!</definedName>
    <definedName name="_A75000" localSheetId="7">'[6]MTO REV.2(ARMOR)'!#REF!</definedName>
    <definedName name="_A75000" localSheetId="6">'[6]MTO REV.2(ARMOR)'!#REF!</definedName>
    <definedName name="_A75000">'[6]MTO REV.2(ARMOR)'!#REF!</definedName>
    <definedName name="_A85000" localSheetId="7">'[6]MTO REV.2(ARMOR)'!#REF!</definedName>
    <definedName name="_A85000" localSheetId="6">'[6]MTO REV.2(ARMOR)'!#REF!</definedName>
    <definedName name="_A85000">'[6]MTO REV.2(ARMOR)'!#REF!</definedName>
    <definedName name="_atn1" localSheetId="7">#REF!</definedName>
    <definedName name="_atn1" localSheetId="6">#REF!</definedName>
    <definedName name="_atn1">#REF!</definedName>
    <definedName name="_atn10" localSheetId="7">#REF!</definedName>
    <definedName name="_atn10" localSheetId="6">#REF!</definedName>
    <definedName name="_atn10">#REF!</definedName>
    <definedName name="_atn2" localSheetId="7">#REF!</definedName>
    <definedName name="_atn2" localSheetId="6">#REF!</definedName>
    <definedName name="_atn2">#REF!</definedName>
    <definedName name="_atn3" localSheetId="7">#REF!</definedName>
    <definedName name="_atn3" localSheetId="6">#REF!</definedName>
    <definedName name="_atn3">#REF!</definedName>
    <definedName name="_atn4" localSheetId="7">#REF!</definedName>
    <definedName name="_atn4" localSheetId="6">#REF!</definedName>
    <definedName name="_atn4">#REF!</definedName>
    <definedName name="_atn5" localSheetId="7">#REF!</definedName>
    <definedName name="_atn5" localSheetId="6">#REF!</definedName>
    <definedName name="_atn5">#REF!</definedName>
    <definedName name="_atn6" localSheetId="7">#REF!</definedName>
    <definedName name="_atn6" localSheetId="6">#REF!</definedName>
    <definedName name="_atn6">#REF!</definedName>
    <definedName name="_atn7" localSheetId="7">#REF!</definedName>
    <definedName name="_atn7" localSheetId="6">#REF!</definedName>
    <definedName name="_atn7">#REF!</definedName>
    <definedName name="_atn8" localSheetId="7">#REF!</definedName>
    <definedName name="_atn8" localSheetId="6">#REF!</definedName>
    <definedName name="_atn8">#REF!</definedName>
    <definedName name="_atn9" localSheetId="7">#REF!</definedName>
    <definedName name="_atn9" localSheetId="6">#REF!</definedName>
    <definedName name="_atn9">#REF!</definedName>
    <definedName name="_bac1" localSheetId="7">'[4]5%'!#REF!</definedName>
    <definedName name="_bac1" localSheetId="6">'[4]5%'!#REF!</definedName>
    <definedName name="_bac1">'[4]5%'!#REF!</definedName>
    <definedName name="_bac2" localSheetId="7">'[4]5%'!#REF!</definedName>
    <definedName name="_bac2" localSheetId="6">'[4]5%'!#REF!</definedName>
    <definedName name="_bac2">'[4]5%'!#REF!</definedName>
    <definedName name="_CON1" localSheetId="7">#REF!</definedName>
    <definedName name="_CON1" localSheetId="6">#REF!</definedName>
    <definedName name="_CON1">#REF!</definedName>
    <definedName name="_CON2" localSheetId="7">#REF!</definedName>
    <definedName name="_CON2" localSheetId="6">#REF!</definedName>
    <definedName name="_CON2">#REF!</definedName>
    <definedName name="_deo1" localSheetId="7">#REF!</definedName>
    <definedName name="_deo1" localSheetId="6">#REF!</definedName>
    <definedName name="_deo1">#REF!</definedName>
    <definedName name="_deo10" localSheetId="7">#REF!</definedName>
    <definedName name="_deo10" localSheetId="6">#REF!</definedName>
    <definedName name="_deo10">#REF!</definedName>
    <definedName name="_deo2" localSheetId="7">#REF!</definedName>
    <definedName name="_deo2" localSheetId="6">#REF!</definedName>
    <definedName name="_deo2">#REF!</definedName>
    <definedName name="_deo3" localSheetId="7">#REF!</definedName>
    <definedName name="_deo3" localSheetId="6">#REF!</definedName>
    <definedName name="_deo3">#REF!</definedName>
    <definedName name="_deo4" localSheetId="7">#REF!</definedName>
    <definedName name="_deo4" localSheetId="6">#REF!</definedName>
    <definedName name="_deo4">#REF!</definedName>
    <definedName name="_deo5" localSheetId="7">#REF!</definedName>
    <definedName name="_deo5" localSheetId="6">#REF!</definedName>
    <definedName name="_deo5">#REF!</definedName>
    <definedName name="_deo6" localSheetId="7">#REF!</definedName>
    <definedName name="_deo6" localSheetId="6">#REF!</definedName>
    <definedName name="_deo6">#REF!</definedName>
    <definedName name="_deo7" localSheetId="7">#REF!</definedName>
    <definedName name="_deo7" localSheetId="6">#REF!</definedName>
    <definedName name="_deo7">#REF!</definedName>
    <definedName name="_deo8" localSheetId="7">#REF!</definedName>
    <definedName name="_deo8" localSheetId="6">#REF!</definedName>
    <definedName name="_deo8">#REF!</definedName>
    <definedName name="_deo9" localSheetId="7">#REF!</definedName>
    <definedName name="_deo9" localSheetId="6">#REF!</definedName>
    <definedName name="_deo9">#REF!</definedName>
    <definedName name="_Fill" localSheetId="7" hidden="1">#REF!</definedName>
    <definedName name="_Fill" localSheetId="6" hidden="1">#REF!</definedName>
    <definedName name="_Fill" localSheetId="1" hidden="1">#REF!</definedName>
    <definedName name="_Fill" localSheetId="2" hidden="1">#REF!</definedName>
    <definedName name="_Fill" hidden="1">#REF!</definedName>
    <definedName name="_xlnm._FilterDatabase" localSheetId="7" hidden="1">#REF!</definedName>
    <definedName name="_xlnm._FilterDatabase" localSheetId="6" hidden="1">#REF!</definedName>
    <definedName name="_xlnm._FilterDatabase" localSheetId="1" hidden="1">#REF!</definedName>
    <definedName name="_xlnm._FilterDatabase" localSheetId="2" hidden="1">#REF!</definedName>
    <definedName name="_xlnm._FilterDatabase" localSheetId="4" hidden="1">'UC Detail'!$A$1:$E$1557</definedName>
    <definedName name="_xlnm._FilterDatabase" hidden="1">#REF!</definedName>
    <definedName name="_Goi8" localSheetId="7" hidden="1">{"'Sheet1'!$L$16"}</definedName>
    <definedName name="_Goi8" localSheetId="6" hidden="1">{"'Sheet1'!$L$16"}</definedName>
    <definedName name="_Goi8" hidden="1">{"'Sheet1'!$L$16"}</definedName>
    <definedName name="_h1" localSheetId="7" hidden="1">{"'Sheet1'!$L$16"}</definedName>
    <definedName name="_h1" localSheetId="6" hidden="1">{"'Sheet1'!$L$16"}</definedName>
    <definedName name="_h1" hidden="1">{"'Sheet1'!$L$16"}</definedName>
    <definedName name="_hu1" localSheetId="7" hidden="1">{"'Sheet1'!$L$16"}</definedName>
    <definedName name="_hu1" localSheetId="6" hidden="1">{"'Sheet1'!$L$16"}</definedName>
    <definedName name="_hu1" hidden="1">{"'Sheet1'!$L$16"}</definedName>
    <definedName name="_hu2" localSheetId="7" hidden="1">{"'Sheet1'!$L$16"}</definedName>
    <definedName name="_hu2" localSheetId="6" hidden="1">{"'Sheet1'!$L$16"}</definedName>
    <definedName name="_hu2" hidden="1">{"'Sheet1'!$L$16"}</definedName>
    <definedName name="_hu5" localSheetId="7" hidden="1">{"'Sheet1'!$L$16"}</definedName>
    <definedName name="_hu5" localSheetId="6" hidden="1">{"'Sheet1'!$L$16"}</definedName>
    <definedName name="_hu5" hidden="1">{"'Sheet1'!$L$16"}</definedName>
    <definedName name="_hu6" localSheetId="7" hidden="1">{"'Sheet1'!$L$16"}</definedName>
    <definedName name="_hu6" localSheetId="6" hidden="1">{"'Sheet1'!$L$16"}</definedName>
    <definedName name="_hu6" hidden="1">{"'Sheet1'!$L$16"}</definedName>
    <definedName name="_hu7" localSheetId="7" hidden="1">{"'Sheet1'!$L$16"}</definedName>
    <definedName name="_hu7" localSheetId="6" hidden="1">{"'Sheet1'!$L$16"}</definedName>
    <definedName name="_hu7" hidden="1">{"'Sheet1'!$L$16"}</definedName>
    <definedName name="_Key1" localSheetId="7" hidden="1">#REF!</definedName>
    <definedName name="_Key1" localSheetId="6" hidden="1">#REF!</definedName>
    <definedName name="_Key1" hidden="1">#REF!</definedName>
    <definedName name="_Key2" localSheetId="7" hidden="1">#REF!</definedName>
    <definedName name="_Key2" localSheetId="6" hidden="1">#REF!</definedName>
    <definedName name="_Key2" hidden="1">#REF!</definedName>
    <definedName name="_NET2" localSheetId="7">#REF!</definedName>
    <definedName name="_NET2" localSheetId="6">#REF!</definedName>
    <definedName name="_NET2">#REF!</definedName>
    <definedName name="_NPV11" localSheetId="7">'[5]Cp&gt;10-Ln&lt;10'!#REF!</definedName>
    <definedName name="_NPV11" localSheetId="6">'[5]Cp&gt;10-Ln&lt;10'!#REF!</definedName>
    <definedName name="_NPV11">'[5]Cp&gt;10-Ln&lt;10'!#REF!</definedName>
    <definedName name="_Order1" hidden="1">255</definedName>
    <definedName name="_Order2" hidden="1">255</definedName>
    <definedName name="_pd10" localSheetId="7" hidden="1">{"'Summary'!$A$1:$J$46"}</definedName>
    <definedName name="_pd10" localSheetId="6" hidden="1">{"'Summary'!$A$1:$J$46"}</definedName>
    <definedName name="_pd10" hidden="1">{"'Summary'!$A$1:$J$46"}</definedName>
    <definedName name="_pd101" localSheetId="7" hidden="1">{"'Summary'!$A$1:$J$46"}</definedName>
    <definedName name="_pd101" localSheetId="6" hidden="1">{"'Summary'!$A$1:$J$46"}</definedName>
    <definedName name="_pd101" hidden="1">{"'Summary'!$A$1:$J$46"}</definedName>
    <definedName name="_PD11" localSheetId="7" hidden="1">{"'Summary'!$A$1:$J$46"}</definedName>
    <definedName name="_PD11" localSheetId="6" hidden="1">{"'Summary'!$A$1:$J$46"}</definedName>
    <definedName name="_PD11" hidden="1">{"'Summary'!$A$1:$J$46"}</definedName>
    <definedName name="_SD30" localSheetId="7" hidden="1">{"'Summary'!$A$1:$J$46"}</definedName>
    <definedName name="_SD30" localSheetId="6" hidden="1">{"'Summary'!$A$1:$J$46"}</definedName>
    <definedName name="_SD30" hidden="1">{"'Summary'!$A$1:$J$46"}</definedName>
    <definedName name="_Sort" localSheetId="7" hidden="1">#REF!</definedName>
    <definedName name="_Sort" localSheetId="6" hidden="1">#REF!</definedName>
    <definedName name="_Sort" hidden="1">#REF!</definedName>
    <definedName name="_T10" localSheetId="7" hidden="1">{"'Sheet1'!$L$16"}</definedName>
    <definedName name="_T10" localSheetId="6" hidden="1">{"'Sheet1'!$L$16"}</definedName>
    <definedName name="_T10" hidden="1">{"'Sheet1'!$L$16"}</definedName>
    <definedName name="_thu2" localSheetId="7">{"Thuxm2.xls","Sheet1"}</definedName>
    <definedName name="_thu2" localSheetId="6">{"Thuxm2.xls","Sheet1"}</definedName>
    <definedName name="_thu2">{"Thuxm2.xls","Sheet1"}</definedName>
    <definedName name="_tp2" localSheetId="7">#REF!</definedName>
    <definedName name="_tp2" localSheetId="6">#REF!</definedName>
    <definedName name="_tp2">#REF!</definedName>
    <definedName name="_tt3" localSheetId="7" hidden="1">{"'Sheet1'!$L$16"}</definedName>
    <definedName name="_tt3" localSheetId="6" hidden="1">{"'Sheet1'!$L$16"}</definedName>
    <definedName name="_tt3" hidden="1">{"'Sheet1'!$L$16"}</definedName>
    <definedName name="A" localSheetId="7">'[1]PNT-QUOT-#3'!#REF!</definedName>
    <definedName name="A" localSheetId="6">'[1]PNT-QUOT-#3'!#REF!</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7">#REF!</definedName>
    <definedName name="AA" localSheetId="6">#REF!</definedName>
    <definedName name="AA">#REF!</definedName>
    <definedName name="AAA" localSheetId="7">'[7]MTL$-INTER'!#REF!</definedName>
    <definedName name="AAA" localSheetId="6">'[7]MTL$-INTER'!#REF!</definedName>
    <definedName name="AAA">'[7]MTL$-INTER'!#REF!</definedName>
    <definedName name="ad" localSheetId="7">'[8]Appendix 4'!#REF!</definedName>
    <definedName name="ad" localSheetId="6">'[8]Appendix 4'!#REF!</definedName>
    <definedName name="ad">'[8]Appendix 4'!#REF!</definedName>
    <definedName name="All_Item" localSheetId="7">#REF!</definedName>
    <definedName name="All_Item" localSheetId="6">#REF!</definedName>
    <definedName name="All_Item">#REF!</definedName>
    <definedName name="AllPrice" localSheetId="7">#REF!</definedName>
    <definedName name="AllPrice" localSheetId="6">#REF!</definedName>
    <definedName name="AllPrice">#REF!</definedName>
    <definedName name="ALPIN">#N/A</definedName>
    <definedName name="ALPJYOU">#N/A</definedName>
    <definedName name="ALPTOI">#N/A</definedName>
    <definedName name="Appendix_1" localSheetId="7">#REF!</definedName>
    <definedName name="Appendix_1" localSheetId="6">#REF!</definedName>
    <definedName name="Appendix_1">#REF!</definedName>
    <definedName name="Appendix_2" localSheetId="7">#REF!</definedName>
    <definedName name="Appendix_2" localSheetId="6">#REF!</definedName>
    <definedName name="Appendix_2">#REF!</definedName>
    <definedName name="Appendix_3" localSheetId="7">'[9]Appendix 3'!#REF!</definedName>
    <definedName name="Appendix_3" localSheetId="6">'[9]Appendix 3'!#REF!</definedName>
    <definedName name="Appendix_3">'[9]Appendix 3'!#REF!</definedName>
    <definedName name="Appendix_4" localSheetId="7">'[9]Appendix 4'!#REF!</definedName>
    <definedName name="Appendix_4" localSheetId="6">'[9]Appendix 4'!#REF!</definedName>
    <definedName name="Appendix_4">'[9]Appendix 4'!#REF!</definedName>
    <definedName name="Appendix_5" localSheetId="7">#REF!</definedName>
    <definedName name="Appendix_5" localSheetId="6">#REF!</definedName>
    <definedName name="Appendix_5">#REF!</definedName>
    <definedName name="Appendix_6" localSheetId="7">#REF!</definedName>
    <definedName name="Appendix_6" localSheetId="6">#REF!</definedName>
    <definedName name="Appendix_6">#REF!</definedName>
    <definedName name="Appendix_7" localSheetId="7">'[9]Du toan'!#REF!</definedName>
    <definedName name="Appendix_7" localSheetId="6">'[9]Du toan'!#REF!</definedName>
    <definedName name="Appendix_7">'[9]Du toan'!#REF!</definedName>
    <definedName name="as" localSheetId="7">'[8]Du toan'!#REF!</definedName>
    <definedName name="as" localSheetId="6">'[8]Du toan'!#REF!</definedName>
    <definedName name="as">'[8]Du toan'!#REF!</definedName>
    <definedName name="AS2DocOpenMode" hidden="1">"AS2DocumentEdit"</definedName>
    <definedName name="AUCP">'[9]Du toan'!$D$11</definedName>
    <definedName name="B" localSheetId="7">'[1]PNT-QUOT-#3'!#REF!</definedName>
    <definedName name="B" localSheetId="6">'[1]PNT-QUOT-#3'!#REF!</definedName>
    <definedName name="B">'[1]PNT-QUOT-#3'!#REF!</definedName>
    <definedName name="BaseModel" localSheetId="7">#REF!</definedName>
    <definedName name="BaseModel" localSheetId="6">#REF!</definedName>
    <definedName name="BaseModel">#REF!</definedName>
    <definedName name="BaseModelPrice" localSheetId="7">#REF!</definedName>
    <definedName name="BaseModelPrice" localSheetId="6">#REF!</definedName>
    <definedName name="BaseModelPrice">#REF!</definedName>
    <definedName name="BasePrice" localSheetId="7">#REF!</definedName>
    <definedName name="BasePrice" localSheetId="6">#REF!</definedName>
    <definedName name="BasePrice">#REF!</definedName>
    <definedName name="BB" localSheetId="7">#REF!</definedName>
    <definedName name="BB" localSheetId="6">#REF!</definedName>
    <definedName name="BB">#REF!</definedName>
    <definedName name="bmt" localSheetId="7">#REF!</definedName>
    <definedName name="bmt" localSheetId="5">#REF!</definedName>
    <definedName name="bmt" localSheetId="6">#REF!</definedName>
    <definedName name="bmt">#REF!</definedName>
    <definedName name="BOQ" localSheetId="7">#REF!</definedName>
    <definedName name="BOQ" localSheetId="6">#REF!</definedName>
    <definedName name="BOQ">#REF!</definedName>
    <definedName name="btl" localSheetId="7" hidden="1">{"'Sheet1'!$L$16"}</definedName>
    <definedName name="btl" localSheetId="6" hidden="1">{"'Sheet1'!$L$16"}</definedName>
    <definedName name="btl" hidden="1">{"'Sheet1'!$L$16"}</definedName>
    <definedName name="budget" localSheetId="7">#REF!</definedName>
    <definedName name="budget" localSheetId="5">#REF!</definedName>
    <definedName name="budget" localSheetId="6">#REF!</definedName>
    <definedName name="budget">'Ty le tv'!$L$12:$U$12</definedName>
    <definedName name="budget2" localSheetId="7">#REF!</definedName>
    <definedName name="budget2" localSheetId="5">#REF!</definedName>
    <definedName name="budget2" localSheetId="6">#REF!</definedName>
    <definedName name="budget2">'Ty le tv'!$L$48:$R$48</definedName>
    <definedName name="BVCISUMMARY" localSheetId="7">#REF!</definedName>
    <definedName name="BVCISUMMARY" localSheetId="6">#REF!</definedName>
    <definedName name="BVCISUMMARY">#REF!</definedName>
    <definedName name="Ca" localSheetId="7">[10]CPKhac!#REF!</definedName>
    <definedName name="Ca" localSheetId="6">[10]CPKhac!#REF!</definedName>
    <definedName name="Ca">[10]CPKhac!#REF!</definedName>
    <definedName name="CABLE2">'[11]MTO REV.0'!$A$1:$Q$570</definedName>
    <definedName name="CapTD" localSheetId="7">#REF!</definedName>
    <definedName name="CapTD" localSheetId="6">#REF!</definedName>
    <definedName name="CapTD">#REF!</definedName>
    <definedName name="Case_Linkw_AT_211_Fdd" localSheetId="7">[12]DATA!#REF!</definedName>
    <definedName name="Case_Linkw_AT_211_Fdd" localSheetId="6">[12]DATA!#REF!</definedName>
    <definedName name="Case_Linkw_AT_211_Fdd">[12]DATA!#REF!</definedName>
    <definedName name="Case_Linkw_ATX" localSheetId="7">[12]DATA!#REF!</definedName>
    <definedName name="Case_Linkw_ATX" localSheetId="6">[12]DATA!#REF!</definedName>
    <definedName name="Case_Linkw_ATX">[12]DATA!#REF!</definedName>
    <definedName name="Case_Linkw_ATX_218_Fdd" localSheetId="7">[12]DATA!#REF!</definedName>
    <definedName name="Case_Linkw_ATX_218_Fdd" localSheetId="6">[12]DATA!#REF!</definedName>
    <definedName name="Case_Linkw_ATX_218_Fdd">[12]DATA!#REF!</definedName>
    <definedName name="Category_All" localSheetId="7">#REF!</definedName>
    <definedName name="Category_All" localSheetId="6">#REF!</definedName>
    <definedName name="Category_All">#REF!</definedName>
    <definedName name="CATIN">#N/A</definedName>
    <definedName name="CATJYOU">#N/A</definedName>
    <definedName name="CATREC">#N/A</definedName>
    <definedName name="CATSYU">#N/A</definedName>
    <definedName name="Cb" localSheetId="7">[10]CPKhac!#REF!</definedName>
    <definedName name="Cb" localSheetId="6">[10]CPKhac!#REF!</definedName>
    <definedName name="Cb">[10]CPKhac!#REF!</definedName>
    <definedName name="CDDR_Acer40X_IDE" localSheetId="7">[12]DATA!#REF!</definedName>
    <definedName name="CDDR_Acer40X_IDE" localSheetId="6">[12]DATA!#REF!</definedName>
    <definedName name="CDDR_Acer40X_IDE">[12]DATA!#REF!</definedName>
    <definedName name="CDDR_Acer48X_IDE" localSheetId="7">[12]DATA!#REF!</definedName>
    <definedName name="CDDR_Acer48X_IDE" localSheetId="6">[12]DATA!#REF!</definedName>
    <definedName name="CDDR_Acer48X_IDE">[12]DATA!#REF!</definedName>
    <definedName name="CDDR_Acer50X_IDE" localSheetId="7">[12]DATA!#REF!</definedName>
    <definedName name="CDDR_Acer50X_IDE" localSheetId="6">[12]DATA!#REF!</definedName>
    <definedName name="CDDR_Acer50X_IDE">[12]DATA!#REF!</definedName>
    <definedName name="CF_du_phong" localSheetId="7">[10]CPKhac!#REF!</definedName>
    <definedName name="CF_du_phong" localSheetId="6">[10]CPKhac!#REF!</definedName>
    <definedName name="CF_du_phong">[10]CPKhac!#REF!</definedName>
    <definedName name="chay1" localSheetId="7">#REF!</definedName>
    <definedName name="chay1" localSheetId="6">#REF!</definedName>
    <definedName name="chay1">#REF!</definedName>
    <definedName name="chay10" localSheetId="7">#REF!</definedName>
    <definedName name="chay10" localSheetId="6">#REF!</definedName>
    <definedName name="chay10">#REF!</definedName>
    <definedName name="chay2" localSheetId="7">#REF!</definedName>
    <definedName name="chay2" localSheetId="6">#REF!</definedName>
    <definedName name="chay2">#REF!</definedName>
    <definedName name="chay3" localSheetId="7">#REF!</definedName>
    <definedName name="chay3" localSheetId="6">#REF!</definedName>
    <definedName name="chay3">#REF!</definedName>
    <definedName name="chay4" localSheetId="7">#REF!</definedName>
    <definedName name="chay4" localSheetId="6">#REF!</definedName>
    <definedName name="chay4">#REF!</definedName>
    <definedName name="chay5" localSheetId="7">#REF!</definedName>
    <definedName name="chay5" localSheetId="6">#REF!</definedName>
    <definedName name="chay5">#REF!</definedName>
    <definedName name="chay6" localSheetId="7">#REF!</definedName>
    <definedName name="chay6" localSheetId="6">#REF!</definedName>
    <definedName name="chay6">#REF!</definedName>
    <definedName name="chay7" localSheetId="7">#REF!</definedName>
    <definedName name="chay7" localSheetId="6">#REF!</definedName>
    <definedName name="chay7">#REF!</definedName>
    <definedName name="chay8" localSheetId="7">#REF!</definedName>
    <definedName name="chay8" localSheetId="6">#REF!</definedName>
    <definedName name="chay8">#REF!</definedName>
    <definedName name="chay9" localSheetId="7">#REF!</definedName>
    <definedName name="chay9" localSheetId="6">#REF!</definedName>
    <definedName name="chay9">#REF!</definedName>
    <definedName name="chitietbgiang2" localSheetId="7" hidden="1">{"'Sheet1'!$L$16"}</definedName>
    <definedName name="chitietbgiang2" localSheetId="6" hidden="1">{"'Sheet1'!$L$16"}</definedName>
    <definedName name="chitietbgiang2" hidden="1">{"'Sheet1'!$L$16"}</definedName>
    <definedName name="chl" localSheetId="7" hidden="1">{"'Sheet1'!$L$16"}</definedName>
    <definedName name="chl" localSheetId="6" hidden="1">{"'Sheet1'!$L$16"}</definedName>
    <definedName name="chl" hidden="1">{"'Sheet1'!$L$16"}</definedName>
    <definedName name="chuyen" localSheetId="7" hidden="1">{"'Sheet1'!$L$16"}</definedName>
    <definedName name="chuyen" localSheetId="6" hidden="1">{"'Sheet1'!$L$16"}</definedName>
    <definedName name="chuyen" hidden="1">{"'Sheet1'!$L$16"}</definedName>
    <definedName name="CleintEmail" localSheetId="7">#REF!</definedName>
    <definedName name="CleintEmail" localSheetId="6">#REF!</definedName>
    <definedName name="CleintEmail">#REF!</definedName>
    <definedName name="ClientComp0" localSheetId="7">#REF!</definedName>
    <definedName name="ClientComp0" localSheetId="6">#REF!</definedName>
    <definedName name="ClientComp0">#REF!</definedName>
    <definedName name="ClientCompany" localSheetId="7">#REF!</definedName>
    <definedName name="ClientCompany" localSheetId="6">#REF!</definedName>
    <definedName name="ClientCompany">#REF!</definedName>
    <definedName name="ClientCountry" localSheetId="7">#REF!</definedName>
    <definedName name="ClientCountry" localSheetId="6">#REF!</definedName>
    <definedName name="ClientCountry">#REF!</definedName>
    <definedName name="ClientEmail" localSheetId="7">#REF!</definedName>
    <definedName name="ClientEmail" localSheetId="6">#REF!</definedName>
    <definedName name="ClientEmail">#REF!</definedName>
    <definedName name="ClientFax" localSheetId="7">#REF!</definedName>
    <definedName name="ClientFax" localSheetId="6">#REF!</definedName>
    <definedName name="ClientFax">#REF!</definedName>
    <definedName name="ClientLand" localSheetId="7">#REF!</definedName>
    <definedName name="ClientLand" localSheetId="6">#REF!</definedName>
    <definedName name="ClientLand">#REF!</definedName>
    <definedName name="ClientName" localSheetId="7">#REF!</definedName>
    <definedName name="ClientName" localSheetId="6">#REF!</definedName>
    <definedName name="ClientName">#REF!</definedName>
    <definedName name="ClientStreet" localSheetId="7">#REF!</definedName>
    <definedName name="ClientStreet" localSheetId="6">#REF!</definedName>
    <definedName name="ClientStreet">#REF!</definedName>
    <definedName name="ClientTel" localSheetId="7">#REF!</definedName>
    <definedName name="ClientTel" localSheetId="6">#REF!</definedName>
    <definedName name="ClientTel">#REF!</definedName>
    <definedName name="ClientTown" localSheetId="7">#REF!</definedName>
    <definedName name="ClientTown" localSheetId="6">#REF!</definedName>
    <definedName name="ClientTown">#REF!</definedName>
    <definedName name="CLVC3">0.1</definedName>
    <definedName name="COAT" localSheetId="7">'[1]PNT-QUOT-#3'!#REF!</definedName>
    <definedName name="COAT" localSheetId="6">'[1]PNT-QUOT-#3'!#REF!</definedName>
    <definedName name="COAT">'[1]PNT-QUOT-#3'!#REF!</definedName>
    <definedName name="Comment1" localSheetId="7">#REF!</definedName>
    <definedName name="Comment1" localSheetId="6">#REF!</definedName>
    <definedName name="Comment1">#REF!</definedName>
    <definedName name="Comment2" localSheetId="7">#REF!</definedName>
    <definedName name="Comment2" localSheetId="6">#REF!</definedName>
    <definedName name="Comment2">#REF!</definedName>
    <definedName name="Comment3" localSheetId="7">#REF!</definedName>
    <definedName name="Comment3" localSheetId="6">#REF!</definedName>
    <definedName name="Comment3">#REF!</definedName>
    <definedName name="Comment4" localSheetId="7">#REF!</definedName>
    <definedName name="Comment4" localSheetId="6">#REF!</definedName>
    <definedName name="Comment4">#REF!</definedName>
    <definedName name="Comment5" localSheetId="7">#REF!</definedName>
    <definedName name="Comment5" localSheetId="6">#REF!</definedName>
    <definedName name="Comment5">#REF!</definedName>
    <definedName name="Comment6" localSheetId="7">#REF!</definedName>
    <definedName name="Comment6" localSheetId="6">#REF!</definedName>
    <definedName name="Comment6">#REF!</definedName>
    <definedName name="Comment7" localSheetId="7">#REF!</definedName>
    <definedName name="Comment7" localSheetId="6">#REF!</definedName>
    <definedName name="Comment7">#REF!</definedName>
    <definedName name="COMMON" localSheetId="7">#REF!</definedName>
    <definedName name="COMMON" localSheetId="6">#REF!</definedName>
    <definedName name="COMMON">#REF!</definedName>
    <definedName name="Component" localSheetId="7">#REF!</definedName>
    <definedName name="Component" localSheetId="6">#REF!</definedName>
    <definedName name="Component">#REF!</definedName>
    <definedName name="CON_EQP_COS" localSheetId="7">#REF!</definedName>
    <definedName name="CON_EQP_COS" localSheetId="6">#REF!</definedName>
    <definedName name="CON_EQP_COS">#REF!</definedName>
    <definedName name="CON_EQP_COST" localSheetId="7">#REF!</definedName>
    <definedName name="CON_EQP_COST" localSheetId="6">#REF!</definedName>
    <definedName name="CON_EQP_COST">#REF!</definedName>
    <definedName name="ConfgCur" localSheetId="7">[13]Overview!#REF!</definedName>
    <definedName name="ConfgCur" localSheetId="6">[13]Overview!#REF!</definedName>
    <definedName name="ConfgCur">[13]Overview!#REF!</definedName>
    <definedName name="ConfigCur" localSheetId="7">#REF!</definedName>
    <definedName name="ConfigCur" localSheetId="6">#REF!</definedName>
    <definedName name="ConfigCur">#REF!</definedName>
    <definedName name="ConfigInfo1" localSheetId="7">#REF!</definedName>
    <definedName name="ConfigInfo1" localSheetId="6">#REF!</definedName>
    <definedName name="ConfigInfo1">#REF!</definedName>
    <definedName name="ConfigInfo2" localSheetId="7">#REF!</definedName>
    <definedName name="ConfigInfo2" localSheetId="6">#REF!</definedName>
    <definedName name="ConfigInfo2">#REF!</definedName>
    <definedName name="ConfigPrice" localSheetId="7">#REF!</definedName>
    <definedName name="ConfigPrice" localSheetId="6">#REF!</definedName>
    <definedName name="ConfigPrice">#REF!</definedName>
    <definedName name="ConfigPriceEuro" localSheetId="7">#REF!</definedName>
    <definedName name="ConfigPriceEuro" localSheetId="6">#REF!</definedName>
    <definedName name="ConfigPriceEuro">#REF!</definedName>
    <definedName name="ConfigState" localSheetId="7">#REF!</definedName>
    <definedName name="ConfigState" localSheetId="6">#REF!</definedName>
    <definedName name="ConfigState">#REF!</definedName>
    <definedName name="CONST_EQ" localSheetId="7">#REF!</definedName>
    <definedName name="CONST_EQ" localSheetId="6">#REF!</definedName>
    <definedName name="CONST_EQ">#REF!</definedName>
    <definedName name="COVER" localSheetId="7">#REF!</definedName>
    <definedName name="COVER" localSheetId="6">#REF!</definedName>
    <definedName name="COVER">#REF!</definedName>
    <definedName name="CPDP" localSheetId="7">[14]Tonghop!#REF!</definedName>
    <definedName name="CPDP" localSheetId="6">[14]Tonghop!#REF!</definedName>
    <definedName name="CPDP">[14]Tonghop!#REF!</definedName>
    <definedName name="CPQLDA" localSheetId="7">[14]Tonghop!#REF!</definedName>
    <definedName name="CPQLDA" localSheetId="6">[14]Tonghop!#REF!</definedName>
    <definedName name="CPQLDA">[14]Tonghop!#REF!</definedName>
    <definedName name="CPTT" localSheetId="7">[14]Tonghop!#REF!</definedName>
    <definedName name="CPTT" localSheetId="6">[14]Tonghop!#REF!</definedName>
    <definedName name="CPTT">[14]Tonghop!#REF!</definedName>
    <definedName name="CPTT_NO_TAX" localSheetId="7">[14]Tonghop!#REF!</definedName>
    <definedName name="CPTT_NO_TAX" localSheetId="6">[14]Tonghop!#REF!</definedName>
    <definedName name="CPTT_NO_TAX">[14]Tonghop!#REF!</definedName>
    <definedName name="CPTVXDCT" localSheetId="7">[14]Tonghop!#REF!</definedName>
    <definedName name="CPTVXDCT" localSheetId="6">[14]Tonghop!#REF!</definedName>
    <definedName name="CPTVXDCT">[14]Tonghop!#REF!</definedName>
    <definedName name="CPU_AMD_K6II_550" localSheetId="7">[12]DATA!#REF!</definedName>
    <definedName name="CPU_AMD_K6II_550" localSheetId="6">[12]DATA!#REF!</definedName>
    <definedName name="CPU_AMD_K6II_550">[12]DATA!#REF!</definedName>
    <definedName name="CPU_Intel_P4_1.7_256K_256RIMM" localSheetId="7">[12]DATA!#REF!</definedName>
    <definedName name="CPU_Intel_P4_1.7_256K_256RIMM" localSheetId="6">[12]DATA!#REF!</definedName>
    <definedName name="CPU_Intel_P4_1.7_256K_256RIMM">[12]DATA!#REF!</definedName>
    <definedName name="CPU_Intel_PIII500E_256Kdie_Copp" localSheetId="7">[12]DATA!#REF!</definedName>
    <definedName name="CPU_Intel_PIII500E_256Kdie_Copp" localSheetId="6">[12]DATA!#REF!</definedName>
    <definedName name="CPU_Intel_PIII500E_256Kdie_Copp">[12]DATA!#REF!</definedName>
    <definedName name="CPU_Intel_PIII550E_256Kdie_Copp" localSheetId="7">[12]DATA!#REF!</definedName>
    <definedName name="CPU_Intel_PIII550E_256Kdie_Copp" localSheetId="6">[12]DATA!#REF!</definedName>
    <definedName name="CPU_Intel_PIII550E_256Kdie_Copp">[12]DATA!#REF!</definedName>
    <definedName name="CPUs_per_DataCenterNode" localSheetId="7">#REF!</definedName>
    <definedName name="CPUs_per_DataCenterNode" localSheetId="6">#REF!</definedName>
    <definedName name="CPUs_per_DataCenterNode">#REF!</definedName>
    <definedName name="CPUs_per_Node" localSheetId="7">#REF!</definedName>
    <definedName name="CPUs_per_Node" localSheetId="6">#REF!</definedName>
    <definedName name="CPUs_per_Node">#REF!</definedName>
    <definedName name="_xlnm.Criteria" localSheetId="7">[15]SILICATE!#REF!</definedName>
    <definedName name="_xlnm.Criteria" localSheetId="6">[15]SILICATE!#REF!</definedName>
    <definedName name="_xlnm.Criteria">[15]SILICATE!#REF!</definedName>
    <definedName name="CRITINST" localSheetId="7">#REF!</definedName>
    <definedName name="CRITINST" localSheetId="6">#REF!</definedName>
    <definedName name="CRITINST">#REF!</definedName>
    <definedName name="CRITPURC" localSheetId="7">#REF!</definedName>
    <definedName name="CRITPURC" localSheetId="6">#REF!</definedName>
    <definedName name="CRITPURC">#REF!</definedName>
    <definedName name="CS_10" localSheetId="7">#REF!</definedName>
    <definedName name="CS_10" localSheetId="6">#REF!</definedName>
    <definedName name="CS_10">#REF!</definedName>
    <definedName name="CS_100" localSheetId="7">#REF!</definedName>
    <definedName name="CS_100" localSheetId="6">#REF!</definedName>
    <definedName name="CS_100">#REF!</definedName>
    <definedName name="CS_10S" localSheetId="7">#REF!</definedName>
    <definedName name="CS_10S" localSheetId="6">#REF!</definedName>
    <definedName name="CS_10S">#REF!</definedName>
    <definedName name="CS_120" localSheetId="7">#REF!</definedName>
    <definedName name="CS_120" localSheetId="6">#REF!</definedName>
    <definedName name="CS_120">#REF!</definedName>
    <definedName name="CS_140" localSheetId="7">#REF!</definedName>
    <definedName name="CS_140" localSheetId="6">#REF!</definedName>
    <definedName name="CS_140">#REF!</definedName>
    <definedName name="CS_160" localSheetId="7">#REF!</definedName>
    <definedName name="CS_160" localSheetId="6">#REF!</definedName>
    <definedName name="CS_160">#REF!</definedName>
    <definedName name="CS_20" localSheetId="7">#REF!</definedName>
    <definedName name="CS_20" localSheetId="6">#REF!</definedName>
    <definedName name="CS_20">#REF!</definedName>
    <definedName name="CS_30" localSheetId="7">#REF!</definedName>
    <definedName name="CS_30" localSheetId="6">#REF!</definedName>
    <definedName name="CS_30">#REF!</definedName>
    <definedName name="CS_40" localSheetId="7">#REF!</definedName>
    <definedName name="CS_40" localSheetId="6">#REF!</definedName>
    <definedName name="CS_40">#REF!</definedName>
    <definedName name="CS_40S" localSheetId="7">#REF!</definedName>
    <definedName name="CS_40S" localSheetId="6">#REF!</definedName>
    <definedName name="CS_40S">#REF!</definedName>
    <definedName name="CS_5S" localSheetId="7">#REF!</definedName>
    <definedName name="CS_5S" localSheetId="6">#REF!</definedName>
    <definedName name="CS_5S">#REF!</definedName>
    <definedName name="CS_60" localSheetId="7">#REF!</definedName>
    <definedName name="CS_60" localSheetId="6">#REF!</definedName>
    <definedName name="CS_60">#REF!</definedName>
    <definedName name="CS_80" localSheetId="7">#REF!</definedName>
    <definedName name="CS_80" localSheetId="6">#REF!</definedName>
    <definedName name="CS_80">#REF!</definedName>
    <definedName name="CS_80S" localSheetId="7">#REF!</definedName>
    <definedName name="CS_80S" localSheetId="6">#REF!</definedName>
    <definedName name="CS_80S">#REF!</definedName>
    <definedName name="CS_STD" localSheetId="7">#REF!</definedName>
    <definedName name="CS_STD" localSheetId="6">#REF!</definedName>
    <definedName name="CS_STD">#REF!</definedName>
    <definedName name="CS_XS" localSheetId="7">#REF!</definedName>
    <definedName name="CS_XS" localSheetId="6">#REF!</definedName>
    <definedName name="CS_XS">#REF!</definedName>
    <definedName name="CS_XXS" localSheetId="7">#REF!</definedName>
    <definedName name="CS_XXS" localSheetId="6">#REF!</definedName>
    <definedName name="CS_XXS">#REF!</definedName>
    <definedName name="CTCT1" localSheetId="7" hidden="1">{"'Sheet1'!$L$16"}</definedName>
    <definedName name="CTCT1" localSheetId="6" hidden="1">{"'Sheet1'!$L$16"}</definedName>
    <definedName name="CTCT1" hidden="1">{"'Sheet1'!$L$16"}</definedName>
    <definedName name="CURRENCY" localSheetId="7">#REF!</definedName>
    <definedName name="CURRENCY" localSheetId="6">#REF!</definedName>
    <definedName name="CURRENCY">#REF!</definedName>
    <definedName name="D_7101A_B" localSheetId="7">#REF!</definedName>
    <definedName name="D_7101A_B" localSheetId="6">#REF!</definedName>
    <definedName name="D_7101A_B">#REF!</definedName>
    <definedName name="dáds" localSheetId="7">'[16]PNT-QUOT-#3'!#REF!</definedName>
    <definedName name="dáds" localSheetId="6">'[16]PNT-QUOT-#3'!#REF!</definedName>
    <definedName name="dáds">'[16]PNT-QUOT-#3'!#REF!</definedName>
    <definedName name="Daotao" localSheetId="7">'[17]Appendix 4'!#REF!</definedName>
    <definedName name="Daotao" localSheetId="6">'[17]Appendix 4'!#REF!</definedName>
    <definedName name="Daotao">'[17]Appendix 4'!#REF!</definedName>
    <definedName name="_xlnm.Database" localSheetId="7">#REF!</definedName>
    <definedName name="_xlnm.Database" localSheetId="6">#REF!</definedName>
    <definedName name="_xlnm.Database">#REF!</definedName>
    <definedName name="DataCenter_c16_Nodes" localSheetId="7">'[18]TS Cau hinh-GD2'!#REF!</definedName>
    <definedName name="DataCenter_c16_Nodes" localSheetId="6">'[18]TS Cau hinh-GD2'!#REF!</definedName>
    <definedName name="DataCenter_c16_Nodes">'[18]TS Cau hinh-GD2'!#REF!</definedName>
    <definedName name="DataCenter_C27_Nodes" localSheetId="7">'[18]TS Cau hinh-GD2'!#REF!</definedName>
    <definedName name="DataCenter_C27_Nodes" localSheetId="6">'[18]TS Cau hinh-GD2'!#REF!</definedName>
    <definedName name="DataCenter_C27_Nodes">'[18]TS Cau hinh-GD2'!#REF!</definedName>
    <definedName name="DataCenter_Nodes" localSheetId="7">#REF!</definedName>
    <definedName name="DataCenter_Nodes" localSheetId="6">#REF!</definedName>
    <definedName name="DataCenter_Nodes">#REF!</definedName>
    <definedName name="DataCenter_v26_Nodes" localSheetId="7">'[18]TS Cau hinh-GD2'!#REF!</definedName>
    <definedName name="DataCenter_v26_Nodes" localSheetId="6">'[18]TS Cau hinh-GD2'!#REF!</definedName>
    <definedName name="DataCenter_v26_Nodes">'[18]TS Cau hinh-GD2'!#REF!</definedName>
    <definedName name="DataFilter">[19]!DataFilter</definedName>
    <definedName name="DataSort">[19]!DataSort</definedName>
    <definedName name="ddd" localSheetId="7" hidden="1">{"'Sheet1'!$L$16"}</definedName>
    <definedName name="ddd" localSheetId="6" hidden="1">{"'Sheet1'!$L$16"}</definedName>
    <definedName name="ddd" hidden="1">{"'Sheet1'!$L$16"}</definedName>
    <definedName name="Description" localSheetId="7">#REF!</definedName>
    <definedName name="Description" localSheetId="6">#REF!</definedName>
    <definedName name="Description">#REF!</definedName>
    <definedName name="DestActorRange" localSheetId="7">#REF!</definedName>
    <definedName name="DestActorRange" localSheetId="6">#REF!</definedName>
    <definedName name="DestActorRange">#REF!</definedName>
    <definedName name="DICH11" localSheetId="7">'[5]EIRR&gt;1&lt;1'!#REF!</definedName>
    <definedName name="DICH11" localSheetId="6">'[5]EIRR&gt;1&lt;1'!#REF!</definedName>
    <definedName name="DICH11">'[5]EIRR&gt;1&lt;1'!#REF!</definedName>
    <definedName name="dich22" localSheetId="7">'[5]EIRR&gt; 2'!#REF!</definedName>
    <definedName name="dich22" localSheetId="6">'[5]EIRR&gt; 2'!#REF!</definedName>
    <definedName name="dich22">'[5]EIRR&gt; 2'!#REF!</definedName>
    <definedName name="DIMM_64MB_ECC_PC133" localSheetId="7">[12]DATA!#REF!</definedName>
    <definedName name="DIMM_64MB_ECC_PC133" localSheetId="6">[12]DATA!#REF!</definedName>
    <definedName name="DIMM_64MB_ECC_PC133">[12]DATA!#REF!</definedName>
    <definedName name="dinhmuc" localSheetId="7">#REF!</definedName>
    <definedName name="dinhmuc" localSheetId="5">#REF!</definedName>
    <definedName name="dinhmuc" localSheetId="6">#REF!</definedName>
    <definedName name="dinhmuc">'Ty le tv'!$L$12:$U$46</definedName>
    <definedName name="DK_Ngay_Hoan_Tat_TT" localSheetId="7">#REF!</definedName>
    <definedName name="DK_Ngay_Hoan_Tat_TT" localSheetId="6">#REF!</definedName>
    <definedName name="DK_Ngay_Hoan_Tat_TT">#REF!</definedName>
    <definedName name="Document_array" localSheetId="7">{"Book1","Duyet Kdin hBaChe.xls"}</definedName>
    <definedName name="Document_array" localSheetId="6">{"Book1","Duyet Kdin hBaChe.xls"}</definedName>
    <definedName name="Document_array">{"Book1","Duyet Kdin hBaChe.xls"}</definedName>
    <definedName name="Dongia_ChuyenDoiDL">'[20]B6 CĐDL'!$I$23</definedName>
    <definedName name="DSUMDATA" localSheetId="7">#REF!</definedName>
    <definedName name="DSUMDATA" localSheetId="6">#REF!</definedName>
    <definedName name="DSUMDATA">#REF!</definedName>
    <definedName name="dt" localSheetId="7">#REF!</definedName>
    <definedName name="dt" localSheetId="6">#REF!</definedName>
    <definedName name="dt">#REF!</definedName>
    <definedName name="DungLuongData__GB" localSheetId="7">'[18]TS Cau hinh-GD2'!#REF!</definedName>
    <definedName name="DungLuongData__GB" localSheetId="6">'[18]TS Cau hinh-GD2'!#REF!</definedName>
    <definedName name="DungLuongData__GB">'[18]TS Cau hinh-GD2'!#REF!</definedName>
    <definedName name="E">'[9]Du toan'!$D$13</definedName>
    <definedName name="EEPE" localSheetId="7" hidden="1">{"'Summary'!$A$1:$J$46"}</definedName>
    <definedName name="EEPE" localSheetId="6" hidden="1">{"'Summary'!$A$1:$J$46"}</definedName>
    <definedName name="EEPE" hidden="1">{"'Summary'!$A$1:$J$46"}</definedName>
    <definedName name="EEQ" localSheetId="7" hidden="1">{"'Summary'!$A$1:$J$46"}</definedName>
    <definedName name="EEQ" localSheetId="6" hidden="1">{"'Summary'!$A$1:$J$46"}</definedName>
    <definedName name="EEQ" hidden="1">{"'Summary'!$A$1:$J$46"}</definedName>
    <definedName name="EF" localSheetId="7">#REF!</definedName>
    <definedName name="EF" localSheetId="6">#REF!</definedName>
    <definedName name="EF">#REF!</definedName>
    <definedName name="EFW" localSheetId="7">#REF!</definedName>
    <definedName name="EFW" localSheetId="6">#REF!</definedName>
    <definedName name="EFW">#REF!</definedName>
    <definedName name="EIRR11" localSheetId="7">'[5]EIRR&gt;1&lt;1'!#REF!</definedName>
    <definedName name="EIRR11" localSheetId="6">'[5]EIRR&gt;1&lt;1'!#REF!</definedName>
    <definedName name="EIRR11">'[5]EIRR&gt;1&lt;1'!#REF!</definedName>
    <definedName name="EIRR22" localSheetId="7">'[5]EIRR&lt;2'!#REF!</definedName>
    <definedName name="EIRR22" localSheetId="6">'[5]EIRR&lt;2'!#REF!</definedName>
    <definedName name="EIRR22">'[5]EIRR&lt;2'!#REF!</definedName>
    <definedName name="ES" localSheetId="7">#REF!</definedName>
    <definedName name="ES" localSheetId="6">#REF!</definedName>
    <definedName name="ES">#REF!</definedName>
    <definedName name="EW" localSheetId="7" hidden="1">{"'Summary'!$A$1:$J$46"}</definedName>
    <definedName name="EW" localSheetId="6" hidden="1">{"'Summary'!$A$1:$J$46"}</definedName>
    <definedName name="EW" hidden="1">{"'Summary'!$A$1:$J$46"}</definedName>
    <definedName name="_xlnm.Extract" localSheetId="7">[15]SILICATE!#REF!</definedName>
    <definedName name="_xlnm.Extract" localSheetId="6">[15]SILICATE!#REF!</definedName>
    <definedName name="_xlnm.Extract">[15]SILICATE!#REF!</definedName>
    <definedName name="FACTOR" localSheetId="7">#REF!</definedName>
    <definedName name="FACTOR" localSheetId="6">#REF!</definedName>
    <definedName name="FACTOR">#REF!</definedName>
    <definedName name="fd" localSheetId="7" hidden="1">#REF!</definedName>
    <definedName name="fd" localSheetId="6" hidden="1">#REF!</definedName>
    <definedName name="fd" hidden="1">#REF!</definedName>
    <definedName name="FirstPage" localSheetId="7">#REF!</definedName>
    <definedName name="FirstPage" localSheetId="6">#REF!</definedName>
    <definedName name="FirstPage">#REF!</definedName>
    <definedName name="FirstWarn" localSheetId="7">#REF!</definedName>
    <definedName name="FirstWarn" localSheetId="6">#REF!</definedName>
    <definedName name="FirstWarn">#REF!</definedName>
    <definedName name="FP" localSheetId="7">'[1]COAT&amp;WRAP-QIOT-#3'!#REF!</definedName>
    <definedName name="FP" localSheetId="6">'[1]COAT&amp;WRAP-QIOT-#3'!#REF!</definedName>
    <definedName name="FP">'[1]COAT&amp;WRAP-QIOT-#3'!#REF!</definedName>
    <definedName name="fwesg" localSheetId="7">#REF!</definedName>
    <definedName name="fwesg" localSheetId="6">#REF!</definedName>
    <definedName name="fwesg">#REF!</definedName>
    <definedName name="gamatc">'[21]DO AM DT'!$AD$84</definedName>
    <definedName name="GoBack">[19]Sheet1!GoBack</definedName>
    <definedName name="GPT_GROUNDING_PT" localSheetId="7">'[22]NEW-PANEL'!#REF!</definedName>
    <definedName name="GPT_GROUNDING_PT" localSheetId="6">'[22]NEW-PANEL'!#REF!</definedName>
    <definedName name="GPT_GROUNDING_PT">'[22]NEW-PANEL'!#REF!</definedName>
    <definedName name="Group" localSheetId="7">#REF!</definedName>
    <definedName name="Group" localSheetId="6">#REF!</definedName>
    <definedName name="Group">#REF!</definedName>
    <definedName name="GroupA_Max" localSheetId="7">#REF!</definedName>
    <definedName name="GroupA_Max" localSheetId="6">#REF!</definedName>
    <definedName name="GroupA_Max">#REF!</definedName>
    <definedName name="GroupA_Min" localSheetId="7">#REF!</definedName>
    <definedName name="GroupA_Min" localSheetId="6">#REF!</definedName>
    <definedName name="GroupA_Min">#REF!</definedName>
    <definedName name="GroupB_Max" localSheetId="7">#REF!</definedName>
    <definedName name="GroupB_Max" localSheetId="6">#REF!</definedName>
    <definedName name="GroupB_Max">#REF!</definedName>
    <definedName name="GroupB_Min" localSheetId="7">#REF!</definedName>
    <definedName name="GroupB_Min" localSheetId="6">#REF!</definedName>
    <definedName name="GroupB_Min">#REF!</definedName>
    <definedName name="GroupC_Max" localSheetId="7">#REF!</definedName>
    <definedName name="GroupC_Max" localSheetId="6">#REF!</definedName>
    <definedName name="GroupC_Max">#REF!</definedName>
    <definedName name="GroupC_Min" localSheetId="7">#REF!</definedName>
    <definedName name="GroupC_Min" localSheetId="6">#REF!</definedName>
    <definedName name="GroupC_Min">#REF!</definedName>
    <definedName name="GroupD_Max" localSheetId="7">#REF!</definedName>
    <definedName name="GroupD_Max" localSheetId="6">#REF!</definedName>
    <definedName name="GroupD_Max">#REF!</definedName>
    <definedName name="GroupD_Min" localSheetId="7">#REF!</definedName>
    <definedName name="GroupD_Min" localSheetId="6">#REF!</definedName>
    <definedName name="GroupD_Min">#REF!</definedName>
    <definedName name="GroupE_Max" localSheetId="7">#REF!</definedName>
    <definedName name="GroupE_Max" localSheetId="6">#REF!</definedName>
    <definedName name="GroupE_Max">#REF!</definedName>
    <definedName name="GroupE_Min" localSheetId="7">#REF!</definedName>
    <definedName name="GroupE_Min" localSheetId="6">#REF!</definedName>
    <definedName name="GroupE_Min">#REF!</definedName>
    <definedName name="GTB" localSheetId="7">#REF!</definedName>
    <definedName name="GTB" localSheetId="6">#REF!</definedName>
    <definedName name="GTB">#REF!</definedName>
    <definedName name="Gxd">'[23]TH Kinh phi'!$G$42</definedName>
    <definedName name="H">'[9]Du toan'!$C$27</definedName>
    <definedName name="HCNA" localSheetId="7" hidden="1">{"'Sheet1'!$L$16"}</definedName>
    <definedName name="HCNA" localSheetId="6" hidden="1">{"'Sheet1'!$L$16"}</definedName>
    <definedName name="HCNA" hidden="1">{"'Sheet1'!$L$16"}</definedName>
    <definedName name="Heä_soá_laép_xaø_H">1.7</definedName>
    <definedName name="HesoGia_MTN" localSheetId="7">#REF!</definedName>
    <definedName name="HesoGia_MTN" localSheetId="6">#REF!</definedName>
    <definedName name="HesoGia_MTN">#REF!</definedName>
    <definedName name="Hints" localSheetId="7">#REF!</definedName>
    <definedName name="Hints" localSheetId="6">#REF!</definedName>
    <definedName name="Hints">#REF!</definedName>
    <definedName name="HintSystem" localSheetId="7">#REF!</definedName>
    <definedName name="HintSystem" localSheetId="6">#REF!</definedName>
    <definedName name="HintSystem">#REF!</definedName>
    <definedName name="hj" localSheetId="7">#REF!</definedName>
    <definedName name="hj" localSheetId="6">#REF!</definedName>
    <definedName name="hj">#REF!</definedName>
    <definedName name="hm" localSheetId="7">#REF!</definedName>
    <definedName name="hm" localSheetId="6">#REF!</definedName>
    <definedName name="hm">#REF!</definedName>
    <definedName name="HOME_MANP" localSheetId="7">#REF!</definedName>
    <definedName name="HOME_MANP" localSheetId="6">#REF!</definedName>
    <definedName name="HOME_MANP">#REF!</definedName>
    <definedName name="HOMEOFFICE_COST" localSheetId="7">#REF!</definedName>
    <definedName name="HOMEOFFICE_COST" localSheetId="6">#REF!</definedName>
    <definedName name="HOMEOFFICE_COST">#REF!</definedName>
    <definedName name="HSCT3">0.1</definedName>
    <definedName name="HSDN">2.5</definedName>
    <definedName name="htlm" localSheetId="7" hidden="1">{"'Sheet1'!$L$16"}</definedName>
    <definedName name="htlm" localSheetId="6" hidden="1">{"'Sheet1'!$L$16"}</definedName>
    <definedName name="htlm" hidden="1">{"'Sheet1'!$L$16"}</definedName>
    <definedName name="HTML_CodePage" hidden="1">950</definedName>
    <definedName name="HTML_Control" localSheetId="7"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localSheetId="7">[12]DATA!#REF!</definedName>
    <definedName name="hung" localSheetId="6">[12]DATA!#REF!</definedName>
    <definedName name="hung">[12]DATA!#REF!</definedName>
    <definedName name="huy" localSheetId="7" hidden="1">{"'Sheet1'!$L$16"}</definedName>
    <definedName name="huy" localSheetId="6" hidden="1">{"'Sheet1'!$L$16"}</definedName>
    <definedName name="huy" hidden="1">{"'Sheet1'!$L$16"}</definedName>
    <definedName name="IDLAB_COST" localSheetId="7">#REF!</definedName>
    <definedName name="IDLAB_COST" localSheetId="6">#REF!</definedName>
    <definedName name="IDLAB_COST">#REF!</definedName>
    <definedName name="IND_LAB" localSheetId="7">#REF!</definedName>
    <definedName name="IND_LAB" localSheetId="6">#REF!</definedName>
    <definedName name="IND_LAB">#REF!</definedName>
    <definedName name="INDMANP" localSheetId="7">#REF!</definedName>
    <definedName name="INDMANP" localSheetId="6">#REF!</definedName>
    <definedName name="INDMANP">#REF!</definedName>
    <definedName name="IO" localSheetId="7">'[1]COAT&amp;WRAP-QIOT-#3'!#REF!</definedName>
    <definedName name="IO" localSheetId="6">'[1]COAT&amp;WRAP-QIOT-#3'!#REF!</definedName>
    <definedName name="IO">'[1]COAT&amp;WRAP-QIOT-#3'!#REF!</definedName>
    <definedName name="KhuyenmaiUPS">"AutoShape 264"</definedName>
    <definedName name="KLTHNH" localSheetId="7">{"ÿÿÿÿÿ","DT cau tam Ha trinh 7.xls","DT cau tam Ha trinh 3.xls"}</definedName>
    <definedName name="KLTHNH" localSheetId="6">{"ÿÿÿÿÿ","DT cau tam Ha trinh 7.xls","DT cau tam Ha trinh 3.xls"}</definedName>
    <definedName name="KLTHNH">{"ÿÿÿÿÿ","DT cau tam Ha trinh 7.xls","DT cau tam Ha trinh 3.xls"}</definedName>
    <definedName name="KPBD_DaoTao" localSheetId="7">#REF!</definedName>
    <definedName name="KPBD_DaoTao" localSheetId="6">#REF!</definedName>
    <definedName name="KPBD_DaoTao">#REF!</definedName>
    <definedName name="KPBD_TK_Huyen" localSheetId="7">#REF!</definedName>
    <definedName name="KPBD_TK_Huyen" localSheetId="6">#REF!</definedName>
    <definedName name="KPBD_TK_Huyen">#REF!</definedName>
    <definedName name="KPBD_TK_So" localSheetId="7">#REF!</definedName>
    <definedName name="KPBD_TK_So" localSheetId="6">#REF!</definedName>
    <definedName name="KPBD_TK_So">#REF!</definedName>
    <definedName name="KPBD_TK_Xa" localSheetId="7">#REF!</definedName>
    <definedName name="KPBD_TK_Xa" localSheetId="6">#REF!</definedName>
    <definedName name="KPBD_TK_Xa">#REF!</definedName>
    <definedName name="KPDT_Lop" localSheetId="7">#REF!</definedName>
    <definedName name="KPDT_Lop" localSheetId="6">#REF!</definedName>
    <definedName name="KPDT_Lop">#REF!</definedName>
    <definedName name="KPHoTro_DT" localSheetId="7">#REF!</definedName>
    <definedName name="KPHoTro_DT" localSheetId="6">#REF!</definedName>
    <definedName name="KPHoTro_DT">#REF!</definedName>
    <definedName name="KPNghiemThu_So" localSheetId="7">#REF!</definedName>
    <definedName name="KPNghiemThu_So" localSheetId="6">#REF!</definedName>
    <definedName name="KPNghiemThu_So">#REF!</definedName>
    <definedName name="KPTaiLieu" localSheetId="7">#REF!</definedName>
    <definedName name="KPTaiLieu" localSheetId="6">#REF!</definedName>
    <definedName name="KPTaiLieu">#REF!</definedName>
    <definedName name="KPTK_CapHuyen" localSheetId="7">#REF!</definedName>
    <definedName name="KPTK_CapHuyen" localSheetId="6">#REF!</definedName>
    <definedName name="KPTK_CapHuyen">#REF!</definedName>
    <definedName name="KPTK_CapXa" localSheetId="7">#REF!</definedName>
    <definedName name="KPTK_CapXa" localSheetId="6">#REF!</definedName>
    <definedName name="KPTK_CapXa">#REF!</definedName>
    <definedName name="KPTK_H" localSheetId="7">#REF!</definedName>
    <definedName name="KPTK_H" localSheetId="6">#REF!</definedName>
    <definedName name="KPTK_H">#REF!</definedName>
    <definedName name="KPTK_SO" localSheetId="7">#REF!</definedName>
    <definedName name="KPTK_SO" localSheetId="6">#REF!</definedName>
    <definedName name="KPTK_SO">#REF!</definedName>
    <definedName name="KPTK_X" localSheetId="7">#REF!</definedName>
    <definedName name="KPTK_X" localSheetId="6">#REF!</definedName>
    <definedName name="KPTK_X">#REF!</definedName>
    <definedName name="ks" localSheetId="7">#REF!</definedName>
    <definedName name="ks" localSheetId="6">#REF!</definedName>
    <definedName name="ks">#REF!</definedName>
    <definedName name="ksbn" localSheetId="7" hidden="1">{"'Sheet1'!$L$16"}</definedName>
    <definedName name="ksbn" localSheetId="6" hidden="1">{"'Sheet1'!$L$16"}</definedName>
    <definedName name="ksbn" hidden="1">{"'Sheet1'!$L$16"}</definedName>
    <definedName name="kshn" localSheetId="7" hidden="1">{"'Sheet1'!$L$16"}</definedName>
    <definedName name="kshn" localSheetId="6" hidden="1">{"'Sheet1'!$L$16"}</definedName>
    <definedName name="kshn" hidden="1">{"'Sheet1'!$L$16"}</definedName>
    <definedName name="ksls" localSheetId="7" hidden="1">{"'Sheet1'!$L$16"}</definedName>
    <definedName name="ksls" localSheetId="6" hidden="1">{"'Sheet1'!$L$16"}</definedName>
    <definedName name="ksls" hidden="1">{"'Sheet1'!$L$16"}</definedName>
    <definedName name="L63x6">5800</definedName>
    <definedName name="langson" localSheetId="7" hidden="1">{"'Sheet1'!$L$16"}</definedName>
    <definedName name="langson" localSheetId="6" hidden="1">{"'Sheet1'!$L$16"}</definedName>
    <definedName name="langson" hidden="1">{"'Sheet1'!$L$16"}</definedName>
    <definedName name="Lap_dat_td">'[24]M 67'!$A$37:$F$40</definedName>
    <definedName name="LBS_22">107800000</definedName>
    <definedName name="LoaiCT" localSheetId="7">#REF!</definedName>
    <definedName name="LoaiCT" localSheetId="6">#REF!</definedName>
    <definedName name="LoaiCT">#REF!</definedName>
    <definedName name="lón2">[25]Temp!$B$3</definedName>
    <definedName name="lón3">[25]Temp!$B$4</definedName>
    <definedName name="lón5">[25]Temp!$B$6</definedName>
    <definedName name="m" localSheetId="7">#REF!</definedName>
    <definedName name="m" localSheetId="6">#REF!</definedName>
    <definedName name="m">#REF!</definedName>
    <definedName name="MAJ_CON_EQP" localSheetId="7">#REF!</definedName>
    <definedName name="MAJ_CON_EQP" localSheetId="6">#REF!</definedName>
    <definedName name="MAJ_CON_EQP">#REF!</definedName>
    <definedName name="MAT" localSheetId="7">'[1]COAT&amp;WRAP-QIOT-#3'!#REF!</definedName>
    <definedName name="MAT" localSheetId="6">'[1]COAT&amp;WRAP-QIOT-#3'!#REF!</definedName>
    <definedName name="MAT">'[1]COAT&amp;WRAP-QIOT-#3'!#REF!</definedName>
    <definedName name="MB_Intel_Server_C440GX_Dual_Sl2_ATX" localSheetId="7">[12]DATA!#REF!</definedName>
    <definedName name="MB_Intel_Server_C440GX_Dual_Sl2_ATX" localSheetId="6">[12]DATA!#REF!</definedName>
    <definedName name="MB_Intel_Server_C440GX_Dual_Sl2_ATX">[12]DATA!#REF!</definedName>
    <definedName name="MB_Tomato_810B_Twin" localSheetId="7">[12]DATA!#REF!</definedName>
    <definedName name="MB_Tomato_810B_Twin" localSheetId="6">[12]DATA!#REF!</definedName>
    <definedName name="MB_Tomato_810B_Twin">[12]DATA!#REF!</definedName>
    <definedName name="MF" localSheetId="7">'[1]COAT&amp;WRAP-QIOT-#3'!#REF!</definedName>
    <definedName name="MF" localSheetId="6">'[1]COAT&amp;WRAP-QIOT-#3'!#REF!</definedName>
    <definedName name="MF">'[1]COAT&amp;WRAP-QIOT-#3'!#REF!</definedName>
    <definedName name="MirrorMode" localSheetId="7">#REF!</definedName>
    <definedName name="MirrorMode" localSheetId="6">#REF!</definedName>
    <definedName name="MirrorMode">#REF!</definedName>
    <definedName name="mo" localSheetId="7" hidden="1">{"'Sheet1'!$L$16"}</definedName>
    <definedName name="mo" localSheetId="6" hidden="1">{"'Sheet1'!$L$16"}</definedName>
    <definedName name="mo" hidden="1">{"'Sheet1'!$L$16"}</definedName>
    <definedName name="moi" localSheetId="7" hidden="1">{"'Sheet1'!$L$16"}</definedName>
    <definedName name="moi" localSheetId="6" hidden="1">{"'Sheet1'!$L$16"}</definedName>
    <definedName name="moi" hidden="1">{"'Sheet1'!$L$16"}</definedName>
    <definedName name="n">'[21]DO AM DT'!$G$102</definedName>
    <definedName name="n.s" localSheetId="7">[26]Nhâncông!#REF!</definedName>
    <definedName name="n.s" localSheetId="6">[26]Nhâncông!#REF!</definedName>
    <definedName name="n.s">[26]Nhâncông!#REF!</definedName>
    <definedName name="Na" localSheetId="7">[10]CPKhac!#REF!</definedName>
    <definedName name="Na" localSheetId="6">[10]CPKhac!#REF!</definedName>
    <definedName name="Na">[10]CPKhac!#REF!</definedName>
    <definedName name="nam" localSheetId="7" hidden="1">{"'Sheet1'!$L$16"}</definedName>
    <definedName name="nam" localSheetId="6" hidden="1">{"'Sheet1'!$L$16"}</definedName>
    <definedName name="nam" hidden="1">{"'Sheet1'!$L$16"}</definedName>
    <definedName name="NationalAllPrice" localSheetId="7">#REF!</definedName>
    <definedName name="NationalAllPrice" localSheetId="6">#REF!</definedName>
    <definedName name="NationalAllPrice">#REF!</definedName>
    <definedName name="NationalePrice" localSheetId="7">#REF!</definedName>
    <definedName name="NationalePrice" localSheetId="6">#REF!</definedName>
    <definedName name="NationalePrice">#REF!</definedName>
    <definedName name="NationalPrice" localSheetId="7">#REF!</definedName>
    <definedName name="NationalPrice" localSheetId="6">#REF!</definedName>
    <definedName name="NationalPrice">#REF!</definedName>
    <definedName name="Nb" localSheetId="7">[10]CPKhac!#REF!</definedName>
    <definedName name="Nb" localSheetId="6">[10]CPKhac!#REF!</definedName>
    <definedName name="Nb">[10]CPKhac!#REF!</definedName>
    <definedName name="Ne" localSheetId="7" hidden="1">{"'Sheet1'!$L$16"}</definedName>
    <definedName name="Ne" localSheetId="6" hidden="1">{"'Sheet1'!$L$16"}</definedName>
    <definedName name="Ne" hidden="1">{"'Sheet1'!$L$16"}</definedName>
    <definedName name="Nem" localSheetId="7" hidden="1">{"'Sheet1'!$L$16"}</definedName>
    <definedName name="Nem" localSheetId="6" hidden="1">{"'Sheet1'!$L$16"}</definedName>
    <definedName name="Nem" hidden="1">{"'Sheet1'!$L$16"}</definedName>
    <definedName name="NET" localSheetId="7">#REF!</definedName>
    <definedName name="NET" localSheetId="6">#REF!</definedName>
    <definedName name="NET">#REF!</definedName>
    <definedName name="NET_1" localSheetId="7">#REF!</definedName>
    <definedName name="NET_1" localSheetId="6">#REF!</definedName>
    <definedName name="NET_1">#REF!</definedName>
    <definedName name="NET_ANA" localSheetId="7">#REF!</definedName>
    <definedName name="NET_ANA" localSheetId="6">#REF!</definedName>
    <definedName name="NET_ANA">#REF!</definedName>
    <definedName name="NET_ANA_1" localSheetId="7">#REF!</definedName>
    <definedName name="NET_ANA_1" localSheetId="6">#REF!</definedName>
    <definedName name="NET_ANA_1">#REF!</definedName>
    <definedName name="NET_ANA_2" localSheetId="7">#REF!</definedName>
    <definedName name="NET_ANA_2" localSheetId="6">#REF!</definedName>
    <definedName name="NET_ANA_2">#REF!</definedName>
    <definedName name="ngu" localSheetId="7" hidden="1">{"'Sheet1'!$L$16"}</definedName>
    <definedName name="ngu" localSheetId="6" hidden="1">{"'Sheet1'!$L$16"}</definedName>
    <definedName name="ngu" hidden="1">{"'Sheet1'!$L$16"}</definedName>
    <definedName name="Nhan_cong_ky_su" localSheetId="7">#REF!</definedName>
    <definedName name="Nhan_cong_ky_su" localSheetId="6">#REF!</definedName>
    <definedName name="Nhan_cong_ky_su">#REF!</definedName>
    <definedName name="Nhaplieu" localSheetId="7">#REF!</definedName>
    <definedName name="Nhaplieu" localSheetId="6">#REF!</definedName>
    <definedName name="Nhaplieu">#REF!</definedName>
    <definedName name="NK" localSheetId="7">#REF!</definedName>
    <definedName name="NK" localSheetId="6">#REF!</definedName>
    <definedName name="NK">#REF!</definedName>
    <definedName name="NK_VC" localSheetId="7">#REF!</definedName>
    <definedName name="NK_VC" localSheetId="6">#REF!</definedName>
    <definedName name="NK_VC">#REF!</definedName>
    <definedName name="nnn" localSheetId="7" hidden="1">{"'Sheet1'!$L$16"}</definedName>
    <definedName name="nnn" localSheetId="6" hidden="1">{"'Sheet1'!$L$16"}</definedName>
    <definedName name="nnn" hidden="1">{"'Sheet1'!$L$16"}</definedName>
    <definedName name="Nodes" localSheetId="7">#REF!</definedName>
    <definedName name="Nodes" localSheetId="6">#REF!</definedName>
    <definedName name="Nodes">#REF!</definedName>
    <definedName name="NoPrice" localSheetId="7">#REF!</definedName>
    <definedName name="NoPrice" localSheetId="6">#REF!</definedName>
    <definedName name="NoPrice">#REF!</definedName>
    <definedName name="Number" localSheetId="7">#REF!</definedName>
    <definedName name="Number" localSheetId="6">#REF!</definedName>
    <definedName name="Number">#REF!</definedName>
    <definedName name="Numberx" localSheetId="7">#REF!</definedName>
    <definedName name="Numberx" localSheetId="6">#REF!</definedName>
    <definedName name="Numberx">#REF!</definedName>
    <definedName name="NumShifts_Day" localSheetId="7">#REF!</definedName>
    <definedName name="NumShifts_Day" localSheetId="6">#REF!</definedName>
    <definedName name="NumShifts_Day">#REF!</definedName>
    <definedName name="o" localSheetId="7" hidden="1">{"'Sheet1'!$L$16"}</definedName>
    <definedName name="o" localSheetId="6" hidden="1">{"'Sheet1'!$L$16"}</definedName>
    <definedName name="o" hidden="1">{"'Sheet1'!$L$16"}</definedName>
    <definedName name="OClientComp0" localSheetId="7">#REF!</definedName>
    <definedName name="OClientComp0" localSheetId="6">#REF!</definedName>
    <definedName name="OClientComp0">#REF!</definedName>
    <definedName name="OClientCompany" localSheetId="7">#REF!</definedName>
    <definedName name="OClientCompany" localSheetId="6">#REF!</definedName>
    <definedName name="OClientCompany">#REF!</definedName>
    <definedName name="OClientCountry" localSheetId="7">#REF!</definedName>
    <definedName name="OClientCountry" localSheetId="6">#REF!</definedName>
    <definedName name="OClientCountry">#REF!</definedName>
    <definedName name="OClientEmail" localSheetId="7">#REF!</definedName>
    <definedName name="OClientEmail" localSheetId="6">#REF!</definedName>
    <definedName name="OClientEmail">#REF!</definedName>
    <definedName name="OClientFax" localSheetId="7">#REF!</definedName>
    <definedName name="OClientFax" localSheetId="6">#REF!</definedName>
    <definedName name="OClientFax">#REF!</definedName>
    <definedName name="OClientName" localSheetId="7">#REF!</definedName>
    <definedName name="OClientName" localSheetId="6">#REF!</definedName>
    <definedName name="OClientName">#REF!</definedName>
    <definedName name="OClientStreet" localSheetId="7">#REF!</definedName>
    <definedName name="OClientStreet" localSheetId="6">#REF!</definedName>
    <definedName name="OClientStreet">#REF!</definedName>
    <definedName name="OClientTel" localSheetId="7">#REF!</definedName>
    <definedName name="OClientTel" localSheetId="6">#REF!</definedName>
    <definedName name="OClientTel">#REF!</definedName>
    <definedName name="OClientTown" localSheetId="7">#REF!</definedName>
    <definedName name="OClientTown" localSheetId="6">#REF!</definedName>
    <definedName name="OClientTown">#REF!</definedName>
    <definedName name="OldNumber" localSheetId="7">#REF!</definedName>
    <definedName name="OldNumber" localSheetId="6">#REF!</definedName>
    <definedName name="OldNumber">#REF!</definedName>
    <definedName name="OS" localSheetId="7">#REF!</definedName>
    <definedName name="OS" localSheetId="6">#REF!</definedName>
    <definedName name="OS">#REF!</definedName>
    <definedName name="OTHER_PANEL" localSheetId="7">'[22]NEW-PANEL'!#REF!</definedName>
    <definedName name="OTHER_PANEL" localSheetId="6">'[22]NEW-PANEL'!#REF!</definedName>
    <definedName name="OTHER_PANEL">'[22]NEW-PANEL'!#REF!</definedName>
    <definedName name="OVersion" localSheetId="7">#REF!</definedName>
    <definedName name="OVersion" localSheetId="6">#REF!</definedName>
    <definedName name="OVersion">#REF!</definedName>
    <definedName name="P" localSheetId="7">#REF!</definedName>
    <definedName name="P" localSheetId="6">#REF!</definedName>
    <definedName name="P">#REF!</definedName>
    <definedName name="PDO" localSheetId="7" hidden="1">{"'Summary'!$A$1:$J$46"}</definedName>
    <definedName name="PDO" localSheetId="6" hidden="1">{"'Summary'!$A$1:$J$46"}</definedName>
    <definedName name="PDO" hidden="1">{"'Summary'!$A$1:$J$46"}</definedName>
    <definedName name="pdqt" localSheetId="7">#REF!</definedName>
    <definedName name="pdqt" localSheetId="5">#REF!</definedName>
    <definedName name="pdqt" localSheetId="6">#REF!</definedName>
    <definedName name="pdqt">'Ty le tv'!$L$48:$R$50</definedName>
    <definedName name="PEJM" localSheetId="7">'[1]COAT&amp;WRAP-QIOT-#3'!#REF!</definedName>
    <definedName name="PEJM" localSheetId="6">'[1]COAT&amp;WRAP-QIOT-#3'!#REF!</definedName>
    <definedName name="PEJM">'[1]COAT&amp;WRAP-QIOT-#3'!#REF!</definedName>
    <definedName name="PF" localSheetId="7">'[1]PNT-QUOT-#3'!#REF!</definedName>
    <definedName name="PF" localSheetId="6">'[1]PNT-QUOT-#3'!#REF!</definedName>
    <definedName name="PF">'[1]PNT-QUOT-#3'!#REF!</definedName>
    <definedName name="phanloai" localSheetId="7">#REF!</definedName>
    <definedName name="phanloai" localSheetId="5">#REF!</definedName>
    <definedName name="phanloai" localSheetId="6">#REF!</definedName>
    <definedName name="phanloai">#REF!</definedName>
    <definedName name="Phi_PH_Thu_BLNH" localSheetId="7">#REF!</definedName>
    <definedName name="Phi_PH_Thu_BLNH" localSheetId="6">#REF!</definedName>
    <definedName name="Phi_PH_Thu_BLNH">#REF!</definedName>
    <definedName name="PL" localSheetId="7" hidden="1">{"'Sheet1'!$L$16"}</definedName>
    <definedName name="PL" localSheetId="6" hidden="1">{"'Sheet1'!$L$16"}</definedName>
    <definedName name="PL" hidden="1">{"'Sheet1'!$L$16"}</definedName>
    <definedName name="PL_指示燈___P.B.___REST_P.B._壓扣開關" localSheetId="7">'[22]NEW-PANEL'!#REF!</definedName>
    <definedName name="PL_指示燈___P.B.___REST_P.B._壓扣開關" localSheetId="6">'[22]NEW-PANEL'!#REF!</definedName>
    <definedName name="PL_指示燈___P.B.___REST_P.B._壓扣開關">'[22]NEW-PANEL'!#REF!</definedName>
    <definedName name="PM">[27]IBASE!$AH$16:$AV$110</definedName>
    <definedName name="PowerCord" localSheetId="7">[12]DATA!#REF!</definedName>
    <definedName name="PowerCord" localSheetId="6">[12]DATA!#REF!</definedName>
    <definedName name="PowerCord">[12]DATA!#REF!</definedName>
    <definedName name="pr" localSheetId="7">#REF!</definedName>
    <definedName name="pr" localSheetId="5">#REF!</definedName>
    <definedName name="pr" localSheetId="6">#REF!</definedName>
    <definedName name="pr">#REF!</definedName>
    <definedName name="Pr." localSheetId="7">#REF!</definedName>
    <definedName name="Pr." localSheetId="6">#REF!</definedName>
    <definedName name="Pr.">#REF!</definedName>
    <definedName name="Price" localSheetId="7">#REF!</definedName>
    <definedName name="Price" localSheetId="6">#REF!</definedName>
    <definedName name="Price">#REF!</definedName>
    <definedName name="PRICE1" localSheetId="7">#REF!</definedName>
    <definedName name="PRICE1" localSheetId="6">#REF!</definedName>
    <definedName name="PRICE1">#REF!</definedName>
    <definedName name="PriceColumn" localSheetId="7">#REF!</definedName>
    <definedName name="PriceColumn" localSheetId="6">#REF!</definedName>
    <definedName name="PriceColumn">#REF!</definedName>
    <definedName name="PriceColumnEuro" localSheetId="7">#REF!</definedName>
    <definedName name="PriceColumnEuro" localSheetId="6">#REF!</definedName>
    <definedName name="PriceColumnEuro">#REF!</definedName>
    <definedName name="PriceCur" localSheetId="7">#REF!</definedName>
    <definedName name="PriceCur" localSheetId="6">#REF!</definedName>
    <definedName name="PriceCur">#REF!</definedName>
    <definedName name="_xlnm.Print_Area" localSheetId="7">#REF!</definedName>
    <definedName name="_xlnm.Print_Area" localSheetId="6">#REF!</definedName>
    <definedName name="_xlnm.Print_Area">#REF!</definedName>
    <definedName name="Print_Area_MI">[28]ESTI.!$A$1:$U$52</definedName>
    <definedName name="_xlnm.Print_Titles">#N/A</definedName>
    <definedName name="Print_Titles_MI" localSheetId="7">#REF!</definedName>
    <definedName name="Print_Titles_MI" localSheetId="6">#REF!</definedName>
    <definedName name="Print_Titles_MI">#REF!</definedName>
    <definedName name="PRINTA" localSheetId="7">#REF!</definedName>
    <definedName name="PRINTA" localSheetId="6">#REF!</definedName>
    <definedName name="PRINTA">#REF!</definedName>
    <definedName name="PRINTB" localSheetId="7">#REF!</definedName>
    <definedName name="PRINTB" localSheetId="6">#REF!</definedName>
    <definedName name="PRINTB">#REF!</definedName>
    <definedName name="PRINTC" localSheetId="7">#REF!</definedName>
    <definedName name="PRINTC" localSheetId="6">#REF!</definedName>
    <definedName name="PRINTC">#REF!</definedName>
    <definedName name="PROPOSAL" localSheetId="7">#REF!</definedName>
    <definedName name="PROPOSAL" localSheetId="6">#REF!</definedName>
    <definedName name="PROPOSAL">#REF!</definedName>
    <definedName name="PT" localSheetId="7">#REF!</definedName>
    <definedName name="PT" localSheetId="6">#REF!</definedName>
    <definedName name="PT">#REF!</definedName>
    <definedName name="rate">14000</definedName>
    <definedName name="RECOUT">#N/A</definedName>
    <definedName name="RFP003A" localSheetId="7">#REF!</definedName>
    <definedName name="RFP003A" localSheetId="6">#REF!</definedName>
    <definedName name="RFP003A">#REF!</definedName>
    <definedName name="RFP003B" localSheetId="7">#REF!</definedName>
    <definedName name="RFP003B" localSheetId="6">#REF!</definedName>
    <definedName name="RFP003B">#REF!</definedName>
    <definedName name="RFP003C" localSheetId="7">#REF!</definedName>
    <definedName name="RFP003C" localSheetId="6">#REF!</definedName>
    <definedName name="RFP003C">#REF!</definedName>
    <definedName name="RFP003D" localSheetId="7">#REF!</definedName>
    <definedName name="RFP003D" localSheetId="6">#REF!</definedName>
    <definedName name="RFP003D">#REF!</definedName>
    <definedName name="RFP003E" localSheetId="7">#REF!</definedName>
    <definedName name="RFP003E" localSheetId="6">#REF!</definedName>
    <definedName name="RFP003E">#REF!</definedName>
    <definedName name="RFP003F" localSheetId="7">#REF!</definedName>
    <definedName name="RFP003F" localSheetId="6">#REF!</definedName>
    <definedName name="RFP003F">#REF!</definedName>
    <definedName name="RT" localSheetId="7">'[1]COAT&amp;WRAP-QIOT-#3'!#REF!</definedName>
    <definedName name="RT" localSheetId="6">'[1]COAT&amp;WRAP-QIOT-#3'!#REF!</definedName>
    <definedName name="RT">'[1]COAT&amp;WRAP-QIOT-#3'!#REF!</definedName>
    <definedName name="s" localSheetId="7">{"'Sheet1'!$L$16"}</definedName>
    <definedName name="s" localSheetId="6">{"'Sheet1'!$L$16"}</definedName>
    <definedName name="s">{"'Sheet1'!$L$16"}</definedName>
    <definedName name="SAP" localSheetId="7">#REF!</definedName>
    <definedName name="SAP" localSheetId="6">#REF!</definedName>
    <definedName name="SAP">#REF!</definedName>
    <definedName name="SB">[27]IBASE!$AH$7:$AL$14</definedName>
    <definedName name="SCH" localSheetId="7">#REF!</definedName>
    <definedName name="SCH" localSheetId="6">#REF!</definedName>
    <definedName name="SCH">#REF!</definedName>
    <definedName name="Schaltfläche2_BeiKlick">#N/A</definedName>
    <definedName name="sd" localSheetId="7">[12]DATA!#REF!</definedName>
    <definedName name="sd" localSheetId="6">[12]DATA!#REF!</definedName>
    <definedName name="sd">[12]DATA!#REF!</definedName>
    <definedName name="sdfsd" localSheetId="7">'[1]PNT-QUOT-#3'!#REF!</definedName>
    <definedName name="sdfsd" localSheetId="6">'[1]PNT-QUOT-#3'!#REF!</definedName>
    <definedName name="sdfsd">'[1]PNT-QUOT-#3'!#REF!</definedName>
    <definedName name="SingleCur" localSheetId="7">#REF!</definedName>
    <definedName name="SingleCur" localSheetId="6">#REF!</definedName>
    <definedName name="SingleCur">#REF!</definedName>
    <definedName name="SingleEuro" localSheetId="7">#REF!</definedName>
    <definedName name="SingleEuro" localSheetId="6">#REF!</definedName>
    <definedName name="SingleEuro">#REF!</definedName>
    <definedName name="SinglrCur" localSheetId="7">#REF!</definedName>
    <definedName name="SinglrCur" localSheetId="6">#REF!</definedName>
    <definedName name="SinglrCur">#REF!</definedName>
    <definedName name="SIZE" localSheetId="7">#REF!</definedName>
    <definedName name="SIZE" localSheetId="6">#REF!</definedName>
    <definedName name="SIZE">#REF!</definedName>
    <definedName name="SoCB_CapHuyen" localSheetId="7">#REF!</definedName>
    <definedName name="SoCB_CapHuyen" localSheetId="6">#REF!</definedName>
    <definedName name="SoCB_CapHuyen">#REF!</definedName>
    <definedName name="SoCB_CapTinh" localSheetId="7">#REF!</definedName>
    <definedName name="SoCB_CapTinh" localSheetId="6">#REF!</definedName>
    <definedName name="SoCB_CapTinh">#REF!</definedName>
    <definedName name="SoCB_CapXa" localSheetId="7">#REF!</definedName>
    <definedName name="SoCB_CapXa" localSheetId="6">#REF!</definedName>
    <definedName name="SoCB_CapXa">#REF!</definedName>
    <definedName name="SoChinhanh" localSheetId="7">#REF!</definedName>
    <definedName name="SoChinhanh" localSheetId="6">#REF!</definedName>
    <definedName name="SoChinhanh">#REF!</definedName>
    <definedName name="Soft" localSheetId="7">#REF!</definedName>
    <definedName name="Soft" localSheetId="6">#REF!</definedName>
    <definedName name="Soft">#REF!</definedName>
    <definedName name="SoHT">1</definedName>
    <definedName name="Solop_tinh" localSheetId="7">#REF!</definedName>
    <definedName name="Solop_tinh" localSheetId="6">#REF!</definedName>
    <definedName name="Solop_tinh">#REF!</definedName>
    <definedName name="Sonam_Trienkhai">'[20]Cau hinh'!$C$2</definedName>
    <definedName name="SORT" localSheetId="7">#REF!</definedName>
    <definedName name="SORT" localSheetId="6">#REF!</definedName>
    <definedName name="SORT">#REF!</definedName>
    <definedName name="SORT_AREA">'[28]DI-ESTI'!$A$8:$R$489</definedName>
    <definedName name="SoTinh_NhomA" localSheetId="7">'[18]TS Cau hinh-GD2'!#REF!</definedName>
    <definedName name="SoTinh_NhomA" localSheetId="6">'[18]TS Cau hinh-GD2'!#REF!</definedName>
    <definedName name="SoTinh_NhomA">'[18]TS Cau hinh-GD2'!#REF!</definedName>
    <definedName name="SoTinh_NhomB" localSheetId="7">'[18]TS Cau hinh-GD2'!#REF!</definedName>
    <definedName name="SoTinh_NhomB" localSheetId="6">'[18]TS Cau hinh-GD2'!#REF!</definedName>
    <definedName name="SoTinh_NhomB">'[18]TS Cau hinh-GD2'!#REF!</definedName>
    <definedName name="SoTinh_NhomC" localSheetId="7">'[18]TS Cau hinh-GD2'!#REF!</definedName>
    <definedName name="SoTinh_NhomC" localSheetId="6">'[18]TS Cau hinh-GD2'!#REF!</definedName>
    <definedName name="SoTinh_NhomC">'[18]TS Cau hinh-GD2'!#REF!</definedName>
    <definedName name="SourceActorRange" localSheetId="7">#REF!</definedName>
    <definedName name="SourceActorRange" localSheetId="6">#REF!</definedName>
    <definedName name="SourceActorRange">#REF!</definedName>
    <definedName name="SourceUseCaseRange" localSheetId="7">#REF!</definedName>
    <definedName name="SourceUseCaseRange" localSheetId="6">#REF!</definedName>
    <definedName name="SourceUseCaseRange">#REF!</definedName>
    <definedName name="SP" localSheetId="7">'[1]PNT-QUOT-#3'!#REF!</definedName>
    <definedName name="SP" localSheetId="6">'[1]PNT-QUOT-#3'!#REF!</definedName>
    <definedName name="SP">'[1]PNT-QUOT-#3'!#REF!</definedName>
    <definedName name="SPECSUMMARY" localSheetId="7">#REF!</definedName>
    <definedName name="SPECSUMMARY" localSheetId="6">#REF!</definedName>
    <definedName name="SPECSUMMARY">#REF!</definedName>
    <definedName name="Speed_ManualEnroll_10Fingers" localSheetId="7">'[29]Tham so'!#REF!</definedName>
    <definedName name="Speed_ManualEnroll_10Fingers" localSheetId="6">'[29]Tham so'!#REF!</definedName>
    <definedName name="Speed_ManualEnroll_10Fingers">'[29]Tham so'!#REF!</definedName>
    <definedName name="srbn" localSheetId="7">{"Thuxm2.xls","Sheet1"}</definedName>
    <definedName name="srbn" localSheetId="6">{"Thuxm2.xls","Sheet1"}</definedName>
    <definedName name="srbn">{"Thuxm2.xls","Sheet1"}</definedName>
    <definedName name="sssd" localSheetId="7" hidden="1">{#N/A,#N/A,FALSE,"Chi tiÆt"}</definedName>
    <definedName name="sssd" localSheetId="6" hidden="1">{#N/A,#N/A,FALSE,"Chi tiÆt"}</definedName>
    <definedName name="sssd" hidden="1">{#N/A,#N/A,FALSE,"Chi tiÆt"}</definedName>
    <definedName name="Start" localSheetId="7">#REF!</definedName>
    <definedName name="Start" localSheetId="6">#REF!</definedName>
    <definedName name="Start">#REF!</definedName>
    <definedName name="StartHints" localSheetId="7">#REF!</definedName>
    <definedName name="StartHints" localSheetId="6">#REF!</definedName>
    <definedName name="StartHints">#REF!</definedName>
    <definedName name="Subbase" localSheetId="7" hidden="1">{"'Sheet1'!$L$16"}</definedName>
    <definedName name="Subbase" localSheetId="6" hidden="1">{"'Sheet1'!$L$16"}</definedName>
    <definedName name="Subbase" hidden="1">{"'Sheet1'!$L$16"}</definedName>
    <definedName name="SumCur" localSheetId="7">#REF!</definedName>
    <definedName name="SumCur" localSheetId="6">#REF!</definedName>
    <definedName name="SumCur">#REF!</definedName>
    <definedName name="SumEuro" localSheetId="7">#REF!</definedName>
    <definedName name="SumEuro" localSheetId="6">#REF!</definedName>
    <definedName name="SumEuro">#REF!</definedName>
    <definedName name="SUMMARY" localSheetId="7">#REF!</definedName>
    <definedName name="SUMMARY" localSheetId="6">#REF!</definedName>
    <definedName name="SUMMARY">#REF!</definedName>
    <definedName name="SysName" localSheetId="7">#REF!</definedName>
    <definedName name="SysName" localSheetId="6">#REF!</definedName>
    <definedName name="SysName">#REF!</definedName>
    <definedName name="SystemName" localSheetId="7">#REF!</definedName>
    <definedName name="SystemName" localSheetId="6">#REF!</definedName>
    <definedName name="SystemName">#REF!</definedName>
    <definedName name="TAW">'[9]Appendix 3'!$F$8</definedName>
    <definedName name="TaxTV">10%</definedName>
    <definedName name="TaxXL">5%</definedName>
    <definedName name="TB">[30]ThietBi!$J$26</definedName>
    <definedName name="TBF">'[9]Appendix 4'!$E$18</definedName>
    <definedName name="TCF" localSheetId="7">#REF!</definedName>
    <definedName name="TCF" localSheetId="6">#REF!</definedName>
    <definedName name="TCF">#REF!</definedName>
    <definedName name="Ten_tinh" localSheetId="7">#REF!</definedName>
    <definedName name="Ten_tinh" localSheetId="6">#REF!</definedName>
    <definedName name="Ten_tinh">#REF!</definedName>
    <definedName name="TFW" localSheetId="7">#REF!</definedName>
    <definedName name="TFW" localSheetId="6">#REF!</definedName>
    <definedName name="TFW">#REF!</definedName>
    <definedName name="tg" localSheetId="7">'[31]1.TDT kinh phi'!#REF!</definedName>
    <definedName name="tg" localSheetId="5">'[32]1.TDT kinh phi'!#REF!</definedName>
    <definedName name="tg" localSheetId="6">'[31]1.TDT kinh phi'!#REF!</definedName>
    <definedName name="tg">'[31]1.TDT kinh phi'!#REF!</definedName>
    <definedName name="tha" localSheetId="7" hidden="1">{"'Sheet1'!$L$16"}</definedName>
    <definedName name="tha" localSheetId="6" hidden="1">{"'Sheet1'!$L$16"}</definedName>
    <definedName name="tha" hidden="1">{"'Sheet1'!$L$16"}</definedName>
    <definedName name="thepma">10500</definedName>
    <definedName name="THK" localSheetId="7">'[1]COAT&amp;WRAP-QIOT-#3'!#REF!</definedName>
    <definedName name="THK" localSheetId="6">'[1]COAT&amp;WRAP-QIOT-#3'!#REF!</definedName>
    <definedName name="THK">'[1]COAT&amp;WRAP-QIOT-#3'!#REF!</definedName>
    <definedName name="THop2">[33]TDT!$D$88</definedName>
    <definedName name="thu" localSheetId="7" hidden="1">{"'Sheet1'!$L$16"}</definedName>
    <definedName name="thu" localSheetId="6" hidden="1">{"'Sheet1'!$L$16"}</definedName>
    <definedName name="thu" hidden="1">{"'Sheet1'!$L$16"}</definedName>
    <definedName name="Thuế_thiết_bị_ngoại_vi">'[34]Tham so'!$D$5</definedName>
    <definedName name="thuy" localSheetId="7" hidden="1">{"'Sheet1'!$L$16"}</definedName>
    <definedName name="thuy" localSheetId="6" hidden="1">{"'Sheet1'!$L$16"}</definedName>
    <definedName name="thuy" hidden="1">{"'Sheet1'!$L$16"}</definedName>
    <definedName name="Tiepdiama">9500</definedName>
    <definedName name="tigia">[35]Sheet1!$J$2</definedName>
    <definedName name="TITAN" localSheetId="7">#REF!</definedName>
    <definedName name="TITAN" localSheetId="6">#REF!</definedName>
    <definedName name="TITAN">#REF!</definedName>
    <definedName name="TLTV2" localSheetId="7">#REF!</definedName>
    <definedName name="TLTV2" localSheetId="6">#REF!</definedName>
    <definedName name="TLTV2">#REF!</definedName>
    <definedName name="TMDT" localSheetId="7">[14]Tonghop!#REF!</definedName>
    <definedName name="TMDT" localSheetId="6">[14]Tonghop!#REF!</definedName>
    <definedName name="TMDT">[14]Tonghop!#REF!</definedName>
    <definedName name="tn" localSheetId="7">#REF!</definedName>
    <definedName name="tn" localSheetId="6">#REF!</definedName>
    <definedName name="tn">#REF!</definedName>
    <definedName name="ton">'[21]DO AM DT'!$AC$84</definedName>
    <definedName name="tonghop2" localSheetId="7">#REF!</definedName>
    <definedName name="tonghop2" localSheetId="6">#REF!</definedName>
    <definedName name="tonghop2">#REF!</definedName>
    <definedName name="TOTAL" localSheetId="7">[14]Tonghop!#REF!</definedName>
    <definedName name="TOTAL" localSheetId="6">[14]Tonghop!#REF!</definedName>
    <definedName name="TOTAL">[14]Tonghop!#REF!</definedName>
    <definedName name="TotalDataC27__GB" localSheetId="7">'[18]TS Cau hinh-GD2'!#REF!</definedName>
    <definedName name="TotalDataC27__GB" localSheetId="6">'[18]TS Cau hinh-GD2'!#REF!</definedName>
    <definedName name="TotalDataC27__GB">'[18]TS Cau hinh-GD2'!#REF!</definedName>
    <definedName name="TotalPrice" localSheetId="7">#REF!</definedName>
    <definedName name="TotalPrice" localSheetId="6">#REF!</definedName>
    <definedName name="TotalPrice">#REF!</definedName>
    <definedName name="totb" localSheetId="7">'[21]DO AM DT'!#REF!</definedName>
    <definedName name="totb" localSheetId="6">'[21]DO AM DT'!#REF!</definedName>
    <definedName name="totb">'[21]DO AM DT'!#REF!</definedName>
    <definedName name="totb1" localSheetId="7">'[21]DO AM DT'!#REF!</definedName>
    <definedName name="totb1" localSheetId="6">'[21]DO AM DT'!#REF!</definedName>
    <definedName name="totb1">'[21]DO AM DT'!#REF!</definedName>
    <definedName name="totb2" localSheetId="7">'[21]DO AM DT'!#REF!</definedName>
    <definedName name="totb2" localSheetId="6">'[21]DO AM DT'!#REF!</definedName>
    <definedName name="totb2">'[21]DO AM DT'!#REF!</definedName>
    <definedName name="totb3" localSheetId="7">'[21]DO AM DT'!#REF!</definedName>
    <definedName name="totb3" localSheetId="6">'[21]DO AM DT'!#REF!</definedName>
    <definedName name="totb3">'[21]DO AM DT'!#REF!</definedName>
    <definedName name="totb4" localSheetId="7">'[21]DO AM DT'!#REF!</definedName>
    <definedName name="totb4" localSheetId="6">'[21]DO AM DT'!#REF!</definedName>
    <definedName name="totb4">'[21]DO AM DT'!#REF!</definedName>
    <definedName name="totb5" localSheetId="7">'[21]DO AM DT'!#REF!</definedName>
    <definedName name="totb5" localSheetId="6">'[21]DO AM DT'!#REF!</definedName>
    <definedName name="totb5">'[21]DO AM DT'!#REF!</definedName>
    <definedName name="totb6" localSheetId="7">'[21]DO AM DT'!#REF!</definedName>
    <definedName name="totb6" localSheetId="6">'[21]DO AM DT'!#REF!</definedName>
    <definedName name="totb6">'[21]DO AM DT'!#REF!</definedName>
    <definedName name="totbtoi" localSheetId="7">#REF!</definedName>
    <definedName name="totbtoi" localSheetId="6">#REF!</definedName>
    <definedName name="totbtoi">#REF!</definedName>
    <definedName name="tp" localSheetId="7">#REF!</definedName>
    <definedName name="tp" localSheetId="6">#REF!</definedName>
    <definedName name="tp">#REF!</definedName>
    <definedName name="TPLRP" localSheetId="7">#REF!</definedName>
    <definedName name="TPLRP" localSheetId="6">#REF!</definedName>
    <definedName name="TPLRP">#REF!</definedName>
    <definedName name="TRADE2" localSheetId="7">#REF!</definedName>
    <definedName name="TRADE2" localSheetId="6">#REF!</definedName>
    <definedName name="TRADE2">#REF!</definedName>
    <definedName name="TRANSFORMER" localSheetId="7">'[22]NEW-PANEL'!#REF!</definedName>
    <definedName name="TRANSFORMER" localSheetId="6">'[22]NEW-PANEL'!#REF!</definedName>
    <definedName name="TRANSFORMER">'[22]NEW-PANEL'!#REF!</definedName>
    <definedName name="tto" localSheetId="7">#REF!</definedName>
    <definedName name="tto" localSheetId="6">#REF!</definedName>
    <definedName name="tto">#REF!</definedName>
    <definedName name="ttoxtp" localSheetId="7">#REF!</definedName>
    <definedName name="ttoxtp" localSheetId="6">#REF!</definedName>
    <definedName name="ttoxtp">#REF!</definedName>
    <definedName name="tuyennhanh" localSheetId="7" hidden="1">{"'Sheet1'!$L$16"}</definedName>
    <definedName name="tuyennhanh" localSheetId="6" hidden="1">{"'Sheet1'!$L$16"}</definedName>
    <definedName name="tuyennhanh" hidden="1">{"'Sheet1'!$L$16"}</definedName>
    <definedName name="Ty_gia" localSheetId="7">#REF!</definedName>
    <definedName name="Ty_gia" localSheetId="6">#REF!</definedName>
    <definedName name="Ty_gia">#REF!</definedName>
    <definedName name="Tỷ_giá_USD_VNĐ">'[18]Tong hopKP-GD2'!$D$2</definedName>
    <definedName name="Tyle_CP_Duphong" localSheetId="7">'[36]Chi phi thiet bi'!#REF!</definedName>
    <definedName name="Tyle_CP_Duphong" localSheetId="6">'[36]Chi phi thiet bi'!#REF!</definedName>
    <definedName name="Tyle_CP_Duphong">'[36]Chi phi thiet bi'!#REF!</definedName>
    <definedName name="TyleDKHT_DSo" localSheetId="7">#REF!</definedName>
    <definedName name="TyleDKHT_DSo" localSheetId="6">#REF!</definedName>
    <definedName name="TyleDKHT_DSo">#REF!</definedName>
    <definedName name="ưeqe" localSheetId="7">'[6]MTO REV.2(ARMOR)'!#REF!</definedName>
    <definedName name="ưeqe" localSheetId="6">'[6]MTO REV.2(ARMOR)'!#REF!</definedName>
    <definedName name="ưeqe">'[6]MTO REV.2(ARMOR)'!#REF!</definedName>
    <definedName name="UniqueActor" localSheetId="7">#REF!</definedName>
    <definedName name="UniqueActor" localSheetId="6">#REF!</definedName>
    <definedName name="UniqueActor">#REF!</definedName>
    <definedName name="UpdDurattion_Minute" localSheetId="7">#REF!</definedName>
    <definedName name="UpdDurattion_Minute" localSheetId="6">#REF!</definedName>
    <definedName name="UpdDurattion_Minute">#REF!</definedName>
    <definedName name="ưqeưeư" localSheetId="7">'[6]MTO REV.2(ARMOR)'!#REF!</definedName>
    <definedName name="ưqeưeư" localSheetId="6">'[6]MTO REV.2(ARMOR)'!#REF!</definedName>
    <definedName name="ưqeưeư">'[6]MTO REV.2(ARMOR)'!#REF!</definedName>
    <definedName name="UserCompany" localSheetId="7">#REF!</definedName>
    <definedName name="UserCompany" localSheetId="6">#REF!</definedName>
    <definedName name="UserCompany">#REF!</definedName>
    <definedName name="UserEmail" localSheetId="7">#REF!</definedName>
    <definedName name="UserEmail" localSheetId="6">#REF!</definedName>
    <definedName name="UserEmail">#REF!</definedName>
    <definedName name="UserFax" localSheetId="7">#REF!</definedName>
    <definedName name="UserFax" localSheetId="6">#REF!</definedName>
    <definedName name="UserFax">#REF!</definedName>
    <definedName name="UserFSC" localSheetId="7">#REF!</definedName>
    <definedName name="UserFSC" localSheetId="6">#REF!</definedName>
    <definedName name="UserFSC">#REF!</definedName>
    <definedName name="UserName" localSheetId="7">#REF!</definedName>
    <definedName name="UserName" localSheetId="6">#REF!</definedName>
    <definedName name="UserName">#REF!</definedName>
    <definedName name="UserStreet" localSheetId="7">#REF!</definedName>
    <definedName name="UserStreet" localSheetId="6">#REF!</definedName>
    <definedName name="UserStreet">#REF!</definedName>
    <definedName name="UserTel" localSheetId="7">#REF!</definedName>
    <definedName name="UserTel" localSheetId="6">#REF!</definedName>
    <definedName name="UserTel">#REF!</definedName>
    <definedName name="UserTown" localSheetId="7">#REF!</definedName>
    <definedName name="UserTown" localSheetId="6">#REF!</definedName>
    <definedName name="UserTown">#REF!</definedName>
    <definedName name="UUCP">'[9]Du toan'!$D$8</definedName>
    <definedName name="VAT_others">[37]Define!$B$6</definedName>
    <definedName name="VAT_PC">[37]Define!$B$4</definedName>
    <definedName name="VAT_SW">[37]Define!$B$8</definedName>
    <definedName name="vcoto" localSheetId="7" hidden="1">{"'Sheet1'!$L$16"}</definedName>
    <definedName name="vcoto" localSheetId="6" hidden="1">{"'Sheet1'!$L$16"}</definedName>
    <definedName name="vcoto" hidden="1">{"'Sheet1'!$L$16"}</definedName>
    <definedName name="Version" localSheetId="7">#REF!</definedName>
    <definedName name="Version" localSheetId="6">#REF!</definedName>
    <definedName name="Version">#REF!</definedName>
    <definedName name="VersionText" localSheetId="7">#REF!</definedName>
    <definedName name="VersionText" localSheetId="6">#REF!</definedName>
    <definedName name="VersionText">#REF!</definedName>
    <definedName name="vlct" localSheetId="7" hidden="1">{"'Sheet1'!$L$16"}</definedName>
    <definedName name="vlct" localSheetId="6" hidden="1">{"'Sheet1'!$L$16"}</definedName>
    <definedName name="vlct" hidden="1">{"'Sheet1'!$L$16"}</definedName>
    <definedName name="WarrantyCountry" localSheetId="7">#REF!</definedName>
    <definedName name="WarrantyCountry" localSheetId="6">#REF!</definedName>
    <definedName name="WarrantyCountry">#REF!</definedName>
    <definedName name="wrn.aaa." localSheetId="7" hidden="1">{#N/A,#N/A,FALSE,"Sheet1";#N/A,#N/A,FALSE,"Sheet1";#N/A,#N/A,FALSE,"Sheet1"}</definedName>
    <definedName name="wrn.aaa." localSheetId="6" hidden="1">{#N/A,#N/A,FALSE,"Sheet1";#N/A,#N/A,FALSE,"Sheet1";#N/A,#N/A,FALSE,"Sheet1"}</definedName>
    <definedName name="wrn.aaa." hidden="1">{#N/A,#N/A,FALSE,"Sheet1";#N/A,#N/A,FALSE,"Sheet1";#N/A,#N/A,FALSE,"Sheet1"}</definedName>
    <definedName name="wrn.chi._.tiÆt." localSheetId="7" hidden="1">{#N/A,#N/A,FALSE,"Chi tiÆt"}</definedName>
    <definedName name="wrn.chi._.tiÆt." localSheetId="6" hidden="1">{#N/A,#N/A,FALSE,"Chi tiÆt"}</definedName>
    <definedName name="wrn.chi._.tiÆt." hidden="1">{#N/A,#N/A,FALSE,"Chi tiÆt"}</definedName>
    <definedName name="wrn.cong." localSheetId="7" hidden="1">{#N/A,#N/A,FALSE,"Sheet1"}</definedName>
    <definedName name="wrn.cong." localSheetId="6" hidden="1">{#N/A,#N/A,FALSE,"Sheet1"}</definedName>
    <definedName name="wrn.cong." hidden="1">{#N/A,#N/A,FALSE,"Sheet1"}</definedName>
    <definedName name="ww" localSheetId="7">{"Thuxm2.xls","Sheet1"}</definedName>
    <definedName name="ww" localSheetId="6">{"Thuxm2.xls","Sheet1"}</definedName>
    <definedName name="ww">{"Thuxm2.xls","Sheet1"}</definedName>
    <definedName name="XCCT">0.5</definedName>
    <definedName name="xlttbninh" localSheetId="7" hidden="1">{"'Sheet1'!$L$16"}</definedName>
    <definedName name="xlttbninh" localSheetId="6" hidden="1">{"'Sheet1'!$L$16"}</definedName>
    <definedName name="xlttbninh" hidden="1">{"'Sheet1'!$L$16"}</definedName>
    <definedName name="yxcyxc" localSheetId="7">#REF!</definedName>
    <definedName name="yxcyxc" localSheetId="6">#REF!</definedName>
    <definedName name="yxcyxc">#REF!</definedName>
    <definedName name="ZYX" localSheetId="7">#REF!</definedName>
    <definedName name="ZYX" localSheetId="6">#REF!</definedName>
    <definedName name="ZYX">#REF!</definedName>
    <definedName name="ZZZ" localSheetId="7">#REF!</definedName>
    <definedName name="ZZZ" localSheetId="6">#REF!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4" i="68" l="1"/>
  <c r="A1132" i="68" l="1"/>
  <c r="A1141" i="68"/>
  <c r="A1150" i="68"/>
  <c r="A1159" i="68"/>
  <c r="A1168" i="68"/>
  <c r="A1177" i="68"/>
  <c r="A1186" i="68"/>
  <c r="A1195" i="68"/>
  <c r="A1204" i="68"/>
  <c r="A1213" i="68"/>
  <c r="A1222" i="68"/>
  <c r="A1231" i="68"/>
  <c r="A1240" i="68"/>
  <c r="A1249" i="68"/>
  <c r="A1258" i="68"/>
  <c r="A1267" i="68"/>
  <c r="A1276" i="68"/>
  <c r="A1285" i="68"/>
  <c r="A1294" i="68"/>
  <c r="A1303" i="68"/>
  <c r="A1312" i="68"/>
  <c r="A1321" i="68"/>
  <c r="A107" i="68" l="1"/>
  <c r="A100" i="68"/>
  <c r="A99" i="68"/>
  <c r="A98" i="68"/>
  <c r="A97" i="68"/>
  <c r="A96" i="68"/>
  <c r="A95" i="68"/>
  <c r="A94" i="68"/>
  <c r="A159" i="68"/>
  <c r="A1485" i="68" l="1"/>
  <c r="A1486" i="68"/>
  <c r="A1460" i="68"/>
  <c r="A1461" i="68"/>
  <c r="A1488" i="68"/>
  <c r="A1489" i="68"/>
  <c r="A1491" i="68"/>
  <c r="A1492" i="68"/>
  <c r="A1496" i="68"/>
  <c r="A1497" i="68"/>
  <c r="A1498" i="68"/>
  <c r="A1499" i="68"/>
  <c r="A1500" i="68"/>
  <c r="A1501" i="68"/>
  <c r="A1502" i="68"/>
  <c r="A1503" i="68"/>
  <c r="A1505" i="68"/>
  <c r="A1506" i="68"/>
  <c r="A1507" i="68"/>
  <c r="A1509" i="68"/>
  <c r="A1510" i="68"/>
  <c r="A1511" i="68"/>
  <c r="A1513" i="68"/>
  <c r="A1514" i="68"/>
  <c r="A1515" i="68"/>
  <c r="A1516" i="68"/>
  <c r="A1517" i="68"/>
  <c r="A1518" i="68"/>
  <c r="A1520" i="68"/>
  <c r="A1472" i="68"/>
  <c r="A1473" i="68"/>
  <c r="A1474" i="68"/>
  <c r="A1475" i="68"/>
  <c r="A1477" i="68"/>
  <c r="A1478" i="68"/>
  <c r="A1479" i="68"/>
  <c r="A1480" i="68"/>
  <c r="A1482" i="68"/>
  <c r="A1483" i="68"/>
  <c r="A1469" i="68"/>
  <c r="A1470" i="68"/>
  <c r="A1556" i="68"/>
  <c r="A1557" i="68"/>
  <c r="A1463" i="68"/>
  <c r="A1464" i="68"/>
  <c r="A1465" i="68"/>
  <c r="A1466" i="68"/>
  <c r="A1467" i="68"/>
  <c r="A1129" i="68" l="1"/>
  <c r="A1128" i="68"/>
  <c r="A1127" i="68"/>
  <c r="A1126" i="68"/>
  <c r="A1125" i="68"/>
  <c r="A1124" i="68"/>
  <c r="A1123" i="68"/>
  <c r="A1122" i="68"/>
  <c r="A1120" i="68"/>
  <c r="A1119" i="68"/>
  <c r="A1118" i="68"/>
  <c r="A1117" i="68"/>
  <c r="A1116" i="68"/>
  <c r="A1115" i="68"/>
  <c r="A1114" i="68"/>
  <c r="A1113" i="68"/>
  <c r="A1111" i="68"/>
  <c r="A1110" i="68"/>
  <c r="A1109" i="68"/>
  <c r="A1108" i="68"/>
  <c r="A1107" i="68"/>
  <c r="A1106" i="68"/>
  <c r="A1105" i="68"/>
  <c r="A1104" i="68"/>
  <c r="A181" i="68"/>
  <c r="A180" i="68"/>
  <c r="A179" i="68"/>
  <c r="A178" i="68"/>
  <c r="A1554" i="68" l="1"/>
  <c r="A1553" i="68"/>
  <c r="A1552" i="68"/>
  <c r="A62" i="68" l="1"/>
  <c r="A61" i="68"/>
  <c r="A60" i="68"/>
  <c r="A59" i="68"/>
  <c r="A58" i="68"/>
  <c r="A56" i="68"/>
  <c r="A55" i="68"/>
  <c r="A54" i="68"/>
  <c r="A53" i="68"/>
  <c r="A52" i="68"/>
  <c r="A1457" i="68" l="1"/>
  <c r="A1455" i="68"/>
  <c r="A1454" i="68"/>
  <c r="A1452" i="68"/>
  <c r="A1451" i="68"/>
  <c r="A1449" i="68"/>
  <c r="A1448" i="68"/>
  <c r="A669" i="68"/>
  <c r="A668" i="68"/>
  <c r="A667" i="68"/>
  <c r="A666" i="68"/>
  <c r="A665" i="68"/>
  <c r="A664" i="68"/>
  <c r="A663" i="68"/>
  <c r="A662" i="68"/>
  <c r="A660" i="68"/>
  <c r="A659" i="68"/>
  <c r="A658" i="68"/>
  <c r="A657" i="68"/>
  <c r="A656" i="68"/>
  <c r="A655" i="68"/>
  <c r="A654" i="68"/>
  <c r="A653" i="68"/>
  <c r="A651" i="68"/>
  <c r="A650" i="68"/>
  <c r="A649" i="68"/>
  <c r="A648" i="68"/>
  <c r="A647" i="68"/>
  <c r="A646" i="68"/>
  <c r="A645" i="68"/>
  <c r="A644" i="68"/>
  <c r="A642" i="68"/>
  <c r="A641" i="68"/>
  <c r="A640" i="68"/>
  <c r="A639" i="68"/>
  <c r="A638" i="68"/>
  <c r="A637" i="68"/>
  <c r="A636" i="68"/>
  <c r="A635" i="68"/>
  <c r="A633" i="68"/>
  <c r="A632" i="68"/>
  <c r="A631" i="68"/>
  <c r="A630" i="68"/>
  <c r="A629" i="68"/>
  <c r="A628" i="68"/>
  <c r="A627" i="68"/>
  <c r="A626" i="68"/>
  <c r="A624" i="68"/>
  <c r="A623" i="68"/>
  <c r="A622" i="68"/>
  <c r="A621" i="68"/>
  <c r="A620" i="68"/>
  <c r="A619" i="68"/>
  <c r="A618" i="68"/>
  <c r="A617" i="68"/>
  <c r="A615" i="68"/>
  <c r="A614" i="68"/>
  <c r="A613" i="68"/>
  <c r="A612" i="68"/>
  <c r="A611" i="68"/>
  <c r="A610" i="68"/>
  <c r="A609" i="68"/>
  <c r="A608" i="68"/>
  <c r="A606" i="68"/>
  <c r="A605" i="68"/>
  <c r="A604" i="68"/>
  <c r="A603" i="68"/>
  <c r="A602" i="68"/>
  <c r="A601" i="68"/>
  <c r="A600" i="68"/>
  <c r="A599" i="68"/>
  <c r="A597" i="68"/>
  <c r="A596" i="68"/>
  <c r="A595" i="68"/>
  <c r="A594" i="68"/>
  <c r="A593" i="68"/>
  <c r="A592" i="68"/>
  <c r="A591" i="68"/>
  <c r="A590" i="68"/>
  <c r="A1537" i="68"/>
  <c r="A1536" i="68"/>
  <c r="A1535" i="68"/>
  <c r="A1534" i="68"/>
  <c r="A1533" i="68"/>
  <c r="A1445" i="68" l="1"/>
  <c r="A1444" i="68"/>
  <c r="A1443" i="68"/>
  <c r="A1442" i="68"/>
  <c r="A1438" i="68"/>
  <c r="A1435" i="68"/>
  <c r="A1434" i="68"/>
  <c r="A1433" i="68"/>
  <c r="A1432" i="68"/>
  <c r="A1431" i="68"/>
  <c r="A1430" i="68"/>
  <c r="A1429" i="68"/>
  <c r="A1427" i="68"/>
  <c r="A1426" i="68"/>
  <c r="A1425" i="68"/>
  <c r="A1424" i="68"/>
  <c r="A1423" i="68"/>
  <c r="A1422" i="68"/>
  <c r="A1421" i="68"/>
  <c r="A1420" i="68"/>
  <c r="A249" i="68" l="1"/>
  <c r="A250" i="68"/>
  <c r="A251" i="68"/>
  <c r="A252" i="68"/>
  <c r="A253" i="68"/>
  <c r="A254" i="68"/>
  <c r="A255" i="68"/>
  <c r="A256" i="68"/>
  <c r="A258" i="68"/>
  <c r="A259" i="68"/>
  <c r="A260" i="68"/>
  <c r="A261" i="68"/>
  <c r="A263" i="68"/>
  <c r="A264" i="68"/>
  <c r="A265" i="68"/>
  <c r="A266" i="68"/>
  <c r="A267" i="68"/>
  <c r="A268" i="68"/>
  <c r="A269" i="68"/>
  <c r="A271" i="68"/>
  <c r="A272" i="68"/>
  <c r="A273" i="68"/>
  <c r="A274" i="68"/>
  <c r="A275" i="68"/>
  <c r="A277" i="68"/>
  <c r="A278" i="68"/>
  <c r="A279" i="68"/>
  <c r="A280" i="68"/>
  <c r="A283" i="68"/>
  <c r="A284" i="68"/>
  <c r="A286" i="68"/>
  <c r="A288" i="68"/>
  <c r="A289" i="68"/>
  <c r="A290" i="68"/>
  <c r="A291" i="68"/>
  <c r="A293" i="68"/>
  <c r="A294" i="68"/>
  <c r="A295" i="68"/>
  <c r="A296" i="68"/>
  <c r="A298" i="68"/>
  <c r="A299" i="68"/>
  <c r="A300" i="68"/>
  <c r="A301" i="68"/>
  <c r="A302" i="68"/>
  <c r="A303" i="68"/>
  <c r="A306" i="68"/>
  <c r="A307" i="68"/>
  <c r="A308" i="68"/>
  <c r="A309" i="68"/>
  <c r="A310" i="68"/>
  <c r="A313" i="68"/>
  <c r="A314" i="68"/>
  <c r="A315" i="68"/>
  <c r="A316" i="68"/>
  <c r="A317" i="68"/>
  <c r="A319" i="68"/>
  <c r="A320" i="68"/>
  <c r="A321" i="68"/>
  <c r="A322" i="68"/>
  <c r="A324" i="68"/>
  <c r="A325" i="68"/>
  <c r="A326" i="68"/>
  <c r="A327" i="68"/>
  <c r="A329" i="68"/>
  <c r="A330" i="68"/>
  <c r="A331" i="68"/>
  <c r="A332" i="68"/>
  <c r="A334" i="68"/>
  <c r="A335" i="68"/>
  <c r="A336" i="68"/>
  <c r="A337" i="68"/>
  <c r="A339" i="68"/>
  <c r="A340" i="68"/>
  <c r="A341" i="68"/>
  <c r="A342" i="68"/>
  <c r="A344" i="68"/>
  <c r="A345" i="68"/>
  <c r="A346" i="68"/>
  <c r="A347" i="68"/>
  <c r="A349" i="68"/>
  <c r="A350" i="68"/>
  <c r="A351" i="68"/>
  <c r="A352" i="68"/>
  <c r="A355" i="68"/>
  <c r="A356" i="68"/>
  <c r="A358" i="68"/>
  <c r="A359" i="68"/>
  <c r="A360" i="68"/>
  <c r="A361" i="68"/>
  <c r="A362" i="68"/>
  <c r="A364" i="68"/>
  <c r="A365" i="68"/>
  <c r="A366" i="68"/>
  <c r="A367" i="68"/>
  <c r="A368" i="68"/>
  <c r="A370" i="68"/>
  <c r="A371" i="68"/>
  <c r="A372" i="68"/>
  <c r="A373" i="68"/>
  <c r="A374" i="68"/>
  <c r="A375" i="68"/>
  <c r="A376" i="68"/>
  <c r="A377" i="68"/>
  <c r="A378" i="68"/>
  <c r="A380" i="68"/>
  <c r="A381" i="68"/>
  <c r="A382" i="68"/>
  <c r="A383" i="68"/>
  <c r="A384" i="68"/>
  <c r="A386" i="68"/>
  <c r="A387" i="68"/>
  <c r="A388" i="68"/>
  <c r="A389" i="68"/>
  <c r="A391" i="68"/>
  <c r="A392" i="68"/>
  <c r="A393" i="68"/>
  <c r="A394" i="68"/>
  <c r="A396" i="68"/>
  <c r="A397" i="68"/>
  <c r="A398" i="68"/>
  <c r="A399" i="68"/>
  <c r="A401" i="68"/>
  <c r="A402" i="68"/>
  <c r="A403" i="68"/>
  <c r="A404" i="68"/>
  <c r="A406" i="68"/>
  <c r="A407" i="68"/>
  <c r="A409" i="68"/>
  <c r="A410" i="68"/>
  <c r="A411" i="68"/>
  <c r="A412" i="68"/>
  <c r="A414" i="68"/>
  <c r="A415" i="68"/>
  <c r="A416" i="68"/>
  <c r="A417" i="68"/>
  <c r="A419" i="68"/>
  <c r="A420" i="68"/>
  <c r="A421" i="68"/>
  <c r="A422" i="68"/>
  <c r="A424" i="68"/>
  <c r="A425" i="68"/>
  <c r="A426" i="68"/>
  <c r="A427" i="68"/>
  <c r="A429" i="68"/>
  <c r="A430" i="68"/>
  <c r="A431" i="68"/>
  <c r="A432" i="68"/>
  <c r="A435" i="68"/>
  <c r="A436" i="68"/>
  <c r="A438" i="68"/>
  <c r="A439" i="68"/>
  <c r="A440" i="68"/>
  <c r="A441" i="68"/>
  <c r="A442" i="68"/>
  <c r="A444" i="68"/>
  <c r="A445" i="68"/>
  <c r="A446" i="68"/>
  <c r="A447" i="68"/>
  <c r="A448" i="68"/>
  <c r="A450" i="68"/>
  <c r="A451" i="68"/>
  <c r="A452" i="68"/>
  <c r="A453" i="68"/>
  <c r="A456" i="68"/>
  <c r="A457" i="68"/>
  <c r="A458" i="68"/>
  <c r="A459" i="68"/>
  <c r="A461" i="68"/>
  <c r="A462" i="68"/>
  <c r="A463" i="68"/>
  <c r="A464" i="68"/>
  <c r="A466" i="68"/>
  <c r="A467" i="68"/>
  <c r="A468" i="68"/>
  <c r="A469" i="68"/>
  <c r="A471" i="68"/>
  <c r="A472" i="68"/>
  <c r="A473" i="68"/>
  <c r="A474" i="68"/>
  <c r="A476" i="68"/>
  <c r="A477" i="68"/>
  <c r="A479" i="68"/>
  <c r="A480" i="68"/>
  <c r="A481" i="68"/>
  <c r="A482" i="68"/>
  <c r="A484" i="68"/>
  <c r="A485" i="68"/>
  <c r="A486" i="68"/>
  <c r="A487" i="68"/>
  <c r="A489" i="68"/>
  <c r="A490" i="68"/>
  <c r="A491" i="68"/>
  <c r="A492" i="68"/>
  <c r="A494" i="68"/>
  <c r="A495" i="68"/>
  <c r="A496" i="68"/>
  <c r="A497" i="68"/>
  <c r="A499" i="68"/>
  <c r="A500" i="68"/>
  <c r="A503" i="68"/>
  <c r="A504" i="68"/>
  <c r="A506" i="68"/>
  <c r="A507" i="68"/>
  <c r="A508" i="68"/>
  <c r="A509" i="68"/>
  <c r="A510" i="68"/>
  <c r="A512" i="68"/>
  <c r="A513" i="68"/>
  <c r="A514" i="68"/>
  <c r="A515" i="68"/>
  <c r="A516" i="68"/>
  <c r="A518" i="68"/>
  <c r="A519" i="68"/>
  <c r="A520" i="68"/>
  <c r="A521" i="68"/>
  <c r="A522" i="68"/>
  <c r="A524" i="68"/>
  <c r="A525" i="68"/>
  <c r="A526" i="68"/>
  <c r="A527" i="68"/>
  <c r="A529" i="68"/>
  <c r="A530" i="68"/>
  <c r="A531" i="68"/>
  <c r="A532" i="68"/>
  <c r="A534" i="68"/>
  <c r="A535" i="68"/>
  <c r="A536" i="68"/>
  <c r="A537" i="68"/>
  <c r="A539" i="68"/>
  <c r="A540" i="68"/>
  <c r="A542" i="68"/>
  <c r="A543" i="68"/>
  <c r="A544" i="68"/>
  <c r="A545" i="68"/>
  <c r="A547" i="68"/>
  <c r="A548" i="68"/>
  <c r="A549" i="68"/>
  <c r="A550" i="68"/>
  <c r="A552" i="68"/>
  <c r="A553" i="68"/>
  <c r="A554" i="68"/>
  <c r="A555" i="68"/>
  <c r="A557" i="68"/>
  <c r="A558" i="68"/>
  <c r="A559" i="68"/>
  <c r="A560" i="68"/>
  <c r="A562" i="68"/>
  <c r="A563" i="68"/>
  <c r="A566" i="68"/>
  <c r="A567" i="68"/>
  <c r="A568" i="68"/>
  <c r="A569" i="68"/>
  <c r="A570" i="68"/>
  <c r="A571" i="68"/>
  <c r="A576" i="68"/>
  <c r="A577" i="68"/>
  <c r="A578" i="68"/>
  <c r="A579" i="68"/>
  <c r="A580" i="68"/>
  <c r="A581" i="68"/>
  <c r="A583" i="68"/>
  <c r="A584" i="68"/>
  <c r="A585" i="68"/>
  <c r="A586" i="68"/>
  <c r="A587" i="68"/>
  <c r="A588" i="68"/>
  <c r="A672" i="68"/>
  <c r="A673" i="68"/>
  <c r="A674" i="68"/>
  <c r="A675" i="68"/>
  <c r="A676" i="68"/>
  <c r="A677" i="68"/>
  <c r="A678" i="68"/>
  <c r="A679" i="68"/>
  <c r="A681" i="68"/>
  <c r="A682" i="68"/>
  <c r="A683" i="68"/>
  <c r="A684" i="68"/>
  <c r="A685" i="68"/>
  <c r="A686" i="68"/>
  <c r="A687" i="68"/>
  <c r="A688" i="68"/>
  <c r="A690" i="68"/>
  <c r="A691" i="68"/>
  <c r="A692" i="68"/>
  <c r="A693" i="68"/>
  <c r="A694" i="68"/>
  <c r="A695" i="68"/>
  <c r="A696" i="68"/>
  <c r="A697" i="68"/>
  <c r="A699" i="68"/>
  <c r="A700" i="68"/>
  <c r="A701" i="68"/>
  <c r="A702" i="68"/>
  <c r="A703" i="68"/>
  <c r="A704" i="68"/>
  <c r="A705" i="68"/>
  <c r="A706" i="68"/>
  <c r="A708" i="68"/>
  <c r="A709" i="68"/>
  <c r="A710" i="68"/>
  <c r="A711" i="68"/>
  <c r="A712" i="68"/>
  <c r="A713" i="68"/>
  <c r="A714" i="68"/>
  <c r="A715" i="68"/>
  <c r="A717" i="68"/>
  <c r="A718" i="68"/>
  <c r="A719" i="68"/>
  <c r="A720" i="68"/>
  <c r="A721" i="68"/>
  <c r="A722" i="68"/>
  <c r="A723" i="68"/>
  <c r="A724" i="68"/>
  <c r="A726" i="68"/>
  <c r="A727" i="68"/>
  <c r="A728" i="68"/>
  <c r="A729" i="68"/>
  <c r="A730" i="68"/>
  <c r="A731" i="68"/>
  <c r="A732" i="68"/>
  <c r="A733" i="68"/>
  <c r="A735" i="68"/>
  <c r="A736" i="68"/>
  <c r="A737" i="68"/>
  <c r="A738" i="68"/>
  <c r="A739" i="68"/>
  <c r="A740" i="68"/>
  <c r="A741" i="68"/>
  <c r="A742" i="68"/>
  <c r="A744" i="68"/>
  <c r="A745" i="68"/>
  <c r="A746" i="68"/>
  <c r="A747" i="68"/>
  <c r="A748" i="68"/>
  <c r="A749" i="68"/>
  <c r="A750" i="68"/>
  <c r="A751" i="68"/>
  <c r="A753" i="68"/>
  <c r="A754" i="68"/>
  <c r="A755" i="68"/>
  <c r="A756" i="68"/>
  <c r="A757" i="68"/>
  <c r="A758" i="68"/>
  <c r="A759" i="68"/>
  <c r="A760" i="68"/>
  <c r="A762" i="68"/>
  <c r="A763" i="68"/>
  <c r="A764" i="68"/>
  <c r="A765" i="68"/>
  <c r="A766" i="68"/>
  <c r="A767" i="68"/>
  <c r="A768" i="68"/>
  <c r="A769" i="68"/>
  <c r="A771" i="68"/>
  <c r="A772" i="68"/>
  <c r="A773" i="68"/>
  <c r="A774" i="68"/>
  <c r="A775" i="68"/>
  <c r="A776" i="68"/>
  <c r="A777" i="68"/>
  <c r="A778" i="68"/>
  <c r="A780" i="68"/>
  <c r="A781" i="68"/>
  <c r="A782" i="68"/>
  <c r="A783" i="68"/>
  <c r="A784" i="68"/>
  <c r="A785" i="68"/>
  <c r="A786" i="68"/>
  <c r="A787" i="68"/>
  <c r="A789" i="68"/>
  <c r="A790" i="68"/>
  <c r="A791" i="68"/>
  <c r="A792" i="68"/>
  <c r="A793" i="68"/>
  <c r="A794" i="68"/>
  <c r="A795" i="68"/>
  <c r="A796" i="68"/>
  <c r="A798" i="68"/>
  <c r="A799" i="68"/>
  <c r="A800" i="68"/>
  <c r="A801" i="68"/>
  <c r="A802" i="68"/>
  <c r="A803" i="68"/>
  <c r="A804" i="68"/>
  <c r="A805" i="68"/>
  <c r="A807" i="68"/>
  <c r="A808" i="68"/>
  <c r="A809" i="68"/>
  <c r="A810" i="68"/>
  <c r="A811" i="68"/>
  <c r="A812" i="68"/>
  <c r="A813" i="68"/>
  <c r="A814" i="68"/>
  <c r="A816" i="68"/>
  <c r="A817" i="68"/>
  <c r="A818" i="68"/>
  <c r="A819" i="68"/>
  <c r="A820" i="68"/>
  <c r="A821" i="68"/>
  <c r="A822" i="68"/>
  <c r="A823" i="68"/>
  <c r="A825" i="68"/>
  <c r="A826" i="68"/>
  <c r="A827" i="68"/>
  <c r="A828" i="68"/>
  <c r="A829" i="68"/>
  <c r="A830" i="68"/>
  <c r="A831" i="68"/>
  <c r="A832" i="68"/>
  <c r="A834" i="68"/>
  <c r="A835" i="68"/>
  <c r="A836" i="68"/>
  <c r="A837" i="68"/>
  <c r="A838" i="68"/>
  <c r="A839" i="68"/>
  <c r="A840" i="68"/>
  <c r="A841" i="68"/>
  <c r="A843" i="68"/>
  <c r="A844" i="68"/>
  <c r="A845" i="68"/>
  <c r="A846" i="68"/>
  <c r="A847" i="68"/>
  <c r="A848" i="68"/>
  <c r="A849" i="68"/>
  <c r="A850" i="68"/>
  <c r="A852" i="68"/>
  <c r="A853" i="68"/>
  <c r="A854" i="68"/>
  <c r="A855" i="68"/>
  <c r="A856" i="68"/>
  <c r="A857" i="68"/>
  <c r="A858" i="68"/>
  <c r="A859" i="68"/>
  <c r="A861" i="68"/>
  <c r="A862" i="68"/>
  <c r="A863" i="68"/>
  <c r="A864" i="68"/>
  <c r="A865" i="68"/>
  <c r="A866" i="68"/>
  <c r="A867" i="68"/>
  <c r="A868" i="68"/>
  <c r="A870" i="68"/>
  <c r="A871" i="68"/>
  <c r="A872" i="68"/>
  <c r="A873" i="68"/>
  <c r="A874" i="68"/>
  <c r="A875" i="68"/>
  <c r="A876" i="68"/>
  <c r="A877" i="68"/>
  <c r="A879" i="68"/>
  <c r="A880" i="68"/>
  <c r="A881" i="68"/>
  <c r="A882" i="68"/>
  <c r="A883" i="68"/>
  <c r="A884" i="68"/>
  <c r="A885" i="68"/>
  <c r="A886" i="68"/>
  <c r="A888" i="68"/>
  <c r="A889" i="68"/>
  <c r="A890" i="68"/>
  <c r="A891" i="68"/>
  <c r="A892" i="68"/>
  <c r="A893" i="68"/>
  <c r="A894" i="68"/>
  <c r="A895" i="68"/>
  <c r="A897" i="68"/>
  <c r="A898" i="68"/>
  <c r="A899" i="68"/>
  <c r="A900" i="68"/>
  <c r="A901" i="68"/>
  <c r="A902" i="68"/>
  <c r="A903" i="68"/>
  <c r="A904" i="68"/>
  <c r="A906" i="68"/>
  <c r="A907" i="68"/>
  <c r="A908" i="68"/>
  <c r="A909" i="68"/>
  <c r="A910" i="68"/>
  <c r="A911" i="68"/>
  <c r="A912" i="68"/>
  <c r="A913" i="68"/>
  <c r="A915" i="68"/>
  <c r="A916" i="68"/>
  <c r="A917" i="68"/>
  <c r="A918" i="68"/>
  <c r="A919" i="68"/>
  <c r="A920" i="68"/>
  <c r="A921" i="68"/>
  <c r="A922" i="68"/>
  <c r="A924" i="68"/>
  <c r="A925" i="68"/>
  <c r="A926" i="68"/>
  <c r="A927" i="68"/>
  <c r="A928" i="68"/>
  <c r="A929" i="68"/>
  <c r="A930" i="68"/>
  <c r="A931" i="68"/>
  <c r="A933" i="68"/>
  <c r="A934" i="68"/>
  <c r="A935" i="68"/>
  <c r="A936" i="68"/>
  <c r="A937" i="68"/>
  <c r="A938" i="68"/>
  <c r="A939" i="68"/>
  <c r="A940" i="68"/>
  <c r="A942" i="68"/>
  <c r="A943" i="68"/>
  <c r="A944" i="68"/>
  <c r="A945" i="68"/>
  <c r="A946" i="68"/>
  <c r="A947" i="68"/>
  <c r="A948" i="68"/>
  <c r="A949" i="68"/>
  <c r="A951" i="68"/>
  <c r="A952" i="68"/>
  <c r="A953" i="68"/>
  <c r="A954" i="68"/>
  <c r="A955" i="68"/>
  <c r="A956" i="68"/>
  <c r="A957" i="68"/>
  <c r="A958" i="68"/>
  <c r="A960" i="68"/>
  <c r="A961" i="68"/>
  <c r="A962" i="68"/>
  <c r="A963" i="68"/>
  <c r="A964" i="68"/>
  <c r="A965" i="68"/>
  <c r="A966" i="68"/>
  <c r="A967" i="68"/>
  <c r="A969" i="68"/>
  <c r="A970" i="68"/>
  <c r="A971" i="68"/>
  <c r="A972" i="68"/>
  <c r="A973" i="68"/>
  <c r="A974" i="68"/>
  <c r="A975" i="68"/>
  <c r="A976" i="68"/>
  <c r="A978" i="68"/>
  <c r="A979" i="68"/>
  <c r="A980" i="68"/>
  <c r="A981" i="68"/>
  <c r="A982" i="68"/>
  <c r="A983" i="68"/>
  <c r="A984" i="68"/>
  <c r="A985" i="68"/>
  <c r="A987" i="68"/>
  <c r="A988" i="68"/>
  <c r="A989" i="68"/>
  <c r="A990" i="68"/>
  <c r="A991" i="68"/>
  <c r="A992" i="68"/>
  <c r="A993" i="68"/>
  <c r="A994" i="68"/>
  <c r="A996" i="68"/>
  <c r="A997" i="68"/>
  <c r="A998" i="68"/>
  <c r="A999" i="68"/>
  <c r="A1000" i="68"/>
  <c r="A1001" i="68"/>
  <c r="A1002" i="68"/>
  <c r="A1003" i="68"/>
  <c r="A1005" i="68"/>
  <c r="A1006" i="68"/>
  <c r="A1007" i="68"/>
  <c r="A1008" i="68"/>
  <c r="A1009" i="68"/>
  <c r="A1010" i="68"/>
  <c r="A1011" i="68"/>
  <c r="A1012" i="68"/>
  <c r="A1014" i="68"/>
  <c r="A1015" i="68"/>
  <c r="A1016" i="68"/>
  <c r="A1017" i="68"/>
  <c r="A1018" i="68"/>
  <c r="A1019" i="68"/>
  <c r="A1020" i="68"/>
  <c r="A1021" i="68"/>
  <c r="A1023" i="68"/>
  <c r="A1024" i="68"/>
  <c r="A1025" i="68"/>
  <c r="A1026" i="68"/>
  <c r="A1027" i="68"/>
  <c r="A1028" i="68"/>
  <c r="A1029" i="68"/>
  <c r="A1030" i="68"/>
  <c r="A1032" i="68"/>
  <c r="A1033" i="68"/>
  <c r="A1034" i="68"/>
  <c r="A1035" i="68"/>
  <c r="A1036" i="68"/>
  <c r="A1037" i="68"/>
  <c r="A1038" i="68"/>
  <c r="A1039" i="68"/>
  <c r="A1041" i="68"/>
  <c r="A1042" i="68"/>
  <c r="A1043" i="68"/>
  <c r="A1044" i="68"/>
  <c r="A1045" i="68"/>
  <c r="A1046" i="68"/>
  <c r="A1047" i="68"/>
  <c r="A1048" i="68"/>
  <c r="A1050" i="68"/>
  <c r="A1051" i="68"/>
  <c r="A1052" i="68"/>
  <c r="A1053" i="68"/>
  <c r="A1054" i="68"/>
  <c r="A1055" i="68"/>
  <c r="A1056" i="68"/>
  <c r="A1057" i="68"/>
  <c r="A1059" i="68"/>
  <c r="A1060" i="68"/>
  <c r="A1061" i="68"/>
  <c r="A1062" i="68"/>
  <c r="A1063" i="68"/>
  <c r="A1064" i="68"/>
  <c r="A1065" i="68"/>
  <c r="A1066" i="68"/>
  <c r="A1068" i="68"/>
  <c r="A1069" i="68"/>
  <c r="A1070" i="68"/>
  <c r="A1071" i="68"/>
  <c r="A1072" i="68"/>
  <c r="A1073" i="68"/>
  <c r="A1074" i="68"/>
  <c r="A1075" i="68"/>
  <c r="A1077" i="68"/>
  <c r="A1078" i="68"/>
  <c r="A1079" i="68"/>
  <c r="A1080" i="68"/>
  <c r="A1081" i="68"/>
  <c r="A1082" i="68"/>
  <c r="A1083" i="68"/>
  <c r="A1084" i="68"/>
  <c r="A1086" i="68"/>
  <c r="A1087" i="68"/>
  <c r="A1088" i="68"/>
  <c r="A1089" i="68"/>
  <c r="A1090" i="68"/>
  <c r="A1091" i="68"/>
  <c r="A1092" i="68"/>
  <c r="A1093" i="68"/>
  <c r="A1133" i="68"/>
  <c r="A1134" i="68"/>
  <c r="A1135" i="68"/>
  <c r="A1136" i="68"/>
  <c r="A1137" i="68"/>
  <c r="A1138" i="68"/>
  <c r="A1139" i="68"/>
  <c r="A1142" i="68"/>
  <c r="A1143" i="68"/>
  <c r="A1144" i="68"/>
  <c r="A1145" i="68"/>
  <c r="A1146" i="68"/>
  <c r="A1147" i="68"/>
  <c r="A1148" i="68"/>
  <c r="A1151" i="68"/>
  <c r="A1152" i="68"/>
  <c r="A1153" i="68"/>
  <c r="A1154" i="68"/>
  <c r="A1155" i="68"/>
  <c r="A1156" i="68"/>
  <c r="A1157" i="68"/>
  <c r="A1160" i="68"/>
  <c r="A1161" i="68"/>
  <c r="A1162" i="68"/>
  <c r="A1163" i="68"/>
  <c r="A1164" i="68"/>
  <c r="A1165" i="68"/>
  <c r="A1166" i="68"/>
  <c r="A1169" i="68"/>
  <c r="A1170" i="68"/>
  <c r="A1171" i="68"/>
  <c r="A1172" i="68"/>
  <c r="A1173" i="68"/>
  <c r="A1174" i="68"/>
  <c r="A1175" i="68"/>
  <c r="A1178" i="68"/>
  <c r="A1179" i="68"/>
  <c r="A1180" i="68"/>
  <c r="A1181" i="68"/>
  <c r="A1182" i="68"/>
  <c r="A1183" i="68"/>
  <c r="A1184" i="68"/>
  <c r="A1187" i="68"/>
  <c r="A1188" i="68"/>
  <c r="A1189" i="68"/>
  <c r="A1190" i="68"/>
  <c r="A1191" i="68"/>
  <c r="A1192" i="68"/>
  <c r="A1193" i="68"/>
  <c r="A1196" i="68"/>
  <c r="A1197" i="68"/>
  <c r="A1198" i="68"/>
  <c r="A1199" i="68"/>
  <c r="A1200" i="68"/>
  <c r="A1201" i="68"/>
  <c r="A1202" i="68"/>
  <c r="A1205" i="68"/>
  <c r="A1206" i="68"/>
  <c r="A1207" i="68"/>
  <c r="A1208" i="68"/>
  <c r="A1209" i="68"/>
  <c r="A1210" i="68"/>
  <c r="A1211" i="68"/>
  <c r="A1214" i="68"/>
  <c r="A1215" i="68"/>
  <c r="A1216" i="68"/>
  <c r="A1217" i="68"/>
  <c r="A1218" i="68"/>
  <c r="A1219" i="68"/>
  <c r="A1220" i="68"/>
  <c r="A1223" i="68"/>
  <c r="A1224" i="68"/>
  <c r="A1225" i="68"/>
  <c r="A1226" i="68"/>
  <c r="A1227" i="68"/>
  <c r="A1228" i="68"/>
  <c r="A1229" i="68"/>
  <c r="A1232" i="68"/>
  <c r="A1233" i="68"/>
  <c r="A1234" i="68"/>
  <c r="A1235" i="68"/>
  <c r="A1236" i="68"/>
  <c r="A1237" i="68"/>
  <c r="A1238" i="68"/>
  <c r="A1241" i="68"/>
  <c r="A1242" i="68"/>
  <c r="A1243" i="68"/>
  <c r="A1244" i="68"/>
  <c r="A1245" i="68"/>
  <c r="A1246" i="68"/>
  <c r="A1247" i="68"/>
  <c r="A1250" i="68"/>
  <c r="A1251" i="68"/>
  <c r="A1252" i="68"/>
  <c r="A1253" i="68"/>
  <c r="A1254" i="68"/>
  <c r="A1255" i="68"/>
  <c r="A1256" i="68"/>
  <c r="A1259" i="68"/>
  <c r="A1260" i="68"/>
  <c r="A1261" i="68"/>
  <c r="A1262" i="68"/>
  <c r="A1263" i="68"/>
  <c r="A1264" i="68"/>
  <c r="A1265" i="68"/>
  <c r="A1268" i="68"/>
  <c r="A1269" i="68"/>
  <c r="A1270" i="68"/>
  <c r="A1271" i="68"/>
  <c r="A1272" i="68"/>
  <c r="A1273" i="68"/>
  <c r="A1274" i="68"/>
  <c r="A1277" i="68"/>
  <c r="A1278" i="68"/>
  <c r="A1279" i="68"/>
  <c r="A1280" i="68"/>
  <c r="A1281" i="68"/>
  <c r="A1282" i="68"/>
  <c r="A1283" i="68"/>
  <c r="A1286" i="68"/>
  <c r="A1287" i="68"/>
  <c r="A1288" i="68"/>
  <c r="A1289" i="68"/>
  <c r="A1290" i="68"/>
  <c r="A1291" i="68"/>
  <c r="A1292" i="68"/>
  <c r="A1295" i="68"/>
  <c r="A1296" i="68"/>
  <c r="A1297" i="68"/>
  <c r="A1298" i="68"/>
  <c r="A1299" i="68"/>
  <c r="A1300" i="68"/>
  <c r="A1301" i="68"/>
  <c r="A1304" i="68"/>
  <c r="A1305" i="68"/>
  <c r="A1306" i="68"/>
  <c r="A1307" i="68"/>
  <c r="A1308" i="68"/>
  <c r="A1309" i="68"/>
  <c r="A1310" i="68"/>
  <c r="A1313" i="68"/>
  <c r="A1314" i="68"/>
  <c r="A1315" i="68"/>
  <c r="A1316" i="68"/>
  <c r="A1317" i="68"/>
  <c r="A1318" i="68"/>
  <c r="A1319" i="68"/>
  <c r="A1322" i="68"/>
  <c r="A1323" i="68"/>
  <c r="A1324" i="68"/>
  <c r="A1325" i="68"/>
  <c r="A1326" i="68"/>
  <c r="A1327" i="68"/>
  <c r="A1328" i="68"/>
  <c r="A1330" i="68"/>
  <c r="A1331" i="68"/>
  <c r="A1332" i="68"/>
  <c r="A1333" i="68"/>
  <c r="A1334" i="68"/>
  <c r="A1335" i="68"/>
  <c r="A1336" i="68"/>
  <c r="A1337" i="68"/>
  <c r="A1339" i="68"/>
  <c r="A1340" i="68"/>
  <c r="A1341" i="68"/>
  <c r="A1342" i="68"/>
  <c r="A1343" i="68"/>
  <c r="A1344" i="68"/>
  <c r="A1345" i="68"/>
  <c r="A1346" i="68"/>
  <c r="A1348" i="68"/>
  <c r="A1349" i="68"/>
  <c r="A1350" i="68"/>
  <c r="A1351" i="68"/>
  <c r="A1352" i="68"/>
  <c r="A1353" i="68"/>
  <c r="A1354" i="68"/>
  <c r="A1355" i="68"/>
  <c r="A1357" i="68"/>
  <c r="A1358" i="68"/>
  <c r="A1359" i="68"/>
  <c r="A1360" i="68"/>
  <c r="A1361" i="68"/>
  <c r="A1362" i="68"/>
  <c r="A1363" i="68"/>
  <c r="A1364" i="68"/>
  <c r="A1366" i="68"/>
  <c r="A1367" i="68"/>
  <c r="A1368" i="68"/>
  <c r="A1369" i="68"/>
  <c r="A1370" i="68"/>
  <c r="A1371" i="68"/>
  <c r="A1372" i="68"/>
  <c r="A1373" i="68"/>
  <c r="A1375" i="68"/>
  <c r="A1376" i="68"/>
  <c r="A1377" i="68"/>
  <c r="A1378" i="68"/>
  <c r="A1379" i="68"/>
  <c r="A1380" i="68"/>
  <c r="A1381" i="68"/>
  <c r="A1382" i="68"/>
  <c r="A1384" i="68"/>
  <c r="A1385" i="68"/>
  <c r="A1386" i="68"/>
  <c r="A1387" i="68"/>
  <c r="A1388" i="68"/>
  <c r="A1389" i="68"/>
  <c r="A1390" i="68"/>
  <c r="A1391" i="68"/>
  <c r="A1393" i="68"/>
  <c r="A1394" i="68"/>
  <c r="A1395" i="68"/>
  <c r="A1396" i="68"/>
  <c r="A1397" i="68"/>
  <c r="A1398" i="68"/>
  <c r="A1399" i="68"/>
  <c r="A1400" i="68"/>
  <c r="A1402" i="68"/>
  <c r="A1403" i="68"/>
  <c r="A1404" i="68"/>
  <c r="A1405" i="68"/>
  <c r="A1406" i="68"/>
  <c r="A1407" i="68"/>
  <c r="A1408" i="68"/>
  <c r="A1409" i="68"/>
  <c r="A1411" i="68"/>
  <c r="A1412" i="68"/>
  <c r="A1413" i="68"/>
  <c r="A1414" i="68"/>
  <c r="A1415" i="68"/>
  <c r="A1416" i="68"/>
  <c r="A1417" i="68"/>
  <c r="A1418" i="68"/>
  <c r="A1524" i="68"/>
  <c r="A1525" i="68"/>
  <c r="A1526" i="68"/>
  <c r="A1527" i="68"/>
  <c r="A1528" i="68"/>
  <c r="A1529" i="68"/>
  <c r="A1530" i="68"/>
  <c r="A1531" i="68"/>
  <c r="A1539" i="68"/>
  <c r="A1540" i="68"/>
  <c r="A1541" i="68"/>
  <c r="A1542" i="68"/>
  <c r="A1544" i="68"/>
  <c r="A1545" i="68"/>
  <c r="A1546" i="68"/>
  <c r="A1547" i="68"/>
  <c r="A1548" i="68"/>
  <c r="A1549" i="68"/>
  <c r="A1550" i="68"/>
  <c r="A224" i="68"/>
  <c r="A225" i="68"/>
  <c r="A226" i="68"/>
  <c r="A227" i="68"/>
  <c r="A228" i="68"/>
  <c r="A229" i="68"/>
  <c r="A230" i="68"/>
  <c r="A231" i="68"/>
  <c r="A233" i="68"/>
  <c r="A234" i="68"/>
  <c r="A235" i="68"/>
  <c r="A236" i="68"/>
  <c r="A237" i="68"/>
  <c r="A238" i="68"/>
  <c r="A239" i="68"/>
  <c r="A240" i="68"/>
  <c r="A242" i="68"/>
  <c r="A243" i="68"/>
  <c r="A244" i="68"/>
  <c r="A245" i="68"/>
  <c r="A246" i="68"/>
  <c r="A247" i="68"/>
  <c r="A186" i="68" l="1"/>
  <c r="A187" i="68"/>
  <c r="A188" i="68"/>
  <c r="A189" i="68"/>
  <c r="A190" i="68"/>
  <c r="A192" i="68"/>
  <c r="A193" i="68"/>
  <c r="A194" i="68"/>
  <c r="A195" i="68"/>
  <c r="A196" i="68"/>
  <c r="A197" i="68"/>
  <c r="A198" i="68"/>
  <c r="A199" i="68"/>
  <c r="A201" i="68"/>
  <c r="A202" i="68"/>
  <c r="A203" i="68"/>
  <c r="A204" i="68"/>
  <c r="A205" i="68"/>
  <c r="A206" i="68"/>
  <c r="A207" i="68"/>
  <c r="A208" i="68"/>
  <c r="A210" i="68"/>
  <c r="A211" i="68"/>
  <c r="A212" i="68"/>
  <c r="A213" i="68"/>
  <c r="A215" i="68"/>
  <c r="A216" i="68"/>
  <c r="A217" i="68"/>
  <c r="A218" i="68"/>
  <c r="A219" i="68"/>
  <c r="A220" i="68"/>
  <c r="A221" i="68"/>
  <c r="A222" i="68"/>
  <c r="A17" i="68" l="1"/>
  <c r="A18" i="68"/>
  <c r="A19" i="68"/>
  <c r="A20" i="68"/>
  <c r="A22" i="68"/>
  <c r="A23" i="68"/>
  <c r="A24" i="68"/>
  <c r="A25" i="68"/>
  <c r="A26" i="68"/>
  <c r="A27" i="68"/>
  <c r="A28" i="68"/>
  <c r="A29" i="68"/>
  <c r="A31" i="68"/>
  <c r="A32" i="68"/>
  <c r="A33" i="68"/>
  <c r="A34" i="68"/>
  <c r="A35" i="68"/>
  <c r="A37" i="68"/>
  <c r="A38" i="68"/>
  <c r="A39" i="68"/>
  <c r="A40" i="68"/>
  <c r="A41" i="68"/>
  <c r="A42" i="68"/>
  <c r="A43" i="68"/>
  <c r="A44" i="68"/>
  <c r="A46" i="68"/>
  <c r="A47" i="68"/>
  <c r="A48" i="68"/>
  <c r="A49" i="68"/>
  <c r="A50" i="68"/>
  <c r="A64" i="68"/>
  <c r="A65" i="68"/>
  <c r="A66" i="68"/>
  <c r="A67" i="68"/>
  <c r="A68" i="68"/>
  <c r="A73" i="68"/>
  <c r="A74" i="68"/>
  <c r="A75" i="68"/>
  <c r="A76" i="68"/>
  <c r="A77" i="68"/>
  <c r="A84" i="68"/>
  <c r="A85" i="68"/>
  <c r="A86" i="68"/>
  <c r="A87" i="68"/>
  <c r="A88" i="68"/>
  <c r="A90" i="68"/>
  <c r="A91" i="68"/>
  <c r="A92" i="68"/>
  <c r="A106" i="68"/>
  <c r="A108" i="68"/>
  <c r="A110" i="68"/>
  <c r="A112" i="68"/>
  <c r="A113" i="68"/>
  <c r="A114" i="68"/>
  <c r="A115" i="68"/>
  <c r="A116" i="68"/>
  <c r="A118" i="68"/>
  <c r="A119" i="68"/>
  <c r="A120" i="68"/>
  <c r="A121" i="68"/>
  <c r="A123" i="68"/>
  <c r="A124" i="68"/>
  <c r="A125" i="68"/>
  <c r="A126" i="68"/>
  <c r="A127" i="68"/>
  <c r="A128" i="68"/>
  <c r="A130" i="68"/>
  <c r="A131" i="68"/>
  <c r="A132" i="68"/>
  <c r="A133" i="68"/>
  <c r="A134" i="68"/>
  <c r="A135" i="68"/>
  <c r="A136" i="68"/>
  <c r="A137" i="68"/>
  <c r="A139" i="68"/>
  <c r="A140" i="68"/>
  <c r="A141" i="68"/>
  <c r="A142" i="68"/>
  <c r="A143" i="68"/>
  <c r="A144" i="68"/>
  <c r="A145" i="68"/>
  <c r="A146" i="68"/>
  <c r="A147" i="68"/>
  <c r="A148" i="68"/>
  <c r="A149" i="68"/>
  <c r="A152" i="68"/>
  <c r="A154" i="68"/>
  <c r="A155" i="68"/>
  <c r="A156" i="68"/>
  <c r="A161" i="68"/>
  <c r="A162" i="68"/>
  <c r="A163" i="68"/>
  <c r="A165" i="68"/>
  <c r="A166" i="68"/>
  <c r="A167" i="68"/>
  <c r="A168" i="68"/>
  <c r="A169" i="68"/>
  <c r="A170" i="68"/>
  <c r="A173" i="68"/>
  <c r="A174" i="68"/>
  <c r="A175" i="68"/>
  <c r="A176" i="68"/>
  <c r="A183" i="68"/>
  <c r="A184" i="68"/>
  <c r="A185" i="68"/>
  <c r="A13" i="68"/>
  <c r="A14" i="68"/>
  <c r="A15" i="68"/>
  <c r="A16" i="68"/>
  <c r="A3" i="68" l="1"/>
  <c r="A7" i="68" l="1"/>
  <c r="A6" i="68"/>
  <c r="A5" i="68"/>
  <c r="A4" i="68"/>
  <c r="A12" i="68" l="1"/>
  <c r="A21" i="68" l="1"/>
  <c r="A30" i="68" l="1"/>
  <c r="F5" i="60"/>
  <c r="G5" i="60" s="1"/>
  <c r="G4" i="60" s="1"/>
  <c r="A36" i="68" l="1"/>
  <c r="H5" i="60"/>
  <c r="H4" i="60" s="1"/>
  <c r="A45" i="68" l="1"/>
  <c r="I5" i="60"/>
  <c r="I4" i="60" s="1"/>
  <c r="A51" i="68" l="1"/>
  <c r="A57" i="68" l="1"/>
  <c r="A63" i="68" l="1"/>
  <c r="A72" i="68" s="1"/>
  <c r="A83" i="68" l="1"/>
  <c r="A89" i="68" s="1"/>
  <c r="A93" i="68" s="1"/>
  <c r="F8" i="52"/>
  <c r="F7" i="52"/>
  <c r="I14" i="62"/>
  <c r="J7" i="62"/>
  <c r="L7" i="62" s="1"/>
  <c r="J5" i="62"/>
  <c r="L5" i="62" s="1"/>
  <c r="J4" i="62"/>
  <c r="F4" i="61"/>
  <c r="I3" i="61"/>
  <c r="H3" i="61"/>
  <c r="G2" i="61"/>
  <c r="G4" i="61" s="1"/>
  <c r="A101" i="68" l="1"/>
  <c r="H2" i="61"/>
  <c r="H4" i="61" s="1"/>
  <c r="I2" i="61"/>
  <c r="I4" i="61" s="1"/>
  <c r="K7" i="62"/>
  <c r="F6" i="52"/>
  <c r="F5" i="52"/>
  <c r="F4" i="52" s="1"/>
  <c r="F3" i="52" s="1"/>
  <c r="J14" i="62"/>
  <c r="K5" i="62"/>
  <c r="K4" i="62"/>
  <c r="L4" i="62"/>
  <c r="L14" i="62" s="1"/>
  <c r="D8" i="33"/>
  <c r="E8" i="33" s="1"/>
  <c r="F8" i="33" s="1"/>
  <c r="A105" i="68" l="1"/>
  <c r="F9" i="52"/>
  <c r="F10" i="52" s="1"/>
  <c r="F11" i="52" s="1"/>
  <c r="F12" i="52" s="1"/>
  <c r="K14" i="62"/>
  <c r="A109" i="68" l="1"/>
  <c r="A117" i="68" s="1"/>
  <c r="A122" i="68" l="1"/>
  <c r="A129" i="68" s="1"/>
  <c r="A138" i="68" s="1"/>
  <c r="A150" i="68" s="1"/>
  <c r="C54" i="42"/>
  <c r="C77" i="42"/>
  <c r="C78" i="42"/>
  <c r="C74" i="42"/>
  <c r="C44" i="42" s="1"/>
  <c r="C71" i="42"/>
  <c r="C69" i="42"/>
  <c r="C70" i="42"/>
  <c r="C68" i="42"/>
  <c r="C67" i="42"/>
  <c r="C66" i="42"/>
  <c r="C65" i="42"/>
  <c r="C62" i="42"/>
  <c r="C61" i="42"/>
  <c r="C60" i="42"/>
  <c r="C59" i="42"/>
  <c r="C56" i="42"/>
  <c r="C55" i="42"/>
  <c r="A158" i="68" l="1"/>
  <c r="A164" i="68" s="1"/>
  <c r="C49" i="42"/>
  <c r="C24" i="42"/>
  <c r="C21" i="42"/>
  <c r="C50" i="42"/>
  <c r="C12" i="42"/>
  <c r="C15" i="42"/>
  <c r="C18" i="42"/>
  <c r="J1" i="33"/>
  <c r="A172" i="68" l="1"/>
  <c r="B10" i="33"/>
  <c r="B11" i="33"/>
  <c r="B9" i="33"/>
  <c r="D7" i="33"/>
  <c r="I40" i="42"/>
  <c r="A177" i="68" l="1"/>
  <c r="E7" i="33"/>
  <c r="F7" i="33" s="1"/>
  <c r="D5" i="33"/>
  <c r="A182" i="68" l="1"/>
  <c r="A191" i="68" s="1"/>
  <c r="I16" i="42"/>
  <c r="I22" i="42"/>
  <c r="D4" i="33"/>
  <c r="I45" i="42"/>
  <c r="I42" i="42"/>
  <c r="I34" i="42"/>
  <c r="I28" i="42"/>
  <c r="I19" i="42"/>
  <c r="I37" i="42"/>
  <c r="I25" i="42"/>
  <c r="I13" i="42"/>
  <c r="A200" i="68" l="1"/>
  <c r="H22" i="42"/>
  <c r="F22" i="42" s="1"/>
  <c r="G22" i="42"/>
  <c r="E22" i="42" s="1"/>
  <c r="G16" i="42"/>
  <c r="E16" i="42" s="1"/>
  <c r="H16" i="42"/>
  <c r="F16" i="42" s="1"/>
  <c r="H40" i="42"/>
  <c r="F40" i="42" s="1"/>
  <c r="G40" i="42"/>
  <c r="E40" i="42" s="1"/>
  <c r="A209" i="68" l="1"/>
  <c r="D22" i="42"/>
  <c r="B22" i="42" s="1"/>
  <c r="D16" i="42"/>
  <c r="B16" i="42" s="1"/>
  <c r="D40" i="42"/>
  <c r="B40" i="42" s="1"/>
  <c r="B39" i="42" s="1"/>
  <c r="A214" i="68" l="1"/>
  <c r="G19" i="42"/>
  <c r="E19" i="42" s="1"/>
  <c r="H19" i="42"/>
  <c r="F19" i="42" s="1"/>
  <c r="G37" i="42"/>
  <c r="E37" i="42" s="1"/>
  <c r="H37" i="42"/>
  <c r="F37" i="42" s="1"/>
  <c r="H13" i="42"/>
  <c r="F13" i="42" s="1"/>
  <c r="G13" i="42"/>
  <c r="E13" i="42" s="1"/>
  <c r="G34" i="42"/>
  <c r="E34" i="42" s="1"/>
  <c r="H34" i="42"/>
  <c r="F34" i="42" s="1"/>
  <c r="H28" i="42"/>
  <c r="F28" i="42" s="1"/>
  <c r="G28" i="42"/>
  <c r="E28" i="42" s="1"/>
  <c r="G45" i="42"/>
  <c r="E45" i="42" s="1"/>
  <c r="H45" i="42"/>
  <c r="F45" i="42" s="1"/>
  <c r="H25" i="42"/>
  <c r="F25" i="42" s="1"/>
  <c r="G25" i="42"/>
  <c r="E25" i="42" s="1"/>
  <c r="G42" i="42"/>
  <c r="E42" i="42" s="1"/>
  <c r="H42" i="42"/>
  <c r="F42" i="42" s="1"/>
  <c r="A223" i="68" l="1"/>
  <c r="D42" i="42"/>
  <c r="B42" i="42" s="1"/>
  <c r="D45" i="42"/>
  <c r="B45" i="42" s="1"/>
  <c r="D34" i="42"/>
  <c r="B34" i="42" s="1"/>
  <c r="D37" i="42"/>
  <c r="B37" i="42" s="1"/>
  <c r="D19" i="42"/>
  <c r="B19" i="42" s="1"/>
  <c r="D25" i="42"/>
  <c r="B25" i="42" s="1"/>
  <c r="D28" i="42"/>
  <c r="B28" i="42" s="1"/>
  <c r="D13" i="42"/>
  <c r="B13" i="42" s="1"/>
  <c r="A232" i="68" l="1"/>
  <c r="A241" i="68" s="1"/>
  <c r="B31" i="42"/>
  <c r="E17" i="25"/>
  <c r="D17" i="25"/>
  <c r="C17" i="25"/>
  <c r="A248" i="68" l="1"/>
  <c r="G11" i="25"/>
  <c r="I11" i="25" s="1"/>
  <c r="H11" i="25"/>
  <c r="A257" i="68" l="1"/>
  <c r="A262" i="68" s="1"/>
  <c r="G6" i="25"/>
  <c r="A270" i="68" l="1"/>
  <c r="H2" i="25"/>
  <c r="H3" i="25"/>
  <c r="H18" i="25"/>
  <c r="H22" i="25"/>
  <c r="H15" i="25"/>
  <c r="H14" i="25"/>
  <c r="H5" i="25"/>
  <c r="H9" i="25"/>
  <c r="H20" i="25"/>
  <c r="H12" i="25"/>
  <c r="H21" i="25"/>
  <c r="H7" i="25"/>
  <c r="H8" i="25"/>
  <c r="H19" i="25"/>
  <c r="H16" i="25"/>
  <c r="H13" i="25"/>
  <c r="H6" i="25"/>
  <c r="H4" i="25"/>
  <c r="E30" i="25"/>
  <c r="C23" i="25"/>
  <c r="D23" i="25"/>
  <c r="E23" i="25"/>
  <c r="H38" i="9"/>
  <c r="A276" i="68" l="1"/>
  <c r="A281" i="68" s="1"/>
  <c r="H17" i="25"/>
  <c r="H23" i="25" s="1"/>
  <c r="G9" i="25"/>
  <c r="A287" i="68" l="1"/>
  <c r="I9" i="25"/>
  <c r="G2" i="25"/>
  <c r="G3" i="25"/>
  <c r="G18" i="25"/>
  <c r="G22" i="25"/>
  <c r="G15" i="25"/>
  <c r="G14" i="25"/>
  <c r="G5" i="25"/>
  <c r="G20" i="25"/>
  <c r="G12" i="25"/>
  <c r="G21" i="25"/>
  <c r="G7" i="25"/>
  <c r="G8" i="25"/>
  <c r="G19" i="25"/>
  <c r="G16" i="25"/>
  <c r="G13" i="25"/>
  <c r="I6" i="25"/>
  <c r="G4" i="25"/>
  <c r="G28" i="9"/>
  <c r="E28" i="9" s="1"/>
  <c r="F28" i="9"/>
  <c r="D28" i="9" s="1"/>
  <c r="H33" i="9"/>
  <c r="G33" i="9" s="1"/>
  <c r="E33" i="9" s="1"/>
  <c r="H13" i="9"/>
  <c r="G13" i="9" s="1"/>
  <c r="E13" i="9" s="1"/>
  <c r="H19" i="9"/>
  <c r="F19" i="9" s="1"/>
  <c r="D19" i="9" s="1"/>
  <c r="H25" i="9"/>
  <c r="F25" i="9" s="1"/>
  <c r="D25" i="9" s="1"/>
  <c r="H22" i="9"/>
  <c r="G22" i="9" s="1"/>
  <c r="E22" i="9" s="1"/>
  <c r="H30" i="9"/>
  <c r="F30" i="9" s="1"/>
  <c r="D30" i="9" s="1"/>
  <c r="H16" i="9"/>
  <c r="F16" i="9" s="1"/>
  <c r="D16" i="9" s="1"/>
  <c r="H10" i="9"/>
  <c r="F10" i="9" s="1"/>
  <c r="D10" i="9" s="1"/>
  <c r="F37" i="9"/>
  <c r="D37" i="9" s="1"/>
  <c r="G37" i="9"/>
  <c r="E37" i="9" s="1"/>
  <c r="F38" i="9"/>
  <c r="D38" i="9" s="1"/>
  <c r="G38" i="9"/>
  <c r="E38" i="9" s="1"/>
  <c r="A292" i="68" l="1"/>
  <c r="F22" i="9"/>
  <c r="D22" i="9" s="1"/>
  <c r="C22" i="9" s="1"/>
  <c r="G30" i="9"/>
  <c r="E30" i="9" s="1"/>
  <c r="C30" i="9" s="1"/>
  <c r="B30" i="9" s="1"/>
  <c r="F13" i="9"/>
  <c r="D13" i="9" s="1"/>
  <c r="C13" i="9" s="1"/>
  <c r="B13" i="9" s="1"/>
  <c r="F33" i="9"/>
  <c r="D33" i="9" s="1"/>
  <c r="C33" i="9" s="1"/>
  <c r="B33" i="9" s="1"/>
  <c r="G10" i="9"/>
  <c r="E10" i="9" s="1"/>
  <c r="C10" i="9" s="1"/>
  <c r="B10" i="9" s="1"/>
  <c r="G16" i="9"/>
  <c r="E16" i="9" s="1"/>
  <c r="C16" i="9" s="1"/>
  <c r="G19" i="9"/>
  <c r="E19" i="9" s="1"/>
  <c r="C19" i="9" s="1"/>
  <c r="G25" i="9"/>
  <c r="E25" i="9" s="1"/>
  <c r="C25" i="9" s="1"/>
  <c r="C37" i="9"/>
  <c r="B37" i="9" s="1"/>
  <c r="C28" i="9"/>
  <c r="B28" i="9" s="1"/>
  <c r="B27" i="9" s="1"/>
  <c r="G17" i="25"/>
  <c r="G23" i="25" s="1"/>
  <c r="C38" i="9"/>
  <c r="B38" i="9" s="1"/>
  <c r="I19" i="25"/>
  <c r="I12" i="25"/>
  <c r="I15" i="25"/>
  <c r="I21" i="25"/>
  <c r="I3" i="25"/>
  <c r="I8" i="25"/>
  <c r="I20" i="25"/>
  <c r="I22" i="25"/>
  <c r="I16" i="25"/>
  <c r="I14" i="25"/>
  <c r="I13" i="25"/>
  <c r="I7" i="25"/>
  <c r="I5" i="25"/>
  <c r="I18" i="25"/>
  <c r="I2" i="25"/>
  <c r="I4" i="25"/>
  <c r="A297" i="68" l="1"/>
  <c r="I17" i="25"/>
  <c r="I23" i="25" s="1"/>
  <c r="H24" i="25"/>
  <c r="A305" i="68" l="1"/>
  <c r="A312" i="68" s="1"/>
  <c r="J17" i="25"/>
  <c r="H25" i="25"/>
  <c r="H28" i="25" s="1"/>
  <c r="I24" i="25"/>
  <c r="J23" i="25"/>
  <c r="A318" i="68" l="1"/>
  <c r="H35" i="9"/>
  <c r="C4" i="9"/>
  <c r="A323" i="68" l="1"/>
  <c r="A328" i="68" s="1"/>
  <c r="H20" i="9"/>
  <c r="H17" i="9"/>
  <c r="H14" i="9"/>
  <c r="H11" i="9"/>
  <c r="H36" i="9"/>
  <c r="B36" i="9" s="1"/>
  <c r="B35" i="9"/>
  <c r="A333" i="68" l="1"/>
  <c r="H26" i="9"/>
  <c r="H34" i="9"/>
  <c r="H31" i="9"/>
  <c r="F11" i="9"/>
  <c r="D11" i="9" s="1"/>
  <c r="H23" i="9"/>
  <c r="G11" i="9"/>
  <c r="E11" i="9" s="1"/>
  <c r="G20" i="9"/>
  <c r="E20" i="9" s="1"/>
  <c r="F20" i="9"/>
  <c r="D20" i="9" s="1"/>
  <c r="G14" i="9"/>
  <c r="E14" i="9" s="1"/>
  <c r="F14" i="9"/>
  <c r="D14" i="9" s="1"/>
  <c r="F17" i="9"/>
  <c r="D17" i="9" s="1"/>
  <c r="G17" i="9"/>
  <c r="E17" i="9" s="1"/>
  <c r="A338" i="68" l="1"/>
  <c r="C17" i="9"/>
  <c r="B17" i="9" s="1"/>
  <c r="B15" i="9" s="1"/>
  <c r="C11" i="9"/>
  <c r="B11" i="9" s="1"/>
  <c r="B9" i="9" s="1"/>
  <c r="C20" i="9"/>
  <c r="B20" i="9" s="1"/>
  <c r="B18" i="9" s="1"/>
  <c r="F31" i="9"/>
  <c r="D31" i="9" s="1"/>
  <c r="G31" i="9"/>
  <c r="E31" i="9" s="1"/>
  <c r="G34" i="9"/>
  <c r="E34" i="9" s="1"/>
  <c r="F34" i="9"/>
  <c r="D34" i="9" s="1"/>
  <c r="C14" i="9"/>
  <c r="B14" i="9" s="1"/>
  <c r="B12" i="9" s="1"/>
  <c r="G23" i="9"/>
  <c r="E23" i="9" s="1"/>
  <c r="F23" i="9"/>
  <c r="D23" i="9" s="1"/>
  <c r="G26" i="9"/>
  <c r="E26" i="9" s="1"/>
  <c r="F26" i="9"/>
  <c r="D26" i="9" s="1"/>
  <c r="A343" i="68" l="1"/>
  <c r="A348" i="68" s="1"/>
  <c r="C34" i="9"/>
  <c r="B34" i="9" s="1"/>
  <c r="B32" i="9" s="1"/>
  <c r="C23" i="9"/>
  <c r="B23" i="9" s="1"/>
  <c r="B21" i="9" s="1"/>
  <c r="C26" i="9"/>
  <c r="B26" i="9" s="1"/>
  <c r="B24" i="9" s="1"/>
  <c r="C31" i="9"/>
  <c r="B31" i="9" s="1"/>
  <c r="B29" i="9" s="1"/>
  <c r="A354" i="68" l="1"/>
  <c r="I32" i="25"/>
  <c r="A357" i="68" l="1"/>
  <c r="A363" i="68" l="1"/>
  <c r="A369" i="68" l="1"/>
  <c r="A379" i="68" l="1"/>
  <c r="A385" i="68" l="1"/>
  <c r="A390" i="68" l="1"/>
  <c r="A395" i="68" l="1"/>
  <c r="A400" i="68" l="1"/>
  <c r="A405" i="68" l="1"/>
  <c r="A408" i="68" l="1"/>
  <c r="A413" i="68" l="1"/>
  <c r="A418" i="68" l="1"/>
  <c r="A423" i="68" l="1"/>
  <c r="A428" i="68" l="1"/>
  <c r="A434" i="68" l="1"/>
  <c r="A437" i="68" l="1"/>
  <c r="A443" i="68" l="1"/>
  <c r="A449" i="68" l="1"/>
  <c r="A455" i="68" l="1"/>
  <c r="A460" i="68" l="1"/>
  <c r="A465" i="68" l="1"/>
  <c r="A470" i="68" l="1"/>
  <c r="A475" i="68" l="1"/>
  <c r="A478" i="68" l="1"/>
  <c r="A483" i="68" l="1"/>
  <c r="A488" i="68" l="1"/>
  <c r="A493" i="68" l="1"/>
  <c r="A498" i="68" l="1"/>
  <c r="A502" i="68" l="1"/>
  <c r="A505" i="68" l="1"/>
  <c r="A511" i="68" l="1"/>
  <c r="A517" i="68" l="1"/>
  <c r="A523" i="68" l="1"/>
  <c r="A528" i="68" l="1"/>
  <c r="A533" i="68" l="1"/>
  <c r="A538" i="68" l="1"/>
  <c r="A541" i="68" l="1"/>
  <c r="A546" i="68" l="1"/>
  <c r="A551" i="68" l="1"/>
  <c r="A556" i="68" l="1"/>
  <c r="A561" i="68" l="1"/>
  <c r="A565" i="68" l="1"/>
  <c r="A572" i="68" l="1"/>
  <c r="A575" i="68" l="1"/>
  <c r="A582" i="68" l="1"/>
  <c r="A589" i="68" l="1"/>
  <c r="A598" i="68" l="1"/>
  <c r="A607" i="68" l="1"/>
  <c r="A616" i="68" l="1"/>
  <c r="A625" i="68" l="1"/>
  <c r="A634" i="68" l="1"/>
  <c r="A643" i="68" l="1"/>
  <c r="A652" i="68" l="1"/>
  <c r="A661" i="68" l="1"/>
  <c r="A671" i="68" l="1"/>
  <c r="A680" i="68" l="1"/>
  <c r="A689" i="68" l="1"/>
  <c r="A698" i="68" l="1"/>
  <c r="A707" i="68" l="1"/>
  <c r="A716" i="68" l="1"/>
  <c r="A725" i="68" l="1"/>
  <c r="A734" i="68" l="1"/>
  <c r="A743" i="68" l="1"/>
  <c r="A752" i="68" l="1"/>
  <c r="A761" i="68" l="1"/>
  <c r="A770" i="68" l="1"/>
  <c r="A779" i="68" l="1"/>
  <c r="A788" i="68" l="1"/>
  <c r="A797" i="68" l="1"/>
  <c r="A806" i="68" l="1"/>
  <c r="A815" i="68" l="1"/>
  <c r="A824" i="68" l="1"/>
  <c r="A833" i="68" l="1"/>
  <c r="A842" i="68" l="1"/>
  <c r="A851" i="68" l="1"/>
  <c r="A860" i="68" l="1"/>
  <c r="A869" i="68" l="1"/>
  <c r="A878" i="68" l="1"/>
  <c r="A887" i="68" l="1"/>
  <c r="A896" i="68" l="1"/>
  <c r="A905" i="68" l="1"/>
  <c r="A914" i="68" l="1"/>
  <c r="A923" i="68" l="1"/>
  <c r="A932" i="68" l="1"/>
  <c r="A941" i="68" l="1"/>
  <c r="A950" i="68" l="1"/>
  <c r="A959" i="68" l="1"/>
  <c r="A968" i="68" l="1"/>
  <c r="A977" i="68" l="1"/>
  <c r="A986" i="68" l="1"/>
  <c r="A995" i="68" l="1"/>
  <c r="A1004" i="68" l="1"/>
  <c r="A1013" i="68" l="1"/>
  <c r="A1022" i="68" l="1"/>
  <c r="A1031" i="68" l="1"/>
  <c r="A1040" i="68" l="1"/>
  <c r="A1049" i="68" l="1"/>
  <c r="A1058" i="68" l="1"/>
  <c r="A1067" i="68" l="1"/>
  <c r="A1076" i="68" l="1"/>
  <c r="A1085" i="68" l="1"/>
  <c r="A1094" i="68" l="1"/>
  <c r="A1103" i="68" l="1"/>
  <c r="A1112" i="68" l="1"/>
  <c r="A1121" i="68" l="1"/>
  <c r="A1131" i="68" l="1"/>
  <c r="A1140" i="68" l="1"/>
  <c r="A1149" i="68" l="1"/>
  <c r="A1158" i="68" l="1"/>
  <c r="A1167" i="68" l="1"/>
  <c r="A1176" i="68" l="1"/>
  <c r="A1185" i="68" l="1"/>
  <c r="A1194" i="68" l="1"/>
  <c r="A1203" i="68" l="1"/>
  <c r="A1212" i="68" l="1"/>
  <c r="A1221" i="68" l="1"/>
  <c r="A1230" i="68" l="1"/>
  <c r="A1239" i="68" l="1"/>
  <c r="A1248" i="68" l="1"/>
  <c r="A1257" i="68" l="1"/>
  <c r="A1266" i="68" l="1"/>
  <c r="A1275" i="68" l="1"/>
  <c r="A1284" i="68" l="1"/>
  <c r="A1293" i="68" l="1"/>
  <c r="A1302" i="68" l="1"/>
  <c r="A1311" i="68" l="1"/>
  <c r="A1320" i="68" l="1"/>
  <c r="A1329" i="68" l="1"/>
  <c r="A1338" i="68" l="1"/>
  <c r="A1347" i="68" l="1"/>
  <c r="A1356" i="68" l="1"/>
  <c r="A1365" i="68" l="1"/>
  <c r="A1374" i="68" l="1"/>
  <c r="A1383" i="68" l="1"/>
  <c r="A1392" i="68" l="1"/>
  <c r="A1401" i="68" l="1"/>
  <c r="A1410" i="68" l="1"/>
  <c r="A1419" i="68" l="1"/>
  <c r="A1428" i="68" l="1"/>
  <c r="A1437" i="68" l="1"/>
  <c r="A1447" i="68" l="1"/>
  <c r="A1450" i="68" l="1"/>
  <c r="A1453" i="68" l="1"/>
  <c r="A1456" i="68" l="1"/>
  <c r="A1459" i="68" l="1"/>
  <c r="A1462" i="68" l="1"/>
  <c r="A1468" i="68" l="1"/>
  <c r="A1471" i="68" l="1"/>
  <c r="A1476" i="68" l="1"/>
  <c r="A1481" i="68" l="1"/>
  <c r="A1484" i="68" l="1"/>
  <c r="A1487" i="68" l="1"/>
  <c r="A1490" i="68" l="1"/>
  <c r="A1495" i="68" l="1"/>
  <c r="A1504" i="68" l="1"/>
  <c r="A1508" i="68" l="1"/>
  <c r="A1512" i="68" l="1"/>
  <c r="A1519" i="68" l="1"/>
  <c r="A1523" i="68" l="1"/>
  <c r="A1532" i="68" l="1"/>
  <c r="A1538" i="68" l="1"/>
  <c r="A1543" i="68" l="1"/>
  <c r="A1551" i="68" l="1"/>
  <c r="A1555" i="68" l="1"/>
  <c r="D4" i="59" l="1"/>
  <c r="D5" i="59" s="1"/>
  <c r="D6" i="59" s="1"/>
  <c r="D7" i="59" s="1"/>
  <c r="D8" i="59" s="1"/>
  <c r="C17" i="33" s="1"/>
  <c r="D17" i="33" s="1"/>
  <c r="E17" i="33" s="1"/>
  <c r="F17" i="33" s="1"/>
  <c r="C6" i="33" l="1"/>
  <c r="C5" i="33" s="1"/>
  <c r="D6" i="42" s="1"/>
  <c r="D7" i="42" l="1"/>
  <c r="I35" i="42" s="1"/>
  <c r="H35" i="42" s="1"/>
  <c r="F35" i="42" s="1"/>
  <c r="C4" i="33"/>
  <c r="E6" i="33"/>
  <c r="F6" i="33" s="1"/>
  <c r="F5" i="33" s="1"/>
  <c r="F4" i="33" s="1"/>
  <c r="I23" i="42"/>
  <c r="I46" i="42"/>
  <c r="I29" i="42"/>
  <c r="I14" i="42"/>
  <c r="I17" i="42"/>
  <c r="I43" i="42"/>
  <c r="I20" i="42"/>
  <c r="G35" i="42" l="1"/>
  <c r="E35" i="42" s="1"/>
  <c r="I26" i="42"/>
  <c r="G26" i="42" s="1"/>
  <c r="E26" i="42" s="1"/>
  <c r="I38" i="42"/>
  <c r="G38" i="42" s="1"/>
  <c r="E38" i="42" s="1"/>
  <c r="E5" i="33"/>
  <c r="E4" i="33" s="1"/>
  <c r="D3" i="42" s="1"/>
  <c r="I48" i="42" s="1"/>
  <c r="B48" i="42" s="1"/>
  <c r="D35" i="42"/>
  <c r="B35" i="42" s="1"/>
  <c r="B33" i="42" s="1"/>
  <c r="G20" i="42"/>
  <c r="E20" i="42" s="1"/>
  <c r="H20" i="42"/>
  <c r="F20" i="42" s="1"/>
  <c r="H43" i="42"/>
  <c r="F43" i="42" s="1"/>
  <c r="G43" i="42"/>
  <c r="E43" i="42" s="1"/>
  <c r="H17" i="42"/>
  <c r="F17" i="42" s="1"/>
  <c r="G17" i="42"/>
  <c r="E17" i="42" s="1"/>
  <c r="G14" i="42"/>
  <c r="E14" i="42" s="1"/>
  <c r="H14" i="42"/>
  <c r="F14" i="42" s="1"/>
  <c r="H29" i="42"/>
  <c r="F29" i="42" s="1"/>
  <c r="G29" i="42"/>
  <c r="E29" i="42" s="1"/>
  <c r="H46" i="42"/>
  <c r="F46" i="42" s="1"/>
  <c r="G46" i="42"/>
  <c r="E46" i="42" s="1"/>
  <c r="G23" i="42"/>
  <c r="E23" i="42" s="1"/>
  <c r="H23" i="42"/>
  <c r="F23" i="42" s="1"/>
  <c r="H26" i="42" l="1"/>
  <c r="F26" i="42" s="1"/>
  <c r="D26" i="42" s="1"/>
  <c r="B26" i="42" s="1"/>
  <c r="B24" i="42" s="1"/>
  <c r="I47" i="42"/>
  <c r="B47" i="42" s="1"/>
  <c r="H38" i="42"/>
  <c r="F38" i="42" s="1"/>
  <c r="D38" i="42" s="1"/>
  <c r="B38" i="42" s="1"/>
  <c r="B36" i="42" s="1"/>
  <c r="C16" i="33"/>
  <c r="C15" i="33" s="1"/>
  <c r="D23" i="42"/>
  <c r="B23" i="42" s="1"/>
  <c r="B21" i="42" s="1"/>
  <c r="C10" i="33" s="1"/>
  <c r="D10" i="33" s="1"/>
  <c r="C13" i="33"/>
  <c r="D13" i="33" s="1"/>
  <c r="E13" i="33" s="1"/>
  <c r="F13" i="33" s="1"/>
  <c r="D46" i="42"/>
  <c r="B46" i="42" s="1"/>
  <c r="C14" i="33" s="1"/>
  <c r="D14" i="33" s="1"/>
  <c r="E14" i="33" s="1"/>
  <c r="F14" i="33" s="1"/>
  <c r="D14" i="42"/>
  <c r="B14" i="42" s="1"/>
  <c r="B12" i="42" s="1"/>
  <c r="D29" i="42"/>
  <c r="B29" i="42" s="1"/>
  <c r="D17" i="42"/>
  <c r="B17" i="42" s="1"/>
  <c r="B15" i="42" s="1"/>
  <c r="D43" i="42"/>
  <c r="B43" i="42" s="1"/>
  <c r="B41" i="42" s="1"/>
  <c r="C12" i="33" s="1"/>
  <c r="D12" i="33" s="1"/>
  <c r="E12" i="33" s="1"/>
  <c r="F12" i="33" s="1"/>
  <c r="D20" i="42"/>
  <c r="B20" i="42" s="1"/>
  <c r="B18" i="42" s="1"/>
  <c r="D16" i="33" l="1"/>
  <c r="E16" i="33" s="1"/>
  <c r="E15" i="33" s="1"/>
  <c r="F15" i="33" s="1"/>
  <c r="B44" i="42"/>
  <c r="E10" i="33"/>
  <c r="B27" i="42"/>
  <c r="B32" i="42"/>
  <c r="B30" i="42" s="1"/>
  <c r="C11" i="33" s="1"/>
  <c r="F16" i="33" l="1"/>
  <c r="D15" i="33"/>
  <c r="F10" i="33"/>
  <c r="D11" i="33"/>
  <c r="C9" i="33"/>
  <c r="C18" i="33" s="1"/>
  <c r="E11" i="33" l="1"/>
  <c r="D9" i="33"/>
  <c r="D18" i="33" s="1"/>
  <c r="F11" i="33" l="1"/>
  <c r="E9" i="33"/>
  <c r="F9" i="33" l="1"/>
  <c r="F18" i="33" s="1"/>
  <c r="D1" i="42"/>
  <c r="E18" i="33"/>
  <c r="I49" i="42" l="1"/>
  <c r="I50" i="42"/>
  <c r="H49" i="42" l="1"/>
  <c r="F49" i="42" s="1"/>
  <c r="G49" i="42"/>
  <c r="E49" i="42" s="1"/>
  <c r="H50" i="42"/>
  <c r="F50" i="42" s="1"/>
  <c r="G50" i="42"/>
  <c r="E50" i="42" s="1"/>
  <c r="D50" i="42" l="1"/>
  <c r="B50" i="42" s="1"/>
  <c r="D49" i="42"/>
  <c r="B49"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6" authorId="0" shapeId="0" xr:uid="{00000000-0006-0000-0200-000001000000}">
      <text>
        <r>
          <rPr>
            <b/>
            <sz val="9"/>
            <color indexed="81"/>
            <rFont val="Tahoma"/>
            <family val="2"/>
          </rPr>
          <t>Author:</t>
        </r>
        <r>
          <rPr>
            <sz val="9"/>
            <color indexed="81"/>
            <rFont val="Tahoma"/>
            <family val="2"/>
          </rPr>
          <t xml:space="preserve">
Không tính chi phí tạo lập CSDL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37" authorId="0" shapeId="0" xr:uid="{00000000-0006-0000-1000-000001000000}">
      <text>
        <r>
          <rPr>
            <b/>
            <sz val="9"/>
            <color indexed="81"/>
            <rFont val="Tahoma"/>
            <family val="2"/>
            <charset val="163"/>
          </rPr>
          <t>Author:</t>
        </r>
        <r>
          <rPr>
            <sz val="9"/>
            <color indexed="81"/>
            <rFont val="Tahoma"/>
            <family val="2"/>
            <charset val="163"/>
          </rPr>
          <t xml:space="preserve">
Tổng mức đầu tư của dự án
</t>
        </r>
      </text>
    </comment>
  </commentList>
</comments>
</file>

<file path=xl/sharedStrings.xml><?xml version="1.0" encoding="utf-8"?>
<sst xmlns="http://schemas.openxmlformats.org/spreadsheetml/2006/main" count="2191" uniqueCount="1834">
  <si>
    <t>STT</t>
  </si>
  <si>
    <t>Tên Phông</t>
  </si>
  <si>
    <t>Số mét</t>
  </si>
  <si>
    <t>Số hộp</t>
  </si>
  <si>
    <t>Số HS</t>
  </si>
  <si>
    <t>Thời gian TL</t>
  </si>
  <si>
    <t>Số trang</t>
  </si>
  <si>
    <t>Số trường hồ sơ</t>
  </si>
  <si>
    <t>Số trường văn bản</t>
  </si>
  <si>
    <t>UBND tỉnh Bắc Ninh 1997 - 2007</t>
  </si>
  <si>
    <t>1997-2007</t>
  </si>
  <si>
    <t>Đoàn ĐBQH - HĐND tỉnh</t>
  </si>
  <si>
    <t>Sở Nội vụ</t>
  </si>
  <si>
    <t>1993-2007</t>
  </si>
  <si>
    <t>Sở Khoa học và Công nghệ</t>
  </si>
  <si>
    <t>1997-2003</t>
  </si>
  <si>
    <t>Sở Kế hoạch và Đầu tư</t>
  </si>
  <si>
    <t>1997-2005</t>
  </si>
  <si>
    <t>Sở Thể dục thể thao</t>
  </si>
  <si>
    <t>Sở Văn hóa thông tin</t>
  </si>
  <si>
    <t>Sở Giao thông, Vận tải</t>
  </si>
  <si>
    <t>1997-2004</t>
  </si>
  <si>
    <t>Sở Tư pháp</t>
  </si>
  <si>
    <t>1997-2006</t>
  </si>
  <si>
    <t>Sở Công thương</t>
  </si>
  <si>
    <t>1997-2010</t>
  </si>
  <si>
    <t>Điện lực Bắc Ninh</t>
  </si>
  <si>
    <t>Viện Kiểm sát nhân dân tỉnh</t>
  </si>
  <si>
    <t>Sở Nông nghiệp và PTNT (Chi cục bảo vệ Thực vật)</t>
  </si>
  <si>
    <t>Ngân hàng Nhà nước chi nhánh Bắc Ninh</t>
  </si>
  <si>
    <t>1999-2005</t>
  </si>
  <si>
    <t>Bảo hiểm Xã hội tỉnh</t>
  </si>
  <si>
    <t>Tổng cộng</t>
  </si>
  <si>
    <t>Hội đồng  Thi đua - Khen thưởng tỉnh</t>
  </si>
  <si>
    <t>1947-2006</t>
  </si>
  <si>
    <t>Cục Thuế tỉnh</t>
  </si>
  <si>
    <t>Hội Người mù</t>
  </si>
  <si>
    <t>BCĐ Phòng chống tham nhũng</t>
  </si>
  <si>
    <t>2008-2013</t>
  </si>
  <si>
    <t>Ban Quản lý các KCN</t>
  </si>
  <si>
    <t>1998-2012</t>
  </si>
  <si>
    <t>TỔNG CỘNG</t>
  </si>
  <si>
    <t>Phần mềm</t>
  </si>
  <si>
    <t>Thiết bị</t>
  </si>
  <si>
    <t>TỔNG MỨC ĐẦU TƯ DỰ ÁN</t>
  </si>
  <si>
    <t>Loại dự án</t>
  </si>
  <si>
    <t>Đề cương</t>
  </si>
  <si>
    <t>Đơn vị tính: đồng</t>
  </si>
  <si>
    <t>TT</t>
  </si>
  <si>
    <t>Nội dung chi phí</t>
  </si>
  <si>
    <t>Giá trị trước thuế VAT</t>
  </si>
  <si>
    <t>Thuế VAT</t>
  </si>
  <si>
    <t>Giá trị sau thuế VAT</t>
  </si>
  <si>
    <t>Giá trị sau VAT
(LÀM TRÒN)</t>
  </si>
  <si>
    <t>Ghi chú</t>
  </si>
  <si>
    <t>I</t>
  </si>
  <si>
    <t>Chi phí thiết bị</t>
  </si>
  <si>
    <t>Hạng mục phần mềm nội bộ, CSDL, phần cứng</t>
  </si>
  <si>
    <t>Chi phí xây dựng phần mềm nội bộ</t>
  </si>
  <si>
    <t>Bảng tổng hợp chi phí xây dựng phần mềm nội bộ</t>
  </si>
  <si>
    <t>Chi phí số hóa, tạo lập CSDL</t>
  </si>
  <si>
    <t>Chi phí hạ tầng phần cứng</t>
  </si>
  <si>
    <t>II</t>
  </si>
  <si>
    <t>QĐ 1688/QĐ-BTTTT</t>
  </si>
  <si>
    <t xml:space="preserve">Chi phí lập hồ sơ mời thầu, đánh giá hồ sơ dự thầu </t>
  </si>
  <si>
    <t>Chi phí thẩm định hồ sơ mời thầu, thẩm định kết quả lựa chọn nhà thầu</t>
  </si>
  <si>
    <t>NĐ 63/2014/NĐ-CP</t>
  </si>
  <si>
    <t>Chi phí giám sát thi công phần mềm, CSDL</t>
  </si>
  <si>
    <t>III</t>
  </si>
  <si>
    <t>Chi phí khác</t>
  </si>
  <si>
    <t>Thẩm định giá = 0,55% *Gtb</t>
  </si>
  <si>
    <t>Báo giá của đơn vị thẩm định giá</t>
  </si>
  <si>
    <t>Chi phí kiểm thử</t>
  </si>
  <si>
    <t>Công văn số 3787/BTTTT-THH</t>
  </si>
  <si>
    <t>Tổng cộng (I+II+III)</t>
  </si>
  <si>
    <t>Tổng giá trị đề nghị quyết toán</t>
  </si>
  <si>
    <t>Gxl+Gtb+Gqlda+Gtv+VAT</t>
  </si>
  <si>
    <t>Giá trị gói thầu xây lắp</t>
  </si>
  <si>
    <t>Gxl+VAT</t>
  </si>
  <si>
    <t>Giá trị gói thầu xây lắp+thiết bị</t>
  </si>
  <si>
    <t>Gxl+Gtb+VAT</t>
  </si>
  <si>
    <t>Giá trị hạng mục xây lắp trước thuế</t>
  </si>
  <si>
    <t>Gxl</t>
  </si>
  <si>
    <t>Giá trị hạng mục hạ tầng kỹ thuật CNTT trước thuế</t>
  </si>
  <si>
    <t>Gpc</t>
  </si>
  <si>
    <t>Giá trị hạng mục phần mềm nội bộ, CSDL trước thuế</t>
  </si>
  <si>
    <t>Gpm+Gsh+Gđt</t>
  </si>
  <si>
    <t>Giá trị phần mềm nội bộ (+đào tạo) trước thuế</t>
  </si>
  <si>
    <t>Gpm+Gđt</t>
  </si>
  <si>
    <t>DIỄN GIẢI CÁCH TÍNH CHI PHÍ TƯ VẤN</t>
  </si>
  <si>
    <t>(Quyết định số 1688/QĐ-BTTTT ngày 11/10/2019)</t>
  </si>
  <si>
    <t>Giá trị 
trước thuế</t>
  </si>
  <si>
    <t>Hệ số</t>
  </si>
  <si>
    <t xml:space="preserve">  Nt (giá trị 
cần tính %)</t>
  </si>
  <si>
    <t>Na (%)</t>
  </si>
  <si>
    <t>Nb (%)</t>
  </si>
  <si>
    <t>Ga</t>
  </si>
  <si>
    <t>Gb</t>
  </si>
  <si>
    <t>Gt</t>
  </si>
  <si>
    <t>LOẠI DỰ ÁN</t>
  </si>
  <si>
    <t>Chi phí xây lắp và thiết bị (Chưa có thuế GTGT) (tỷ đồng)</t>
  </si>
  <si>
    <t>Chi phí quản lý dự án</t>
  </si>
  <si>
    <t>Định mức chi phí quản lý dự án</t>
  </si>
  <si>
    <t xml:space="preserve"> + Hạ tầng kỹ thuật</t>
  </si>
  <si>
    <t>Dự án hạ tầng kỹ thuật công nghệ thông tin</t>
  </si>
  <si>
    <t xml:space="preserve"> + Phần mềm, CSDL</t>
  </si>
  <si>
    <t>Dự án phần mềm nội bộ, cơ sở dữ liệu</t>
  </si>
  <si>
    <t>Chi phí quản lý dự án trường hợp báo cáo kinh tế kỹ thuật, đề cương dự toán chi tiết</t>
  </si>
  <si>
    <t>Định mức chi phí quản lý dự án trường hợp báo cáo kinh tế kỹ thuật, đề cương dự toán chi tiết</t>
  </si>
  <si>
    <t>Chi phí lập báo cáo nghiên cứu khả thi</t>
  </si>
  <si>
    <t>Định mức chi phí lập báo cáo nghiên cứu khả thi</t>
  </si>
  <si>
    <t>Chi phí lập báo cáo kinh tế kỹ thuật, đề cương dự toán chi tiết</t>
  </si>
  <si>
    <t>Định mức chi phí lập báo cáo kinh tế kỹ thuật</t>
  </si>
  <si>
    <t>Chi phí lập thiết kế thi công và tổng dự toán</t>
  </si>
  <si>
    <t>Định mức chi phí lập thiết kế thi công và dự toán</t>
  </si>
  <si>
    <t>Chi phí thẩm tra tính hiệu quả và tính khả thi của dự án đầu tư</t>
  </si>
  <si>
    <t>Định mức chi phí thẩm tra tính hiệu quả và tính khả thi của dự án đầu tư</t>
  </si>
  <si>
    <t xml:space="preserve"> </t>
  </si>
  <si>
    <t>Chi phí thẩm tra báo cáo kinh tế kỹ thuật, đề cương dự toán chi tiết</t>
  </si>
  <si>
    <t>Chi phí thẩm tra thiết kế thi công</t>
  </si>
  <si>
    <t>Định mức chi phí thẩm tra thiết kế thi công (chi phí tối thiểu không dưới 2 triệu)</t>
  </si>
  <si>
    <t>Chi phí thẩm tra dự toán</t>
  </si>
  <si>
    <t>Định mức chi phí thẩm tra dự toán (chi phí tối thiểu không dưới 2 triệu)</t>
  </si>
  <si>
    <t>Chi phí lập hồ sơ mời thầu, đánh giá hồ sơ dự thầu xây lắp</t>
  </si>
  <si>
    <t>Định mức chi phí lập hồ sơ mời thầu, đánh giá hồ sơ dự thầu xây lắp</t>
  </si>
  <si>
    <t>Chi phí lập hồ sơ mời thầu, đánh giá hồ sơ dự thầu mua sắm thiết bị</t>
  </si>
  <si>
    <t>Định mức chi phí lập hồ sơ mời thầu, đánh giá hồ sơ dự thầu mua sắm thiết bị</t>
  </si>
  <si>
    <t>Chi phí giám sát thi công</t>
  </si>
  <si>
    <t>Định mức chi phí giám sát thi công</t>
  </si>
  <si>
    <t>Chi phí thẩm định hồ sơ mời thầu</t>
  </si>
  <si>
    <t>NĐ 99/2021/NĐ-CP</t>
  </si>
  <si>
    <t>Chi phí thẩm định kết quả lựa chọn nhà thầu</t>
  </si>
  <si>
    <t>Tổng mức đầu tư (tỷ đồng)</t>
  </si>
  <si>
    <t>Chi phí thẩm tra, phê duyệt quyết toán</t>
  </si>
  <si>
    <t>Thẩm tra, phê duyệt (%)</t>
  </si>
  <si>
    <t>Kiểm toán</t>
  </si>
  <si>
    <t>Kiểm toán (%)</t>
  </si>
  <si>
    <t>Quản lý dự án</t>
  </si>
  <si>
    <t>Dự án tại vùng hải đảo, biên giới</t>
  </si>
  <si>
    <t>Dự án triển khai tại các khu vực, địa bàn nhiều tỉnh khác nhau</t>
  </si>
  <si>
    <t>Tổng giá trị mua sắm dự phòng, thay thế 1 phần các thiết bị phần cứng thuộc hệ thống hạ tầng kỹ thuật hiện có, mua sắm thiết bị không cần lắp đặt, phần mềm thương mại chiếm tỷ trọng ≥ 50% tổng chi phí xây lắp và thiết bị</t>
  </si>
  <si>
    <t>Lập dự án</t>
  </si>
  <si>
    <t>Cải tạo, sửa chữa, mở rộng, nâng cấp có tính toán kết nối với hạ tầng, công nghệ của dự án hiện có</t>
  </si>
  <si>
    <t>Sử dụng thiết kế mẫu, thiết kế điển hình do cơ quan có thẩm quyền ban hành</t>
  </si>
  <si>
    <t>Thiết kế thi công</t>
  </si>
  <si>
    <t>Thiết kế mở rộng, nâng cấp có tính toán kết nối với hạ tầng, kỹ thuật công nghệ của hệ thống hiện có</t>
  </si>
  <si>
    <t>Thiết kế ứng dụng CNTT xây lắp ở hải đảo, biên giới; thiết kế trong dự án triển khai ở các khu vực hoặc địa bàn nhiều tỉnh khác nhau</t>
  </si>
  <si>
    <t>Sử dụng thiết kế mẫu, thiết kế điển hình do cơ quan có thẩm quyền ban hành - hạng mục thứ 1</t>
  </si>
  <si>
    <t>Sử dụng thiết kế mẫu, thiết kế điển hình do cơ quan có thẩm quyền ban hành - hạng mục thứ 2 trở đi</t>
  </si>
  <si>
    <t>Thiết kế lặp lại trong một dự án hoặc sử dụng lại thiết kế - hạng mục/dự án thứ 2</t>
  </si>
  <si>
    <t>Thiết kế lặp lại trong một dự án hoặc sử dụng lại thiết kế - hạng mục/dự án thứ 3 trở đi</t>
  </si>
  <si>
    <t>Giám sát thi công</t>
  </si>
  <si>
    <t>Thẩm tra phê duyệt quyết toán - Kiểm toán</t>
  </si>
  <si>
    <t>Dự án có cơ cấu vốn thiết bị chiếm từ 51% trở lên so với tổng mức đầu tư</t>
  </si>
  <si>
    <t>Kiểm toán trước khi thẩm tra phê duyệt quyết toán</t>
  </si>
  <si>
    <t>Giá trị</t>
  </si>
  <si>
    <t>IV</t>
  </si>
  <si>
    <t>V</t>
  </si>
  <si>
    <t>Chi phí chung</t>
  </si>
  <si>
    <t>C</t>
  </si>
  <si>
    <t>Thu nhập chịu thuế tính trước</t>
  </si>
  <si>
    <t>TL</t>
  </si>
  <si>
    <t>VI</t>
  </si>
  <si>
    <t>G + C + TL</t>
  </si>
  <si>
    <t>CHI PHÍ KIỂM THỬ</t>
  </si>
  <si>
    <t>Khoản mục chi phí</t>
  </si>
  <si>
    <t>Cách tính</t>
  </si>
  <si>
    <t>Ký hiệu</t>
  </si>
  <si>
    <t>Giá trị kiểm thử</t>
  </si>
  <si>
    <t>G = E*H</t>
  </si>
  <si>
    <t>G</t>
  </si>
  <si>
    <t>G x 65%</t>
  </si>
  <si>
    <t>(G +C) x 6 %</t>
  </si>
  <si>
    <t>Gkt</t>
  </si>
  <si>
    <t>Mô tả</t>
  </si>
  <si>
    <t>Quản trị hệ thống</t>
  </si>
  <si>
    <t>KHÁI TOÁN CHI PHÍ SỐ HOÁ</t>
  </si>
  <si>
    <t>Tên công việc/ Thành phần hao phí</t>
  </si>
  <si>
    <t>Đơn vị</t>
  </si>
  <si>
    <t>Khối lượng</t>
  </si>
  <si>
    <t>Đơn giá</t>
  </si>
  <si>
    <t>Thành tiền (đ)</t>
  </si>
  <si>
    <t>VBPL</t>
  </si>
  <si>
    <t>Dung lượng lưu trữ</t>
  </si>
  <si>
    <t>THU THẬP BẢN GỐC</t>
  </si>
  <si>
    <t>Quét tài liệu</t>
  </si>
  <si>
    <t>Trang</t>
  </si>
  <si>
    <t>- Khổ giấy A4</t>
  </si>
  <si>
    <t>Trang A4</t>
  </si>
  <si>
    <t>NHẬP DỮ LIỆU</t>
  </si>
  <si>
    <t>Xây dựng tài liệu hướng dẫn nhập dữ liệu</t>
  </si>
  <si>
    <t>Tài liệu</t>
  </si>
  <si>
    <t>QĐ 1595.2011</t>
  </si>
  <si>
    <t>Nhập dữ liệu</t>
  </si>
  <si>
    <t>Trường</t>
  </si>
  <si>
    <t>194/2012/TT-BTC</t>
  </si>
  <si>
    <t>TỔNG (I+II):</t>
  </si>
  <si>
    <t>TỔNG (I+II) LÀM TRÒN</t>
  </si>
  <si>
    <t>THUẾ VAT (10%):</t>
  </si>
  <si>
    <t>TỔNG CỘNG:</t>
  </si>
  <si>
    <t>Thời hạn bảo quản</t>
  </si>
  <si>
    <t>Số lượng hộp</t>
  </si>
  <si>
    <t>Số văn bản trung bình/hồ sơ</t>
  </si>
  <si>
    <t>Số trang trung bình/văn bản</t>
  </si>
  <si>
    <t>Số Hồ sơ</t>
  </si>
  <si>
    <t>File (văn bản)</t>
  </si>
  <si>
    <t>Trường tin</t>
  </si>
  <si>
    <t>Đã được cấp bằng</t>
  </si>
  <si>
    <t>Vĩnh viễn</t>
  </si>
  <si>
    <t>Không được cấp bằng</t>
  </si>
  <si>
    <t>5 năm</t>
  </si>
  <si>
    <t>SỐ LIỆU KHẢO SÁT</t>
  </si>
  <si>
    <t>Địa điểm khảo sát</t>
  </si>
  <si>
    <t>Loại hồ sơ</t>
  </si>
  <si>
    <t>Cục Sở Hữu Trí tuệ</t>
  </si>
  <si>
    <t>Hồ sơ hành chính</t>
  </si>
  <si>
    <t>Công văn, quyết định, hồ sơ công việc</t>
  </si>
  <si>
    <t>Hồ sơ sang chế và giải pháp hữu ích</t>
  </si>
  <si>
    <t>Hồ sơ kiểu dáng công nghiệp</t>
  </si>
  <si>
    <t>Hồ sơ nhãn hiệu</t>
  </si>
  <si>
    <t>Hồ sơ chỉ dẫn địa lý</t>
  </si>
  <si>
    <t>Hồ sơ thiết kế bố trí mạch tích hợp bán dẫn</t>
  </si>
  <si>
    <t>Tổng Cộng</t>
  </si>
  <si>
    <t>CHI PHÍ PHỤC VỤ CÔNG TÁC THUÊ HẠ TẦNG MÁY CHỦ</t>
  </si>
  <si>
    <t>Danh mục đầu tư</t>
  </si>
  <si>
    <t>Đơn vị tính</t>
  </si>
  <si>
    <t>Số lượng</t>
  </si>
  <si>
    <t xml:space="preserve">Đơn giá </t>
  </si>
  <si>
    <t>Thành tiền chưa bao gồm thuế VAT</t>
  </si>
  <si>
    <t>Tổng tiền đã bao gồm VAT</t>
  </si>
  <si>
    <t>Hạ tầng thiết bị</t>
  </si>
  <si>
    <t xml:space="preserve">Chi phí 02 server </t>
  </si>
  <si>
    <t>16 CPU, 64 GB Ram, 500GB HDD</t>
  </si>
  <si>
    <t>Tháng</t>
  </si>
  <si>
    <t>Gt = Gxl + Gtb + Gqlda + Gtv</t>
  </si>
  <si>
    <t>Gt = Gpc</t>
  </si>
  <si>
    <t>Gt= Gpm</t>
  </si>
  <si>
    <t>(Quyết định số 2378/QĐ-BTTTT ngày 30/12/2016)</t>
  </si>
  <si>
    <t>Bảng số 1: Định mức chi phí quản lý dự án</t>
  </si>
  <si>
    <t>Chi phí lập dự án đầu tư</t>
  </si>
  <si>
    <t>Bảng số 2: Định mức chi phí lập dự án đầu tư</t>
  </si>
  <si>
    <t>Chi phí lập thiết kế thi công và dự toán</t>
  </si>
  <si>
    <t>Bảng số 3: Định mức chi phí lập thiết kế thi công và dự toán</t>
  </si>
  <si>
    <t>Bảng số 4: Định mức chi phí thẩm tra tính hiệu quả và tính khả thi của dự án đầu tư</t>
  </si>
  <si>
    <t>Bảng số 5: Định mức chi phí thẩm tra thiết kế thi công (chi phí tối thiểu không dưới 2 triệu)</t>
  </si>
  <si>
    <t>Bảng số 6: Định mức chi phí thẩm tra dự toán (chi phí tối thiểu không dưới 2 triệu)</t>
  </si>
  <si>
    <t>Bảng số 7: Định mức chi phí lập hồ sơ mời thầu, đánh giá hồ sơ dự thầu xây lắp</t>
  </si>
  <si>
    <t>Bảng số 8: Định mức chi phí lập hồ sơ mời thầu, đánh giá hồ sơ dự thầu mua sắm thiết bị</t>
  </si>
  <si>
    <t>Chi phí giám sát thi công lắp đặt phần cứng, cài đặt phần mềm</t>
  </si>
  <si>
    <t>Bảng số 9: Định mức chi phí giám sát thi công lắp đặt phần cứng, cài đặt phần mềm</t>
  </si>
  <si>
    <t>Điều 21 (TT09/2016/TT-BC) Chi phí thẩm tra, phê duyệt quyết toán, chi phí kiểm toán độc lập ngày 18/01/2016</t>
  </si>
  <si>
    <t>Tên Use-case</t>
  </si>
  <si>
    <t>Tên tác nhân chính</t>
  </si>
  <si>
    <t>Tên tác nhân phụ</t>
  </si>
  <si>
    <t>Mô tả trường sử dụng</t>
  </si>
  <si>
    <t>Quản trị hệ thống cấp cao</t>
  </si>
  <si>
    <t>Quản lý cơ quan, đơn vị</t>
  </si>
  <si>
    <t>Quản lý danh sách hội đồng thi đua, khen thưởng</t>
  </si>
  <si>
    <t>Quản lý cụm thi đua</t>
  </si>
  <si>
    <t>Xem trang hỗ trợ, hướng dẫn sử dụng</t>
  </si>
  <si>
    <t>Cấu hình thông tin hỗ trợ, hướng dẫn sử dụng</t>
  </si>
  <si>
    <t>Quản lý thông báo tại hệ thống CSDL về thi đua- khen thưởng</t>
  </si>
  <si>
    <t>Quản lý chức năng hệ thống CSDL về thi đua- khen thưởng</t>
  </si>
  <si>
    <t>Quản trị vai trò hệ thống CSDL về thi đua- khen thưởng</t>
  </si>
  <si>
    <t>Quản trị tài khoản người dùng hệ thống CSDL về thi đua- khen thưởng</t>
  </si>
  <si>
    <t>Quản trị hệ thống cấp cao, Quản trị hệ thống BNĐP</t>
  </si>
  <si>
    <t>Quản trị tham số hệ thống CSDL về thi đua- khen thưởng</t>
  </si>
  <si>
    <t>Cấu hình chữ ký số cá nhân hệ thống CSDL về thi đua- khen thưởng</t>
  </si>
  <si>
    <t>Nộp hồ sơ đề xuất với vai trò đơn vị trình hồ sơ</t>
  </si>
  <si>
    <t>Tìm kiếm thông tin đối tượng khen thưởng - vai trò đơn vị trình hồ sơ</t>
  </si>
  <si>
    <t>Tạo tờ trình mới - vai trò đơn vị trình hồ sơ</t>
  </si>
  <si>
    <t>Quản lý danh sách cá nhân, tập thể, hộ gia đình đề xuất khen thưởng - vai trò đơn vị trình hồ sơ</t>
  </si>
  <si>
    <t>Quản lý Tờ trình bị trả lại - vai trò đơn vị trình hồ sơ</t>
  </si>
  <si>
    <t>Quản lý tờ trình đã chuyển cho Ban Thi đua Khen thưởng Trung ương - vai trò đơn vị trình hồ sơ</t>
  </si>
  <si>
    <t>Lập tờ trình hủy hồ sơ đề xuất - vai trò đơn vị trình hồ sơ</t>
  </si>
  <si>
    <t>Quản lý Tờ trình đến đã gửi - vai trò của Văn thư</t>
  </si>
  <si>
    <t>Quản lý danh sách cá nhân được đề nghị khen thưởng - vai trò của Văn thư</t>
  </si>
  <si>
    <t>Quản lý danh sách cơ quan được đề nghị khen thưởng - vai trò của Văn thư</t>
  </si>
  <si>
    <t>Quản lý danh sách doanh nghiệp được đề nghị khen thưởng - vai trò của Văn thư</t>
  </si>
  <si>
    <t>Quản lý danh sách đối tượng khác được đề nghị khen thưởng - vai trò của Văn thư</t>
  </si>
  <si>
    <t xml:space="preserve"> Lãnh đạo BNĐP</t>
  </si>
  <si>
    <t>Lãnh đạo BNĐP thực hiện xem tờ trình đã trả lại. Hệ thống mở giao diện chi tiết tờ trình tương ứng.</t>
  </si>
  <si>
    <t>Lãnh đạo BNĐP thực hiện mở xem thông tin lý do trả lại. Hệ thống hiển thị chi tiết nội dung lý do trả lại đơn vị trình</t>
  </si>
  <si>
    <t>Lãnh đạo BNĐP nhập thông tin lý do trả lại và xác nhận trả lại hồ sơ. Hệ thống chuyển hồ sơ về trạng thái đã trả lại.</t>
  </si>
  <si>
    <t>Lãnh đạo BNĐP thực hiện tải xuống tờ trình mẫu. Hệ thống cho phép tải xuống mẫu tờ trình được cấu hình trong hệ thống.</t>
  </si>
  <si>
    <t>Lãnh đạo BNĐP thực hiện đính kèm tệp tin. Hệ thống cho phép thực hiện tờ trình từ thiết bị.</t>
  </si>
  <si>
    <t>Lãnh đạo BNĐP thực hiện xem tờ trình đến của đơn vị. Hệ thống mở giao diện chi tiết hồ sơ của đơn vị.</t>
  </si>
  <si>
    <t>Lãnh đạo BNĐP thực hiện tải xuống tệp tin đã đính kèm trong bộ hồ sơ. Hệ thống cho phép tải file về thiết bị.</t>
  </si>
  <si>
    <t>Lãnh đạo BNĐP thực hiện xem thông tin ký số trên tệp tin. Hệ thống hiển thị thông tin chứng thư số nếu có.</t>
  </si>
  <si>
    <t>Lãnh đạo BNĐP thực hiện xem chi tiết trường hợp có quyết định. Hệ thống mở giao diện bộ hồ sơ.</t>
  </si>
  <si>
    <t>Lãnh đạo BNĐP thực hiện tải xuống tệp tin đã đính kèm trong bộ hồ sơ đã có quyết định. Hệ thống cho phép tải file về thiết bị.</t>
  </si>
  <si>
    <t>Lãnh đạo BNĐP thực hiện xem thông tin ký số trên tệp tin đính kèm. Hệ thống hiển thị thông tin chứng thư số nếu có.</t>
  </si>
  <si>
    <t>Lãnh đạo BNĐP thực hiện tải xuống tệp tin đã đính kèm trong bộ hồ sơ đã trả lại. Hệ thống cho phép tải file về thiết bị.</t>
  </si>
  <si>
    <t>Lãnh đạo BNĐP thực hiện xem thông tin ký số trên tệp tin đính kèm trong bộ hồ sơ đã trả lại. Hệ thống hiển thị thông tin chứng thư số nếu có.</t>
  </si>
  <si>
    <t>Lãnh đạo BNĐP thực hiện xem lịch sử xử lý tờ trình. Hệ thống hiển thị các vết xử lý trên tờ trình.</t>
  </si>
  <si>
    <t>Lãnh đạo BNĐP thực hiện tìm kiếm thông tin trên danh sách cơ quan, đơn vị. Hệ thống trả về danh sách theo điều kiện tìm kiếm.</t>
  </si>
  <si>
    <t xml:space="preserve"> Lãnh đạo phòng chuyên môn</t>
  </si>
  <si>
    <t>Điện tử hóa kết quả khen thưởng mới</t>
  </si>
  <si>
    <t>Chuyên viên phòng chuyên môn, Lãnh đạo BNĐP</t>
  </si>
  <si>
    <t>Quản lý kết quả khen thưởng đang điện tử hóa</t>
  </si>
  <si>
    <t>Quản lý kết quả khen thưởng đã điện tử hóa</t>
  </si>
  <si>
    <t>Báo cáo thống kê</t>
  </si>
  <si>
    <t>Báo cáo thống kê kết quả khen thưởng</t>
  </si>
  <si>
    <t>Báo cáo sổ công văn đến</t>
  </si>
  <si>
    <t>Báo cáo tổng hợp danh sách khen thưởng</t>
  </si>
  <si>
    <t>Báo cáo Lưu trữ điện tử</t>
  </si>
  <si>
    <t>Báo cáo Tổng hợp các hình thức khen thưởng</t>
  </si>
  <si>
    <t>Báo cáo Tổng hợp quyết định theo các hình thức khen thưởng</t>
  </si>
  <si>
    <t>Báo cáo Tình hình xử lý tờ trình khen thưởng tại từng đơn vị chuyên môn</t>
  </si>
  <si>
    <t>Báo cáo Thống kê khen thưởng theo phong trào thi đua</t>
  </si>
  <si>
    <t>Báo cáo Thống kê tổng số phong trào thi đua</t>
  </si>
  <si>
    <t>Báo cáo Thống kê số lượng khen thưởng của tỉnh, thành phố trực thuộc Trung ương/bộ, ngành</t>
  </si>
  <si>
    <t>Báo cáo Thống kê số lượng công chức làm công tác thi đua, khen thưởng toàn quốc</t>
  </si>
  <si>
    <t>Báo cáo Thống kê Số phong trào thi đua</t>
  </si>
  <si>
    <t>Báo cáo Số lượng khen thưởng cấp nhà nước</t>
  </si>
  <si>
    <t>Báo cáo Số lượng công chức làm công tác thi đua khen thưởng</t>
  </si>
  <si>
    <t>Thống kê tình trạng xử lý hồ sơ theo cán bộ xử lý</t>
  </si>
  <si>
    <t>Báo cáo thống kê Thủ tục Phong tặng danh hiệu Chiến sĩ thi đua toàn quốc</t>
  </si>
  <si>
    <t>Báo cáo thống kê Thủ tục tặng thưởng Bằng khen của Thủ tướng Chính phủ cho tập thể, cá nhân theo công trạng và thành tích đạt được</t>
  </si>
  <si>
    <t>Báo cáo thống kê Thủ tục tặng Cờ thi đua của Chính phủ theo công trạng và thành tích đạt được</t>
  </si>
  <si>
    <t>Báo cáo thống kê Thủ tục khen thưởng Huân chương Đại đoàn kết dân tộc</t>
  </si>
  <si>
    <t>Báo cáo thống kê Thủ tục khen thưởng Huân chương Chiến công cho tập thể, cá nhân có thành tích thực hiện nhiệm vụ chính trị</t>
  </si>
  <si>
    <t>Báo cáo thống kê Thủ tục Khen thưởng Huy chương Hữu Nghị cho cá nhân người nước ngoài</t>
  </si>
  <si>
    <t>Báo cáo thống kê Thủ tục Tặng thưởng Huy chương Quân kỳ quyết thắng, Huy chương Vì an ninh Tổ quốc, Huy chương Chiến sĩ vẻ vang</t>
  </si>
  <si>
    <t>Báo cáo thống kê Thủ tục tặng thưởng Huân chương Bảo vệ Tổ quốc</t>
  </si>
  <si>
    <t>Báo cáo thống kê Thủ tục tặng thưởng Huân chương Dũng cảm</t>
  </si>
  <si>
    <t>Báo cáo thống kê Thủ tục tặng thưởng Huân chương Quân công</t>
  </si>
  <si>
    <t>Báo cáo thống kê Thủ tục tặng thưởng Bằng khen của Thủ tướng Chính phủ cho tập thể, cá nhân người nước ngoài</t>
  </si>
  <si>
    <t>Báo cáo thống kê Thủ tục tặng thưởng Bằng khen của Thủ tướng Chính phủ cho gia đình</t>
  </si>
  <si>
    <t>Báo cáo thống kê Thủ tục Khen thưởng Huân chương Hữu Nghị cho tập thể, cá nhân người nước ngoài</t>
  </si>
  <si>
    <t>Báo cáo thống kê Thủ tục Khen thưởng Huân chương lao động cho tập thể, cá nhân người nước ngoài, người Việt Nam ở nước ngoài</t>
  </si>
  <si>
    <t>Báo cáo thống kê Thủ tục Khen thưởng Huân chương Lao động cho cá nhân có quá trình cống hiến</t>
  </si>
  <si>
    <t>Báo cáo thống kê Thủ tục phong tặng Tỉnh anh hùng, Thành phố anh hùng</t>
  </si>
  <si>
    <t>Báo cáo thống kê Thủ tục Khen thưởng Huân chương Độc lập cho cá nhân có quá trình cống hiến</t>
  </si>
  <si>
    <t>Báo cáo thống kê Thủ tục tặng thưởng Cờ thi đua của Chính phủ về thành tích thi đua theo đợt hoặc chuyên đề</t>
  </si>
  <si>
    <t>Báo cáo thống kê Thủ tục Khen thưởng Huân chương Hồ Chí Minh cho cá nhân có quá trình cống hiến</t>
  </si>
  <si>
    <t>Báo cáo thống kê Thủ tục Khen thưởng Huân chương Sao vàng cho cá nhân có quá trình cống hiến</t>
  </si>
  <si>
    <t>Báo cáo thống kê Thủ tục Khen thưởng Huân chương Chiến công cho tập thể, cá nhân có thành tích thi đua theo đợt hoặc chuyên đề</t>
  </si>
  <si>
    <t>Báo cáo thống kê Thủ tục tặng thưởng Bằng khen của Thủ tướng Chính phủ về thành tích thi đua theo đợt hoặc chuyên đề</t>
  </si>
  <si>
    <t>Báo cáo thống kê Thủ tục khen thưởng Huân chương Lao động cho tập thể, cá nhân về phong trào thi đua theo đợt hoặc chuyên đề</t>
  </si>
  <si>
    <t>Báo cáo thống kê Thủ tục Tặng thưởng Bằng khen của Thủ tướng Chính phủ về thành tích đột xuất</t>
  </si>
  <si>
    <t>Báo cáo thống kê Thủ tục khen thưởng Huân chương Chiến công cho tập thể, cá nhân về thành tích đột xuất</t>
  </si>
  <si>
    <t>Báo cáo thống kê Thủ tục khen thưởng Huân chương lao động cho tập thể, cá nhân về thành tích đột xuất</t>
  </si>
  <si>
    <t>Báo cáo thống kê Thủ tục phong tặng, truy tặng Danh hiệu Anh hùng lực lượng vũ trang nhân dân</t>
  </si>
  <si>
    <t>Báo cáo thống kê Thủ tục phong tặng danh hiệu Anh hùng lao động</t>
  </si>
  <si>
    <t>Báo cáo thống kê Thủ tục khen thưởng Huân chương Lao động cho tập thể, cá nhân theo công trạng và thành tích đạt được</t>
  </si>
  <si>
    <t>Báo cáo thống kê Thủ tục khen thưởng Huân chương Độc lập cho tập thể, cá nhân theo công trạng và thành tích đạt được</t>
  </si>
  <si>
    <t>Báo cáo thống kê Thủ tục khen thưởng Huân chương Hồ Chí Minh cho tập thể, cá nhân về thành tích thực hiện nhiệm vụ chính trị</t>
  </si>
  <si>
    <t>Báo cáo thống kê Thủ tục khen thưởng Huân chương Sao vàng cho tập thể, cá nhân về thành tích thực hiện nhiệm vụ chính trị</t>
  </si>
  <si>
    <t>Biểu đồ thống kê</t>
  </si>
  <si>
    <t>Biểu đồ thống kê Thủ tục Phong tặng danh hiệu Chiến sĩ thi đua toàn quốc</t>
  </si>
  <si>
    <t>Biểu đồ thống kê Thủ tục tặng thưởng Bằng khen của Thủ tướng Chính phủ cho tập thể, cá nhân theo công trạng và thành tích đạt được</t>
  </si>
  <si>
    <t>Biểu đồ thống kê Thủ tục tặng Cờ thi đua của Chính phủ theo công trạng và thành tích đạt được</t>
  </si>
  <si>
    <t>Biểu đồ thống kê Thủ tục khen thưởng Huân chương Đại đoàn kết dân tộc</t>
  </si>
  <si>
    <t>Biểu đồ thống kê Thủ tục khen thưởng Huân chương Chiến công cho tập thể, cá nhân có thành tích thực hiện nhiệm vụ chính trị</t>
  </si>
  <si>
    <t>Biểu đồ thống kê Thủ tục Khen thưởng Huy chương Hữu Nghị cho cá nhân người nước ngoài</t>
  </si>
  <si>
    <t>Biểu đồ thống kê Thủ tục Tặng thưởng Huy chương Quân kỳ quyết thắng, Huy chương Vì an ninh Tổ quốc, Huy chương Chiến sĩ vẻ vang</t>
  </si>
  <si>
    <t>Biểu đồ thống kê Thủ tục tặng thưởng Huân chương Bảo vệ Tổ quốc</t>
  </si>
  <si>
    <t>Biểu đồ thống kê Thủ tục tặng thưởng Huân chương Dũng cảm</t>
  </si>
  <si>
    <t>Biểu đồ thống kê Thủ tục tặng thưởng Huân chương Quân công</t>
  </si>
  <si>
    <t>Biểu đồ thống kê Thủ tục tặng thưởng Bằng khen của Thủ tướng Chính phủ cho tập thể, cá nhân người nước ngoài</t>
  </si>
  <si>
    <t>Biểu đồ thống kê Thủ tục tặng thưởng Bằng khen của Thủ tướng Chính phủ cho gia đình</t>
  </si>
  <si>
    <t>Biểu đồ thống kê Thủ tục Khen thưởng Huân chương Hữu Nghị cho tập thể, cá nhân người nước ngoài</t>
  </si>
  <si>
    <t>Biểu đồ thống kê Thủ tục Khen thưởng Huân chương lao động cho tập thể, cá nhân người nước ngoài, người Việt Nam ở nước ngoài</t>
  </si>
  <si>
    <t>Biểu đồ thống kê Thủ tục Khen thưởng Huân chương Lao động cho cá nhân có quá trình cống hiến</t>
  </si>
  <si>
    <t>Biểu đồ thống kê Thủ tục phong tặng Tỉnh anh hùng, Thành phố anh hùng</t>
  </si>
  <si>
    <t>Biểu đồ thống kê Thủ tục Khen thưởng Huân chương Độc lập cho cá nhân có quá trình cống hiến</t>
  </si>
  <si>
    <t>Biểu đồ thống kê Thủ tục tặng thưởng Cờ thi đua của Chính phủ về thành tích thi đua theo đợt hoặc chuyên đề</t>
  </si>
  <si>
    <t>Biểu đồ thống kê Thủ tục Khen thưởng Huân chương Hồ Chí Minh cho cá nhân có quá trình cống hiến</t>
  </si>
  <si>
    <t>Biểu đồ thống kê Thủ tục Khen thưởng Huân chương Sao vàng cho cá nhân có quá trình cống hiến</t>
  </si>
  <si>
    <t>Biểu đồ thống kê Thủ tục Khen thưởng Huân chương Chiến công cho tập thể, cá nhân có thành tích thi đua theo đợt hoặc chuyên đề</t>
  </si>
  <si>
    <t>Biểu đồ thống kê Thủ tục tặng thưởng Bằng khen của Thủ tướng Chính phủ về thành tích thi đua theo đợt hoặc chuyên đề</t>
  </si>
  <si>
    <t>Biểu đồ thống kê Thủ tục khen thưởng Huân chương Lao động cho tập thể, cá nhân về phong trào thi đua theo đợt hoặc chuyên đề</t>
  </si>
  <si>
    <t>Biểu đồ thống kê Thủ tục Tặng thưởng Bằng khen của Thủ tướng Chính phủ về thành tích đột xuất</t>
  </si>
  <si>
    <t>Biểu đồ thống kê Thủ tục khen thưởng Huân chương Chiến công cho tập thể, cá nhân về thành tích đột xuất</t>
  </si>
  <si>
    <t>Biểu đồ thống kê Thủ tục khen thưởng Huân chương lao động cho tập thể, cá nhân về thành tích đột xuất</t>
  </si>
  <si>
    <t>Biểu đồ thống kê Thủ tục phong tặng, truy tặng Danh hiệu Anh hùng lực lượng vũ trang nhân dân</t>
  </si>
  <si>
    <t>Biểu đồ thống kê Thủ tục phong tặng danh hiệu Anh hùng lao động</t>
  </si>
  <si>
    <t>Biểu đồ thống kê Thủ tục khen thưởng Huân chương Lao động cho tập thể, cá nhân theo công trạng và thành tích đạt được</t>
  </si>
  <si>
    <t>Biểu đồ thống kê Thủ tục khen thưởng Huân chương Độc lập cho tập thể, cá nhân theo công trạng và thành tích đạt được</t>
  </si>
  <si>
    <t>Biểu đồ thống kê Thủ tục khen thưởng Huân chương Hồ Chí Minh cho tập thể, cá nhân về thành tích thực hiện nhiệm vụ chính trị</t>
  </si>
  <si>
    <t>Biểu đồ thống kê Thủ tục khen thưởng Huân chương Sao vàng cho tập thể, cá nhân về thành tích thực hiện nhiệm vụ chính trị</t>
  </si>
  <si>
    <t>Lãnh đạo BNĐP</t>
  </si>
  <si>
    <t>Phần mềm quản lý và khai thác kết quả khen thưởng cấp nhà nước</t>
  </si>
  <si>
    <t>Lãnh đạo Văn phòng BNĐP</t>
  </si>
  <si>
    <t>Quản lý phong trào thi đua - vai trò lãnh đạo phòng chuyên môn</t>
  </si>
  <si>
    <t>Quản trị hệ thống cấp cao có thể thực hiện thêm mới cơ quan, đơn vị. Hệ thống kiểm tra và lưu thông tin.</t>
  </si>
  <si>
    <t>Quản trị hệ thống cấp cao có thể thực hiện sửa thông tin cơ quan, đơn vị. Hệ thống kiểm tra và lưu thông tin.</t>
  </si>
  <si>
    <t>Quản trị hệ thống cấp cao có thể thực hiện xoá cơ quan, đơn vị. Hệ thống kiểm tra và xoá cơ quan, đơn vị.</t>
  </si>
  <si>
    <t>Quản trị hệ thống cấp cao mở chức năng cấu hình thông tin hỗ trợ. Hệ thống hiển thị trang thông tin đã cấu hình.</t>
  </si>
  <si>
    <t>Quản trị hệ thống cấp cao thực hiện xóa file hướng dẫn đã đính kèm. Hệ thống cho phép xóa file đã chọn.</t>
  </si>
  <si>
    <t>Quản trị hệ thống cấp cao thực hiện tải xuống file hướng dẫn đã đính kèm. Hệ thống cho phép tải file xuống thiết bị.</t>
  </si>
  <si>
    <t>Chuyên viên phòng chuyên môn, Lãnh đạo BNĐP mở chức năng điện tử hóa kết quả khen thưởng. Hệ thống hiển thị giao diện nhập mới kết quả khen thưởng.</t>
  </si>
  <si>
    <t>Chuyên viên phòng chuyên môn, Lãnh đạo BNĐP thực hiện đính kèm bằng khen, giấy khen,... Hệ thống hiển thị cửa sổ cho phép chọn tài liệu từ máy tính.</t>
  </si>
  <si>
    <t>Chuyên viên phòng chuyên môn, Lãnh đạo BNĐP chọn tài liệu định dạng pdf hoặc ảnh. Hệ thống nhận tài liệu đã đính kèm.</t>
  </si>
  <si>
    <t>Chuyên viên phòng chuyên môn, Lãnh đạo BNĐP nhập thông tin hợp lệ và lưu. Hệ thống đưa ra thông báo thêm mới dữ liệu thành công và lưu vào cơ sở dữ liệu.</t>
  </si>
  <si>
    <t>Chuyên viên phòng chuyên môn, Lãnh đạo BNĐP mở chức năng Quản lý kết quả khen thưởng đang được điện tử hóa. Hệ thống hiển thị danh sách kết quả khen thưởng đang điện tử hóa thuộc quyền quản lý của tài khoản.</t>
  </si>
  <si>
    <t>Chuyên viên phòng chuyên môn, Lãnh đạo BNĐP tìm kiếm thông tin khen thưởng đang điện tử hóa. Hệ thống hiển thị danh sách dữ liệu đã nhập trước đó.</t>
  </si>
  <si>
    <t>Chuyên viên phòng chuyên môn, Lãnh đạo BNĐP thực hiện sửa thông tin khen thưởng đang điện tử hóa. Hệ thống hiển thị giao diện chi tiết cho phép sửa.</t>
  </si>
  <si>
    <t>Chuyên viên phòng chuyên môn, Lãnh đạo BNĐP thực hiện đính kèm file pdf thông tin khen thưởng đang điện tử hóa. Hệ thống cho phép đính kèm file.</t>
  </si>
  <si>
    <t>Chuyên viên phòng chuyên môn, Lãnh đạo BNĐP thực hiện nút xác nhận dữ liệu khen thưởng đang nhập. Hệ thống chuyển dữ liệu sang trạng thái xác nhận.</t>
  </si>
  <si>
    <t>Chuyên viên phòng chuyên môn, Lãnh đạo BNĐP mở chức năng Quản lý kết quả khen thưởng đã điện tử hóa. Hệ thống hiển thị danh sách kết quả khen thưởng đã điện tử hóa thuộc quyền quản lý của tài khoản.</t>
  </si>
  <si>
    <t>Chuyên viên phòng chuyên môn, Lãnh đạo BNĐP tìm kiếm thông tin khen thưởng đã điện tử hóa. Hệ thống hiển thị danh sách dữ liệu đã nhập trước đó</t>
  </si>
  <si>
    <t>Chuyên viên phòng chuyên môn, Lãnh đạo BNĐP thực hiện xem chi tiết thông tin khen thưởng đã điện tử hóa. Hệ thống hiển thị giao diện chi tiết tương ứng.</t>
  </si>
  <si>
    <t>Chuyên viên phòng chuyên môn, Lãnh đạo BNĐP thực hiện hủy (không sử dụng dữ liệu nữa). Hệ thống chuyển bản ghi dữ liệu sang trạng thái hủy.</t>
  </si>
  <si>
    <t>Chuyên viên phòng chuyên môn, Lãnh đạo BNĐP thực hiện xem thông tin ký số trên file đã đính kèm nếu có ký số. Hệ thống hiển thị thông tin chứng thư số, thời gian ký của tài liệu.</t>
  </si>
  <si>
    <t>Chuyên viên phòng chuyên môn, Lãnh đạo BNĐP chọn chuyển trạng thái bản ghi về đang điện tử hóa. Hệ thống chuyển trạng thái kết quả khen thưởng về kho Quản lý kết quả khen thưởng đang điện tử hóa</t>
  </si>
  <si>
    <t>Chuyên viên phòng chuyên môn, Lãnh đạo BNĐP chọn xem thiết kế Báo cáo thống kê kết quả khen thưởng. Hệ thống hiển thị màn hình xem thiết kế biểu mẫu</t>
  </si>
  <si>
    <t>Chuyên viên phòng chuyên môn, Lãnh đạo BNĐP chỉnh sửa thiết kế Báo cáo thống kê kết quả khen thưởng và chọn lưu. Hệ thống cập nhật dữ liệu hợp lệ và hiện thông báo chỉnh sửa thành công</t>
  </si>
  <si>
    <t>Chuyên viên phòng chuyên môn, Lãnh đạo BNĐP có thể Sao chép Báo cáo thống kê kết quả khen thưởng. Hệ thống tạo ra thêm một biểu mẫu giống biểu mẫu ban đầu</t>
  </si>
  <si>
    <t>Chuyên viên phòng chuyên môn, Lãnh đạo BNĐP có thể xóa mẫu Báo cáo thống kê kết quả khen thưởng. Hệ thống xóa báo cáo và trả về thông báo xóa thành công</t>
  </si>
  <si>
    <t>Chuyên viên phòng chuyên môn, Lãnh đạo BNĐP chọn xem thiết kế Báo cáo sổ công văn đến. Hệ thống hiển thị màn hình xem thiết kế biểu mẫu</t>
  </si>
  <si>
    <t>Chuyên viên phòng chuyên môn, Lãnh đạo BNĐP chỉnh sửa thiết kế Báo cáo sổ công văn đến và chọn lưu. Hệ thống cập nhật dữ liệu hợp lệ và hiện thông báo chỉnh sửa thành công</t>
  </si>
  <si>
    <t>Chuyên viên phòng chuyên môn, Lãnh đạo BNĐP có thể Sao chép Báo cáo sổ công văn đến. Hệ thống tạo ra thêm một biểu mẫu giống biểu mẫu ban đầu</t>
  </si>
  <si>
    <t>Chuyên viên phòng chuyên môn, Lãnh đạo BNĐP có thể xóa mẫu Báo cáo sổ công văn đến. Hệ thống xóa báo cáo và trả về thông báo xóa thành công</t>
  </si>
  <si>
    <t>Chuyên viên phòng chuyên môn, Lãnh đạo BNĐP chọn xem thiết kế Báo cáo tổng hợp danh sách khen thưởng. Hệ thống hiển thị màn hình xem thiết kế biểu mẫu</t>
  </si>
  <si>
    <t>Chuyên viên phòng chuyên môn, Lãnh đạo BNĐP chỉnh sửa thiết kế Báo cáo tổng hợp danh sách khen thưởng và chọn lưu. Hệ thống cập nhật dữ liệu hợp lệ và hiện thông báo chỉnh sửa thành công</t>
  </si>
  <si>
    <t>Chuyên viên phòng chuyên môn, Lãnh đạo BNĐP có thể Sao chép Báo cáo tổng hợp danh sách khen thưởng. Hệ thống tạo ra thêm một biểu mẫu giống biểu mẫu ban đầu</t>
  </si>
  <si>
    <t>Chuyên viên phòng chuyên môn, Lãnh đạo BNĐP có thể xóa mẫu Báo cáo tổng hợp danh sách khen thưởng. Hệ thống xóa báo cáo và trả về thông báo xóa thành công</t>
  </si>
  <si>
    <t>Chuyên viên phòng chuyên môn, Lãnh đạo BNĐP chọn xem thiết kế Báo cáo Lưu trữ điện tử. Hệ thống hiển thị màn hình xem thiết kế biểu mẫu</t>
  </si>
  <si>
    <t>Chuyên viên phòng chuyên môn, Lãnh đạo BNĐP chỉnh sửa thiết kế Báo cáo Lưu trữ điện tử và chọn lưu. Hệ thống cập nhật dữ liệu hợp lệ và hiện thông báo chỉnh sửa thành công</t>
  </si>
  <si>
    <t>Chuyên viên phòng chuyên môn, Lãnh đạo BNĐP có thể Sao chép Báo cáo Lưu trữ điện tử. Hệ thống tạo ra thêm một biểu mẫu giống biểu mẫu ban đầu</t>
  </si>
  <si>
    <t>Chuyên viên phòng chuyên môn, Lãnh đạo BNĐP có thể xóa mẫu Báo cáo Lưu trữ điện tử. Hệ thống xóa báo cáo và trả về thông báo xóa thành công</t>
  </si>
  <si>
    <t>Chuyên viên phòng chuyên môn, Lãnh đạo BNĐP chọn xem thiết kế Báo cáo Tổng hợp các hình thức khen thưởng. Hệ thống hiển thị màn hình xem thiết kế biểu mẫu</t>
  </si>
  <si>
    <t>Chuyên viên phòng chuyên môn, Lãnh đạo BNĐP chỉnh sửa thiết kế Báo cáo Tổng hợp các hình thức khen thưởng và chọn lưu. Hệ thống cập nhật dữ liệu hợp lệ và hiện thông báo chỉnh sửa thành công</t>
  </si>
  <si>
    <t>Chuyên viên phòng chuyên môn, Lãnh đạo BNĐP có thể Sao chép Báo cáo Tổng hợp các hình thức khen thưởng. Hệ thống tạo ra thêm một biểu mẫu giống biểu mẫu ban đầu</t>
  </si>
  <si>
    <t>Chuyên viên phòng chuyên môn, Lãnh đạo BNĐP có thể xóa mẫu Báo cáo Tổng hợp các hình thức khen thưởng. Hệ thống xóa báo cáo và trả về thông báo xóa thành công</t>
  </si>
  <si>
    <t>Chuyên viên phòng chuyên môn, Lãnh đạo BNĐP chọn xem thiết kế Báo cáo Tổng hợp quyết định theo các hình thức khen thưởng. Hệ thống hiển thị màn hình xem thiết kế biểu mẫu</t>
  </si>
  <si>
    <t>Chuyên viên phòng chuyên môn, Lãnh đạo BNĐP chỉnh sửa thiết kế Báo cáo Tổng hợp quyết định theo các hình thức khen thưởng và chọn lưu. Hệ thống cập nhật dữ liệu hợp lệ và hiện thông báo chỉnh sửa thành công</t>
  </si>
  <si>
    <t>Chuyên viên phòng chuyên môn, Lãnh đạo BNĐP có thể Sao chép Báo cáo Tổng hợp quyết định theo các hình thức khen thưởng. Hệ thống tạo ra thêm một biểu mẫu giống biểu mẫu ban đầu</t>
  </si>
  <si>
    <t>Chuyên viên phòng chuyên môn, Lãnh đạo BNĐP có thể xóa mẫu Báo cáo Tổng hợp quyết định theo các hình thức khen thưởng. Hệ thống xóa báo cáo và trả về thông báo xóa thành công</t>
  </si>
  <si>
    <t>Chuyên viên phòng chuyên môn, Lãnh đạo BNĐP chọn xem thiết kế Báo cáo Tình hình xử lý tờ trình khen thưởng tại từng đơn vị chuyên môn. Hệ thống hiển thị màn hình xem thiết kế biểu mẫu</t>
  </si>
  <si>
    <t>Chuyên viên phòng chuyên môn, Lãnh đạo BNĐP chỉnh sửa thiết kế Báo cáo Tình hình xử lý tờ trình khen thưởng tại từng đơn vị chuyên môn và chọn lưu. Hệ thống cập nhật dữ liệu hợp lệ và hiện thông báo chỉnh sửa thành công</t>
  </si>
  <si>
    <t>Chuyên viên phòng chuyên môn, Lãnh đạo BNĐP có thể Sao chép Báo cáo Tình hình xử lý tờ trình khen thưởng tại từng đơn vị chuyên môn. Hệ thống tạo ra thêm một biểu mẫu giống biểu mẫu ban đầu</t>
  </si>
  <si>
    <t>Chuyên viên phòng chuyên môn, Lãnh đạo BNĐP có thể xóa mẫu Báo cáo Tình hình xử lý tờ trình khen thưởng tại từng đơn vị chuyên môn. Hệ thống xóa báo cáo và trả về thông báo xóa thành công</t>
  </si>
  <si>
    <t>Chuyên viên phòng chuyên môn, Lãnh đạo BNĐP chọn xem thiết kế Báo cáo Thống kê khen thưởng theo phong trào thi đua. Hệ thống hiển thị màn hình xem thiết kế biểu mẫu</t>
  </si>
  <si>
    <t>Chuyên viên phòng chuyên môn, Lãnh đạo BNĐP chỉnh sửa thiết kế Báo cáo Thống kê khen thưởng theo phong trào thi đua và chọn lưu. Hệ thống cập nhật dữ liệu hợp lệ và hiện thông báo chỉnh sửa thành công</t>
  </si>
  <si>
    <t>Chuyên viên phòng chuyên môn, Lãnh đạo BNĐP có thể Sao chép Báo cáo Thống kê khen thưởng theo phong trào thi đua. Hệ thống tạo ra thêm một biểu mẫu giống biểu mẫu ban đầu</t>
  </si>
  <si>
    <t>Chuyên viên phòng chuyên môn, Lãnh đạo BNĐP có thể xóa mẫu Báo cáo Thống kê khen thưởng theo phong trào thi đua. Hệ thống xóa báo cáo và trả về thông báo xóa thành công</t>
  </si>
  <si>
    <t>Chuyên viên phòng chuyên môn, Lãnh đạo BNĐP chọn xem thiết kế Báo cáo Thống kê tổng số phong trào thi đua. Hệ thống hiển thị màn hình xem thiết kế biểu mẫu</t>
  </si>
  <si>
    <t>Chuyên viên phòng chuyên môn, Lãnh đạo BNĐP chỉnh sửa thiết kế Báo cáo Thống kê tổng số phong trào thi đua và chọn lưu. Hệ thống cập nhật dữ liệu hợp lệ và hiện thông báo chỉnh sửa thành công</t>
  </si>
  <si>
    <t>Chuyên viên phòng chuyên môn, Lãnh đạo BNĐP có thể Sao chép Báo cáo Thống kê tổng số phong trào thi đua. Hệ thống tạo ra thêm một biểu mẫu giống biểu mẫu ban đầu</t>
  </si>
  <si>
    <t>Chuyên viên phòng chuyên môn, Lãnh đạo BNĐP có thể xóa mẫu Báo cáo Thống kê tổng số phong trào thi đua. Hệ thống xóa báo cáo và trả về thông báo xóa thành công</t>
  </si>
  <si>
    <t>Chuyên viên phòng chuyên môn, Lãnh đạo BNĐP chọn xem thiết kế Báo cáo Thống kê số lượng khen thưởng của tỉnh, thành phố trực thuộc Trung ương/bộ, ngành. Hệ thống hiển thị màn hình xem thiết kế biểu mẫu</t>
  </si>
  <si>
    <t>Chuyên viên phòng chuyên môn, Lãnh đạo BNĐP chỉnh sửa thiết kế Báo cáo Thống kê số lượng khen thưởng của tỉnh, thành phố trực thuộc Trung ương/bộ, ngành và chọn lưu. Hệ thống cập nhật dữ liệu hợp lệ và hiện thông báo chỉnh sửa thành công</t>
  </si>
  <si>
    <t>Chuyên viên phòng chuyên môn, Lãnh đạo BNĐP có thể Sao chép Báo cáo Thống kê số lượng khen thưởng của tỉnh, thành phố trực thuộc Trung ương/bộ, ngành. Hệ thống tạo ra thêm một biểu mẫu giống biểu mẫu ban đầu</t>
  </si>
  <si>
    <t>Chuyên viên phòng chuyên môn, Lãnh đạo BNĐP có thể xóa mẫu Báo cáo Thống kê số lượng khen thưởng của tỉnh, thành phố trực thuộc Trung ương/bộ, ngành. Hệ thống xóa báo cáo và trả về thông báo xóa thành công</t>
  </si>
  <si>
    <t>Chuyên viên phòng chuyên môn, Lãnh đạo BNĐP chọn xem thiết kế Báo cáo Thống kê số lượng công chức làm công tác thi đua, khen thưởng toàn quốc. Hệ thống hiển thị màn hình xem thiết kế biểu mẫu</t>
  </si>
  <si>
    <t>Chuyên viên phòng chuyên môn, Lãnh đạo BNĐP chỉnh sửa thiết kế Báo cáo Thống kê số lượng công chức làm công tác thi đua, khen thưởng toàn quốc và chọn lưu. Hệ thống cập nhật dữ liệu hợp lệ và hiện thông báo chỉnh sửa thành công</t>
  </si>
  <si>
    <t>Chuyên viên phòng chuyên môn, Lãnh đạo BNĐP có thể Sao chép Báo cáo Thống kê số lượng công chức làm công tác thi đua, khen thưởng toàn quốc. Hệ thống tạo ra thêm một biểu mẫu giống biểu mẫu ban đầu</t>
  </si>
  <si>
    <t>Chuyên viên phòng chuyên môn, Lãnh đạo BNĐP có thể xóa mẫu Báo cáo Thống kê số lượng công chức làm công tác thi đua, khen thưởng toàn quốc. Hệ thống xóa báo cáo và trả về thông báo xóa thành công</t>
  </si>
  <si>
    <t>Chuyên viên phòng chuyên môn, Lãnh đạo BNĐP chọn xem thiết kế Báo cáo Thống kê Số phong trào thi đua. Hệ thống hiển thị màn hình xem thiết kế biểu mẫu</t>
  </si>
  <si>
    <t>Chuyên viên phòng chuyên môn, Lãnh đạo BNĐP chỉnh sửa thiết kế Báo cáo Thống kê Số phong trào thi đua và chọn lưu. Hệ thống cập nhật dữ liệu hợp lệ và hiện thông báo chỉnh sửa thành công</t>
  </si>
  <si>
    <t>Chuyên viên phòng chuyên môn, Lãnh đạo BNĐP có thể Sao chép Báo cáo Thống kê Số phong trào thi đua. Hệ thống tạo ra thêm một biểu mẫu giống biểu mẫu ban đầu</t>
  </si>
  <si>
    <t>Chuyên viên phòng chuyên môn, Lãnh đạo BNĐP có thể xóa mẫu Báo cáo Thống kê Số phong trào thi đua. Hệ thống xóa báo cáo và trả về thông báo xóa thành công</t>
  </si>
  <si>
    <t>Chuyên viên phòng chuyên môn, Lãnh đạo BNĐP chọn xem thiết kế Báo cáo Số lượng khen thưởng cấp nhà nước. Hệ thống hiển thị màn hình xem thiết kế biểu mẫu</t>
  </si>
  <si>
    <t>Chuyên viên phòng chuyên môn, Lãnh đạo BNĐP chỉnh sửa thiết kế Báo cáo Số lượng khen thưởng cấp nhà nước và chọn lưu. Hệ thống cập nhật dữ liệu hợp lệ và hiện thông báo chỉnh sửa thành công</t>
  </si>
  <si>
    <t>Chuyên viên phòng chuyên môn, Lãnh đạo BNĐP có thể Sao chép Báo cáo Số lượng khen thưởng cấp nhà nước. Hệ thống tạo ra thêm một biểu mẫu giống biểu mẫu ban đầu</t>
  </si>
  <si>
    <t>Chuyên viên phòng chuyên môn, Lãnh đạo BNĐP có thể xóa mẫu Báo cáo Số lượng khen thưởng cấp nhà nước. Hệ thống xóa báo cáo và trả về thông báo xóa thành công</t>
  </si>
  <si>
    <t>Chuyên viên phòng chuyên môn, Lãnh đạo BNĐP chọn xem thiết kế Báo cáo Số lượng công chức làm công tác thi đua khen thưởng. Hệ thống hiển thị màn hình xem thiết kế biểu mẫu</t>
  </si>
  <si>
    <t>Chuyên viên phòng chuyên môn, Lãnh đạo BNĐP chỉnh sửa thiết kế Báo cáo Số lượng công chức làm công tác thi đua khen thưởng và chọn lưu. Hệ thống cập nhật dữ liệu hợp lệ và hiện thông báo chỉnh sửa thành công</t>
  </si>
  <si>
    <t>Chuyên viên phòng chuyên môn, Lãnh đạo BNĐP có thể Sao chép Báo cáo Số lượng công chức làm công tác thi đua khen thưởng. Hệ thống tạo ra thêm một biểu mẫu giống biểu mẫu ban đầu</t>
  </si>
  <si>
    <t>Chuyên viên phòng chuyên môn, Lãnh đạo BNĐP có thể xóa mẫu Báo cáo Số lượng công chức làm công tác thi đua khen thưởng. Hệ thống xóa báo cáo và trả về thông báo xóa thành công</t>
  </si>
  <si>
    <t>Chuyên viên phòng chuyên môn, Lãnh đạo BNĐP chọn xem thiết kế Thống kê tình trạng xử lý hồ sơ theo cán bộ xử lý. Hệ thống hiển thị màn hình xem thiết kế biểu mẫu</t>
  </si>
  <si>
    <t>Chuyên viên phòng chuyên môn, Lãnh đạo BNĐP chỉnh sửa thiết kế Thống kê tình trạng xử lý hồ sơ theo cán bộ xử lý và chọn lưu. Hệ thống cập nhật dữ liệu hợp lệ và hiện thông báo chỉnh sửa thành công</t>
  </si>
  <si>
    <t>Chuyên viên phòng chuyên môn, Lãnh đạo BNĐP có thể Sao chép Thống kê tình trạng xử lý hồ sơ theo cán bộ xử lý. Hệ thống tạo ra thêm một biểu mẫu giống biểu mẫu ban đầu</t>
  </si>
  <si>
    <t>Chuyên viên phòng chuyên môn, Lãnh đạo BNĐP có thể xóa mẫu Thống kê tình trạng xử lý hồ sơ theo cán bộ xử lý. Hệ thống xóa báo cáo và trả về thông báo xóa thành công</t>
  </si>
  <si>
    <t>Chuyên viên phòng chuyên môn, Lãnh đạo BNĐP chọn xem thiết kế Báo cáo thống kê Thủ tục Phong tặng danh hiệu Chiến sĩ thi đua toàn quốc. Hệ thống hiển thị màn hình xem thiết kế biểu mẫu</t>
  </si>
  <si>
    <t>Chuyên viên phòng chuyên môn, Lãnh đạo BNĐP chỉnh sửa thiết kế Báo cáo thống kê Thủ tục Phong tặng danh hiệu Chiến sĩ thi đua toàn quốc và chọn lưu. Hệ thống cập nhật dữ liệu hợp lệ và hiện thông báo chỉnh sửa thành công</t>
  </si>
  <si>
    <t>Chuyên viên phòng chuyên môn, Lãnh đạo BNĐP có thể Sao chép Báo cáo thống kê Thủ tục Phong tặng danh hiệu Chiến sĩ thi đua toàn quốc. Hệ thống tạo ra thêm một biểu mẫu giống biểu mẫu ban đầu</t>
  </si>
  <si>
    <t>Chuyên viên phòng chuyên môn, Lãnh đạo BNĐP có thể xóa mẫu Báo cáo thống kê Thủ tục Phong tặng danh hiệu Chiến sĩ thi đua toàn quốc. Hệ thống xóa báo cáo và trả về thông báo xóa thành công</t>
  </si>
  <si>
    <t>Chuyên viên phòng chuyên môn, Lãnh đạo BNĐP chọn xem thiết kế Báo cáo thống kê Thủ tục tặng thưởng Bằng khen của Thủ tướng Chính phủ cho tập thể, cá nhân theo công trạng và thành tích đạt được. Hệ thống hiển thị màn hình xem thiết kế biểu mẫu</t>
  </si>
  <si>
    <t>Chuyên viên phòng chuyên môn, Lãnh đạo BNĐP chỉnh sửa thiết kế Báo cáo thống kê Thủ tục tặng thưởng Bằng khen của Thủ tướng Chính phủ cho tập thể, cá nhân theo công trạng và thành tích đạt được và chọn lưu. Hệ thống cập nhật dữ liệu hợp lệ và hiện thông báo chỉnh sửa thành công</t>
  </si>
  <si>
    <t>Chuyên viên phòng chuyên môn, Lãnh đạo BNĐP có thể Sao chép Báo cáo thống kê Thủ tục tặng thưởng Bằng khen của Thủ tướng Chính phủ cho tập thể, cá nhân theo công trạng và thành tích đạt được. Hệ thống tạo ra thêm một biểu mẫu giống biểu mẫu ban đầu</t>
  </si>
  <si>
    <t>Chuyên viên phòng chuyên môn, Lãnh đạo BNĐP có thể xóa mẫu Báo cáo thống kê Thủ tục tặng thưởng Bằng khen của Thủ tướng Chính phủ cho tập thể, cá nhân theo công trạng và thành tích đạt được. Hệ thống xóa báo cáo và trả về thông báo xóa thành công</t>
  </si>
  <si>
    <t>Chuyên viên phòng chuyên môn, Lãnh đạo BNĐP chọn xem thiết kế Báo cáo thống kê Thủ tục tặng Cờ thi đua của Chính phủ theo công trạng và thành tích đạt được. Hệ thống hiển thị màn hình xem thiết kế biểu mẫu</t>
  </si>
  <si>
    <t>Chuyên viên phòng chuyên môn, Lãnh đạo BNĐP chỉnh sửa thiết kế Báo cáo thống kê Thủ tục tặng Cờ thi đua của Chính phủ theo công trạng và thành tích đạt được và chọn lưu. Hệ thống cập nhật dữ liệu hợp lệ và hiện thông báo chỉnh sửa thành công</t>
  </si>
  <si>
    <t>Chuyên viên phòng chuyên môn, Lãnh đạo BNĐP có thể Sao chép Báo cáo thống kê Thủ tục tặng Cờ thi đua của Chính phủ theo công trạng và thành tích đạt được. Hệ thống tạo ra thêm một biểu mẫu giống biểu mẫu ban đầu</t>
  </si>
  <si>
    <t>Chuyên viên phòng chuyên môn, Lãnh đạo BNĐP có thể xóa mẫu Báo cáo thống kê Thủ tục tặng Cờ thi đua của Chính phủ theo công trạng và thành tích đạt được. Hệ thống xóa báo cáo và trả về thông báo xóa thành công</t>
  </si>
  <si>
    <t>Chuyên viên phòng chuyên môn, Lãnh đạo BNĐP chọn xem thiết kế Báo cáo thống kê Thủ tục khen thưởng Huân chương Đại đoàn kết dân tộc. Hệ thống hiển thị màn hình xem thiết kế biểu mẫu</t>
  </si>
  <si>
    <t>Chuyên viên phòng chuyên môn, Lãnh đạo BNĐP chỉnh sửa thiết kế Báo cáo thống kê Thủ tục khen thưởng Huân chương Đại đoàn kết dân tộc và chọn lưu. Hệ thống cập nhật dữ liệu hợp lệ và hiện thông báo chỉnh sửa thành công</t>
  </si>
  <si>
    <t>Chuyên viên phòng chuyên môn, Lãnh đạo BNĐP có thể Sao chép Báo cáo thống kê Thủ tục khen thưởng Huân chương Đại đoàn kết dân tộc. Hệ thống tạo ra thêm một biểu mẫu giống biểu mẫu ban đầu</t>
  </si>
  <si>
    <t>Chuyên viên phòng chuyên môn, Lãnh đạo BNĐP có thể xóa mẫu Báo cáo thống kê Thủ tục khen thưởng Huân chương Đại đoàn kết dân tộc. Hệ thống xóa báo cáo và trả về thông báo xóa thành công</t>
  </si>
  <si>
    <t>Chuyên viên phòng chuyên môn, Lãnh đạo BNĐP chọn xem thiết kế Báo cáo thống kê Thủ tục khen thưởng Huân chương Chiến công cho tập thể, cá nhân có thành tích thực hiện nhiệm vụ chính trị. Hệ thống hiển thị màn hình xem thiết kế biểu mẫu</t>
  </si>
  <si>
    <t>Chuyên viên phòng chuyên môn, Lãnh đạo BNĐP chỉnh sửa thiết kế Báo cáo thống kê Thủ tục khen thưởng Huân chương Chiến công cho tập thể, cá nhân có thành tích thực hiện nhiệm vụ chính trị và chọn lưu. Hệ thống cập nhật dữ liệu hợp lệ và hiện thông báo chỉnh sửa thành công</t>
  </si>
  <si>
    <t>Chuyên viên phòng chuyên môn, Lãnh đạo BNĐP có thể Sao chép Báo cáo thống kê Thủ tục khen thưởng Huân chương Chiến công cho tập thể, cá nhân có thành tích thực hiện nhiệm vụ chính trị. Hệ thống tạo ra thêm một biểu mẫu giống biểu mẫu ban đầu</t>
  </si>
  <si>
    <t>Chuyên viên phòng chuyên môn, Lãnh đạo BNĐP có thể xóa mẫu Báo cáo thống kê Thủ tục khen thưởng Huân chương Chiến công cho tập thể, cá nhân có thành tích thực hiện nhiệm vụ chính trị. Hệ thống xóa báo cáo và trả về thông báo xóa thành công</t>
  </si>
  <si>
    <t>Chuyên viên phòng chuyên môn, Lãnh đạo BNĐP chọn xem thiết kế Báo cáo thống kê Thủ tục Khen thưởng Huy chương Hữu Nghị cho cá nhân người nước ngoài. Hệ thống hiển thị màn hình xem thiết kế biểu mẫu</t>
  </si>
  <si>
    <t>Chuyên viên phòng chuyên môn, Lãnh đạo BNĐP chỉnh sửa thiết kế Báo cáo thống kê Thủ tục Khen thưởng Huy chương Hữu Nghị cho cá nhân người nước ngoài và chọn lưu. Hệ thống cập nhật dữ liệu hợp lệ và hiện thông báo chỉnh sửa thành công</t>
  </si>
  <si>
    <t>Chuyên viên phòng chuyên môn, Lãnh đạo BNĐP có thể Sao chép Báo cáo thống kê Thủ tục Khen thưởng Huy chương Hữu Nghị cho cá nhân người nước ngoài. Hệ thống tạo ra thêm một biểu mẫu giống biểu mẫu ban đầu</t>
  </si>
  <si>
    <t>Chuyên viên phòng chuyên môn, Lãnh đạo BNĐP có thể xóa mẫu Báo cáo thống kê Thủ tục Khen thưởng Huy chương Hữu Nghị cho cá nhân người nước ngoài. Hệ thống xóa báo cáo và trả về thông báo xóa thành công</t>
  </si>
  <si>
    <t>Chuyên viên phòng chuyên môn, Lãnh đạo BNĐP chọn xem thiết kế Báo cáo thống kê Thủ tục Tặng thưởng Huy chương Quân kỳ quyết thắng, Huy chương Vì an ninh Tổ quốc, Huy chương Chiến sĩ vẻ vang. Hệ thống hiển thị màn hình xem thiết kế biểu mẫu</t>
  </si>
  <si>
    <t>Chuyên viên phòng chuyên môn, Lãnh đạo BNĐP chỉnh sửa thiết kế Báo cáo thống kê Thủ tục Tặng thưởng Huy chương Quân kỳ quyết thắng, Huy chương Vì an ninh Tổ quốc, Huy chương Chiến sĩ vẻ vang và chọn lưu. Hệ thống cập nhật dữ liệu hợp lệ và hiện thông báo chỉnh sửa thành công</t>
  </si>
  <si>
    <t>Chuyên viên phòng chuyên môn, Lãnh đạo BNĐP có thể Sao chép Báo cáo thống kê Thủ tục Tặng thưởng Huy chương Quân kỳ quyết thắng, Huy chương Vì an ninh Tổ quốc, Huy chương Chiến sĩ vẻ vang. Hệ thống tạo ra thêm một biểu mẫu giống biểu mẫu ban đầu</t>
  </si>
  <si>
    <t>Chuyên viên phòng chuyên môn, Lãnh đạo BNĐP có thể xóa mẫu Báo cáo thống kê Thủ tục Tặng thưởng Huy chương Quân kỳ quyết thắng, Huy chương Vì an ninh Tổ quốc, Huy chương Chiến sĩ vẻ vang. Hệ thống xóa báo cáo và trả về thông báo xóa thành công</t>
  </si>
  <si>
    <t>Chuyên viên phòng chuyên môn, Lãnh đạo BNĐP chọn xem thiết kế Báo cáo thống kê Thủ tục tặng thưởng Huân chương Bảo vệ Tổ quốc. Hệ thống hiển thị màn hình xem thiết kế biểu mẫu</t>
  </si>
  <si>
    <t>Chuyên viên phòng chuyên môn, Lãnh đạo BNĐP chỉnh sửa thiết kế Báo cáo thống kê Thủ tục tặng thưởng Huân chương Bảo vệ Tổ quốc và chọn lưu. Hệ thống cập nhật dữ liệu hợp lệ và hiện thông báo chỉnh sửa thành công</t>
  </si>
  <si>
    <t>Chuyên viên phòng chuyên môn, Lãnh đạo BNĐP có thể Sao chép Báo cáo thống kê Thủ tục tặng thưởng Huân chương Bảo vệ Tổ quốc. Hệ thống tạo ra thêm một biểu mẫu giống biểu mẫu ban đầu</t>
  </si>
  <si>
    <t>Chuyên viên phòng chuyên môn, Lãnh đạo BNĐP có thể xóa mẫu Báo cáo thống kê Thủ tục tặng thưởng Huân chương Bảo vệ Tổ quốc. Hệ thống xóa báo cáo và trả về thông báo xóa thành công</t>
  </si>
  <si>
    <t>Chuyên viên phòng chuyên môn, Lãnh đạo BNĐP chọn xem thiết kế Báo cáo thống kê Thủ tục tặng thưởng Huân chương Dũng cảm. Hệ thống hiển thị màn hình xem thiết kế biểu mẫu</t>
  </si>
  <si>
    <t>Chuyên viên phòng chuyên môn, Lãnh đạo BNĐP chỉnh sửa thiết kế Báo cáo thống kê Thủ tục tặng thưởng Huân chương Dũng cảm và chọn lưu. Hệ thống cập nhật dữ liệu hợp lệ và hiện thông báo chỉnh sửa thành công</t>
  </si>
  <si>
    <t>Chuyên viên phòng chuyên môn, Lãnh đạo BNĐP có thể Sao chép Báo cáo thống kê Thủ tục tặng thưởng Huân chương Dũng cảm. Hệ thống tạo ra thêm một biểu mẫu giống biểu mẫu ban đầu</t>
  </si>
  <si>
    <t>Chuyên viên phòng chuyên môn, Lãnh đạo BNĐP có thể xóa mẫu Báo cáo thống kê Thủ tục tặng thưởng Huân chương Dũng cảm. Hệ thống xóa báo cáo và trả về thông báo xóa thành công</t>
  </si>
  <si>
    <t>Chuyên viên phòng chuyên môn, Lãnh đạo BNĐP chọn xem thiết kế Báo cáo thống kê Thủ tục tặng thưởng Huân chương Quân công. Hệ thống hiển thị màn hình xem thiết kế biểu mẫu</t>
  </si>
  <si>
    <t>Chuyên viên phòng chuyên môn, Lãnh đạo BNĐP chỉnh sửa thiết kế Báo cáo thống kê Thủ tục tặng thưởng Huân chương Quân công và chọn lưu. Hệ thống cập nhật dữ liệu hợp lệ và hiện thông báo chỉnh sửa thành công</t>
  </si>
  <si>
    <t>Chuyên viên phòng chuyên môn, Lãnh đạo BNĐP có thể Sao chép Báo cáo thống kê Thủ tục tặng thưởng Huân chương Quân công. Hệ thống tạo ra thêm một biểu mẫu giống biểu mẫu ban đầu</t>
  </si>
  <si>
    <t>Chuyên viên phòng chuyên môn, Lãnh đạo BNĐP có thể xóa mẫu Báo cáo thống kê Thủ tục tặng thưởng Huân chương Quân công. Hệ thống xóa báo cáo và trả về thông báo xóa thành công</t>
  </si>
  <si>
    <t>Chuyên viên phòng chuyên môn, Lãnh đạo BNĐP chọn xem thiết kế Báo cáo thống kê Thủ tục tặng thưởng Bằng khen của Thủ tướng Chính phủ cho tập thể, cá nhân người nước ngoài. Hệ thống hiển thị màn hình xem thiết kế biểu mẫu</t>
  </si>
  <si>
    <t>Chuyên viên phòng chuyên môn, Lãnh đạo BNĐP chỉnh sửa thiết kế Báo cáo thống kê Thủ tục tặng thưởng Bằng khen của Thủ tướng Chính phủ cho tập thể, cá nhân người nước ngoài và chọn lưu. Hệ thống cập nhật dữ liệu hợp lệ và hiện thông báo chỉnh sửa thành công</t>
  </si>
  <si>
    <t>Chuyên viên phòng chuyên môn, Lãnh đạo BNĐP có thể Sao chép Báo cáo thống kê Thủ tục tặng thưởng Bằng khen của Thủ tướng Chính phủ cho tập thể, cá nhân người nước ngoài. Hệ thống tạo ra thêm một biểu mẫu giống biểu mẫu ban đầu</t>
  </si>
  <si>
    <t>Chuyên viên phòng chuyên môn, Lãnh đạo BNĐP có thể xóa mẫu Báo cáo thống kê Thủ tục tặng thưởng Bằng khen của Thủ tướng Chính phủ cho tập thể, cá nhân người nước ngoài. Hệ thống xóa báo cáo và trả về thông báo xóa thành công</t>
  </si>
  <si>
    <t>Chuyên viên phòng chuyên môn, Lãnh đạo BNĐP chọn xem thiết kế Báo cáo thống kê Thủ tục tặng thưởng Bằng khen của Thủ tướng Chính phủ cho gia đình. Hệ thống hiển thị màn hình xem thiết kế biểu mẫu</t>
  </si>
  <si>
    <t>Chuyên viên phòng chuyên môn, Lãnh đạo BNĐP chỉnh sửa thiết kế Báo cáo thống kê Thủ tục tặng thưởng Bằng khen của Thủ tướng Chính phủ cho gia đình và chọn lưu. Hệ thống cập nhật dữ liệu hợp lệ và hiện thông báo chỉnh sửa thành công</t>
  </si>
  <si>
    <t>Chuyên viên phòng chuyên môn, Lãnh đạo BNĐP có thể Sao chép Báo cáo thống kê Thủ tục tặng thưởng Bằng khen của Thủ tướng Chính phủ cho gia đình. Hệ thống tạo ra thêm một biểu mẫu giống biểu mẫu ban đầu</t>
  </si>
  <si>
    <t>Chuyên viên phòng chuyên môn, Lãnh đạo BNĐP có thể xóa mẫu Báo cáo thống kê Thủ tục tặng thưởng Bằng khen của Thủ tướng Chính phủ cho gia đình. Hệ thống xóa báo cáo và trả về thông báo xóa thành công</t>
  </si>
  <si>
    <t>Chuyên viên phòng chuyên môn, Lãnh đạo BNĐP chọn xem thiết kế Báo cáo thống kê Thủ tục Khen thưởng Huân chương Hữu Nghị cho tập thể, cá nhân người nước ngoài. Hệ thống hiển thị màn hình xem thiết kế biểu mẫu</t>
  </si>
  <si>
    <t>Chuyên viên phòng chuyên môn, Lãnh đạo BNĐP chỉnh sửa thiết kế Báo cáo thống kê Thủ tục Khen thưởng Huân chương Hữu Nghị cho tập thể, cá nhân người nước ngoài và chọn lưu. Hệ thống cập nhật dữ liệu hợp lệ và hiện thông báo chỉnh sửa thành công</t>
  </si>
  <si>
    <t>Chuyên viên phòng chuyên môn, Lãnh đạo BNĐP có thể Sao chép Báo cáo thống kê Thủ tục Khen thưởng Huân chương Hữu Nghị cho tập thể, cá nhân người nước ngoài. Hệ thống tạo ra thêm một biểu mẫu giống biểu mẫu ban đầu</t>
  </si>
  <si>
    <t>Chuyên viên phòng chuyên môn, Lãnh đạo BNĐP có thể xóa mẫu Báo cáo thống kê Thủ tục Khen thưởng Huân chương Hữu Nghị cho tập thể, cá nhân người nước ngoài. Hệ thống xóa báo cáo và trả về thông báo xóa thành công</t>
  </si>
  <si>
    <t>Chuyên viên phòng chuyên môn, Lãnh đạo BNĐP chọn xem thiết kế Báo cáo thống kê Thủ tục Khen thưởng Huân chương lao động cho tập thể, cá nhân người nước ngoài, người Việt Nam ở nước ngoài. Hệ thống hiển thị màn hình xem thiết kế biểu mẫu</t>
  </si>
  <si>
    <t>Chuyên viên phòng chuyên môn, Lãnh đạo BNĐP chỉnh sửa thiết kế Báo cáo thống kê Thủ tục Khen thưởng Huân chương lao động cho tập thể, cá nhân người nước ngoài, người Việt Nam ở nước ngoài và chọn lưu. Hệ thống cập nhật dữ liệu hợp lệ và hiện thông báo chỉnh sửa thành công</t>
  </si>
  <si>
    <t>Chuyên viên phòng chuyên môn, Lãnh đạo BNĐP có thể Sao chép Báo cáo thống kê Thủ tục Khen thưởng Huân chương lao động cho tập thể, cá nhân người nước ngoài, người Việt Nam ở nước ngoài. Hệ thống tạo ra thêm một biểu mẫu giống biểu mẫu ban đầu</t>
  </si>
  <si>
    <t>Chuyên viên phòng chuyên môn, Lãnh đạo BNĐP có thể xóa mẫu Báo cáo thống kê Thủ tục Khen thưởng Huân chương lao động cho tập thể, cá nhân người nước ngoài, người Việt Nam ở nước ngoài. Hệ thống xóa báo cáo và trả về thông báo xóa thành công</t>
  </si>
  <si>
    <t>Chuyên viên phòng chuyên môn, Lãnh đạo BNĐP chọn xem thiết kế Báo cáo thống kê Thủ tục Khen thưởng Huân chương Lao động cho cá nhân có quá trình cống hiến. Hệ thống hiển thị màn hình xem thiết kế biểu mẫu</t>
  </si>
  <si>
    <t>Chuyên viên phòng chuyên môn, Lãnh đạo BNĐP chỉnh sửa thiết kế Báo cáo thống kê Thủ tục Khen thưởng Huân chương Lao động cho cá nhân có quá trình cống hiến và chọn lưu. Hệ thống cập nhật dữ liệu hợp lệ và hiện thông báo chỉnh sửa thành công</t>
  </si>
  <si>
    <t>Chuyên viên phòng chuyên môn, Lãnh đạo BNĐP có thể Sao chép Báo cáo thống kê Thủ tục Khen thưởng Huân chương Lao động cho cá nhân có quá trình cống hiến. Hệ thống tạo ra thêm một biểu mẫu giống biểu mẫu ban đầu</t>
  </si>
  <si>
    <t>Chuyên viên phòng chuyên môn, Lãnh đạo BNĐP có thể xóa mẫu Báo cáo thống kê Thủ tục Khen thưởng Huân chương Lao động cho cá nhân có quá trình cống hiến. Hệ thống xóa báo cáo và trả về thông báo xóa thành công</t>
  </si>
  <si>
    <t>Chuyên viên phòng chuyên môn, Lãnh đạo BNĐP chọn xem thiết kế Báo cáo thống kê Thủ tục phong tặng Tỉnh anh hùng, Thành phố anh hùng. Hệ thống hiển thị màn hình xem thiết kế biểu mẫu</t>
  </si>
  <si>
    <t>Chuyên viên phòng chuyên môn, Lãnh đạo BNĐP chỉnh sửa thiết kế Báo cáo thống kê Thủ tục phong tặng Tỉnh anh hùng, Thành phố anh hùng và chọn lưu. Hệ thống cập nhật dữ liệu hợp lệ và hiện thông báo chỉnh sửa thành công</t>
  </si>
  <si>
    <t>Chuyên viên phòng chuyên môn, Lãnh đạo BNĐP có thể Sao chép Báo cáo thống kê Thủ tục phong tặng Tỉnh anh hùng, Thành phố anh hùng. Hệ thống tạo ra thêm một biểu mẫu giống biểu mẫu ban đầu</t>
  </si>
  <si>
    <t>Chuyên viên phòng chuyên môn, Lãnh đạo BNĐP có thể xóa mẫu Báo cáo thống kê Thủ tục phong tặng Tỉnh anh hùng, Thành phố anh hùng. Hệ thống xóa báo cáo và trả về thông báo xóa thành công</t>
  </si>
  <si>
    <t>Chuyên viên phòng chuyên môn, Lãnh đạo BNĐP chọn xem thiết kế Báo cáo thống kê Thủ tục Khen thưởng Huân chương Độc lập cho cá nhân có quá trình cống hiến. Hệ thống hiển thị màn hình xem thiết kế biểu mẫu</t>
  </si>
  <si>
    <t>Chuyên viên phòng chuyên môn, Lãnh đạo BNĐP chỉnh sửa thiết kế Báo cáo thống kê Thủ tục Khen thưởng Huân chương Độc lập cho cá nhân có quá trình cống hiến và chọn lưu. Hệ thống cập nhật dữ liệu hợp lệ và hiện thông báo chỉnh sửa thành công</t>
  </si>
  <si>
    <t>Chuyên viên phòng chuyên môn, Lãnh đạo BNĐP có thể Sao chép Báo cáo thống kê Thủ tục Khen thưởng Huân chương Độc lập cho cá nhân có quá trình cống hiến. Hệ thống tạo ra thêm một biểu mẫu giống biểu mẫu ban đầu</t>
  </si>
  <si>
    <t>Chuyên viên phòng chuyên môn, Lãnh đạo BNĐP có thể xóa mẫu Báo cáo thống kê Thủ tục Khen thưởng Huân chương Độc lập cho cá nhân có quá trình cống hiến. Hệ thống xóa báo cáo và trả về thông báo xóa thành công</t>
  </si>
  <si>
    <t>Chuyên viên phòng chuyên môn, Lãnh đạo BNĐP chọn xem thiết kế Báo cáo thống kê Thủ tục tặng thưởng Cờ thi đua của Chính phủ về thành tích thi đua theo đợt hoặc chuyên đề. Hệ thống hiển thị màn hình xem thiết kế biểu mẫu</t>
  </si>
  <si>
    <t>Chuyên viên phòng chuyên môn, Lãnh đạo BNĐP chỉnh sửa thiết kế Báo cáo thống kê Thủ tục tặng thưởng Cờ thi đua của Chính phủ về thành tích thi đua theo đợt hoặc chuyên đề và chọn lưu. Hệ thống cập nhật dữ liệu hợp lệ và hiện thông báo chỉnh sửa thành công</t>
  </si>
  <si>
    <t>Chuyên viên phòng chuyên môn, Lãnh đạo BNĐP có thể Sao chép Báo cáo thống kê Thủ tục tặng thưởng Cờ thi đua của Chính phủ về thành tích thi đua theo đợt hoặc chuyên đề. Hệ thống tạo ra thêm một biểu mẫu giống biểu mẫu ban đầu</t>
  </si>
  <si>
    <t>Chuyên viên phòng chuyên môn, Lãnh đạo BNĐP có thể xóa mẫu Báo cáo thống kê Thủ tục tặng thưởng Cờ thi đua của Chính phủ về thành tích thi đua theo đợt hoặc chuyên đề. Hệ thống xóa báo cáo và trả về thông báo xóa thành công</t>
  </si>
  <si>
    <t>Chuyên viên phòng chuyên môn, Lãnh đạo BNĐP chọn xem thiết kế Báo cáo thống kê Thủ tục Khen thưởng Huân chương Hồ Chí Minh cho cá nhân có quá trình cống hiến. Hệ thống hiển thị màn hình xem thiết kế biểu mẫu</t>
  </si>
  <si>
    <t>Chuyên viên phòng chuyên môn, Lãnh đạo BNĐP chỉnh sửa thiết kế Báo cáo thống kê Thủ tục Khen thưởng Huân chương Hồ Chí Minh cho cá nhân có quá trình cống hiến và chọn lưu. Hệ thống cập nhật dữ liệu hợp lệ và hiện thông báo chỉnh sửa thành công</t>
  </si>
  <si>
    <t>Chuyên viên phòng chuyên môn, Lãnh đạo BNĐP có thể Sao chép Báo cáo thống kê Thủ tục Khen thưởng Huân chương Hồ Chí Minh cho cá nhân có quá trình cống hiến. Hệ thống tạo ra thêm một biểu mẫu giống biểu mẫu ban đầu</t>
  </si>
  <si>
    <t>Chuyên viên phòng chuyên môn, Lãnh đạo BNĐP có thể xóa mẫu Báo cáo thống kê Thủ tục Khen thưởng Huân chương Hồ Chí Minh cho cá nhân có quá trình cống hiến. Hệ thống xóa báo cáo và trả về thông báo xóa thành công</t>
  </si>
  <si>
    <t>Chuyên viên phòng chuyên môn, Lãnh đạo BNĐP chọn xem thiết kế Báo cáo thống kê Thủ tục Khen thưởng Huân chương Sao vàng cho cá nhân có quá trình cống hiến. Hệ thống hiển thị màn hình xem thiết kế biểu mẫu</t>
  </si>
  <si>
    <t>Chuyên viên phòng chuyên môn, Lãnh đạo BNĐP chỉnh sửa thiết kế Báo cáo thống kê Thủ tục Khen thưởng Huân chương Sao vàng cho cá nhân có quá trình cống hiến và chọn lưu. Hệ thống cập nhật dữ liệu hợp lệ và hiện thông báo chỉnh sửa thành công</t>
  </si>
  <si>
    <t>Chuyên viên phòng chuyên môn, Lãnh đạo BNĐP có thể Sao chép Báo cáo thống kê Thủ tục Khen thưởng Huân chương Sao vàng cho cá nhân có quá trình cống hiến. Hệ thống tạo ra thêm một biểu mẫu giống biểu mẫu ban đầu</t>
  </si>
  <si>
    <t>Chuyên viên phòng chuyên môn, Lãnh đạo BNĐP có thể xóa mẫu Báo cáo thống kê Thủ tục Khen thưởng Huân chương Sao vàng cho cá nhân có quá trình cống hiến. Hệ thống xóa báo cáo và trả về thông báo xóa thành công</t>
  </si>
  <si>
    <t>Chuyên viên phòng chuyên môn, Lãnh đạo BNĐP chọn xem thiết kế Báo cáo thống kê Thủ tục Khen thưởng Huân chương Chiến công cho tập thể, cá nhân có thành tích thi đua theo đợt hoặc chuyên đề. Hệ thống hiển thị màn hình xem thiết kế biểu mẫu</t>
  </si>
  <si>
    <t>Chuyên viên phòng chuyên môn, Lãnh đạo BNĐP chỉnh sửa thiết kế Báo cáo thống kê Thủ tục Khen thưởng Huân chương Chiến công cho tập thể, cá nhân có thành tích thi đua theo đợt hoặc chuyên đề và chọn lưu. Hệ thống cập nhật dữ liệu hợp lệ và hiện thông báo chỉnh sửa thành công</t>
  </si>
  <si>
    <t>Chuyên viên phòng chuyên môn, Lãnh đạo BNĐP có thể Sao chép Báo cáo thống kê Thủ tục Khen thưởng Huân chương Chiến công cho tập thể, cá nhân có thành tích thi đua theo đợt hoặc chuyên đề. Hệ thống tạo ra thêm một biểu mẫu giống biểu mẫu ban đầu</t>
  </si>
  <si>
    <t>Chuyên viên phòng chuyên môn, Lãnh đạo BNĐP có thể xóa mẫu Báo cáo thống kê Thủ tục Khen thưởng Huân chương Chiến công cho tập thể, cá nhân có thành tích thi đua theo đợt hoặc chuyên đề. Hệ thống xóa báo cáo và trả về thông báo xóa thành công</t>
  </si>
  <si>
    <t>Chuyên viên phòng chuyên môn, Lãnh đạo BNĐP chọn xem thiết kế Báo cáo thống kê Thủ tục tặng thưởng Bằng khen của Thủ tướng Chính phủ về thành tích thi đua theo đợt hoặc chuyên đề. Hệ thống hiển thị màn hình xem thiết kế biểu mẫu</t>
  </si>
  <si>
    <t>Chuyên viên phòng chuyên môn, Lãnh đạo BNĐP chỉnh sửa thiết kế Báo cáo thống kê Thủ tục tặng thưởng Bằng khen của Thủ tướng Chính phủ về thành tích thi đua theo đợt hoặc chuyên đề và chọn lưu. Hệ thống cập nhật dữ liệu hợp lệ và hiện thông báo chỉnh sửa thành công</t>
  </si>
  <si>
    <t>Chuyên viên phòng chuyên môn, Lãnh đạo BNĐP có thể Sao chép Báo cáo thống kê Thủ tục tặng thưởng Bằng khen của Thủ tướng Chính phủ về thành tích thi đua theo đợt hoặc chuyên đề. Hệ thống tạo ra thêm một biểu mẫu giống biểu mẫu ban đầu</t>
  </si>
  <si>
    <t>Chuyên viên phòng chuyên môn, Lãnh đạo BNĐP có thể xóa mẫu Báo cáo thống kê Thủ tục tặng thưởng Bằng khen của Thủ tướng Chính phủ về thành tích thi đua theo đợt hoặc chuyên đề. Hệ thống xóa báo cáo và trả về thông báo xóa thành công</t>
  </si>
  <si>
    <t>Chuyên viên phòng chuyên môn, Lãnh đạo BNĐP chọn xem thiết kế Báo cáo thống kê Thủ tục khen thưởng Huân chương Lao động cho tập thể, cá nhân về phong trào thi đua theo đợt hoặc chuyên đề. Hệ thống hiển thị màn hình xem thiết kế biểu mẫu</t>
  </si>
  <si>
    <t>Chuyên viên phòng chuyên môn, Lãnh đạo BNĐP chỉnh sửa thiết kế Báo cáo thống kê Thủ tục khen thưởng Huân chương Lao động cho tập thể, cá nhân về phong trào thi đua theo đợt hoặc chuyên đề và chọn lưu. Hệ thống cập nhật dữ liệu hợp lệ và hiện thông báo chỉnh sửa thành công</t>
  </si>
  <si>
    <t>Chuyên viên phòng chuyên môn, Lãnh đạo BNĐP có thể Sao chép Báo cáo thống kê Thủ tục khen thưởng Huân chương Lao động cho tập thể, cá nhân về phong trào thi đua theo đợt hoặc chuyên đề. Hệ thống tạo ra thêm một biểu mẫu giống biểu mẫu ban đầu</t>
  </si>
  <si>
    <t>Chuyên viên phòng chuyên môn, Lãnh đạo BNĐP có thể xóa mẫu Báo cáo thống kê Thủ tục khen thưởng Huân chương Lao động cho tập thể, cá nhân về phong trào thi đua theo đợt hoặc chuyên đề. Hệ thống xóa báo cáo và trả về thông báo xóa thành công</t>
  </si>
  <si>
    <t>Chuyên viên phòng chuyên môn, Lãnh đạo BNĐP chọn xem thiết kế Báo cáo thống kê Thủ tục Tặng thưởng Bằng khen của Thủ tướng Chính phủ về thành tích đột xuất. Hệ thống hiển thị màn hình xem thiết kế biểu mẫu</t>
  </si>
  <si>
    <t>Chuyên viên phòng chuyên môn, Lãnh đạo BNĐP chỉnh sửa thiết kế Báo cáo thống kê Thủ tục Tặng thưởng Bằng khen của Thủ tướng Chính phủ về thành tích đột xuất và chọn lưu. Hệ thống cập nhật dữ liệu hợp lệ và hiện thông báo chỉnh sửa thành công</t>
  </si>
  <si>
    <t>Chuyên viên phòng chuyên môn, Lãnh đạo BNĐP có thể Sao chép Báo cáo thống kê Thủ tục Tặng thưởng Bằng khen của Thủ tướng Chính phủ về thành tích đột xuất. Hệ thống tạo ra thêm một biểu mẫu giống biểu mẫu ban đầu</t>
  </si>
  <si>
    <t>Chuyên viên phòng chuyên môn, Lãnh đạo BNĐP có thể xóa mẫu Báo cáo thống kê Thủ tục Tặng thưởng Bằng khen của Thủ tướng Chính phủ về thành tích đột xuất. Hệ thống xóa báo cáo và trả về thông báo xóa thành công</t>
  </si>
  <si>
    <t>Chuyên viên phòng chuyên môn, Lãnh đạo BNĐP chọn xem thiết kế Báo cáo thống kê Thủ tục khen thưởng Huân chương Chiến công cho tập thể, cá nhân về thành tích đột xuất. Hệ thống hiển thị màn hình xem thiết kế biểu mẫu</t>
  </si>
  <si>
    <t>Chuyên viên phòng chuyên môn, Lãnh đạo BNĐP chỉnh sửa thiết kế Báo cáo thống kê Thủ tục khen thưởng Huân chương Chiến công cho tập thể, cá nhân về thành tích đột xuất và chọn lưu. Hệ thống cập nhật dữ liệu hợp lệ và hiện thông báo chỉnh sửa thành công</t>
  </si>
  <si>
    <t>Chuyên viên phòng chuyên môn, Lãnh đạo BNĐP có thể Sao chép Báo cáo thống kê Thủ tục khen thưởng Huân chương Chiến công cho tập thể, cá nhân về thành tích đột xuất. Hệ thống tạo ra thêm một biểu mẫu giống biểu mẫu ban đầu</t>
  </si>
  <si>
    <t>Chuyên viên phòng chuyên môn, Lãnh đạo BNĐP có thể xóa mẫu Báo cáo thống kê Thủ tục khen thưởng Huân chương Chiến công cho tập thể, cá nhân về thành tích đột xuất. Hệ thống xóa báo cáo và trả về thông báo xóa thành công</t>
  </si>
  <si>
    <t>Chuyên viên phòng chuyên môn, Lãnh đạo BNĐP chọn xem thiết kế Báo cáo thống kê Thủ tục khen thưởng Huân chương lao động cho tập thể, cá nhân về thành tích đột xuất. Hệ thống hiển thị màn hình xem thiết kế biểu mẫu</t>
  </si>
  <si>
    <t>Chuyên viên phòng chuyên môn, Lãnh đạo BNĐP chỉnh sửa thiết kế Báo cáo thống kê Thủ tục khen thưởng Huân chương lao động cho tập thể, cá nhân về thành tích đột xuất và chọn lưu. Hệ thống cập nhật dữ liệu hợp lệ và hiện thông báo chỉnh sửa thành công</t>
  </si>
  <si>
    <t>Chuyên viên phòng chuyên môn, Lãnh đạo BNĐP có thể Sao chép Báo cáo thống kê Thủ tục khen thưởng Huân chương lao động cho tập thể, cá nhân về thành tích đột xuất. Hệ thống tạo ra thêm một biểu mẫu giống biểu mẫu ban đầu</t>
  </si>
  <si>
    <t>Chuyên viên phòng chuyên môn, Lãnh đạo BNĐP có thể xóa mẫu Báo cáo thống kê Thủ tục khen thưởng Huân chương lao động cho tập thể, cá nhân về thành tích đột xuất. Hệ thống xóa báo cáo và trả về thông báo xóa thành công</t>
  </si>
  <si>
    <t>Chuyên viên phòng chuyên môn, Lãnh đạo BNĐP chọn xem thiết kế Báo cáo thống kê Thủ tục phong tặng, truy tặng Danh hiệu Anh hùng lực lượng vũ trang nhân dân. Hệ thống hiển thị màn hình xem thiết kế biểu mẫu</t>
  </si>
  <si>
    <t>Chuyên viên phòng chuyên môn, Lãnh đạo BNĐP chỉnh sửa thiết kế Báo cáo thống kê Thủ tục phong tặng, truy tặng Danh hiệu Anh hùng lực lượng vũ trang nhân dân và chọn lưu. Hệ thống cập nhật dữ liệu hợp lệ và hiện thông báo chỉnh sửa thành công</t>
  </si>
  <si>
    <t>Chuyên viên phòng chuyên môn, Lãnh đạo BNĐP có thể Sao chép Báo cáo thống kê Thủ tục phong tặng, truy tặng Danh hiệu Anh hùng lực lượng vũ trang nhân dân. Hệ thống tạo ra thêm một biểu mẫu giống biểu mẫu ban đầu</t>
  </si>
  <si>
    <t>Chuyên viên phòng chuyên môn, Lãnh đạo BNĐP có thể xóa mẫu Báo cáo thống kê Thủ tục phong tặng, truy tặng Danh hiệu Anh hùng lực lượng vũ trang nhân dân. Hệ thống xóa báo cáo và trả về thông báo xóa thành công</t>
  </si>
  <si>
    <t>Chuyên viên phòng chuyên môn, Lãnh đạo BNĐP chọn xem thiết kế Báo cáo thống kê Thủ tục phong tặng danh hiệu Anh hùng lao động. Hệ thống hiển thị màn hình xem thiết kế biểu mẫu</t>
  </si>
  <si>
    <t>Chuyên viên phòng chuyên môn, Lãnh đạo BNĐP chỉnh sửa thiết kế Báo cáo thống kê Thủ tục phong tặng danh hiệu Anh hùng lao động và chọn lưu. Hệ thống cập nhật dữ liệu hợp lệ và hiện thông báo chỉnh sửa thành công</t>
  </si>
  <si>
    <t>Chuyên viên phòng chuyên môn, Lãnh đạo BNĐP có thể Sao chép Báo cáo thống kê Thủ tục phong tặng danh hiệu Anh hùng lao động. Hệ thống tạo ra thêm một biểu mẫu giống biểu mẫu ban đầu</t>
  </si>
  <si>
    <t>Chuyên viên phòng chuyên môn, Lãnh đạo BNĐP có thể xóa mẫu Báo cáo thống kê Thủ tục phong tặng danh hiệu Anh hùng lao động. Hệ thống xóa báo cáo và trả về thông báo xóa thành công</t>
  </si>
  <si>
    <t>Chuyên viên phòng chuyên môn, Lãnh đạo BNĐP chọn xem thiết kế Báo cáo thống kê Thủ tục khen thưởng Huân chương Lao động cho tập thể, cá nhân theo công trạng và thành tích đạt được. Hệ thống hiển thị màn hình xem thiết kế biểu mẫu</t>
  </si>
  <si>
    <t>Chuyên viên phòng chuyên môn, Lãnh đạo BNĐP chỉnh sửa thiết kế Báo cáo thống kê Thủ tục khen thưởng Huân chương Lao động cho tập thể, cá nhân theo công trạng và thành tích đạt được và chọn lưu. Hệ thống cập nhật dữ liệu hợp lệ và hiện thông báo chỉnh sửa thành công</t>
  </si>
  <si>
    <t>Chuyên viên phòng chuyên môn, Lãnh đạo BNĐP có thể Sao chép Báo cáo thống kê Thủ tục khen thưởng Huân chương Lao động cho tập thể, cá nhân theo công trạng và thành tích đạt được. Hệ thống tạo ra thêm một biểu mẫu giống biểu mẫu ban đầu</t>
  </si>
  <si>
    <t>Chuyên viên phòng chuyên môn, Lãnh đạo BNĐP có thể xóa mẫu Báo cáo thống kê Thủ tục khen thưởng Huân chương Lao động cho tập thể, cá nhân theo công trạng và thành tích đạt được. Hệ thống xóa báo cáo và trả về thông báo xóa thành công</t>
  </si>
  <si>
    <t>Chuyên viên phòng chuyên môn, Lãnh đạo BNĐP chọn xem thiết kế Báo cáo thống kê Thủ tục khen thưởng Huân chương Độc lập cho tập thể, cá nhân theo công trạng và thành tích đạt được. Hệ thống hiển thị màn hình xem thiết kế biểu mẫu</t>
  </si>
  <si>
    <t>Chuyên viên phòng chuyên môn, Lãnh đạo BNĐP chỉnh sửa thiết kế Báo cáo thống kê Thủ tục khen thưởng Huân chương Độc lập cho tập thể, cá nhân theo công trạng và thành tích đạt được và chọn lưu. Hệ thống cập nhật dữ liệu hợp lệ và hiện thông báo chỉnh sửa thành công</t>
  </si>
  <si>
    <t>Chuyên viên phòng chuyên môn, Lãnh đạo BNĐP có thể Sao chép Báo cáo thống kê Thủ tục khen thưởng Huân chương Độc lập cho tập thể, cá nhân theo công trạng và thành tích đạt được. Hệ thống tạo ra thêm một biểu mẫu giống biểu mẫu ban đầu</t>
  </si>
  <si>
    <t>Chuyên viên phòng chuyên môn, Lãnh đạo BNĐP có thể xóa mẫu Báo cáo thống kê Thủ tục khen thưởng Huân chương Độc lập cho tập thể, cá nhân theo công trạng và thành tích đạt được. Hệ thống xóa báo cáo và trả về thông báo xóa thành công</t>
  </si>
  <si>
    <t>Chuyên viên phòng chuyên môn, Lãnh đạo BNĐP chọn xem thiết kế Báo cáo thống kê Thủ tục khen thưởng Huân chương Hồ Chí Minh cho tập thể, cá nhân về thành tích thực hiện nhiệm vụ chính trị. Hệ thống hiển thị màn hình xem thiết kế biểu mẫu</t>
  </si>
  <si>
    <t>Chuyên viên phòng chuyên môn, Lãnh đạo BNĐP chỉnh sửa thiết kế Báo cáo thống kê Thủ tục khen thưởng Huân chương Hồ Chí Minh cho tập thể, cá nhân về thành tích thực hiện nhiệm vụ chính trị và chọn lưu. Hệ thống cập nhật dữ liệu hợp lệ và hiện thông báo chỉnh sửa thành công</t>
  </si>
  <si>
    <t>Chuyên viên phòng chuyên môn, Lãnh đạo BNĐP có thể Sao chép Báo cáo thống kê Thủ tục khen thưởng Huân chương Hồ Chí Minh cho tập thể, cá nhân về thành tích thực hiện nhiệm vụ chính trị. Hệ thống tạo ra thêm một biểu mẫu giống biểu mẫu ban đầu</t>
  </si>
  <si>
    <t>Chuyên viên phòng chuyên môn, Lãnh đạo BNĐP có thể xóa mẫu Báo cáo thống kê Thủ tục khen thưởng Huân chương Hồ Chí Minh cho tập thể, cá nhân về thành tích thực hiện nhiệm vụ chính trị. Hệ thống xóa báo cáo và trả về thông báo xóa thành công</t>
  </si>
  <si>
    <t>Chuyên viên phòng chuyên môn, Lãnh đạo BNĐP chọn xem thiết kế Báo cáo thống kê Thủ tục khen thưởng Huân chương Sao vàng cho tập thể, cá nhân về thành tích thực hiện nhiệm vụ chính trị. Hệ thống hiển thị màn hình xem thiết kế biểu mẫu</t>
  </si>
  <si>
    <t>Chuyên viên phòng chuyên môn, Lãnh đạo BNĐP chỉnh sửa thiết kế Báo cáo thống kê Thủ tục khen thưởng Huân chương Sao vàng cho tập thể, cá nhân về thành tích thực hiện nhiệm vụ chính trị và chọn lưu. Hệ thống cập nhật dữ liệu hợp lệ và hiện thông báo chỉnh sửa thành công</t>
  </si>
  <si>
    <t>Chuyên viên phòng chuyên môn, Lãnh đạo BNĐP có thể Sao chép Báo cáo thống kê Thủ tục khen thưởng Huân chương Sao vàng cho tập thể, cá nhân về thành tích thực hiện nhiệm vụ chính trị. Hệ thống tạo ra thêm một biểu mẫu giống biểu mẫu ban đầu</t>
  </si>
  <si>
    <t>Chuyên viên phòng chuyên môn, Lãnh đạo BNĐP có thể xóa mẫu Báo cáo thống kê Thủ tục khen thưởng Huân chương Sao vàng cho tập thể, cá nhân về thành tích thực hiện nhiệm vụ chính trị. Hệ thống xóa báo cáo và trả về thông báo xóa thành công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</si>
  <si>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Phong tặng danh hiệu Chiến sĩ thi đua toàn quốc</t>
  </si>
  <si>
    <t>Chuyên viên phòng chuyên môn, Lãnh đạo BNĐP chọn nút Tải dưới dạng ảnh, hệ thống xuất ra file ảnh của báo cáo và trả về cho Chuyên viên phòng chuyên môn, Lãnh đạo BNĐP cho Biểu đồ báo cáo Thủ tục tặng thưởng Bằng khen của Thủ tướng Chính phủ cho tập thể, cá nhân theo công trạng và thành tích đạt được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</si>
  <si>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Bằng khen của Thủ tướng Chính phủ cho tập thể, cá nhân theo công trạng và thành tích đạt được</t>
  </si>
  <si>
    <t>Chuyên viên phòng chuyên môn, Lãnh đạo BNĐP chọn nút Tải dưới dạng ảnh, hệ thống xuất ra file ảnh của báo cáo và trả về cho Chuyên viên phòng chuyên môn, Lãnh đạo BNĐP cho Biểu đồ báo cáo Thủ tục tặng Cờ thi đua của Chính phủ theo công trạng và thành tích đạt được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</si>
  <si>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Cờ thi đua của Chính phủ theo công trạng và thành tích đạt được</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</si>
  <si>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Đại đoàn kết dân tộc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</si>
  <si>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Đại đoàn kết dân tộc</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</si>
  <si>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Chiến công cho tập thể, cá nhân có thành tích thực hiện nhiệm vụ chính trị</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</si>
  <si>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Chiến công cho tập thể, cá nhân có thành tích thực hiện nhiệm vụ chính trị</t>
  </si>
  <si>
    <t>Chuyên viên phòng chuyên môn, Lãnh đạo BNĐP chọn nút Tải dưới dạng ảnh, hệ thống xuất ra file ảnh của báo cáo và trả về cho Chuyên viên phòng chuyên môn, Lãnh đạo BNĐP cho Biểu đồ báo cáo Thủ tục Khen thưởng Huy chương Hữu Nghị cho cá nhân người nước ngoài</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</si>
  <si>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Huy chương Hữu Nghị cho cá nhân người nước ngoài</t>
  </si>
  <si>
    <t>Chuyên viên phòng chuyên môn, Lãnh đạo BNĐP chọn nút Tải dưới dạng ảnh, hệ thống xuất ra file ảnh của báo cáo và trả về cho Chuyên viên phòng chuyên môn, Lãnh đạo BNĐP cho Biểu đồ báo cáo Thủ tục Tặng thưởng Huy chương Quân kỳ quyết thắng, Huy chương Vì an ninh Tổ quốc, Huy chương Chiến sĩ vẻ vang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</si>
  <si>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Huy chương Quân kỳ quyết thắng, Huy chương Vì an ninh Tổ quốc, Huy chương Chiến sĩ vẻ vang</t>
  </si>
  <si>
    <t>Chuyên viên phòng chuyên môn, Lãnh đạo BNĐP chọn nút Tải dưới dạng ảnh, hệ thống xuất ra file ảnh của báo cáo và trả về cho Chuyên viên phòng chuyên môn, Lãnh đạo BNĐP cho Biểu đồ báo cáo Thủ tục tặng thưởng Huân chương Bảo vệ Tổ quốc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</si>
  <si>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Huân chương Bảo vệ Tổ quốc</t>
  </si>
  <si>
    <t>Chuyên viên phòng chuyên môn, Lãnh đạo BNĐP chọn nút Tải dưới dạng ảnh, hệ thống xuất ra file ảnh của báo cáo và trả về cho Chuyên viên phòng chuyên môn, Lãnh đạo BNĐP cho Biểu đồ báo cáo Thủ tục tặng thưởng Huân chương Dũng cảm</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</si>
  <si>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Huân chương Dũng cảm</t>
  </si>
  <si>
    <t>Chuyên viên phòng chuyên môn, Lãnh đạo BNĐP chọn nút Tải dưới dạng ảnh, hệ thống xuất ra file ảnh của báo cáo và trả về cho Chuyên viên phòng chuyên môn, Lãnh đạo BNĐP cho Biểu đồ báo cáo Thủ tục tặng thưởng Huân chương Quân công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</si>
  <si>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Huân chương Quân công</t>
  </si>
  <si>
    <t>Chuyên viên phòng chuyên môn, Lãnh đạo BNĐP chọn nút Tải dưới dạng ảnh, hệ thống xuất ra file ảnh của báo cáo và trả về cho Chuyên viên phòng chuyên môn, Lãnh đạo BNĐP cho Biểu đồ báo cáo Thủ tục tặng thưởng Bằng khen của Thủ tướng Chính phủ cho tập thể, cá nhân người nước ngoài</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</si>
  <si>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Bằng khen của Thủ tướng Chính phủ cho tập thể, cá nhân người nước ngoài</t>
  </si>
  <si>
    <t>Chuyên viên phòng chuyên môn, Lãnh đạo BNĐP chọn nút Tải dưới dạng ảnh, hệ thống xuất ra file ảnh của báo cáo và trả về cho Chuyên viên phòng chuyên môn, Lãnh đạo BNĐP cho Biểu đồ báo cáo Thủ tục tặng thưởng Bằng khen của Thủ tướng Chính phủ cho gia đình</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</si>
  <si>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Bằng khen của Thủ tướng Chính phủ cho gia đình</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</si>
  <si>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Hữu Nghị cho tập thể, cá nhân người nước ngoài</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</si>
  <si>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Hữu Nghị cho tập thể, cá nhân người nước ngoài</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</si>
  <si>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lao động cho tập thể, cá nhân người nước ngoài, người Việt Nam ở nước ngoài</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</si>
  <si>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lao động cho tập thể, cá nhân người nước ngoài, người Việt Nam ở nước ngoài</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</si>
  <si>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Lao động cho cá nhân có quá trình cống hiến</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</si>
  <si>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Lao động cho cá nhân có quá trình cống hiến</t>
  </si>
  <si>
    <t>Chuyên viên phòng chuyên môn, Lãnh đạo BNĐP chọn nút Tải dưới dạng ảnh, hệ thống xuất ra file ảnh của báo cáo và trả về cho Chuyên viên phòng chuyên môn, Lãnh đạo BNĐP cho Biểu đồ báo cáo Thủ tục phong tặng Tỉnh anh hùng, Thành phố anh hùng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</si>
  <si>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phong tặng Tỉnh anh hùng, Thành phố anh hùng</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</si>
  <si>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Độc lập cho cá nhân có quá trình cống hiến</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</si>
  <si>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Độc lập cho cá nhân có quá trình cống hiến</t>
  </si>
  <si>
    <t>Chuyên viên phòng chuyên môn, Lãnh đạo BNĐP chọn nút Tải dưới dạng ảnh, hệ thống xuất ra file ảnh của báo cáo và trả về cho Chuyên viên phòng chuyên môn, Lãnh đạo BNĐP cho Biểu đồ báo cáo Thủ tục tặng thưởng Cờ thi đua của Chính phủ về thành tích thi đua theo đợt hoặc chuyên đề</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</si>
  <si>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Cờ thi đua của Chính phủ về thành tích thi đua theo đợt hoặc chuyên đề</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</si>
  <si>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Hồ Chí Minh cho cá nhân có quá trình cống hiến</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</si>
  <si>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Hồ Chí Minh cho cá nhân có quá trình cống hiến</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</si>
  <si>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Sao vàng cho cá nhân có quá trình cống hiến</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</si>
  <si>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Sao vàng cho cá nhân có quá trình cống hiến</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</si>
  <si>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Chiến công cho tập thể, cá nhân có thành tích thi đua theo đợt hoặc chuyên đề</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</si>
  <si>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Chiến công cho tập thể, cá nhân có thành tích thi đua theo đợt hoặc chuyên đề</t>
  </si>
  <si>
    <t>Chuyên viên phòng chuyên môn, Lãnh đạo BNĐP chọn nút Tải dưới dạng ảnh, hệ thống xuất ra file ảnh của báo cáo và trả về cho Chuyên viên phòng chuyên môn, Lãnh đạo BNĐP cho Biểu đồ báo cáo Thủ tục tặng thưởng Bằng khen của Thủ tướng Chính phủ về thành tích thi đua theo đợt hoặc chuyên đề</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</si>
  <si>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Bằng khen của Thủ tướng Chính phủ về thành tích thi đua theo đợt hoặc chuyên đề</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</si>
  <si>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Lao động cho tập thể, cá nhân về phong trào thi đua theo đợt hoặc chuyên đề</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</si>
  <si>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Lao động cho tập thể, cá nhân về phong trào thi đua theo đợt hoặc chuyên đề</t>
  </si>
  <si>
    <t>Chuyên viên phòng chuyên môn, Lãnh đạo BNĐP chọn nút Tải dưới dạng ảnh, hệ thống xuất ra file ảnh của báo cáo và trả về cho Chuyên viên phòng chuyên môn, Lãnh đạo BNĐP cho Biểu đồ báo cáo Thủ tục Tặng thưởng Bằng khen của Thủ tướng Chính phủ về thành tích đột xuất</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</si>
  <si>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Tặng thưởng Bằng khen của Thủ tướng Chính phủ về thành tích đột xuất</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</si>
  <si>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Chiến công cho tập thể, cá nhân về thành tích đột xuất</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</si>
  <si>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Chiến công cho tập thể, cá nhân về thành tích đột xuất</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</si>
  <si>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lao động cho tập thể, cá nhân về thành tích đột xuất</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</si>
  <si>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lao động cho tập thể, cá nhân về thành tích đột xuất</t>
  </si>
  <si>
    <t>Chuyên viên phòng chuyên môn, Lãnh đạo BNĐP chọn nút Tải dưới dạng ảnh, hệ thống xuất ra file ảnh của báo cáo và trả về cho Chuyên viên phòng chuyên môn, Lãnh đạo BNĐP cho Biểu đồ báo cáo Thủ tục phong tặng, truy tặng Danh hiệu Anh hùng lực lượng vũ trang nhân dân</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</si>
  <si>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phong tặng, truy tặng Danh hiệu Anh hùng lực lượng vũ trang nhân dân</t>
  </si>
  <si>
    <t>Chuyên viên phòng chuyên môn, Lãnh đạo BNĐP chọn nút Tải dưới dạng ảnh, hệ thống xuất ra file ảnh của báo cáo và trả về cho Chuyên viên phòng chuyên môn, Lãnh đạo BNĐP cho Biểu đồ báo cáo Thủ tục phong tặng danh hiệu Anh hùng lao động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</si>
  <si>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phong tặng danh hiệu Anh hùng lao động</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</si>
  <si>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Lao động cho tập thể, cá nhân theo công trạng và thành tích đạt được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</si>
  <si>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Lao động cho tập thể, cá nhân theo công trạng và thành tích đạt được</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</si>
  <si>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Độc lập cho tập thể, cá nhân theo công trạng và thành tích đạt được</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</si>
  <si>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Độc lập cho tập thể, cá nhân theo công trạng và thành tích đạt được</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</si>
  <si>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Hồ Chí Minh cho tập thể, cá nhân về thành tích thực hiện nhiệm vụ chính trị</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</si>
  <si>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Hồ Chí Minh cho tập thể, cá nhân về thành tích thực hiện nhiệm vụ chính trị</t>
  </si>
  <si>
    <t>Chuyên viên phòng chuyên môn, Lãnh đạo BNĐP chọn nút Tải dưới dạng ảnh, hệ thống xuất ra file ảnh của báo cáo và trả về cho Chuyên viên phòng chuyên môn, Lãnh đạo BNĐP cho Biểu đồ báo cáo Thủ tục khen thưởng Huân chương Sao vàng cho tập thể, cá nhân về thành tích thực hiện nhiệm vụ chính trị</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</si>
  <si>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Thủ tục khen thưởng Huân chương Sao vàng cho tập thể, cá nhân về thành tích thực hiện nhiệm vụ chính trị</t>
  </si>
  <si>
    <t>Xử lý tờ trình với vai trò của Văn thư</t>
  </si>
  <si>
    <t>Lãnh đạo BNĐP thực hiện trả tờ trình. Hệ thống mở cửa sổ yêu cầu xác nhận và nhập lý do trả lại.</t>
  </si>
  <si>
    <t>Kết nối, chia sẻ dữ liệu với các hệ thống thông tin khác</t>
  </si>
  <si>
    <t>Chia sẻ dữ liệu đến Phần mềm quản lý và khai thác kết quả khen thưởng cấp nhà nước</t>
  </si>
  <si>
    <t xml:space="preserve">Phần mềm quản lý và khai thác kết quả khen thưởng cấp nhà nước trả lại trạng thái xử lý cho CSDL về Thi đua Khen thưởng. CSDL về Thi đua Khen thưởng tiếp nhận và cập nhật trạng thái </t>
  </si>
  <si>
    <t>Một số chức năng ATTT theo QĐ 742/QĐ-BTTTT ngày 22/4/2022</t>
  </si>
  <si>
    <t>Xác thực và kiểm soát truy cập</t>
  </si>
  <si>
    <t>Quản trị hệ thống cấp cao thực hiện reset mật khẩu cho người dùng. Hệ thống thực hiện reset mật khẩu người dùng về chuỗi ký tự random.</t>
  </si>
  <si>
    <t>Thiết lập chính sách mật khẩu người sử dụng</t>
  </si>
  <si>
    <t>Quản trị hệ thống cấp cao chọn chức năng Thiết lập chính sách mật khẩu người sử dụng. Hệ thống hiển thị màn hình chức năng Thiết lập chính sách mật khẩu người sử dụng.</t>
  </si>
  <si>
    <t>Quản trị hệ thống cấp cao thực hiện thiết lập chính sách yêu cầu đặt mật khẩu mới khi đăng nhập lần đầu sử dụng mật khẩu mặc định. Hệ thống thực hiện lưu thông tin thiết lập chính sách mật khẩu và thông báo cho người dùng</t>
  </si>
  <si>
    <t>Quản trị hệ thống cấp cao thực hiện thiết lập quy tắc đặt mật khẩu về số ký tự, loại ký tự. Hệ thống thực hiện lưu thông tin thiết lập chính sách mật khẩu và thông báo cho người dùng</t>
  </si>
  <si>
    <t>Quản trị hệ thống cấp cao thực hiện thiết lập thời gian yêu cầu thay đổi mật khẩu. Hệ thống thực hiện lưu thông tin thiết lập chính sách mật khẩu và thông báo cho người dùng</t>
  </si>
  <si>
    <t>Quản trị hệ thống cấp cao thực hiện thiết lập thời gian mật khẩu hợp lệ. Hệ thống thực hiện lưu thông tin thiết lập chính sách mật khẩu và thông báo cho người dùng</t>
  </si>
  <si>
    <t>Quản trị hệ thống cấp cao thực hiện thiết lập chính sách khóa tài khoản và yêu cầu nhập mật khẩu mới khi mật khẩu của tài khoản đó hết hạn thời gian hợp lệ. Hệ thống thực hiện lưu thông tin thiết lập chính sách mật khẩu và thông báo cho người dùng</t>
  </si>
  <si>
    <t>Quản trị hệ thống cấp cao thực hiện thiết lập chính sách mở khóa tài khoản khi thay đổi mật khẩu thành công đối với trường hợp mật khẩu hết hạn thời gian hợp lệ. Hệ thống thực hiện lưu thông tin thiết lập chính sách mật khẩu và thông báo cho người dùng</t>
  </si>
  <si>
    <t>Quản trị hệ thống cấp cao thực hiện thiết lập chính sách về giới hạn số lần đăng nhập sai trong khoảng thời gian nhất định. Hệ thống thực hiện lưu thông tin thiết lập chính sách mật khẩu và thông báo cho người dùng</t>
  </si>
  <si>
    <t>Thiết lập chính sách truy cập hệ thống</t>
  </si>
  <si>
    <t>Quản trị hệ thống cấp cao vào chức năng Thiết lập chính sách truy cập hệ thống. Hệ thống hiển thị màn hình chức năng.</t>
  </si>
  <si>
    <t>Quản trị hệ thống cấp cao thực hiện thiết lập giới hạn thời gian chờ (timeout) để đóng phiên kết nối khi Phần mềm không nhận được yêu cầu từ người dùng. Hệ thống lưu thông tin thiết lập chính sách và thông báo cho người dùng.</t>
  </si>
  <si>
    <t>Quản trị hệ thống cấp cao thực hiện thiết lập chính sách về giới hạn địa chỉ mạng quản trị được phép truy cập, quản trị Phần mềm từ xa. Hệ thống thực hiện lưu thông tin thiết lập chính sách và thông báo cho người dùng.</t>
  </si>
  <si>
    <t>Quản trị hệ thống cấp cao thực hiện Khóa vai trò người dùng. Hệ thống kiểm tra thông tin, nếu hợp lệ thì lưu thông tin vào CSDL, nếu không hợp lệ thì thông báo cho người dùng lỗi cụ thể.</t>
  </si>
  <si>
    <t>Quản trị hệ thống cấp cao thực hiện Mở khóa vai trò. Hệ thống kiểm tra thông tin, nếu hợp lệ thì lưu thông tin vào CSDL, nếu không hợp lệ thì thông báo cho người dùng lỗi cụ thể.</t>
  </si>
  <si>
    <t>Đăng nhập</t>
  </si>
  <si>
    <t>Đăng xuất</t>
  </si>
  <si>
    <t>Nhật ký hệ thống</t>
  </si>
  <si>
    <t>Quản lý lịch sử tác động</t>
  </si>
  <si>
    <t xml:space="preserve">Quản trị hệ thống cấp cao chọn chức năng Quản lý lịch sử tác động. Hệ thống hiển thị màn hình quản lý lịch sử tác động. </t>
  </si>
  <si>
    <t xml:space="preserve">Quản trị hệ thống cấp cao thực hiện tìm kiếm lịch sử tác động theo vai trò người dùng. Hệ thống hiển thị kết quả lịch sử tác động chọn hệ thống theo vai trò người dùng. </t>
  </si>
  <si>
    <t xml:space="preserve">Quản trị hệ thống cấp cao thực hiện tìm kiếm lịch sử tác động theo chức năng. Hệ thống hiển thị kết quả lịch sử tác động chọn hệ thống theo chức năng. </t>
  </si>
  <si>
    <t xml:space="preserve">Quản trị hệ thống cấp cao thực hiện tìm kiếm lịch sử tác động theo đơn vị. Hệ thống hiển thị kết quả lịch sử tác động chọn hệ thống theo đơn vị. </t>
  </si>
  <si>
    <t>Quản trị hệ thống cấp cao chọn lịch sử tác động cần xem chi tiết. Hệ thống hiển thị màn hình xem chi tiết lịch sử tác động</t>
  </si>
  <si>
    <t xml:space="preserve">Quản trị hệ thống cấp cao xuất file danh sách lịch sử tác động theo đơn vị. Hệ thống xuất file lịch sử tác động chọn hệ thống theo đơn vị và cho phép người dùng lưu về máy. </t>
  </si>
  <si>
    <t xml:space="preserve">Quản trị hệ thống cấp cao xuất file danh sách lịch sử tác động theo vai trò người dùng. Hệ thống xuất file lịch sử tác động chọn hệ thống theo vai trò người dùng và cho phép người dùng lưu về máy. </t>
  </si>
  <si>
    <t xml:space="preserve">Quản trị hệ thống cấp cao xuất file danh sách lịch sử tác động theo chức năng. Hệ thống xuất file lịch sử tác động chọn hệ thống theo chức năng và cho phép người dùng lưu về máy. </t>
  </si>
  <si>
    <t>Quản lý lịch sử lỗi phát sinh</t>
  </si>
  <si>
    <t>Quản trị hệ thống cấp cao chọn chức năng Quản lý lịch sử lỗi phát sinh. Hệ thống hiển thị màn hình quản lý lịch sử lỗi phát sinh.</t>
  </si>
  <si>
    <t>Quản trị hệ thống cấp cao thực hiện tìm kiếm lỗi phát sinh. Hệ thống trả về kết quả tìm kiếm theo các tiêu chí người dùng đã chọn.</t>
  </si>
  <si>
    <t>Quản trị hệ thống cấp cao chọn lịch sử lỗi phát sinh cần xem chi tiết. Hệ thống hiển thị màn hình xem chi tiết lịch sử lỗi phát sinh.</t>
  </si>
  <si>
    <t xml:space="preserve">Quản trị hệ thống cấp cao xuất file danh sách lịch sử lỗi phát sinh. Hệ thống xuất file lịch sử lỗi phát sinh và cho phép người dùng lưu về máy. </t>
  </si>
  <si>
    <t>Quản lý chính sách lưu trữ nhật ký tác động hệ thống</t>
  </si>
  <si>
    <t xml:space="preserve">Quản trị hệ thống cấp cao chọn Quản lý chính sách lưu trữ nhật ký tác động hệ thống. Hệ thống hiển thị màn hình Quản lý chính sách lưu trữ nhật ký tác động hệ thống. </t>
  </si>
  <si>
    <t>Quản trị hệ thống cấp cao thực hiện tìm kiếm chính sách. Hệ thống trả về kết quả tìm kiếm theo các tiêu chí người dùng đã chọn.</t>
  </si>
  <si>
    <t>Quản trị hệ thống cấp cao thực hiện thêm mới chính sách lưu trữ nhật ký tác động hệ thống. Hệ thống kiểm tra thông tin, nếu hợp lệ thì lưu vào CSDL, nếu không hợp lệ thì thông báo lỗi cho người dùng.</t>
  </si>
  <si>
    <t>Quản trị hệ thống cấp cao thực hiện chỉnh sửa chính sách lưu trữ nhật ký tác động hệ thống. Hệ thống kiểm tra thông tin, nếu hợp lệ thì lưu vào CSDL, nếu không hợp lệ thì thông báo lỗi cho người dùng.</t>
  </si>
  <si>
    <t>Quản trị hệ thống cấp cao thực hiện xoá chính sách lưu trữ nhật ký tác động hệ thống. Hệ thống kiểm tra thông tin, nếu hợp lệ thì lưu vào CSDL, nếu không hợp lệ thì thông báo lỗi cho người dùng.</t>
  </si>
  <si>
    <t>Quản trị hệ thống cấp cao chọn chính sách cần khóa và nhấn Khóa chính sách. Hệ thống thực hiện khóa chính sách đã chọn.</t>
  </si>
  <si>
    <t>Quản trị hệ thống cấp cao chọn chính sách cần mở khóa và nhấn Mở khóa chính sách. Hệ thống thực hiện mở khóa chính sách đã chọn.</t>
  </si>
  <si>
    <t>Gửi thông tin log tác động/log lỗi phát sinh sang hệ thống lưu log tập trung (API)</t>
  </si>
  <si>
    <t>Thiết lập chính sách sao lưu dự phòng</t>
  </si>
  <si>
    <t>Quản trị hệ thống cấp cao chọn chức năng Thiết lập chính sách sao lưu dự phòng. Hệ thống mở màn hình chức năng.</t>
  </si>
  <si>
    <t>Quản trị hệ thống cấp cao thực hiện thiết lập chính sách về sao lưu dự phòng cơ sở dữ liệu và cấu hình hệ thống. Hệ thống kiểm tra thông tin, nếu hợp lệ thì lưu vào CSDL, nếu không hợp lệ thì thông báo cho người dùng.</t>
  </si>
  <si>
    <t>Điện tử hóa kết quả khen thưởng</t>
  </si>
  <si>
    <t>Nền tảng tích hợp, trao đổi, chia sẻ dữ liệu (LGSP)</t>
  </si>
  <si>
    <t>Quản lý thông tin chung tại hệ thống CSDL về thi đua- khen thưởng</t>
  </si>
  <si>
    <t>Quản lý tờ trình đã chuyển cho cơ quan thuộc bộ</t>
  </si>
  <si>
    <t>Quản lý dữ liệu chức năng theo phân cấp thẩm quyền đơn vị</t>
  </si>
  <si>
    <t>Quản lý phong trào thi đua</t>
  </si>
  <si>
    <t>Lãnh đạo BNĐP, Lãnh đạo Văn phòng BNĐP</t>
  </si>
  <si>
    <t>Lãnh đạo BNĐP, Lãnh đạo Văn phòng BNĐP, Chuyên viên phòng chuyên môn</t>
  </si>
  <si>
    <t>Quản lý đăng ký tham gia phong trào thi đua</t>
  </si>
  <si>
    <t xml:space="preserve">Quản lý chỉ tiêu phong trào thi đua tại cơ quan, đơn vị </t>
  </si>
  <si>
    <t>Quản lý theo dõi phong trào thi đua</t>
  </si>
  <si>
    <t>Tạo tờ trình phong trào thi đua - vai trò đơn vị trình hồ sơ</t>
  </si>
  <si>
    <t>Quản lý danh sách cá nhân, tập thể, hộ gia đình tham gia phong trào thi đua - vai trò đơn vị trình hồ sơ</t>
  </si>
  <si>
    <t>Lập tờ trình hủy hồ sơ đề xuất phong trào thi đua - vai trò đơn vị trình hồ sơ</t>
  </si>
  <si>
    <t>Báo cáo Số lượng tổ chức làm công tác thi đua, khen thưởng của bộ, ban, ngành, đoàn thể trung ương, tỉnh, thành phố trực thuộc trung ƣơng</t>
  </si>
  <si>
    <t>Chuyên viên phòng chuyên môn, Lãnh đạo BNĐP chọn xem thiết kế Báo cáo thống kê Số lượng tổ chức làm công tác thi đua, khen thưởng của bộ, ban, ngành, đoàn thể trung ương, tỉnh, thành phố trực thuộc trung ương. Hệ thống hiển thị màn hình xem thiết kế biểu mẫu</t>
  </si>
  <si>
    <t>Chuyên viên phòng chuyên môn, Lãnh đạo BNĐP chỉnh sửa thiết kế Báo cáo thống kê Số lượng tổ chức làm công tác thi đua, khen thưởng của bộ, ban, ngành, đoàn thể trung ương, tỉnh, thành phố trực thuộc trung ương và chọn lưu. Hệ thống cập nhật dữ liệu hợp lệ và hiện thông báo chỉnh sửa thành công</t>
  </si>
  <si>
    <t>Chuyên viên phòng chuyên môn, Lãnh đạo BNĐP có thể Sao chép Báo cáo thống kê Số lượng tổ chức làm công tác thi đua, khen thưởng của bộ, ban, ngành, đoàn thể trung ương, tỉnh, thành phố trực thuộc trung ương. Hệ thống tạo ra thêm một biểu mẫu giống biểu mẫu ban đầu</t>
  </si>
  <si>
    <t>Chuyên viên phòng chuyên môn, Lãnh đạo BNĐP có thể xóa mẫu Báo cáo thống kê Số lượng tổ chức làm công tác thi đua, khen thưởng của bộ, ban, ngành, đoàn thể trung ương, tỉnh, thành phố trực thuộc trung ương. Hệ thống xóa báo cáo và trả về thông báo xóa thành công</t>
  </si>
  <si>
    <t>Quản lý quy trình kiểm soát thông tin dạng văn bản</t>
  </si>
  <si>
    <t>Quản lý quy trình quản lý rủi ro</t>
  </si>
  <si>
    <t>Quản lý quy trình Tiếp nhận và giải quyết đơn thư</t>
  </si>
  <si>
    <t>Quản lý quy trình Tiếp công dân</t>
  </si>
  <si>
    <t>Quản lý quy trình văn bản đến</t>
  </si>
  <si>
    <t>Quản lý quy trình văn bản đi</t>
  </si>
  <si>
    <t>Quản lý quy trình khai thác tài liệu lưu trữ</t>
  </si>
  <si>
    <t>Quản lý quy trình cấp đổi, cấp lại hiện vật khen thưởng cấp nhà nước</t>
  </si>
  <si>
    <t>Báo cáo thống kê số lượng khen thưởng cấp bộ, ban, ngành đoàn thể trung ương và tỉnh, thành phố trực thuộc trung ương</t>
  </si>
  <si>
    <t>Chuyên viên phòng chuyên môn, Lãnh đạo BNĐP chọn xem thiết kế Báo cáo Số lượng khen thưởng cấp bộ, ban, ngành đoàn thể trung ương và tỉnh, thành phố trực thuộc trung ương. Hệ thống hiển thị màn hình xem thiết kế biểu mẫu</t>
  </si>
  <si>
    <t>Chuyên viên phòng chuyên môn, Lãnh đạo BNĐP chỉnh sửa thiết kế Báo cáo Số lượng khen thưởng cấpbộ, ban, ngành đoàn thể trung ương và tỉnh, thành phố trực thuộc trung ương và chọn lưu. Hệ thống cập nhật dữ liệu hợp lệ và hiện thông báo chỉnh sửa thành công</t>
  </si>
  <si>
    <t>Chuyên viên phòng chuyên môn, Lãnh đạo BNĐP có thể xóa mẫu Báo cáo Số lượng khen thưởng cấp bộ, ban, ngành đoàn thể trung ương và tỉnh, thành phố trực thuộc trung ương. Hệ thống xóa báo cáo và trả về thông báo xóa thành công</t>
  </si>
  <si>
    <t>Báo cáo thống kê số lượng tổ chức làm công tác thi đua, khen thưởng của bộ, ban, ngành, đoàn thể trung ương, tỉnh, thành phố trực thuộc trung ương</t>
  </si>
  <si>
    <t>Chuyên viên phòng chuyên môn, Lãnh đạo BNĐP chỉnh sửa thiết kế Báo cáo số lượng tổ chức làm công tác thi đua, khen thưởng của bộ, ban, ngành, đoàn thể trung ương, tỉnh, thành phố trực thuộc trung ương và chọn lưu. Hệ thống cập nhật dữ liệu hợp lệ và hiện thông báo chỉnh sửa thành công</t>
  </si>
  <si>
    <t>Chuyên viên phòng chuyên môn, Lãnh đạo BNĐP có thể xóa mẫu Báo cáo số lượng tổ chức làm công tác thi đua, khen thưởng của bộ, ban, ngành, đoàn thể trung ương, tỉnh, thành phố trực thuộc trung ương. Hệ thống xóa báo cáo và trả về thông báo xóa thành công</t>
  </si>
  <si>
    <t>Báo cáo thống kê số lượng công chức làm công tác thi đua, khen thưởng của bộ, ban, ngành đoàn thể trung ương, tỉnh, thành phố trực thuộc trung ương</t>
  </si>
  <si>
    <t>API chia sẻ dữ liệu hồ sơ khen thưởng tới hệ thống khác</t>
  </si>
  <si>
    <t>Nền tảng tích hợp, trao đổi, chia sẻ dữ liệu (LGSP) có thể gọi API xác thực chia sẻ dữ liệu hồ sơ khen thưởng. Hệ thống nhận thông tin xác thực chia sẻ dữ liệu, thực hiện kiểm tra và trả ra access token nếu thông tin xác thực hợp lệ hoặc thông báo xác thực thất bại nếu thông tin xác thực không hợp lệ</t>
  </si>
  <si>
    <t>Nền tảng tích hợp, trao đổi, chia sẻ dữ liệu (LGSP) có thể sử dụng access token được cấp để gọi API chia sẻ dữ liệu. Hệ thống thực hiện kiểm tra thông tin xác thực, trả API chia sẻ dữ liệu hồ sơ khen thưởng được yêu cầu cho Nền tảng tích hợp, trao đổi, chia sẻ dữ liệu (LGSP) trong trưởng hợp access token hợp lệ hoặc thông báo lỗi trong trưởng hợp access token không hợp lệ</t>
  </si>
  <si>
    <t>API chia sẻ dữ liệu báo cáo thống kê tới hệ thống khác</t>
  </si>
  <si>
    <t>Nền tảng tích hợp, trao đổi, chia sẻ dữ liệu (LGSP) có thể gọi API xác thực chia sẻ dữ liệu báo cáo thống kê. Hệ thống nhận thông tin xác thực chia sẻ dữ liệu, thực hiện kiểm tra và trả ra access token nếu thông tin xác thực hợp lệ hoặc thông báo xác thực thất bại nếu thông tin xác thực không hợp lệ</t>
  </si>
  <si>
    <t>Nền tảng tích hợp, trao đổi, chia sẻ dữ liệu (LGSP) có thể sử dụng access token được cấp để gọi API chia sẻ dữ liệu báo cáo thống kê. Hệ thống thực hiện kiểm tra thông tin xác thực, trả API chia sẻ dữ liệu hồ sơ khen thưởng được yêu cầu cho Nền tảng tích hợp, trao đổi, chia sẻ dữ liệu (LGSP) trong trưởng hợp access token hợp lệ hoặc thông báo lỗi trong trưởng hợp access token không hợp lệ</t>
  </si>
  <si>
    <t>Cấu hình lưu nhật ký hệ thống</t>
  </si>
  <si>
    <t>Quản trị hệ thống cấp cao xem danh sách cấu hình lưu nhật ký hệ thống. Hệ thống hiển thị kết quả</t>
  </si>
  <si>
    <t>Quản trị hệ thống cấp cao xem chi tiết cấu hình lưu nhật ký hệ thống. Hệ thống hiển thị kết quả</t>
  </si>
  <si>
    <t>Quản trị hệ thống cấp cao thêm cấu hình lưu nhật ký hệ thống. Hệ thống kiểm tra tính hợp lệ và lưu vào CSDL, hiển thị kết quả ra</t>
  </si>
  <si>
    <t>Quản trị hệ thống cấp cao sửa cấu hình lưu nhật ký hệ thống. Hệ thống kiểm tra tính hợp lệ và lưu vào CSDL, hiển thị kết quả ra</t>
  </si>
  <si>
    <t>VII</t>
  </si>
  <si>
    <t>VIII</t>
  </si>
  <si>
    <t>X</t>
  </si>
  <si>
    <t>XI</t>
  </si>
  <si>
    <t>Hệ thống CSDL về Thi đua Khen thưởng gọi API đẩy kết quả khen thưởng sang Phần mềm quản lý và khai thác kết quả khen thưởng cấp nhà nước. Phần mềm quản lý và khai thác kết quả khen thưởng cấp nhà nước tiếp nhận yêu cầu và xử lý</t>
  </si>
  <si>
    <t>Hệ thống CSDL về Thi đua Khen thưởng có thể gọi API xác thực đồng bộ dữ liệu "Danh hiệu thi đua" của Nền tảng tích hợp, trao đổi, chia sẻ dữ liệu (LGSP). Nền tảng tích hợp, trao đổi, chia sẻ dữ liệu (LGSP) nhận thông tin xác thực, thực hiện kiểm tra và trả ra access token nếu thông tin xác thực hợp lệ hoặc thông báo xác thực thất bại nếu thông tin xác thực không hợp lệ</t>
  </si>
  <si>
    <t>Hệ thống CSDL về Thi đua Khen thưởng có thể sử dụng access-token được cấp để gọi API chia sẻ dữ liệu "Danh hiệu thi đua". Nền tảng tích hợp, trao đổi, chia sẻ dữ liệu (LGSP) thực hiện kiểm tra thông tin xác thực, cập nhật dữ liệu và trả về kết qủa cho CSDL về Thi đua Khen thưởng trong trường hợp access-token hợp lệ, hoặc thông báo lỗi trong trường hợp access-token không hợp lệ.</t>
  </si>
  <si>
    <t>Hệ thống CSDL về Thi đua Khen thưởng có thể gọi API xác thực đồng bộ dữ liệu "Hình thức khen thưởng" của Nền tảng tích hợp, trao đổi, chia sẻ dữ liệu (LGSP). Nền tảng tích hợp, trao đổi, chia sẻ dữ liệu (LGSP) nhận thông tin xác thực, thực hiện kiểm tra và trả ra access token nếu thông tin xác thực hợp lệ hoặc thông báo xác thực thất bại nếu thông tin xác thực không hợp lệ</t>
  </si>
  <si>
    <t>Hệ thống CSDL về Thi đua Khen thưởng có thể sử dụng access-token được cấp để gọi API chia sẻ dữ liệu "Hình thức khen thưởng". Nền tảng tích hợp, trao đổi, chia sẻ dữ liệu (LGSP) thực hiện kiểm tra thông tin xác thực, cập nhật dữ liệu và trả về kết qủa cho CSDL về Thi đua Khen thưởng trong trường hợp access-token hợp lệ, hoặc thông báo lỗi trong trường hợp access-token không hợp lệ.</t>
  </si>
  <si>
    <t>Hệ thống CSDL về Thi đua Khen thưởng có thể gọi API xác thực đồng bộ dữ liệu "Loại khen thưởng" của Nền tảng tích hợp, trao đổi, chia sẻ dữ liệu (LGSP). Nền tảng tích hợp, trao đổi, chia sẻ dữ liệu (LGSP) nhận thông tin xác thực, thực hiện kiểm tra và trả ra access token nếu thông tin xác thực hợp lệ hoặc thông báo xác thực thất bại nếu thông tin xác thực không hợp lệ</t>
  </si>
  <si>
    <t>Hệ thống CSDL về Thi đua Khen thưởng có thể sử dụng access-token được cấp để gọi API chia sẻ dữ liệu "Loại khen thưởng". Nền tảng tích hợp, trao đổi, chia sẻ dữ liệu (LGSP) thực hiện kiểm tra thông tin xác thực, cập nhật dữ liệu và trả về kết qủa cho CSDL về Thi đua Khen thưởng trong trường hợp access-token hợp lệ, hoặc thông báo lỗi trong trường hợp access-token không hợp lệ.</t>
  </si>
  <si>
    <t>Hệ thống CSDL về Thi đua Khen thưởng có thể gọi API xác thực đồng bộ dữ liệu "Các hình thức kỷ luật" của Nền tảng tích hợp, trao đổi, chia sẻ dữ liệu (LGSP). Nền tảng tích hợp, trao đổi, chia sẻ dữ liệu (LGSP) nhận thông tin xác thực, thực hiện kiểm tra và trả ra access token nếu thông tin xác thực hợp lệ hoặc thông báo xác thực thất bại nếu thông tin xác thực không hợp lệ</t>
  </si>
  <si>
    <t>Hệ thống CSDL về Thi đua Khen thưởng có thể sử dụng access-token được cấp để gọi API chia sẻ dữ liệu "Các hình thức kỷ luật". Nền tảng tích hợp, trao đổi, chia sẻ dữ liệu (LGSP) thực hiện kiểm tra thông tin xác thực, cập nhật dữ liệu và trả về kết qủa cho CSDL về Thi đua Khen thưởng trong trường hợp access-token hợp lệ, hoặc thông báo lỗi trong trường hợp access-token không hợp lệ.</t>
  </si>
  <si>
    <t>API khai thác dữ liệu từ hệ thống thông tin khác</t>
  </si>
  <si>
    <t>Nền tảng tích hợp, trao đổi, chia sẻ dữ liệu (LGSP) có thể gửi API xác thực khai thác dữ liệu. Hệ thống nhận thông tin xác thực khai thác dữ liệu, thực hiện kiểm tra và trả ra access token nếu thông tin xác thực hợp lệ hoặc thông báo xác thực thất bại nếu thông tin xác thực không hợp lệ</t>
  </si>
  <si>
    <t>Nền tảng tích hợp, trao đổi, chia sẻ dữ liệu (LGSP) có thể sử dụng access token được cấp để gọi API khai thác dữ liệu. Hệ thống thực hiện kiểm tra thông tin xác thực, trả API khai thác dữ liệu được yêu cầu cho Nền tảng tích hợp, trao đổi, chia sẻ dữ liệu (LGSP) trong trưởng hợp access token hợp lệ hoặc thông báo lỗi trong trưởng hợp access token không hợp lệ</t>
  </si>
  <si>
    <t>Chuyên viên phòng chuyên môn, Lãnh đạo BNĐP có thể Sao chép Báo cáo số lượng khen thưởng cấp bộ, ban, ngành đoàn thể trung ương và tỉnh, thành phố trực thuộc trung ương. Hệ thống tạo ra thêm một biểu mẫu giống biểu mẫu ban đầu</t>
  </si>
  <si>
    <t>Chuyên viên phòng chuyên môn, Lãnh đạo BNĐP có thể Sao chép Báo cáo Số lượng tổ chức làm công tác thi đua, khen thưởng của bộ, ban, ngành, đoàn thể trung ương, tỉnh, thành phố trực thuộc trung ương. Hệ thống tạo ra thêm một biểu mẫu giống biểu mẫu ban đầu</t>
  </si>
  <si>
    <t>Quản trị hệ thống cấp cao xoắ cấu hình lưu nhật ký hệ thống. Hệ thống kiểm tra tính hợp lệ và lưu vào CSDL, hiển thị kết quả ra</t>
  </si>
  <si>
    <t>Hệ thống chạy tiến trình gọi kết nối đến Hệ thống LGSP. Hệ thống LGSP trả về kết nối thành công. Hệ thống thực hiện lưu log kết nối.</t>
  </si>
  <si>
    <t>Hệ thống gửi thông tin nội dung log tác động/log lỗi phát sinh sang Hệ thống LGSP. Hệ thống lưu log tập trung nhận nội dung log tác động từ Hệ thống LGSP và phản hồi lại kết quả nhận nội dung log tác động cho người dùng. Hệ thống thực hiện lưu log.</t>
  </si>
  <si>
    <t>Hệ thống ngắt kết nối đến hệ thống lưu log tập trung. Hệ thống LGSP trả về phản hồi. Hệ thống thực hiện lưu log kết nối</t>
  </si>
  <si>
    <t>Tìm kiếm thông tin đối tượng thi đua - vai trò đơn vị trình hồ sơ</t>
  </si>
  <si>
    <t>Biểu đồ thống kê số lượng khen thưởng cấp bộ, ban, ngành đoàn thể trung ương và tỉnh, thành phố trực thuộc trung ương</t>
  </si>
  <si>
    <t>Biểu đồ thống kê số lượng tổ chức làm công tác thi đua, khen thưởng của bộ, ban, ngành, đoàn thể trung ương, tỉnh, thành phố trực thuộc trung ương</t>
  </si>
  <si>
    <t>Biểu đồ thống kê số lượng công chức làm công tác thi đua, khen thưởng của bộ, ban, ngành đoàn thể trung ương, tỉnh, thành phố trực thuộc trung ương</t>
  </si>
  <si>
    <t>Chuyên viên phòng chuyên môn, Lãnh đạo BNĐP chọn nút Tải dưới dạng ảnh, hệ thống xuất ra file ảnh của báo cáo và trả về cho Chuyên viên phòng chuyên môn, Lãnh đạo BNĐP cho Biểu đồ báo cáo số lượng khen thưởng cấp bộ, ban, ngành đoàn thể trung ương và tỉnh, thành phố trực thuộc trung ương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</si>
  <si>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Biểu đồ báo cáo số lượng khen thưởng cấp bộ, ban, ngành đoàn thể trung ương và tỉnh, thành phố trực thuộc trung ương</t>
  </si>
  <si>
    <t>Chuyên viên phòng chuyên môn, Lãnh đạo BNĐP chọn nút Tải dưới dạng ảnh, hệ thống xuất ra file ảnh của báo cáo và trả về cho Chuyên viên phòng chuyên môn, Lãnh đạo BNĐP cho báo cáo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</si>
  <si>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báo cáo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</si>
  <si>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nút Tải dưới dạng ảnh, hệ thống xuất ra file ảnh của báo cáo và trả về cho Chuyên viên phòng chuyên môn, Lãnh đạo BNĐP cho báo cáo thống kê số lượng công chức làm công tác thi đua, khen thưởng của bộ, ban, ngành đoàn thể trung ương, tỉnh, thành phố trực thuộc trung ương</t>
  </si>
  <si>
    <t>Chuyên viên phòng chuyên môn, Lãnh đạo BNĐP chọn nút yêu thích; Hệ thống lưu báo cáo vào danh sách yêu thích. Chuyên viên phòng chuyên môn, Lãnh đạo BNĐP chọn lại nút yêu thích; hệ thống xóa báo cáo khỏi danh sách yêu thích cho báo cáo thống kê số lượng công chức làm công tác thi đua, khen thưởng của bộ, ban, ngành đoàn thể trung ương, tỉnh, thành phố trực thuộc trung ương</t>
  </si>
  <si>
    <t>API đồng bộ danh mục dùng chung</t>
  </si>
  <si>
    <t>Quản lý đồng bộ tài khoản người dùng từ SSO</t>
  </si>
  <si>
    <t>Xác thực người dùng với SSO</t>
  </si>
  <si>
    <t>Quản lý nhật ký trao đổi, chia sẻ dữ liệu đồng bộ với hệ thống khác</t>
  </si>
  <si>
    <t>Quản trị hệ thống cấp cao có thể thiết lập thông tin đồng bộ dữ liệu danh mục dùng chung thông qua LGSP. Hệ thống cập nhật cấu hình vào CSDL.</t>
  </si>
  <si>
    <t>Quản trị hệ thống cấp cao có thể xem danh sách danh mục dùng chung đã được đồng bộ. Hệ thống tổng hợp CSDL và hiển thị danh sách danh mục</t>
  </si>
  <si>
    <t>Quản trị hệ thống cấp cao có thể tìm kiếm danh mục dùng chung đã được đồng bộ. Hệ thống tra cứu CSDL theo tiêu chí và hiển thị danh sách</t>
  </si>
  <si>
    <t>Quản trị hệ thống cấp cao có thể xem danh sách nhật ký đồng bộ dữ liệu từ CSDL dùng chung về hệ thống. Hệ thống tổng hợp dữ liệu từ CSDL và hiển thị dữ liệu</t>
  </si>
  <si>
    <t>Quản trị hệ thống cấp cao có thể xem danh sách nhật ký chia sẻ dữ liệu từ hệ thống sang CSDL dùng chung. Hệ thống tổng hợp dữ liệu từ CSDL và hiển thị dữ liệu</t>
  </si>
  <si>
    <t>Quản trị hệ thống cấp cao có thể xem chi tiết nhật ký đồng bộ dữ liệu từ CSDL dùng chung về hệ thống. Hệ thống tổng hợp dữ liệu từ CSDL và hiển thị dữ liệu</t>
  </si>
  <si>
    <t>Quản trị hệ thống cấp cao có thể xem chi tiết nhật ký chia sẻ dữ liệu từ hệ thống sang CSDL dùng chung. Hệ thống tổng hợp dữ liệu từ CSDL và hiển thị dữ liệu</t>
  </si>
  <si>
    <t>Quản trị hệ thống cấp cao có thể cấu hình đồng bộ danh mục tài khoản người dùng từ hệ thống quản lý tài khoản dùng chung. Hệ thống lưu thông tin vào CSDL</t>
  </si>
  <si>
    <t>Quản trị hệ thống cấp cao có thể đồng bộ thủ công danh mục tài khoản người dùng từ hệ thống quản lý tài khoản dùng chung. 
Hệ thống gửi yêu cầu đồng bộ danh mục tài khoản đến hệ thống quản lý tài khoản dùng chung. Hệ thống cập nhật dữ liệu vào CSDL</t>
  </si>
  <si>
    <t>Quản trị hệ thống cấp cao có thể xem nhật ký đồng bộ danh mục tài khoản người dùng từ hệ thống quản lý tài khoản dùng chung. Hệ thống tổng hợp dữ liệu và hiển thị nhật ký</t>
  </si>
  <si>
    <t>Quản lý cấu hình đồng bộ danh mục dùng chung từ LGSP</t>
  </si>
  <si>
    <t>Chuyên viên phòng chuyên môn, Lãnh đạo BNĐP thực hiện Báo cáo thống kê kết quả khen thưởng. Hệ thống hiển thị màn hình cho phép thực hiện nhập điều kiện thống kê báo cáo</t>
  </si>
  <si>
    <t>Chuyên viên phòng chuyên môn, Lãnh đạo BNĐP thực hiện nhập điều kiện tìm kiếm Báo cáo thống kê kết quả khen thưởng. Hệ thống lọc theo điều kiện tìm kiếm và hiển thị kết quả trên màn hình</t>
  </si>
  <si>
    <t>Chuyên viên phòng chuyên môn, Lãnh đạo BNĐP thực hiện Báo cáo sổ công văn đến. Hệ thống hiển thị màn hình cho phép thực hiện nhập điều kiện thống kê báo cáo</t>
  </si>
  <si>
    <t>Chuyên viên phòng chuyên môn, Lãnh đạo BNĐP thực hiện nhập điều kiện tìm kiếm Báo cáo sổ công văn đến. Hệ thống lọc theo điều kiện tìm kiếm và hiển thị kết quả trên màn hình</t>
  </si>
  <si>
    <t>Chuyên viên phòng chuyên môn, Lãnh đạo BNĐP thực hiện Báo cáo tổng hợp danh sách khen thưởng. Hệ thống hiển thị màn hình cho phép thực hiện nhập điều kiện thống kê báo cáo</t>
  </si>
  <si>
    <t>Chuyên viên phòng chuyên môn, Lãnh đạo BNĐP thực hiện nhập điều kiện tìm kiếm Báo cáo tổng hợp danh sách khen thưởng. Hệ thống lọc theo điều kiện tìm kiếm và hiển thị kết quả trên màn hình</t>
  </si>
  <si>
    <t>Chuyên viên phòng chuyên môn, Lãnh đạo BNĐP thực hiện Báo cáo Lưu trữ điện tử. Hệ thống hiển thị màn hình cho phép thực hiện nhập điều kiện thống kê báo cáo</t>
  </si>
  <si>
    <t>Chuyên viên phòng chuyên môn, Lãnh đạo BNĐP thực hiện nhập điều kiện tìm kiếm Báo cáo Lưu trữ điện tử. Hệ thống lọc theo điều kiện tìm kiếm và hiển thị kết quả trên màn hình</t>
  </si>
  <si>
    <t>Chuyên viên phòng chuyên môn, Lãnh đạo BNĐP thực hiện Báo cáo Tổng hợp các hình thức khen thưởng. Hệ thống hiển thị màn hình cho phép thực hiện nhập điều kiện thống kê báo cáo</t>
  </si>
  <si>
    <t>Chuyên viên phòng chuyên môn, Lãnh đạo BNĐP thực hiện nhập điều kiện tìm kiếm Báo cáo Tổng hợp các hình thức khen thưởng. Hệ thống lọc theo điều kiện tìm kiếm và hiển thị kết quả trên màn hình</t>
  </si>
  <si>
    <t>Chuyên viên phòng chuyên môn, Lãnh đạo BNĐP thực hiện Báo cáo Tổng hợp quyết định theo các hình thức khen thưởng. Hệ thống hiển thị màn hình cho phép thực hiện nhập điều kiện thống kê báo cáo</t>
  </si>
  <si>
    <t>Chuyên viên phòng chuyên môn, Lãnh đạo BNĐP thực hiện nhập điều kiện tìm kiếm Báo cáo Tổng hợp quyết định theo các hình thức khen thưởng. Hệ thống lọc theo điều kiện tìm kiếm và hiển thị kết quả trên màn hình</t>
  </si>
  <si>
    <t>Chuyên viên phòng chuyên môn, Lãnh đạo BNĐP thực hiện Báo cáo Tình hình xử lý tờ trình khen thưởng tại từng đơn vị chuyên môn. Hệ thống hiển thị màn hình cho phép thực hiện nhập điều kiện thống kê báo cáo</t>
  </si>
  <si>
    <t>Chuyên viên phòng chuyên môn, Lãnh đạo BNĐP thực hiện nhập điều kiện tìm kiếm Báo cáo Tình hình xử lý tờ trình khen thưởng tại từng đơn vị chuyên môn. Hệ thống lọc theo điều kiện tìm kiếm và hiển thị kết quả trên màn hình</t>
  </si>
  <si>
    <t>Chuyên viên phòng chuyên môn, Lãnh đạo BNĐP thực hiện Báo cáo Thống kê khen thưởng theo phong trào thi đua. Hệ thống hiển thị màn hình cho phép thực hiện nhập điều kiện thống kê báo cáo</t>
  </si>
  <si>
    <t>Chuyên viên phòng chuyên môn, Lãnh đạo BNĐP thực hiện nhập điều kiện tìm kiếm Báo cáo Thống kê khen thưởng theo phong trào thi đua. Hệ thống lọc theo điều kiện tìm kiếm và hiển thị kết quả trên màn hình</t>
  </si>
  <si>
    <t>Chuyên viên phòng chuyên môn, Lãnh đạo BNĐP thực hiện Báo cáo Thống kê tổng số phong trào thi đua. Hệ thống hiển thị màn hình cho phép thực hiện nhập điều kiện thống kê báo cáo</t>
  </si>
  <si>
    <t>Chuyên viên phòng chuyên môn, Lãnh đạo BNĐP thực hiện nhập điều kiện tìm kiếm Báo cáo Thống kê tổng số phong trào thi đua. Hệ thống lọc theo điều kiện tìm kiếm và hiển thị kết quả trên màn hình</t>
  </si>
  <si>
    <t>Chuyên viên phòng chuyên môn, Lãnh đạo BNĐP thực hiện Báo cáo Thống kê số lượng khen thưởng của tỉnh, thành phố trực thuộc Trung ương/bộ, ngành. Hệ thống hiển thị màn hình cho phép thực hiện nhập điều kiện thống kê báo cáo</t>
  </si>
  <si>
    <t>Chuyên viên phòng chuyên môn, Lãnh đạo BNĐP thực hiện nhập điều kiện tìm kiếm Báo cáo Thống kê số lượng khen thưởng của tỉnh, thành phố trực thuộc Trung ương/bộ, ngành. Hệ thống lọc theo điều kiện tìm kiếm và hiển thị kết quả trên màn hình</t>
  </si>
  <si>
    <t>Chuyên viên phòng chuyên môn, Lãnh đạo BNĐP thực hiện Báo cáo Thống kê số lượng công chức làm công tác thi đua, khen thưởng toàn quốc. Hệ thống hiển thị màn hình cho phép thực hiện nhập điều kiện thống kê báo cáo</t>
  </si>
  <si>
    <t>Chuyên viên phòng chuyên môn, Lãnh đạo BNĐP thực hiện nhập điều kiện tìm kiếm Báo cáo Thống kê số lượng công chức làm công tác thi đua, khen thưởng toàn quốc. Hệ thống lọc theo điều kiện tìm kiếm và hiển thị kết quả trên màn hình</t>
  </si>
  <si>
    <t>Chuyên viên phòng chuyên môn, Lãnh đạo BNĐP thực hiện Báo cáo Thống kê Số phong trào thi đua. Hệ thống hiển thị màn hình cho phép thực hiện nhập điều kiện thống kê báo cáo</t>
  </si>
  <si>
    <t>Chuyên viên phòng chuyên môn, Lãnh đạo BNĐP thực hiện nhập điều kiện tìm kiếm Báo cáo Thống kê Số phong trào thi đua. Hệ thống lọc theo điều kiện tìm kiếm và hiển thị kết quả trên màn hình</t>
  </si>
  <si>
    <t>Chuyên viên phòng chuyên môn, Lãnh đạo BNĐP thực hiện Báo cáo Số lượng khen thưởng cấp nhà nước. Hệ thống hiển thị màn hình cho phép thực hiện nhập điều kiện thống kê báo cáo</t>
  </si>
  <si>
    <t>Chuyên viên phòng chuyên môn, Lãnh đạo BNĐP thực hiện nhập điều kiện tìm kiếm Báo cáo Số lượng khen thưởng cấp nhà nước. Hệ thống lọc theo điều kiện tìm kiếm và hiển thị kết quả trên màn hình</t>
  </si>
  <si>
    <t>Chuyên viên phòng chuyên môn, Lãnh đạo BNĐP thực hiện Báo cáo Số lượng công chức làm công tác thi đua khen thưởng. Hệ thống hiển thị màn hình cho phép thực hiện nhập điều kiện thống kê báo cáo</t>
  </si>
  <si>
    <t>Chuyên viên phòng chuyên môn, Lãnh đạo BNĐP thực hiện nhập điều kiện tìm kiếm Báo cáo Số lượng công chức làm công tác thi đua khen thưởng. Hệ thống lọc theo điều kiện tìm kiếm và hiển thị kết quả trên màn hình</t>
  </si>
  <si>
    <t>Chuyên viên phòng chuyên môn, Lãnh đạo BNĐP thực hiện Thống kê tình trạng xử lý hồ sơ theo cán bộ xử lý. Hệ thống hiển thị màn hình cho phép thực hiện nhập điều kiện thống kê báo cáo</t>
  </si>
  <si>
    <t>Chuyên viên phòng chuyên môn, Lãnh đạo BNĐP thực hiện nhập điều kiện tìm kiếm Thống kê tình trạng xử lý hồ sơ theo cán bộ xử lý. Hệ thống lọc theo điều kiện tìm kiếm và hiển thị kết quả trên màn hình</t>
  </si>
  <si>
    <t>Chuyên viên phòng chuyên môn, Lãnh đạo BNĐP thực hiện Báo cáo thống kê Thủ tục Phong tặng danh hiệu Chiến sĩ thi đua toàn quốc. Hệ thống hiển thị màn hình cho phép thực hiện nhập điều kiện thống kê báo cáo</t>
  </si>
  <si>
    <t>Chuyên viên phòng chuyên môn, Lãnh đạo BNĐP thực hiện nhập điều kiện tìm kiếm Báo cáo thống kê Thủ tục Phong tặng danh hiệu Chiến sĩ thi đua toàn quốc. Hệ thống lọc theo điều kiện tìm kiếm và hiển thị kết quả trên màn hình</t>
  </si>
  <si>
    <t>Chuyên viên phòng chuyên môn, Lãnh đạo BNĐP thực hiện Báo cáo thống kê Thủ tục tặng thưởng Bằng khen của Thủ tướng Chính phủ cho tập thể, cá nhân theo công trạng và thành tích đạt được. Hệ thống hiển thị màn hình cho phép thực hiện nhập điều kiện thống kê báo cáo</t>
  </si>
  <si>
    <t>Chuyên viên phòng chuyên môn, Lãnh đạo BNĐP thực hiện nhập điều kiện tìm kiếm Báo cáo thống kê Thủ tục tặng thưởng Bằng khen của Thủ tướng Chính phủ cho tập thể, cá nhân theo công trạng và thành tích đạt được. Hệ thống lọc theo điều kiện tìm kiếm và hiển thị kết quả trên màn hình</t>
  </si>
  <si>
    <t>Chuyên viên phòng chuyên môn, Lãnh đạo BNĐP thực hiện Báo cáo thống kê Thủ tục tặng Cờ thi đua của Chính phủ theo công trạng và thành tích đạt được. Hệ thống hiển thị màn hình cho phép thực hiện nhập điều kiện thống kê báo cáo</t>
  </si>
  <si>
    <t>Chuyên viên phòng chuyên môn, Lãnh đạo BNĐP thực hiện nhập điều kiện tìm kiếm Báo cáo thống kê Thủ tục tặng Cờ thi đua của Chính phủ theo công trạng và thành tích đạt được. Hệ thống lọc theo điều kiện tìm kiếm và hiển thị kết quả trên màn hình</t>
  </si>
  <si>
    <t>Chuyên viên phòng chuyên môn, Lãnh đạo BNĐP thực hiện Báo cáo thống kê Thủ tục khen thưởng Huân chương Đại đoàn kết dân tộc. Hệ thống hiển thị màn hình cho phép thực hiện nhập điều kiện thống kê báo cáo</t>
  </si>
  <si>
    <t>Chuyên viên phòng chuyên môn, Lãnh đạo BNĐP thực hiện nhập điều kiện tìm kiếm Báo cáo thống kê Thủ tục khen thưởng Huân chương Đại đoàn kết dân tộc. Hệ thống lọc theo điều kiện tìm kiếm và hiển thị kết quả trên màn hình</t>
  </si>
  <si>
    <t>Chuyên viên phòng chuyên môn, Lãnh đạo BNĐP thực hiện Báo cáo thống kê Thủ tục khen thưởng Huân chương Chiến công cho tập thể, cá nhân có thành tích thực hiện nhiệm vụ chính trị. Hệ thống hiển thị màn hình cho phép thực hiện nhập điều kiện thống kê báo cáo</t>
  </si>
  <si>
    <t>Chuyên viên phòng chuyên môn, Lãnh đạo BNĐP thực hiện nhập điều kiện tìm kiếm Báo cáo thống kê Thủ tục khen thưởng Huân chương Chiến công cho tập thể, cá nhân có thành tích thực hiện nhiệm vụ chính trị. Hệ thống lọc theo điều kiện tìm kiếm và hiển thị kết quả trên màn hình</t>
  </si>
  <si>
    <t>Chuyên viên phòng chuyên môn, Lãnh đạo BNĐP thực hiện Báo cáo thống kê Thủ tục Khen thưởng Huy chương Hữu Nghị cho cá nhân người nước ngoài. Hệ thống hiển thị màn hình cho phép thực hiện nhập điều kiện thống kê báo cáo</t>
  </si>
  <si>
    <t>Chuyên viên phòng chuyên môn, Lãnh đạo BNĐP thực hiện nhập điều kiện tìm kiếm Báo cáo thống kê Thủ tục Khen thưởng Huy chương Hữu Nghị cho cá nhân người nước ngoài. Hệ thống lọc theo điều kiện tìm kiếm và hiển thị kết quả trên màn hình</t>
  </si>
  <si>
    <t>Chuyên viên phòng chuyên môn, Lãnh đạo BNĐP thực hiện Báo cáo thống kê Thủ tục Tặng thưởng Huy chương Quân kỳ quyết thắng, Huy chương Vì an ninh Tổ quốc, Huy chương Chiến sĩ vẻ vang. Hệ thống hiển thị màn hình cho phép thực hiện nhập điều kiện thống kê báo cáo</t>
  </si>
  <si>
    <t>Chuyên viên phòng chuyên môn, Lãnh đạo BNĐP thực hiện nhập điều kiện tìm kiếm Báo cáo thống kê Thủ tục Tặng thưởng Huy chương Quân kỳ quyết thắng, Huy chương Vì an ninh Tổ quốc, Huy chương Chiến sĩ vẻ vang. Hệ thống lọc theo điều kiện tìm kiếm và hiển thị kết quả trên màn hình</t>
  </si>
  <si>
    <t>Chuyên viên phòng chuyên môn, Lãnh đạo BNĐP thực hiện Báo cáo thống kê Thủ tục tặng thưởng Huân chương Bảo vệ Tổ quốc. Hệ thống hiển thị màn hình cho phép thực hiện nhập điều kiện thống kê báo cáo</t>
  </si>
  <si>
    <t>Chuyên viên phòng chuyên môn, Lãnh đạo BNĐP thực hiện nhập điều kiện tìm kiếm Báo cáo thống kê Thủ tục tặng thưởng Huân chương Bảo vệ Tổ quốc. Hệ thống lọc theo điều kiện tìm kiếm và hiển thị kết quả trên màn hình</t>
  </si>
  <si>
    <t>Chuyên viên phòng chuyên môn, Lãnh đạo BNĐP thực hiện Báo cáo thống kê Thủ tục tặng thưởng Huân chương Dũng cảm. Hệ thống hiển thị màn hình cho phép thực hiện nhập điều kiện thống kê báo cáo</t>
  </si>
  <si>
    <t>Chuyên viên phòng chuyên môn, Lãnh đạo BNĐP thực hiện nhập điều kiện tìm kiếm Báo cáo thống kê Thủ tục tặng thưởng Huân chương Dũng cảm. Hệ thống lọc theo điều kiện tìm kiếm và hiển thị kết quả trên màn hình</t>
  </si>
  <si>
    <t>Chuyên viên phòng chuyên môn, Lãnh đạo BNĐP thực hiện Báo cáo thống kê Thủ tục tặng thưởng Huân chương Quân công. Hệ thống hiển thị màn hình cho phép thực hiện nhập điều kiện thống kê báo cáo</t>
  </si>
  <si>
    <t>Chuyên viên phòng chuyên môn, Lãnh đạo BNĐP thực hiện nhập điều kiện tìm kiếm Báo cáo thống kê Thủ tục tặng thưởng Huân chương Quân công. Hệ thống lọc theo điều kiện tìm kiếm và hiển thị kết quả trên màn hình</t>
  </si>
  <si>
    <t>Chuyên viên phòng chuyên môn, Lãnh đạo BNĐP thực hiện Báo cáo thống kê Thủ tục tặng thưởng Bằng khen của Thủ tướng Chính phủ cho tập thể, cá nhân người nước ngoài. Hệ thống hiển thị màn hình cho phép thực hiện nhập điều kiện thống kê báo cáo</t>
  </si>
  <si>
    <t>Chuyên viên phòng chuyên môn, Lãnh đạo BNĐP thực hiện nhập điều kiện tìm kiếm Báo cáo thống kê Thủ tục tặng thưởng Bằng khen của Thủ tướng Chính phủ cho tập thể, cá nhân người nước ngoài. Hệ thống lọc theo điều kiện tìm kiếm và hiển thị kết quả trên màn hình</t>
  </si>
  <si>
    <t>Chuyên viên phòng chuyên môn, Lãnh đạo BNĐP thực hiện Báo cáo thống kê Thủ tục tặng thưởng Bằng khen của Thủ tướng Chính phủ cho gia đình. Hệ thống hiển thị màn hình cho phép thực hiện nhập điều kiện thống kê báo cáo</t>
  </si>
  <si>
    <t>Chuyên viên phòng chuyên môn, Lãnh đạo BNĐP thực hiện nhập điều kiện tìm kiếm Báo cáo thống kê Thủ tục tặng thưởng Bằng khen của Thủ tướng Chính phủ cho gia đình. Hệ thống lọc theo điều kiện tìm kiếm và hiển thị kết quả trên màn hình</t>
  </si>
  <si>
    <t>Chuyên viên phòng chuyên môn, Lãnh đạo BNĐP thực hiện Báo cáo thống kê Thủ tục Khen thưởng Huân chương Hữu Nghị cho tập thể, cá nhân người nước ngoài. Hệ thống hiển thị màn hình cho phép thực hiện nhập điều kiện thống kê báo cáo</t>
  </si>
  <si>
    <t>Chuyên viên phòng chuyên môn, Lãnh đạo BNĐP thực hiện nhập điều kiện tìm kiếm Báo cáo thống kê Thủ tục Khen thưởng Huân chương Hữu Nghị cho tập thể, cá nhân người nước ngoài. Hệ thống lọc theo điều kiện tìm kiếm và hiển thị kết quả trên màn hình</t>
  </si>
  <si>
    <t>Chuyên viên phòng chuyên môn, Lãnh đạo BNĐP thực hiện Báo cáo thống kê Thủ tục Khen thưởng Huân chương lao động cho tập thể, cá nhân người nước ngoài, người Việt Nam ở nước ngoài. Hệ thống hiển thị màn hình cho phép thực hiện nhập điều kiện thống kê báo cáo</t>
  </si>
  <si>
    <t>Chuyên viên phòng chuyên môn, Lãnh đạo BNĐP thực hiện nhập điều kiện tìm kiếm Báo cáo thống kê Thủ tục Khen thưởng Huân chương lao động cho tập thể, cá nhân người nước ngoài, người Việt Nam ở nước ngoài. Hệ thống lọc theo điều kiện tìm kiếm và hiển thị kết quả trên màn hình</t>
  </si>
  <si>
    <t>Chuyên viên phòng chuyên môn, Lãnh đạo BNĐP thực hiện Báo cáo thống kê Thủ tục Khen thưởng Huân chương Lao động cho cá nhân có quá trình cống hiến. Hệ thống hiển thị màn hình cho phép thực hiện nhập điều kiện thống kê báo cáo</t>
  </si>
  <si>
    <t>Chuyên viên phòng chuyên môn, Lãnh đạo BNĐP thực hiện nhập điều kiện tìm kiếm Báo cáo thống kê Thủ tục Khen thưởng Huân chương Lao động cho cá nhân có quá trình cống hiến. Hệ thống lọc theo điều kiện tìm kiếm và hiển thị kết quả trên màn hình</t>
  </si>
  <si>
    <t>Chuyên viên phòng chuyên môn, Lãnh đạo BNĐP thực hiện Báo cáo thống kê Thủ tục phong tặng Tỉnh anh hùng, Thành phố anh hùng. Hệ thống hiển thị màn hình cho phép thực hiện nhập điều kiện thống kê báo cáo</t>
  </si>
  <si>
    <t>Chuyên viên phòng chuyên môn, Lãnh đạo BNĐP thực hiện nhập điều kiện tìm kiếm Báo cáo thống kê Thủ tục phong tặng Tỉnh anh hùng, Thành phố anh hùng. Hệ thống lọc theo điều kiện tìm kiếm và hiển thị kết quả trên màn hình</t>
  </si>
  <si>
    <t>Chuyên viên phòng chuyên môn, Lãnh đạo BNĐP thực hiện Báo cáo thống kê Thủ tục Khen thưởng Huân chương Độc lập cho cá nhân có quá trình cống hiến. Hệ thống hiển thị màn hình cho phép thực hiện nhập điều kiện thống kê báo cáo</t>
  </si>
  <si>
    <t>Chuyên viên phòng chuyên môn, Lãnh đạo BNĐP thực hiện nhập điều kiện tìm kiếm Báo cáo thống kê Thủ tục Khen thưởng Huân chương Độc lập cho cá nhân có quá trình cống hiến. Hệ thống lọc theo điều kiện tìm kiếm và hiển thị kết quả trên màn hình</t>
  </si>
  <si>
    <t>Chuyên viên phòng chuyên môn, Lãnh đạo BNĐP thực hiện Báo cáo thống kê Thủ tục tặng thưởng Cờ thi đua của Chính phủ về thành tích thi đua theo đợt hoặc chuyên đề. Hệ thống hiển thị màn hình cho phép thực hiện nhập điều kiện thống kê báo cáo</t>
  </si>
  <si>
    <t>Chuyên viên phòng chuyên môn, Lãnh đạo BNĐP thực hiện nhập điều kiện tìm kiếm Báo cáo thống kê Thủ tục tặng thưởng Cờ thi đua của Chính phủ về thành tích thi đua theo đợt hoặc chuyên đề. Hệ thống lọc theo điều kiện tìm kiếm và hiển thị kết quả trên màn hình</t>
  </si>
  <si>
    <t>Chuyên viên phòng chuyên môn, Lãnh đạo BNĐP thực hiện Báo cáo thống kê Thủ tục Khen thưởng Huân chương Hồ Chí Minh cho cá nhân có quá trình cống hiến. Hệ thống hiển thị màn hình cho phép thực hiện nhập điều kiện thống kê báo cáo</t>
  </si>
  <si>
    <t>Chuyên viên phòng chuyên môn, Lãnh đạo BNĐP thực hiện nhập điều kiện tìm kiếm Báo cáo thống kê Thủ tục Khen thưởng Huân chương Hồ Chí Minh cho cá nhân có quá trình cống hiến. Hệ thống lọc theo điều kiện tìm kiếm và hiển thị kết quả trên màn hình</t>
  </si>
  <si>
    <t>Chuyên viên phòng chuyên môn, Lãnh đạo BNĐP thực hiện Báo cáo thống kê Thủ tục Khen thưởng Huân chương Sao vàng cho cá nhân có quá trình cống hiến. Hệ thống hiển thị màn hình cho phép thực hiện nhập điều kiện thống kê báo cáo</t>
  </si>
  <si>
    <t>Chuyên viên phòng chuyên môn, Lãnh đạo BNĐP thực hiện nhập điều kiện tìm kiếm Báo cáo thống kê Thủ tục Khen thưởng Huân chương Sao vàng cho cá nhân có quá trình cống hiến. Hệ thống lọc theo điều kiện tìm kiếm và hiển thị kết quả trên màn hình</t>
  </si>
  <si>
    <t>Chuyên viên phòng chuyên môn, Lãnh đạo BNĐP thực hiện Báo cáo thống kê Thủ tục Khen thưởng Huân chương Chiến công cho tập thể, cá nhân có thành tích thi đua theo đợt hoặc chuyên đề. Hệ thống hiển thị màn hình cho phép thực hiện nhập điều kiện thống kê báo cáo</t>
  </si>
  <si>
    <t>Chuyên viên phòng chuyên môn, Lãnh đạo BNĐP thực hiện nhập điều kiện tìm kiếm Báo cáo thống kê Thủ tục Khen thưởng Huân chương Chiến công cho tập thể, cá nhân có thành tích thi đua theo đợt hoặc chuyên đề. Hệ thống lọc theo điều kiện tìm kiếm và hiển thị kết quả trên màn hình</t>
  </si>
  <si>
    <t>Chuyên viên phòng chuyên môn, Lãnh đạo BNĐP thực hiện Báo cáo thống kê Thủ tục tặng thưởng Bằng khen của Thủ tướng Chính phủ về thành tích thi đua theo đợt hoặc chuyên đề. Hệ thống hiển thị màn hình cho phép thực hiện nhập điều kiện thống kê báo cáo</t>
  </si>
  <si>
    <t>Chuyên viên phòng chuyên môn, Lãnh đạo BNĐP thực hiện nhập điều kiện tìm kiếm Báo cáo thống kê Thủ tục tặng thưởng Bằng khen của Thủ tướng Chính phủ về thành tích thi đua theo đợt hoặc chuyên đề. Hệ thống lọc theo điều kiện tìm kiếm và hiển thị kết quả trên màn hình</t>
  </si>
  <si>
    <t>Chuyên viên phòng chuyên môn, Lãnh đạo BNĐP thực hiện Báo cáo thống kê Thủ tục khen thưởng Huân chương Lao động cho tập thể, cá nhân về phong trào thi đua theo đợt hoặc chuyên đề. Hệ thống hiển thị màn hình cho phép thực hiện nhập điều kiện thống kê báo cáo</t>
  </si>
  <si>
    <t>Chuyên viên phòng chuyên môn, Lãnh đạo BNĐP thực hiện nhập điều kiện tìm kiếm Báo cáo thống kê Thủ tục khen thưởng Huân chương Lao động cho tập thể, cá nhân về phong trào thi đua theo đợt hoặc chuyên đề. Hệ thống lọc theo điều kiện tìm kiếm và hiển thị kết quả trên màn hình</t>
  </si>
  <si>
    <t>Chuyên viên phòng chuyên môn, Lãnh đạo BNĐP thực hiện Báo cáo thống kê Thủ tục Tặng thưởng Bằng khen của Thủ tướng Chính phủ về thành tích đột xuất. Hệ thống hiển thị màn hình cho phép thực hiện nhập điều kiện thống kê báo cáo</t>
  </si>
  <si>
    <t>Chuyên viên phòng chuyên môn, Lãnh đạo BNĐP thực hiện nhập điều kiện tìm kiếm Báo cáo thống kê Thủ tục Tặng thưởng Bằng khen của Thủ tướng Chính phủ về thành tích đột xuất. Hệ thống lọc theo điều kiện tìm kiếm và hiển thị kết quả trên màn hình</t>
  </si>
  <si>
    <t>Chuyên viên phòng chuyên môn, Lãnh đạo BNĐP thực hiện Báo cáo thống kê Thủ tục khen thưởng Huân chương Chiến công cho tập thể, cá nhân về thành tích đột xuất. Hệ thống hiển thị màn hình cho phép thực hiện nhập điều kiện thống kê báo cáo</t>
  </si>
  <si>
    <t>Chuyên viên phòng chuyên môn, Lãnh đạo BNĐP thực hiện nhập điều kiện tìm kiếm Báo cáo thống kê Thủ tục khen thưởng Huân chương Chiến công cho tập thể, cá nhân về thành tích đột xuất. Hệ thống lọc theo điều kiện tìm kiếm và hiển thị kết quả trên màn hình</t>
  </si>
  <si>
    <t>Chuyên viên phòng chuyên môn, Lãnh đạo BNĐP thực hiện Báo cáo thống kê Thủ tục khen thưởng Huân chương lao động cho tập thể, cá nhân về thành tích đột xuất. Hệ thống hiển thị màn hình cho phép thực hiện nhập điều kiện thống kê báo cáo</t>
  </si>
  <si>
    <t>Chuyên viên phòng chuyên môn, Lãnh đạo BNĐP thực hiện nhập điều kiện tìm kiếm Báo cáo thống kê Thủ tục khen thưởng Huân chương lao động cho tập thể, cá nhân về thành tích đột xuất. Hệ thống lọc theo điều kiện tìm kiếm và hiển thị kết quả trên màn hình</t>
  </si>
  <si>
    <t>Chuyên viên phòng chuyên môn, Lãnh đạo BNĐP thực hiện Báo cáo thống kê Thủ tục phong tặng, truy tặng Danh hiệu Anh hùng lực lượng vũ trang nhân dân. Hệ thống hiển thị màn hình cho phép thực hiện nhập điều kiện thống kê báo cáo</t>
  </si>
  <si>
    <t>Chuyên viên phòng chuyên môn, Lãnh đạo BNĐP thực hiện nhập điều kiện tìm kiếm Báo cáo thống kê Thủ tục phong tặng, truy tặng Danh hiệu Anh hùng lực lượng vũ trang nhân dân. Hệ thống lọc theo điều kiện tìm kiếm và hiển thị kết quả trên màn hình</t>
  </si>
  <si>
    <t>Chuyên viên phòng chuyên môn, Lãnh đạo BNĐP thực hiện Báo cáo thống kê Thủ tục phong tặng danh hiệu Anh hùng lao động. Hệ thống hiển thị màn hình cho phép thực hiện nhập điều kiện thống kê báo cáo</t>
  </si>
  <si>
    <t>Chuyên viên phòng chuyên môn, Lãnh đạo BNĐP thực hiện nhập điều kiện tìm kiếm Báo cáo thống kê Thủ tục phong tặng danh hiệu Anh hùng lao động. Hệ thống lọc theo điều kiện tìm kiếm và hiển thị kết quả trên màn hình</t>
  </si>
  <si>
    <t>Chuyên viên phòng chuyên môn, Lãnh đạo BNĐP thực hiện Báo cáo thống kê Thủ tục khen thưởng Huân chương Lao động cho tập thể, cá nhân theo công trạng và thành tích đạt được. Hệ thống hiển thị màn hình cho phép thực hiện nhập điều kiện thống kê báo cáo</t>
  </si>
  <si>
    <t>Chuyên viên phòng chuyên môn, Lãnh đạo BNĐP thực hiện nhập điều kiện tìm kiếm Báo cáo thống kê Thủ tục khen thưởng Huân chương Lao động cho tập thể, cá nhân theo công trạng và thành tích đạt được. Hệ thống lọc theo điều kiện tìm kiếm và hiển thị kết quả trên màn hình</t>
  </si>
  <si>
    <t>Chuyên viên phòng chuyên môn, Lãnh đạo BNĐP thực hiện Báo cáo thống kê Thủ tục khen thưởng Huân chương Độc lập cho tập thể, cá nhân theo công trạng và thành tích đạt được. Hệ thống hiển thị màn hình cho phép thực hiện nhập điều kiện thống kê báo cáo</t>
  </si>
  <si>
    <t>Chuyên viên phòng chuyên môn, Lãnh đạo BNĐP thực hiện nhập điều kiện tìm kiếm Báo cáo thống kê Thủ tục khen thưởng Huân chương Độc lập cho tập thể, cá nhân theo công trạng và thành tích đạt được. Hệ thống lọc theo điều kiện tìm kiếm và hiển thị kết quả trên màn hình</t>
  </si>
  <si>
    <t>Chuyên viên phòng chuyên môn, Lãnh đạo BNĐP thực hiện Báo cáo thống kê Thủ tục khen thưởng Huân chương Hồ Chí Minh cho tập thể, cá nhân về thành tích thực hiện nhiệm vụ chính trị. Hệ thống hiển thị màn hình cho phép thực hiện nhập điều kiện thống kê báo cáo</t>
  </si>
  <si>
    <t>Chuyên viên phòng chuyên môn, Lãnh đạo BNĐP thực hiện nhập điều kiện tìm kiếm Báo cáo thống kê Thủ tục khen thưởng Huân chương Hồ Chí Minh cho tập thể, cá nhân về thành tích thực hiện nhiệm vụ chính trị. Hệ thống lọc theo điều kiện tìm kiếm và hiển thị kết quả trên màn hình</t>
  </si>
  <si>
    <t>Chuyên viên phòng chuyên môn, Lãnh đạo BNĐP thực hiện Báo cáo thống kê Thủ tục khen thưởng Huân chương Sao vàng cho tập thể, cá nhân về thành tích thực hiện nhiệm vụ chính trị. Hệ thống hiển thị màn hình cho phép thực hiện nhập điều kiện thống kê báo cáo</t>
  </si>
  <si>
    <t>Chuyên viên phòng chuyên môn, Lãnh đạo BNĐP thực hiện nhập điều kiện tìm kiếm Báo cáo thống kê Thủ tục khen thưởng Huân chương Sao vàng cho tập thể, cá nhân về thành tích thực hiện nhiệm vụ chính trị. Hệ thống lọc theo điều kiện tìm kiếm và hiển thị kết quả trên màn hình</t>
  </si>
  <si>
    <t>Chuyên viên phòng chuyên môn, Lãnh đạo BNĐP thực hiện Báo cáo thống kê Số lượng tổ chức làm công tác thi đua, khen thưởng của bộ, ban, ngành, đoàn thể trung ương, tỉnh, thành phố trực thuộc trung ương. Hệ thống hiển thị màn hình cho phép thực hiện nhập điều kiện thống kê báo cáo</t>
  </si>
  <si>
    <t>Chuyên viên phòng chuyên môn, Lãnh đạo BNĐP thực hiện nhập điều kiện tìm kiếm Báo cáo thống kê Số lượng tổ chức làm công tác thi đua, khen thưởng của bộ, ban, ngành, đoàn thể trung ương, tỉnh, thành phố trực thuộc trung ương. Hệ thống lọc theo điều kiện tìm kiếm và hiển thị kết quả trên màn hình</t>
  </si>
  <si>
    <t>Chuyên viên phòng chuyên môn, Lãnh đạo BNĐP thực hiện Báo cáo Số lượng khen thưởng cấp bộ, ban, ngành đoàn thể trung ương và tỉnh, thành phố trực thuộc trung ương. Hệ thống hiển thị màn hình cho phép thực hiện nhập điều kiện thống kê báo cáo</t>
  </si>
  <si>
    <t>Chuyên viên phòng chuyên môn, Lãnh đạo BNĐP thực hiện nhập điều kiện tìm kiếm Báo cáo Số lượng khen thưởng cấp bộ, ban, ngành đoàn thể trung ương và tỉnh, thành phố trực thuộc trung ương. Hệ thống lọc theo điều kiện tìm kiếm và hiển thị kết quả trên màn hình</t>
  </si>
  <si>
    <t>Chuyên viên phòng chuyên môn, Lãnh đạo BNĐP thực hiện Báo cáo số lượng tổ chức làm công tác thi đua, khen thưởng của bộ, ban, ngành, đoàn thể trung ương, tỉnh, thành phố trực thuộc trung ương. Hệ thống hiển thị màn hình cho phép thực hiện nhập điều kiện thống kê báo cáo</t>
  </si>
  <si>
    <t>Chuyên viên phòng chuyên môn, Lãnh đạo BNĐP thực hiện nhập điều kiện tìm kiếm Báo cáo số lượng tổ chức làm công tác thi đua, khen thưởng của bộ, ban, ngành, đoàn thể trung ương, tỉnh, thành phố trực thuộc trung ương. Hệ thống lọc theo điều kiện tìm kiếm và hiển thị kết quả trên màn hình</t>
  </si>
  <si>
    <t>Chuyên viên phòng chuyên môn, Lãnh đạo BNĐP thực hiện nhập điều kiện tìm kiếm Báo cáo số lượng công chức làm công tác thi đua, khen thưởng của bộ, ban, ngành đoàn thể trung ương, tỉnh, thành phố trực thuộc trung ương. Hệ thống lọc theo điều kiện tìm kiếm và hiển thị kết quả trên màn hình</t>
  </si>
  <si>
    <t>Quản lý dự thảo tờ trình phong trào thi đua - vai trò đơn vị trình hồ sơ</t>
  </si>
  <si>
    <t>Quản lý dự thảo tờ trình - vai trò đơn vị trình hồ sơ</t>
  </si>
  <si>
    <t>Xử lý tờ trình với vai trò lãnh đạo Bộ, Ban, Ngành, đoàn thể Trung Ương, Tỉnh, thành phố (sau đây gọi là Lãnh đạo BNĐP)- đơn vị nhận tờ trình đến</t>
  </si>
  <si>
    <t>Quản lý phong trào thi đua - vai trò lãnh đạo Bộ, Ban, Ngành, đoàn thể Trung Ương, Tỉnh, thành phố</t>
  </si>
  <si>
    <t>Quản lý Tờ trình đến đã gửi - vai trò lãnh đạo Bộ, Ban, Ngành, đoàn thể Trung Ương, Tỉnh, thành phố</t>
  </si>
  <si>
    <t>Tờ trình đã trả lại đơn vị trình - vai trò lãnh đạo Bộ, Ban, Ngành, đoàn thể Trung Ương, Tỉnh, thành phố</t>
  </si>
  <si>
    <t>Tạo tờ trình trình Thủ tướng Chính phủ - vai trò lãnh đạo Bộ, Ban, Ngành, đoàn thể Trung Ương, Tỉnh, thành phố</t>
  </si>
  <si>
    <t>Quản lý tờ trình đến của đơn vị - vai trò lãnh đạo Bộ, Ban, Ngành, đoàn thể Trung Ương, Tỉnh, thành phố</t>
  </si>
  <si>
    <t>Quản lý tờ trình đang xử lý tại Văn phòng Chính phủ - vai trò lãnh đạo Bộ, Ban, Ngành, đoàn thể Trung Ương, Tỉnh, thành phố</t>
  </si>
  <si>
    <t>Quản lý các trường hợp có quyết định - vai trò lãnh đạo Bộ, Ban, Ngành, đoàn thể Trung Ương, Tỉnh, thành phố</t>
  </si>
  <si>
    <t>Theo dõi vết xử lý tờ trình - vai trò lãnh đạo Bộ, Ban, Ngành, đoàn thể Trung Ương, Tỉnh, thành phố</t>
  </si>
  <si>
    <t>Quản lý danh sách cá nhân được đề nghị khen thưởng - vai trò lãnh đạo Bộ, Ban, Ngành, đoàn thể Trung Ương, Tỉnh, thành phố</t>
  </si>
  <si>
    <t>Quản lý danh sách cơ quan được đề nghị khen thưởng - vai trò lãnh đạo Bộ, Ban, Ngành, đoàn thể Trung Ương, Tỉnh, thành phố</t>
  </si>
  <si>
    <t>Quản lý danh sách doanh nghiệp được đề nghị khen thưởng - vai trò lãnh đạo Bộ, Ban, Ngành, đoàn thể Trung Ương, Tỉnh, thành phố</t>
  </si>
  <si>
    <t>Quản lý danh sách đối tượng khác được đề nghị khen thưởng - vai trò lãnh đạo Bộ, Ban, Ngành, đoàn thể Trung Ương, Tỉnh, thành phố</t>
  </si>
  <si>
    <t>Tổng hợp kết quả xử lý tờ trình - vai trò lãnh đạo Bộ, Ban, Ngành, đoàn thể Trung Ương, Tỉnh, thành phố</t>
  </si>
  <si>
    <t xml:space="preserve">Xử lý tờ trình với vai trò lãnh đạo Văn phòng thuộc Bộ, Ban, Ngành, đoàn thể Trung Ương, Tỉnh, thành phố (sau đây gọi là Lãnh đạo Văn phòng trực thuộc </t>
  </si>
  <si>
    <t>Quản lý phong trào thi đua - vai trò lãnh đạo Văn phòng thuộc Bộ, Ban, Ngành, đoàn thể Trung Ương, Tỉnh, thành phố</t>
  </si>
  <si>
    <t>Quản lý Tờ trình đến đã gửi - vai trò lãnh đạo Văn phòng thuộc Bộ, Ban, Ngành, đoàn thể Trung Ương, Tỉnh, thành phố</t>
  </si>
  <si>
    <t>Tờ trình đã trả lại đơn vị trình - vai trò lãnh đạo Văn phòng thuộc Bộ, Ban, Ngành, đoàn thể Trung Ương, Tỉnh, thành phố</t>
  </si>
  <si>
    <t>Quản lý tờ trình đến của đơn vị - vai trò lãnh đạo Văn phòng thuộc Bộ, Ban, Ngành, đoàn thể Trung Ương, Tỉnh, thành phố</t>
  </si>
  <si>
    <t>Tờ trình đang xử lý tại Văn phòng Chính phủ - vai trò lãnh đạo Văn phòng thuộc Bộ, Ban, Ngành, đoàn thể Trung Ương, Tỉnh, thành phố</t>
  </si>
  <si>
    <t>Quản lý các trường hợp có quyết định - vai trò lãnh đạo Văn phòng thuộc Bộ, Ban, Ngành, đoàn thể Trung Ương, Tỉnh, thành phố</t>
  </si>
  <si>
    <t>Quản lý các trường hợp trả lại - vai trò lãnh đạo Văn phòng thuộc Bộ, Ban, Ngành, đoàn thể Trung Ương, Tỉnh, thành phố</t>
  </si>
  <si>
    <t>Quản lý trường hợp tạm để lại - vai trò lãnh đạo Văn phòng thuộc Bộ, Ban, Ngành, đoàn thể Trung Ương, Tỉnh, thành phố</t>
  </si>
  <si>
    <t>Theo dõi vết xử lý tờ trình - vai trò lãnh đạo Văn phòng thuộc Bộ, Ban, Ngành, đoàn thể Trung Ương, Tỉnh, thành phố</t>
  </si>
  <si>
    <t>Quản lý danh sách cá nhân được đề nghị khen thưởng - vai trò lãnh đạo Văn phòng thuộc Bộ, Ban, Ngành, đoàn thể Trung Ương, Tỉnh, thành phố</t>
  </si>
  <si>
    <t>Quản lý danh sách cơ quan được đề nghị khen thưởng - vai trò lãnh đạo Văn phòng thuộc Bộ, Ban, Ngành, đoàn thể Trung Ương, Tỉnh, thành phố</t>
  </si>
  <si>
    <t>Quản lý danh sách doanh nghiệp được đề nghị khen thưởng - vai trò lãnh đạo Văn phòng thuộc Bộ, Ban, Ngành, đoàn thể Trung Ương, Tỉnh, thành phố</t>
  </si>
  <si>
    <t>Quản lý danh sách đối tượng khác được đề nghị khen thưởng - vai trò lãnh đạo Văn phòng thuộc Bộ, Ban, Ngành, đoàn thể Trung Ương, Tỉnh, thành phố</t>
  </si>
  <si>
    <t>Tổng hợp kết quả xử lý tờ trình - vai trò lãnh đạo Văn phòng thuộc Bộ, Ban, Ngành, đoàn thể Trung Ương, Tỉnh, thành phố</t>
  </si>
  <si>
    <t>Xử lý tờ trình với vai trò lãnh đạo Phòng chuyên môn thuộc Bộ, Ban, Ngành, đoàn thể Trung Ương, Tỉnh, thành phố (sau đây gọi là Lãnh đạo phòng chuyên môn trực thuộc BNĐP) - đơn vị nhận tờ trình đến</t>
  </si>
  <si>
    <t>Quản lý Tờ trình đến đã gửi - vai trò lãnh đạo Phòng chuyên môn thuộc Bộ, Ban, Ngành, đoàn thể Trung Ương, Tỉnh, thành phố</t>
  </si>
  <si>
    <t>Tờ trình đã trả lại đơn vị trình - vai trò lãnh đạo Phòng chuyên môn thuộc Bộ, Ban, Ngành, đoàn thể Trung Ương, Tỉnh, thành phố</t>
  </si>
  <si>
    <t>Quản lý tờ trình đến của đơn vị - vai trò lãnh đạo Phòng chuyên môn thuộc Bộ, Ban, Ngành, đoàn thể Trung Ương, Tỉnh, thành phố</t>
  </si>
  <si>
    <t>Quản lý các trường hợp có quyết định - vai trò lãnh đạo Phòng chuyên môn thuộc Bộ, Ban, Ngành, đoàn thể Trung Ương, Tỉnh, thành phố</t>
  </si>
  <si>
    <t>Quản lý các trường hợp trả lại - vai trò lãnh đạo Phòng chuyên môn thuộc Bộ, Ban, Ngành, đoàn thể Trung Ương, Tỉnh, thành phố</t>
  </si>
  <si>
    <t>Quản lý trường hợp tạm để lại - vai trò lãnh đạo Phòng chuyên môn thuộc Bộ, Ban, Ngành, đoàn thể Trung Ương, Tỉnh, thành phố</t>
  </si>
  <si>
    <t>Theo dõi vết xử lý tờ trình - vai trò lãnh đạo Phòng chuyên môn thuộc Bộ, Ban, Ngành, đoàn thể Trung Ương, Tỉnh, thành phố</t>
  </si>
  <si>
    <t>Quản lý danh sách cá nhân được đề nghị khen thưởng - vai trò lãnh đạo Phòng chuyên môn thuộc Bộ, Ban, Ngành, đoàn thể Trung Ương, Tỉnh, thành phố</t>
  </si>
  <si>
    <t>Quản lý danh sách cơ quan được đề nghị khen thưởng - vai trò lãnh đạo Phòng chuyên môn thuộc Bộ, Ban, Ngành, đoàn thể Trung Ương, Tỉnh, thành phố</t>
  </si>
  <si>
    <t>Quản lý danh sách doanh nghiệp được đề nghị khen thưởng - vai trò lãnh đạo Phòng chuyên môn thuộc Bộ, Ban, Ngành, đoàn thể Trung Ương, Tỉnh, thành phố</t>
  </si>
  <si>
    <t>Quản lý danh sách đối tượng khác được đề nghị khen thưởng - vai trò lãnh đạo Phòng chuyên môn thuộc Bộ, Ban, Ngành, đoàn thể Trung Ương, Tỉnh, thành phố</t>
  </si>
  <si>
    <t>Tổng hợp kết quả xử lý tờ trình - vai trò lãnh đạo Phòng chuyên môn thuộc Bộ, Ban, Ngành, đoàn thể Trung Ương, Tỉnh, thành phố</t>
  </si>
  <si>
    <t>Chuyên viên phòng chuyên môn, Lãnh đạo BNĐP chỉnh sửa thiết kế Báo cáo số lượng công chức làm công tác thi đua, khen thưởng của bộ, ban, ngành đoàn thể trung ương, tỉnh, thành phố trực thuộc trung ương và chọn lưu. Hệ thống cập nhật dữ liệu hợp lệ và hiện thông báo chỉnh sửa thành công</t>
  </si>
  <si>
    <t>Chuyên viên phòng chuyên môn, Lãnh đạo BNĐP có thể Sao chép Báo cáo số lượng công chức làm công tác thi đua, khen thưởng của bộ, ban, ngành đoàn thể trung ương, tỉnh, thành phố trực thuộc trung ương. Hệ thống tạo ra thêm một biểu mẫu giống biểu mẫu ban đầu</t>
  </si>
  <si>
    <t>Chuyên viên phòng chuyên môn, Lãnh đạo BNĐP có thể xóa mẫu Báo cáo số lượng công chức làm công tác thi đua, khen thưởng của bộ, ban, ngành đoàn thể trung ương, tỉnh, thành phố trực thuộc trung ương. Hệ thống xóa báo cáo và trả về thông báo xóa thành công</t>
  </si>
  <si>
    <t>Chuyên viên phòng chuyên môn, Lãnh đạo BNĐP thực hiện Báo cáo số lượng công chức làm công tác thi đua, khen thưởng của bộ, ban, ngành đoàn thể trung ương, tỉnh, thành phố trực thuộc trung ương. Hệ thống hiển thị màn hình cho phép thực hiện nhập điều kiện thống kê báo cáo</t>
  </si>
  <si>
    <t>Quản trị hệ thống cấp cao thực hiện chủ động (thủ công) đồng bộ dữ liệu danh mục dùng chung. Hệ thống gửi yêu cầu đồng bộ dữ liệu đến LGSP. Hệ thống LGSP kết nối API tới Hệ thống CSDL danh mục dùng chung và gửi dữ liệu theo yêu cầu và Hệ thống cập nhật dữ liệu vào CSDL</t>
  </si>
  <si>
    <t>Quản trị hệ thống cấp cao thực hiện chủ động (thủ công) đồng bộ dữ liệu dùng chung. Hệ thống gửi yêu cầu đồng bộ dữ liệu đến LGSP. Hệ thống LGSP kết nối API tới Hệ thống CSDL dữ liệu dùng chung và gửi dữ liệu theo yêu cầu và Hệ thống cập nhật dữ liệu vào CSDL</t>
  </si>
  <si>
    <t>Quản trị hệ thống cấp cao có thể tra cứu nhật ký đồng bộ danh mục tài khoản người dùng từ hệ thống quản lý tài khoản dùng chung. Hệ thống tổng hợp dữ liệu theo tiêu chí và hiển thị nhật ký</t>
  </si>
  <si>
    <t>IX</t>
  </si>
  <si>
    <t>XI.1</t>
  </si>
  <si>
    <t>XI.2</t>
  </si>
  <si>
    <t>Quản lý nhóm tài khoản người dùng hệ thống CSDL về thi đua- khen thưởng</t>
  </si>
  <si>
    <t>Quản trị hệ thống cấp cao có thể thực hiện xem chi tiết thông tin của tham số hệ thống CSDL về thi đua- khen thưởng. Hệ thống hiển thị thông tin chi tiết tham số hệ thống CSDL về thi đua - khen thưởng</t>
  </si>
  <si>
    <t>Quản trị hệ thống cấp cao mở chức năng cấu hình thông tin chung. Hệ thống hiển thị trang thông tin đã cấu hình.</t>
  </si>
  <si>
    <t>Quản trị hệ thống cấp cao thực hiện xóa file giới thiệu chung đã đính kèm. Hệ thống cho phép xóa file đã chọn.</t>
  </si>
  <si>
    <t>Quản trị hệ thống cấp cao thực hiện tải xuống file giới thiệu chung đã đính kèm. Hệ thống cho phép tải file xuống thiết bị.</t>
  </si>
  <si>
    <t>Quản trị hệ thống cấp cao thực hiện xem thông tin giới thiệu chung. Hệ thống chuyển giao diện chi tiết giới thiệu chung.</t>
  </si>
  <si>
    <t>Quản trị hệ thống cấp cao xem thông tin hỗ trợ. Hệ thống hiển thị trang thông tin hỗ trợ.</t>
  </si>
  <si>
    <t>Quản trị hệ thống cấp cao thực hiện xoá thông tin hỗ trợ. Hệ thống kiểm tra và lưu thông tin</t>
  </si>
  <si>
    <t>Quản trị hệ thống BNĐP/Văn thư/Lãnh đạo BNĐP/Lãnh đạo Văn phòng BNĐP/Lãnh đạo phòng chuyên môn/Chuyên viên phòng chuyên môn</t>
  </si>
  <si>
    <t>Quản trị hệ thống BNĐP/Văn thư/Lãnh đạo BNĐP/Lãnh đạo Văn phòng BNĐP/Lãnh đạo phòng chuyên môn/Chuyên viên phòng chuyên môn nhấn thực hiện xem "Giới thiệu chung" tại hệ thống CSDL về thi đua- khen thưởng. Hệ thống hiển thị màn hình giới thiệu chung cho phép người dùng xem thông tin</t>
  </si>
  <si>
    <t>Quản trị hệ thống BNĐP/Văn thư/Lãnh đạo BNĐP/Lãnh đạo Văn phòng BNĐP/Lãnh đạo phòng chuyên môn/Chuyên viên phòng chuyên môn nhấn thực hiện xem thông tin "Liên hệ" tại hệ thống CSDL về thi đua- khen thưởng. Hệ thống hiển thị màn hình Liên hệ cho phép người dùng xem thông tin</t>
  </si>
  <si>
    <t>Quản trị hệ thống BNĐP/Văn thư/Lãnh đạo BNĐP/Lãnh đạo Văn phòng BNĐP/Lãnh đạo phòng chuyên môn/Chuyên viên phòng chuyên môn mở menu hỗ trợ/ hướng dẫn sử dụng. Hệ thống hiển thị các thông tin hỗ trợ và tài liệu hướng dẫn sử dụng đã tải lên.</t>
  </si>
  <si>
    <t>Quản trị hệ thống BNĐP/Văn thư/Lãnh đạo BNĐP/Lãnh đạo Văn phòng BNĐP/Lãnh đạo phòng chuyên môn/Chuyên viên phòng chuyên môn thực hiện xem hướng dẫn sử dụng. Hệ thống hiển thị màn hình xem chi tiết hướng dẫn sử dụng</t>
  </si>
  <si>
    <t>Quản trị hệ thống cấp cao/Quản trị hệ thống BNĐP/Văn thư/Lãnh đạo BNĐP/Lãnh đạo Văn phòng BNĐP/Lãnh đạo phòng chuyên môn/Chuyên viên phòng chuyên môn</t>
  </si>
  <si>
    <t>Quản trị hệ thống cấp cao/Quản trị hệ thống BNĐP/Văn thư/Lãnh đạo BNĐP/Lãnh đạo Văn phòng BNĐP/Lãnh đạo phòng chuyên môn/Chuyên viên phòng chuyên môn nhấn xem thông báo trên màn hình hệ thống CSDL về thi đua- khen thưởng. Hệ thống hiển thị danh sách thông báo cho phép người dùng xem thông tin</t>
  </si>
  <si>
    <t>Quản trị hệ thống cấp cao/Quản trị hệ thống BNĐP/Văn thư/Lãnh đạo BNĐP/Lãnh đạo Văn phòng BNĐP/Lãnh đạo phòng chuyên môn/Chuyên viên phòng chuyên môn dùng đánh dấu thông báo chưa đọc trên một thông báo đã đọc. Hệ thống chuyển trạng thái thông báo thành chưa đọc.</t>
  </si>
  <si>
    <t xml:space="preserve">Văn thư </t>
  </si>
  <si>
    <t xml:space="preserve">Lãnh đạo BNĐP, Văn thư </t>
  </si>
  <si>
    <t>Lãnh đạo Văn phòng BNĐP, Văn thư, Chuyên viên phòng chuyên môn</t>
  </si>
  <si>
    <t>Văn thư mở chức năng Tạo tờ trình phong trào thi đua. Hệ thống hiển thị nhập mới tờ trình đề xuất khen thưởng.</t>
  </si>
  <si>
    <t>Văn thư thực hiện chọn file phong trào thi đua từ thiết bị. Hệ thống kiểm tra dung lượng, định dạng file và nhận thông tin đính kèm nếu hợp lệ.</t>
  </si>
  <si>
    <t>Văn thư thực hiện lưu nháp tờ trình phong trào thi đua. Hệ thống thông báo đã lưu thành công</t>
  </si>
  <si>
    <t>Văn thư thực hiện xem thông tin ký số trên file phong trào thi đua. Hệ thống hiển thị thông tin của chứng thư số đã ký nếu có.</t>
  </si>
  <si>
    <t>Văn thư thực hiện xóa thông tin tham gia phong trào thi đua. Hệ thống thực hiện xóa đề xuất tham gia phong trào thi đua.</t>
  </si>
  <si>
    <t>Văn thư thực hiện thêm cá nhân, tổ chức, hộ gia đình vào dự thảo tờ trình. Hệ thống hiển thị giao diện cho phép nhập bổ sung đối tượng đề xuất.</t>
  </si>
  <si>
    <t>Văn thư thực hiện chọn file từ thiết bị. Hệ thống kiểm tra dung lượng, định dạng file và nhận thông tin đính kèm nếu hợp lệ.</t>
  </si>
  <si>
    <t>Văn thư thực hiện tìm kiếm TTHC/DVC liên quan. Hệ thống mở cửa sổ cho phép thực hiện TTHC/DVC liên quan.</t>
  </si>
  <si>
    <t>Văn thư thực hiện xem thông tin ký số trên file. Hệ thống hiển thị thông tin của chứng thư số đã ký nếu có.</t>
  </si>
  <si>
    <t>Văn thư thực hiện sửa thông tin dự thảo tờ trình và thực hiện Lưu thông tin điều chỉnh. Hệ thống kiểm tra dữ liệu và thông báo lưu thành công/ không thành công</t>
  </si>
  <si>
    <t>Văn thư thực hiện thêm cá nhân, tổ chức, hộ gia đình vào tờ trình. Hệ thống hiển thị giao diện cho phép nhập bổ sung đối tượng đề xuất.</t>
  </si>
  <si>
    <t>Văn thư thực hiện xem tờ trình đã gửi. Hệ thống mở giao diện chi tiết tờ trình tương ứng.</t>
  </si>
  <si>
    <t>Văn thư tải xuống xem thông tin tờ trình. Hệ thống cho phép tải file về thiết bị.</t>
  </si>
  <si>
    <t>Văn thư thực hiện xem chi tiết trường hợp có quyết định. Hệ thống mở giao diện bộ hồ sơ.</t>
  </si>
  <si>
    <t>Văn thư thực hiện tải xuống tệp tin đã đính kèm trong bộ hồ sơ đã có quyết định. Hệ thống cho phép tải file về thiết bị.</t>
  </si>
  <si>
    <t>Văn thư thực hiện xem thông tin ký số trên tệp tin đính kèm. Hệ thống hiển thị thông tin chứng thư số nếu có.</t>
  </si>
  <si>
    <t>Văn thư thực hiện tải xuống tệp tin đã đính kèm trong bộ hồ sơ đã trả lại. Hệ thống cho phép tải file về thiết bị.</t>
  </si>
  <si>
    <t>Văn thư thực hiện xem thông tin ký số trên tệp tin đính kèm trong bộ hồ sơ đã trả lại. Hệ thống hiển thị thông tin chứng thư số nếu có.</t>
  </si>
  <si>
    <t xml:space="preserve">Lãnh đạo BNĐP, Lãnh đạo Văn phòng BNĐP, Văn thư </t>
  </si>
  <si>
    <t>Quản trị hệ thống cấp cao/Quản trị hệ thống BNĐP/Văn thư/Lãnh đạo BNĐP/Lãnh đạo Văn phòng BNĐP/Lãnh đạo phòng chuyên môn/Chuyên viên phòng chuyên môn thực hiện đăng nhập vào hệ thống phần mềm thông qua nền tảng SSO trên LGSP. Hệ thống thực hiện nhận thông tin yêu cầu và điều hướng người dùng về trang đăng nhập tập trung trên LGSP.</t>
  </si>
  <si>
    <t>Quản trị hệ thống cấp cao/Quản trị hệ thống BNĐP/Văn thư/Lãnh đạo BNĐP/Lãnh đạo Văn phòng BNĐP/Lãnh đạo phòng chuyên môn/Chuyên viên phòng chuyên môn thực hiện nhập các thông tin tài khoản mật khẩu trên trang đăng nhâp SSO của LGSP. Hệ thống LGSP thực hiện kiểm tra thông tin hợp lệ, thông báo cho người sử dụng và điều hướng người dùng về phần mềm ứng dụng</t>
  </si>
  <si>
    <t>Quản trị hệ thống cấp cao/Quản trị hệ thống BNĐP/Văn thư/Lãnh đạo BNĐP/Lãnh đạo Văn phòng BNĐP/Lãnh đạo phòng chuyên môn/Chuyên viên phòng chuyên môn vào chức năng Quản lý tài khoản cá nhân. Hệ thống hiển thị màn hình Quản lý tài khoản cá nhân.</t>
  </si>
  <si>
    <t>Quản trị hệ thống cấp cao/Quản trị hệ thống BNĐP/Văn thư/Lãnh đạo BNĐP/Lãnh đạo Văn phòng BNĐP/Lãnh đạo phòng chuyên môn/Chuyên viên phòng chuyên môn thực hiện đổi mật khẩu. Hệ thống kiểm tra dữ liệu, nếu hợp lệ thì thực hiện mã hoá mật khẩu và lưu vào CSDL, nếu không hợp lệ thì thông báo lỗi cụ thể.</t>
  </si>
  <si>
    <t>Quản trị hệ thống cấp cao/Quản trị hệ thống BNĐP/Văn thư/Lãnh đạo BNĐP/Lãnh đạo Văn phòng BNĐP/Lãnh đạo phòng chuyên môn/Chuyên viên phòng chuyên môn sửa thông tin cá nhân. Hệ thống kiểm tra dữ liệu, nếu hợp lệ thì lưu vào CSDL, nếu không hợp lệ thì thông báo lỗi cụ thể cho người dùng.</t>
  </si>
  <si>
    <t>Quản trị hệ thống cấp cao/Quản trị hệ thống BNĐP/Văn thư/Lãnh đạo BNĐP/Lãnh đạo Văn phòng BNĐP/Lãnh đạo phòng chuyên môn/Chuyên viên phòng chuyên môn thực hiện truy cập vào hệ thống. Hệ thống hiển thị màn hình đăng nhập.</t>
  </si>
  <si>
    <t>Quản trị hệ thống cấp cao/Quản trị hệ thống BNĐP/Văn thư/Lãnh đạo BNĐP/Lãnh đạo Văn phòng BNĐP/Lãnh đạo phòng chuyên môn/Chuyên viên phòng chuyên môn nhập thông tin đăng nhập và nhấn Đăng nhập. Thông tin tài khoản được mã hoá và gửi đến hệ thống. Hệ thống thực hiện xác thực tài khoản, nếu hợp lệ thì hệ thống cho phép đăng nhập vào hệ thống và sử dụng các chức năng được phân theo vai trò đã gán cho người dùng, nếu không hợp lệ thì thông báo lỗi cụ thể.</t>
  </si>
  <si>
    <t>Quản trị hệ thống cấp cao/Quản trị hệ thống BNĐP/Văn thư/Lãnh đạo BNĐP/Lãnh đạo Văn phòng BNĐP/Lãnh đạo phòng chuyên môn/Chuyên viên phòng chuyên môn đăng nhập không thành công nhiều lần (theo cấu hình tại Thiết lập chính sách mật khẩu), hệ thống thực hiện khóa tài khoản trong một khoảng thời gian theo cấu hình tại Thiết lập chính sách mật khẩu và cảnh báo cho người dùng.</t>
  </si>
  <si>
    <t>Quản trị hệ thống cấp cao/Quản trị hệ thống BNĐP/Văn thư/Lãnh đạo BNĐP/Lãnh đạo Văn phòng BNĐP/Lãnh đạo phòng chuyên môn/Chuyên viên phòng chuyên môn đăng nhập thành công, nếu là lần đăng nhập đầu tiên vào hệ thống hoặc lần đăng nhập đầu tiên sau khi Quản trị hệ thống cấp cao reset mật khẩu thì hệ thống hiển thị màn hình yêu cầu đổi mật khẩu (nếu tính năng yêu cầu đổi mật khẩu lần đầu được bật).</t>
  </si>
  <si>
    <t>Quản trị hệ thống cấp cao/Quản trị hệ thống BNĐP/Văn thư/Lãnh đạo BNĐP/Lãnh đạo Văn phòng BNĐP/Lãnh đạo phòng chuyên môn/Chuyên viên phòng chuyên môn không có tương tác với hệ thống trong 1 khoảng thời gian (theo chính sách truy cập được thiết lập). Hệ thống hiển thị thông báo, đóng phiên kết nối đã hết hạn thời gian timeout và yêu cầu đăng nhập lại.</t>
  </si>
  <si>
    <t>Quản trị hệ thống cấp cao/Quản trị hệ thống BNĐP/Văn thư/Lãnh đạo BNĐP/Lãnh đạo Văn phòng BNĐP/Lãnh đạo phòng chuyên môn/Chuyên viên phòng chuyên môn sử dụng tài khoản để đăng nhập. Hệ thống kiểm tra địa chỉ mạng của người dùng và đối soát với chính sách về giới hạn địa chỉ mạng quản trị được phép truy cập, quản trị Phần mềm từ xa, nếu hợp lệ thì cho phép đăng nhập, nếu không hợp lệ thì báo lỗi cho người dùng.</t>
  </si>
  <si>
    <t>Quản trị hệ thống cấp cao/Quản trị hệ thống BNĐP/Văn thư/Lãnh đạo BNĐP/Lãnh đạo Văn phòng BNĐP/Lãnh đạo phòng chuyên môn/Chuyên viên phòng chuyên môn thực hiện chọn menu thông tin chung. Hệ thống hiển thị danh mục menu.</t>
  </si>
  <si>
    <t>Quản trị hệ thống cấp cao/Quản trị hệ thống BNĐP/Văn thư/Lãnh đạo BNĐP/Lãnh đạo Văn phòng BNĐP/Lãnh đạo phòng chuyên môn/Chuyên viên phòng chuyên môn thực hiện đăng xuất khỏi hệ thống. Hệ thống trở về màn hình đăng nhập.</t>
  </si>
  <si>
    <t>Quản trị hệ thống cấp cao thực hiện xem danh sách hội đồng thi đua, khen thưởng. Hệ thống hiển thị thông tin danh sách trên màn hình.</t>
  </si>
  <si>
    <t>Quản trị hệ thống cấp cao thực hiện tìm kiếm trong hội đồng thi đua, khen thưởng. Hệ thống hiển thị kết quả tìm kiếm trên màn hình.</t>
  </si>
  <si>
    <t>Quản trị hệ thống cấp cao thực hiện thêm mới hội đồng thi đua, khen thưởng và chọn lưu. Hệ thống kiểm tra tính hợp lệ dự liệu, nếu hợp lệ, thực hiện lưu vào CSDL, lưu lịch sử xử lý và hiển thị thông báo thành công.</t>
  </si>
  <si>
    <t>Quản trị hệ thống cấp cao thực hiện sửa thông tin hội đồng thi đua, khen thưởng và chọn lưu. Hệ thống kiểm tra tính hợp lệ dự liệu, nếu hợp lệ, thực hiện lưu vào CSDL, lưu lịch sử xử lý và hiển thị thông báo thành công.</t>
  </si>
  <si>
    <t>Quản trị hệ thống cấp cao thực hiện xoá hội đồng thi đua, khen thưởng. Hệ thống kiểm tra tính hợp lệ, thực hiện xoá và thông báo kết quả.</t>
  </si>
  <si>
    <t>Quản trị hệ thống cấp cao thực hiện xem danh sách thành phần trong hội đồng thi đua, khen thưởng. Hệ thống hiển thị danh sách thành phần trong hội đồng thi đua, khen thưởng</t>
  </si>
  <si>
    <t>Quản trị hệ thống cấp cao thực hiện thêm mới thành phần hội đồng thi đua, khen thưởng và chọn lưu. Hệ thống kiểm tra tính hợp lệ dự liệu, nếu hợp lệ, thực hiện lưu vào CSDL, lưu lịch sử xử lý và hiển thị thông báo thành công.</t>
  </si>
  <si>
    <t>Quản trị hệ thống cấp cao thực hiện sửa thành phần hội đồng thi đua, khen thưởng và chọn lưu. Hệ thống kiểm tra tính hợp lệ dự liệu, nếu hợp lệ, thực hiện lưu vào CSDL, lưu lịch sử xử lý và hiển thị thông báo thành công.</t>
  </si>
  <si>
    <t>Quản trị hệ thống cấp cao thực hiện xoá thành phần hội đồng thi đua, khen thưởng và chọn lưu. Hệ thống kiểm tra tính hợp lệ dự liệu, nếu hợp lệ, thực hiện lưu vào CSDL, lưu lịch sử xử lý và hiển thị thông báo thành công.</t>
  </si>
  <si>
    <t>Quản trị hệ thống cấp cao thực hiện xem danh sách cụm thi đua. Hệ thống hiển thị thông tin danh sách trên màn hình.</t>
  </si>
  <si>
    <t>Quản trị hệ thống cấp cao thực hiện tìm kiếm trong cụm thi đua. Hệ thống hiển thị kết quả tìm kiếm trên màn hình.</t>
  </si>
  <si>
    <t>Quản trị hệ thống cấp cao thực hiện thêm mới cụm thi đua và chọn lưu. Hệ thống kiểm tra tính hợp lệ dự liệu, nếu hợp lệ, thực hiện lưu vào CSDL, lưu lịch sử xử lý và hiển thị thông báo thành công.</t>
  </si>
  <si>
    <t>Quản trị hệ thống cấp cao thực hiện sửa thông tin cụm thi đua và chọn lưu. Hệ thống kiểm tra tính hợp lệ dự liệu, nếu hợp lệ, thực hiện lưu vào CSDL, lưu lịch sử xử lý và hiển thị thông báo thành công.</t>
  </si>
  <si>
    <t>Quản trị hệ thống cấp cao thực hiện xoá cụm thi đua. Hệ thống kiểm tra tính hợp lệ, thực hiện xoá và thông báo kết quả.</t>
  </si>
  <si>
    <t>Quản trị hệ thống cấp cao có thể thực hiện thêm người dùng vào nhóm tài khoản người dùng. Hệ thống kiểm tra điều kiện ràng buộc dữ liệu, nếu hợp lệ sẽ lưu thông tin và thông báo kết quả.</t>
  </si>
  <si>
    <t>Quản trị hệ thống cấp cao có thể thực hiện thêm mới 1 chức năng của hệ thống CSDL về thi đua- khen thưởng bằng cách nhập thông tin và Lưu. Hệ thống kiểm tra điều kiện dữ liệu, nếu hợp lệ sẽ lưu thông tin và hiển thị thông báo lưu thành công</t>
  </si>
  <si>
    <t>Quản trị hệ thống cấp cao có thể thực hiện sửa một chức năng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</si>
  <si>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cấp cao có thể thực hiện xóa chức năng hệ thống CSDL về thi đua- khen thưởng đã khai báo bằng cách nhập thông tin liên quan và Lưu. Hệ thống kiểm tra điều kiện ràng buộc dữ liệu, nếu hợp lệ sẽ xóa thông tin và hiển thị thông báo xóa thành công</t>
  </si>
  <si>
    <t>Quản trị hệ thống cấp cao có thể thực hiện thêm mới một vai trò của hệ thống CSDL về thi đua- khen thưởng bằng cách nhập thông tin và Lưu. Hệ thống kiểm tra điều kiện dữ liệu, nếu hợp lệ sẽ lưu thông tin và hiển thị thông báo lưu thành công</t>
  </si>
  <si>
    <t>Quản trị hệ thống cấp cao có thể thực hiện sửa một vai trò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</si>
  <si>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cấp cao có thể thực hiện xóa một vai trò hệ thống CSDL về thi đua- khen thưởng đã khai báo bằng cách nhập thông tin liên quan và Lưu. Hệ thống kiểm tra điều kiện ràng buộc dữ liệu, nếu hợp lệ sẽ xóa thông tin và hiển thị thông báo xóa thành công</t>
  </si>
  <si>
    <t>Quản trị hệ thống cấp cao, Quản trị hệ thống BNĐP có thể thực hiện thêm mới một tài khoản người dùng của hệ thống CSDL về thi đua- khen thưởng bằng cách nhập thông tin và Lưu. Hệ thống kiểm tra điều kiện dữ liệu, nếu hợp lệ sẽ lưu thông tin và hiển thị thông báo lưu thành công</t>
  </si>
  <si>
    <t>Quản trị hệ thống cấp cao, Quản trị hệ thống BNĐP có thể thực hiện sửa một tài khoản người dùng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</si>
  <si>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cấp cao, Quản trị hệ thống BNĐP có thể thực hiện xóa một tài khoản người dùng chưa đăng nhập lần nào trên hệ thống CSDL về thi đua- khen thưởng bằng cách nhập thông tin liên quan và Lưu. Hệ thống kiểm tra điều kiện ràng buộc dữ liệu, nếu hợp lệ sẽ xóa thông tin và hiển thị thông báo xóa thành công</t>
  </si>
  <si>
    <t>Quản trị hệ thống cấp cao có thể thực hiện xóa một nhóm tài khoản người dùng chưa đăng nhập lần nào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</si>
  <si>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phong trào thi đua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</si>
  <si>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phong trào thi đua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</si>
  <si>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thêm mới một quy trình Tiếp nhận và giải quyết đơn thư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</si>
  <si>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Tiếp nhận và giải quyết đơn thư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</si>
  <si>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Tiếp nhận và giải quyết đơn thư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</si>
  <si>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quy trình Quản lý văn bản đi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</si>
  <si>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Quản lý văn bản đi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</si>
  <si>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Quản lý văn bản đi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</si>
  <si>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quy trình Quản lý văn bản đến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</si>
  <si>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Quản lý văn bản đến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</si>
  <si>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Quản lý văn bản đến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</si>
  <si>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quy trình Tiếp công dân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</si>
  <si>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Tiếp công dân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</si>
  <si>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Tiếp công dân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</si>
  <si>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quy trình khai thác tài liệu lưu trữ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</si>
  <si>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khai thác tài liệu lưu trữ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</si>
  <si>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khai thác tài liệu lưu trữ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</si>
  <si>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thêm mới một quy trình cấp đổi, cấp lại hiện vật khen thưởng cấp nhà nước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</si>
  <si>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cấp đổi, cấp lại hiện vật khen thưởng cấp nhà nước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</si>
  <si>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cấp đổi, cấp lại hiện vật khen thưởng cấp nhà nước trên hệ thống CSDL về thi đua- khen thưởng bằng cách nhập thông tin liên quan và Lưu. Hệ thống kiểm tra điều kiện ràng buộc dữ liệu, nếu hợp lệ sẽ xóa thông tin và hiển thị thông báo xóa thành công</t>
  </si>
  <si>
    <t>Văn thư có thể xem chi tiết thông tin đối tượng khen thưởng. Hệ thống hiện thị chi tiết thông tin đối tượng khen thưởng</t>
  </si>
  <si>
    <t>Văn thư có thể xem chi tiết thông tin đối tượng thi đua. Hệ thống hiện thị chi tiết thông tin đối tượng thi đua</t>
  </si>
  <si>
    <t>Cấu hình thông tin giới thiệu chung</t>
  </si>
  <si>
    <t>Cấu hình thông tin liên hệ</t>
  </si>
  <si>
    <t>Quản trị hệ thống cấp cao thực hiện chỉnh sửa thông tin giới thiệu chung và chọn lưu. Hệ thống kiểm tra và lưu thông tin</t>
  </si>
  <si>
    <t>Quản trị hệ thống cấp cao thực hiện chỉnh sửa thông tin liên hệ và chọn lưu. Hệ thống kiểm tra và lưu thông tin</t>
  </si>
  <si>
    <t>Quản trị hệ thống cấp cao thực hiện chỉnh xoá thông tin liên hệ và chọn lưu. Hệ thống kiểm tra và lưu thông tin</t>
  </si>
  <si>
    <t>Ký số bằng USB Token</t>
  </si>
  <si>
    <t>Lãnh đạo BNĐP thực hiện ký số trên tờ trình. Hệ thống mở giao diện file tờ trình đã lập.</t>
  </si>
  <si>
    <t>Lãnh đạo BNĐP chọn ký số bằng USB Token. Hệ thống cho phép ký số bằng usb token của Ban Cơ yếu Chính phủ trên file.</t>
  </si>
  <si>
    <t>Lãnh đạo BNĐP mở chức năng Cấu hình chữ ký số cá nhân. Hệ thống hiển thị màn hình cấu hình chữ ký số cá nhân</t>
  </si>
  <si>
    <t>Lãnh đạo BNĐP thực hiện cấu hình hình ảnh chữ ký số. Hệ thống kiểm tra và thông báo thành công/ không thành công</t>
  </si>
  <si>
    <t>Lãnh đạo BNĐP thực hiện cấu hình hình thức ký số. Hệ thống kiểm tra và thông báo thành công/ không thành công</t>
  </si>
  <si>
    <t>Lãnh đạo BNĐP hủy cấu hình hình ảnh chữ ký số. Hệ thống hủy lưu thông tin cấu hình ảnh chữ ký số</t>
  </si>
  <si>
    <t>Lãnh đạo BNĐP hủy cấu hình hình thức ký số. Hệ thống hủy lưu thông tin cấu hình hình thức ký số</t>
  </si>
  <si>
    <t>Quản trị hệ thống cấp cao có thể sửa cấu hình dữ liệu dùng chung theo phân cấp đơn vị. Hệ thống kiểm tra và lưu thông tin cấu hình dữ liệu dùng chung theo phân cấp đơn vị.</t>
  </si>
  <si>
    <t>Quản trị hệ thống cấp cao có thể tạo mới cấu hình dữ liệu dùng chung theo phân cấp đơn vị. Hệ thống thực hiện kiểm tra và lưu thông tin cấu hình dữ liệu dùng chung theo phân cấp đơn vị.</t>
  </si>
  <si>
    <t>Quản trị hệ thống cấp cao có thể xem chi tiết danh sách cấu hình dữ liệu theo phân cấp đơn vị. Hệ thống hiển thị chi tiết danh sách cấu hình dữ liệu phân cấp đơn vị.</t>
  </si>
  <si>
    <t>Quản trị hệ thống cấp cao có thể xem danh sách cấu hình dữ liệu theo phân cấp đơn vị. Hệ thống hiển thị danh sách cấu hình dữ liệu phân cấp đơn vị.</t>
  </si>
  <si>
    <t>Quản trị hệ thống cấp cao có thể tìm kiếm danh sách cấu hình dữ liệu theo phân cấp đơn vị. Hệ thống thực hiện tìm kiếm và hiển thị kết quả tìm kiếm trên màn hình.</t>
  </si>
  <si>
    <t>Quản trị hệ thống cấp cao có thể khoá/mở khoá cấu hình dữ liệu dùng chung theo phân cấp đơn vị.Hệ thống thực hiện khoá/mở khoá cấu hình dữ liệu dùng chung theo phần cấp đơn vị.</t>
  </si>
  <si>
    <t>Quản trị hệ thống cấp cao thực hiện xoá thông tin giới thiệu chung và chọn lưu. Hệ thống kiểm tra và lưu thông tin</t>
  </si>
  <si>
    <t>Quản trị hệ thống cấp cao thực hiện xem thông tin liên hệ. Hệ thống chuyển giao diện chi tiết liên hệ.</t>
  </si>
  <si>
    <t>Quản trị hệ thống cấp cao thực hiện sửa thông tin hỗ trợ và chọn lưu. Hệ thống kiểm tra và lưu thông tin chỉnh sửa</t>
  </si>
  <si>
    <t>Quản trị hệ thống cấp cao có thể thực hiện tìm kiếm danh sách chức năng hệ thống CSDL về thi đua- khen thưởng đã lưu trong hệ thống bằng cách nhập điều kiện và thực hiện tìm kiếm. Hệ thống trả kết quả tìm kiếm theo điều kiện đã nhập</t>
  </si>
  <si>
    <t>Quản trị hệ thống cấp cao có thể thực hiện tìm kiếm danh sách vai trò hệ thống CSDL về thi đua- khen thưởng đã lưu trong hệ thống bằng cách nhập điều kiện và thực hiện tìm kiếm. Hệ thống trả kết quả tìm kiếm theo điều kiện đã nhập</t>
  </si>
  <si>
    <t>Quản trị hệ thống cấp cao có thể thực hiện tìm kiếm danh sách tài khoản người dùng hệ thống CSDL về thi đua- khen thưởng đã lưu trong hệ thống bằng cách nhập điều kiện và thực hiện tìm kiếm. Hệ thống trả kết quả tìm kiếm theo điều kiện đã nhập</t>
  </si>
  <si>
    <t>Quản trị hệ thống cấp cao có thể thực hiện tìm kiếm danh sách tham số hệ thống CSDL về thi đua- khen thưởng đã lưu trong hệ thống bằng cách nhập điều kiện và thực hiện tìm kiếm. Hệ thống trả kết quả tìm kiếm theo điều kiện đã nhập</t>
  </si>
  <si>
    <t xml:space="preserve">Hệ thống LGSP gọi dịch vụ cung cấp thông tin danh mục dùng chung. Hệ thống Xác thực định danh truy cập dịch vụ; tìm kiếm dữ liệu theo tham số đầu vào. Trường hợp xác thực thành công, hệ thống xác định được định danh và quyền của hệ thống khác để cho phép thực hiện giao dịch tiếp theo, ngược lại hệ thống thông báo cho hệ thống khác biết và từ chối thực hiện giao dịch tiếp. </t>
  </si>
  <si>
    <t>Hệ thống tìm kiếm dữ liệu thông tin xử lý danh mục dùng chung, đóng gói dữ liệu và trả lại cho hệ thống khác gọi đến.</t>
  </si>
  <si>
    <t>Quản trị hệ thống cấp cao có thể sắp xếp thông tin danh sách cấu hình dữ liệu theo phân cấp đơn vị. Hệ thống thực hiện tìm kiếm và trả về danh sách sắp xếp theo yêu cầu.</t>
  </si>
  <si>
    <t>Lãnh đạo Văn phòng BNĐP thực hiện xem danh sách cơ quan trình đề xuất khen thưởng trong phong trào thi đua. Hệ thống hiển thị danh sách cơ quan, đơn vị đã trình hồ sơ gán với phong trào tương ứng.</t>
  </si>
  <si>
    <t>Lãnh đạo Văn phòng BNĐP nhập tiêu chí tìm kiếm và thực hiện tìm kiếm. Hệ thống trả về danh sách tờ trình đến thỏa mãn điều kiện.</t>
  </si>
  <si>
    <t>Lãnh đạo Văn phòng BNĐP nhập tiêu chí tìm kiếm và thực hiện tìm kiếm tờ trình đã trả lại. Hệ thống trả về danh sách tờ trình đến thỏa mãn điều kiện.</t>
  </si>
  <si>
    <t>Lãnh đạo Văn phòng BNĐP thực hiện xem tờ trình đã trả lại. Hệ thống mở giao diện chi tiết tờ trình tương ứng.</t>
  </si>
  <si>
    <t>Lãnh đạo Văn phòng BNĐP thực hiện mở xem thông tin lý do trả lại. Hệ thống hiển thị chi tiết nội dung lý do trả lại đơn vị trình</t>
  </si>
  <si>
    <t>Lãnh đạo Văn phòng BNĐP nhập tiêu chí tìm kiếm tờ trình đến và thực hiện tìm kiếm. Hệ thống trả về danh sách tờ trình đến thỏa mãn điều kiện.</t>
  </si>
  <si>
    <t>Lãnh đạo Văn phòng BNĐP thực hiện xem tờ trình đến của đơn vị. Hệ thống mở giao diện chi tiết hồ sơ của đơn vị.</t>
  </si>
  <si>
    <t>Lãnh đạo Văn phòng BNĐP nhập tiêu chí tìm kiếm và thực hiện tìm kiếm trên danh sách tờ trình đang xử lý tại Văn phòng chính phủ. Hệ thống trả về danh sách tờ trình thỏa mãn điều kiện.</t>
  </si>
  <si>
    <t>Lãnh đạo Văn phòng BNĐP thực hiện xem chi tiết tờ trình đã gửi đi. Hệ thống mở giao diện bộ hồ sơ đã trình.</t>
  </si>
  <si>
    <t>Lãnh đạo Văn phòng BNĐP thực hiện tải xuống tệp tin đã đính kèm trong bộ hồ sơ. Hệ thống cho phép tải file về thiết bị.</t>
  </si>
  <si>
    <t>Lãnh đạo Văn phòng BNĐP thực hiện xem thông tin ký số trên tệp tin. Hệ thống hiển thị thông tin chứng thư số nếu có.</t>
  </si>
  <si>
    <t>Lãnh đạo Văn phòng BNĐP nhập tiêu chí tìm kiếm các trường hợp có quyết định và thực hiện tìm kiếm. Hệ thống trả về danh sách tờ trình đã có quyết định.</t>
  </si>
  <si>
    <t>Lãnh đạo Văn phòng BNĐP thực hiện xem chi tiết trường hợp có quyết định. Hệ thống mở giao diện bộ hồ sơ.</t>
  </si>
  <si>
    <t>Lãnh đạo Văn phòng BNĐP thực hiện tải xuống tệp tin đã đính kèm trong bộ hồ sơ đã có quyết định. Hệ thống cho phép tải file về thiết bị.</t>
  </si>
  <si>
    <t>Lãnh đạo Văn phòng BNĐP thực hiện xem thông tin ký số trên tệp tin đính kèm. Hệ thống hiển thị thông tin chứng thư số nếu có.</t>
  </si>
  <si>
    <t>Lãnh đạo Văn phòng BNĐP nhập tiêu chí tìm kiếm các trường hợp trả lại và thực hiện tìm kiếm. Hệ thống trả về danh sách tờ trình đã trả lại đơn vị trình.</t>
  </si>
  <si>
    <t>Lãnh đạo Văn phòng BNĐP thực hiện xem chi tiết trường hợp đã trả lại. Hệ thống mở giao diện bộ hồ sơ.</t>
  </si>
  <si>
    <t>Lãnh đạo Văn phòng BNĐP thực hiện tải xuống tệp tin đã đính kèm trong bộ hồ sơ đã trả lại. Hệ thống cho phép tải file về thiết bị.</t>
  </si>
  <si>
    <t>Lãnh đạo Văn phòng BNĐP thực hiện xem thông tin ký số trên tệp tin đính kèm trong bộ hồ sơ đã trả lại. Hệ thống hiển thị thông tin chứng thư số nếu có.</t>
  </si>
  <si>
    <t>Quản trị hệ thống cấp cao thực hiện tải lên file word/pdf hướng dẫn đính kèm. Hệ thống cho phép đính kèm file không vượt quá 30Mb.</t>
  </si>
  <si>
    <t>Quản trị hệ thống cấp cao thực hiện tải lên file word/pdf giới thiệu chung đính kèm. Hệ thống cho phép đính kèm file không vượt quá 30Mb.</t>
  </si>
  <si>
    <t>Văn thư thực hiện đính kèm file word/pdf thông tin phong trào thi đua. Hệ thống mở cửa sổ cho phép thực hiện tải file từ thiết bị.</t>
  </si>
  <si>
    <t>Văn thư thực hiện import danh sách đề xuất từ file excel. Hệ thống cho phép đính kèm file import nếu đúng định dạng và không vượt quá dung lượng cho phép.</t>
  </si>
  <si>
    <t>Lãnh đạo BNĐP xem chi tiết tài liệu cần ký số. Hệ thống hiển thị chi tiết tài liệu</t>
  </si>
  <si>
    <t>Quản lý "Đối tượng khen thưởng"</t>
  </si>
  <si>
    <t>Quản trị hệ thống cấp cao có thể thực hiện tìm kiếm trong danh sách "Đối tượng khen thưởng" đã lưu trong hệ thống bằng cách nhập điều kiện và thực hiện tìm kiếm. Hệ thống trả kết quả tìm kiếm theo điều kiện đã nhập</t>
  </si>
  <si>
    <t>Quản trị hệ thống cấp cao có thể thực hiện thêm mới đối tượng khen thưởng trong "Đối tượng khen thưởng". Hệ thống kiểm tra và lưu thông tin.</t>
  </si>
  <si>
    <t>Quản trị hệ thống cấp cao có thể thực hiện sửa thông tin đối tượng khen thưởng trong "Đối tượng khen thưởng". Hệ thống kiểm tra và lưu thông tin.</t>
  </si>
  <si>
    <t>Quản trị hệ thống cấp cao có thể thực hiện xoá đối tượng khen thưởng trong "Đối tượng khen thưởng". Hệ thống kiểm tra và xoá đối tượng khen thưởng.</t>
  </si>
  <si>
    <t>Quản trị hệ thống cấp cao có thể thực hiện tìm kiếm trong danh sách cơ quan, đơn vị đã lưu trong hệ thống bằng cách nhập điều kiện và thực hiện tìm kiếm. Hệ thống trả kết quả tìm kiếm theo điều kiện đã nhập</t>
  </si>
  <si>
    <t>Quản lý "Tính chất tặng"</t>
  </si>
  <si>
    <t>Quản trị hệ thống cấp cao có thể thực hiện tìm kiếm trong danh sách "Tính chất tặng" đã lưu trong hệ thống bằng cách nhập điều kiện và thực hiện tìm kiếm. Hệ thống trả kết quả tìm kiếm theo điều kiện đã nhập</t>
  </si>
  <si>
    <t>Quản trị hệ thống cấp cao có thể thực hiện thêm mới tính chất tặng trong "Tính chất tặng". Hệ thống kiểm tra và lưu thông tin.</t>
  </si>
  <si>
    <t>Quản trị hệ thống cấp cao có thể thực hiện sửa thông tin tính chất tặng trong "Tính chất tặng". Hệ thống kiểm tra và lưu thông tin.</t>
  </si>
  <si>
    <t>Quản trị hệ thống cấp cao có thể thực hiện xoá tính chất tặng trong "Tính chất tặng". Hệ thống kiểm tra và xoá Tính chất tặng.</t>
  </si>
  <si>
    <t>Quản lý "Hình thức khen thưởng"</t>
  </si>
  <si>
    <t>Quản trị hệ thống cấp cao có thể thực hiện tìm kiếm trong danh sách "Hình thức khen thưởng" đã lưu trong hệ thống bằng cách nhập điều kiện và thực hiện tìm kiếm. Hệ thống trả kết quả tìm kiếm theo điều kiện đã nhập</t>
  </si>
  <si>
    <t>Quản lý "Phương thức khen thưởng"</t>
  </si>
  <si>
    <t>Quản trị hệ thống cấp cao có thể thực hiện tìm kiếm trong danh sách "Phương thức khen thưởng" đã lưu trong hệ thống bằng cách nhập điều kiện và thực hiện tìm kiếm. Hệ thống trả kết quả tìm kiếm theo điều kiện đã nhập</t>
  </si>
  <si>
    <t>Quản trị hệ thống cấp cao có thể thực hiện thêm mới phương thức khen thưởng trong "Phương thức khen thưởng". Hệ thống kiểm tra và lưu thông tin.</t>
  </si>
  <si>
    <t>Quản trị hệ thống cấp cao có thể thực hiện sửa thông tin phương thức khen thưởng trong "Phương thức khen thưởng". Hệ thống kiểm tra và lưu thông tin.</t>
  </si>
  <si>
    <t>Quản trị hệ thống cấp cao có thể thực hiện xoá phương thức khen thưởng trong "Phương thức khen thưởng". Hệ thống kiểm tra và xoá Phương thức khen thưởng.</t>
  </si>
  <si>
    <t>Quản lý "Danh hiệu thi đua"</t>
  </si>
  <si>
    <t>Quản trị hệ thống cấp cao có thể thực hiện tìm kiếm trong danh sách "Danh hiệu thi đua" đã lưu trong hệ thống bằng cách nhập điều kiện và thực hiện tìm kiếm. Hệ thống trả kết quả tìm kiếm theo điều kiện đã nhập</t>
  </si>
  <si>
    <t>Quản lý "Loại khen thưởng"</t>
  </si>
  <si>
    <t>Quản trị hệ thống cấp cao có thể thực hiện tìm kiếm trong danh sách "Loại khen thưởng" đã lưu trong hệ thống bằng cách nhập điều kiện và thực hiện tìm kiếm. Hệ thống trả kết quả tìm kiếm theo điều kiện đã nhập</t>
  </si>
  <si>
    <t>Quản lý "Các hình thức kỷ luật"</t>
  </si>
  <si>
    <t>Quản trị hệ thống cấp cao có thể thực hiện tìm kiếm trong danh sách "Các hình thức kỷ luật" đã lưu trong hệ thống bằng cách nhập điều kiện và thực hiện tìm kiếm. Hệ thống trả kết quả tìm kiếm theo điều kiện đã nhập</t>
  </si>
  <si>
    <t>Quản lý "Lĩnh vực hoạt động"</t>
  </si>
  <si>
    <t>Quản trị hệ thống cấp cao có thể thực hiện tìm kiếm trong danh sách "Lĩnh vực hoạt động" đã lưu trong hệ thống bằng cách nhập điều kiện và thực hiện tìm kiếm. Hệ thống trả kết quả tìm kiếm theo điều kiện đã nhập</t>
  </si>
  <si>
    <t>Quản trị hệ thống cấp cao có thể thực hiện thêm mới Lĩnh vực hoạt động trong "Lĩnh vực hoạt động". Hệ thống kiểm tra và lưu thông tin.</t>
  </si>
  <si>
    <t>Quản trị hệ thống cấp cao có thể thực hiện sửa thông tin Lĩnh vực hoạt động trong "Lĩnh vực hoạt động". Hệ thống kiểm tra và lưu thông tin.</t>
  </si>
  <si>
    <t>Quản trị hệ thống cấp cao có thể thực hiện xoá Lĩnh vực hoạt động trong "Lĩnh vực hoạt động". Hệ thống kiểm tra và xoá Lĩnh vực hoạt động.</t>
  </si>
  <si>
    <t>API đẩy dữ liệu "Danh hiệu thi đua" để đồng bộ với CSDL dùng chung</t>
  </si>
  <si>
    <t>API đẩy dữ liệu "Hình thức khen thưởng" để đồng bộ với CSDL dùng chung</t>
  </si>
  <si>
    <t>API đẩy dữ liệu "Loại khen thưởng" để đồng bộ với CSDL dùng chung</t>
  </si>
  <si>
    <t>API đẩy dữ liệu "Các hình thức kỷ luật" để đồng bộ với CSDL dùng chung</t>
  </si>
  <si>
    <t>Quản lý tài khoản cá nhân</t>
  </si>
  <si>
    <t>Quản trị hệ thống cấp cao có thể thực hiện khoá "Đối tượng khen thưởng" bằng cách nhấn khoá. Hệ thống khoá và thông báo khoá thành công</t>
  </si>
  <si>
    <t>Quản trị hệ thống cấp cao có thể thực hiện mở khoá "Đối tượng khen thưởng" bằng cách nhấn mở khoá. Hệ thống mở khoá và thông báo mở khoá thành công</t>
  </si>
  <si>
    <t>Quản trị hệ thống cấp cao có thể thực hiện khoá cơ quan, đơn vị bằng cách nhấn khoá. Hệ thống khoá và thông báo khoá thành công</t>
  </si>
  <si>
    <t>Quản trị hệ thống cấp cao có thể thực hiện mở khoá cơ quan, đơn vị bằng cách nhấn mở khoá. Hệ thống mở khoá và thông báo mở khoá thành công</t>
  </si>
  <si>
    <t>Quản trị hệ thống cấp cao có thể thực hiện khoá "Tính chất tặng" bằng cách nhấn khoá. Hệ thống khoá và thông báo khoá thành công</t>
  </si>
  <si>
    <t>Quản trị hệ thống cấp cao có thể thực hiện mở khoá "Tính chất tặng" bằng cách nhấn mở khoá. Hệ thống mở khoá và thông báo mở khoá thành công</t>
  </si>
  <si>
    <t>Quản trị hệ thống cấp cao có thể thực hiện khoá "Hình thức khen thưởng" bằng cách nhấn khoá. Hệ thống khoá và thông báo khoá thành công</t>
  </si>
  <si>
    <t>Quản trị hệ thống cấp cao có thể thực hiện mở khoá "Hình thức khen thưởng" bằng cách nhấn mở khoá. Hệ thống mở khoá và thông báo mở khoá thành công</t>
  </si>
  <si>
    <t>Quản trị hệ thống cấp cao có thể thực hiện khoá "Phương thức khen thưởng" bằng cách nhấn khoá. Hệ thống khoá và thông báo khoá thành công</t>
  </si>
  <si>
    <t>Quản trị hệ thống cấp cao có thể thực hiện mở khoá "Phương thức khen thưởng" bằng cách nhấn mở khoá. Hệ thống mở khoá và thông báo mở khoá thành công</t>
  </si>
  <si>
    <t>Quản trị hệ thống cấp cao có thể thực hiện khoá "Danh hiệu thi đua" bằng cách nhấn khoá. Hệ thống khoá và thông báo khoá thành công</t>
  </si>
  <si>
    <t>Quản trị hệ thống cấp cao có thể thực hiện mở khoá "Danh hiệu thi đua" bằng cách nhấn mở khoá. Hệ thống mở khoá và thông báo mở khoá thành công</t>
  </si>
  <si>
    <t>Quản trị hệ thống cấp cao có thể thực hiện khoá "Loại khen thưởng" bằng cách nhấn khoá. Hệ thống khoá và thông báo khoá thành công</t>
  </si>
  <si>
    <t>Quản trị hệ thống cấp cao có thể thực hiện mở khoá "Loại khen thưởng" bằng cách nhấn mở khoá. Hệ thống mở khoá và thông báo mở khoá thành công</t>
  </si>
  <si>
    <t>Quản trị hệ thống cấp cao có thể thực hiện khoá "Các hình thức kỷ luật" bằng cách nhấn khoá. Hệ thống khoá và thông báo khoá thành công</t>
  </si>
  <si>
    <t>Quản trị hệ thống cấp cao có thể thực hiện mở khoá "Các hình thức kỷ luật" bằng cách nhấn mở khoá. Hệ thống mở khoá và thông báo mở khoá thành công</t>
  </si>
  <si>
    <t>Quản trị hệ thống cấp cao có thể thực hiện khoá "Lĩnh vực hoạt động" bằng cách nhấn khoá. Hệ thống khoá và thông báo khoá thành công</t>
  </si>
  <si>
    <t>Quản trị hệ thống cấp cao có thể thực hiện mở khoá "Lĩnh vực hoạt động" bằng cách nhấn mở khoá. Hệ thống mở khoá và thông báo mở khoá thành công</t>
  </si>
  <si>
    <t>Quản trị hệ thống cấp cao có thể thực hiện xuất một bản ghi hoặc nhiều bản ghi dữ liệu "Đối tượng khen thưởng" ra file excel. Hệ thống thực hiện kiểm tra và xuất dữ liệu theo điều kiện thực hiện ra file excel.</t>
  </si>
  <si>
    <t>Quản trị hệ thống cấp cao có thể thực hiện xem phân trang thông tin "Đối tượng khen thưởng" bằng cách nhấn vào phân trang. Hệ thống xử lý chuyển đến trang đã chọn</t>
  </si>
  <si>
    <t>Quản trị hệ thống cấp cao có thể xuất thông tin danh sách cấu hình dữ liệu theo phân cấp đơn vị. Hệ thống thực hiện ra file excel.</t>
  </si>
  <si>
    <t>Quản trị hệ thống cấp cao có thể thực hiện xuất một bản ghi hoặc nhiều bản ghi dữ liệu cơ quan, đơn vị ra file excel. Hệ thống thực hiện kiểm tra và xuất dữ liệu theo điều kiện thực hiện ra file excel</t>
  </si>
  <si>
    <t>Quản trị hệ thống cấp cao có thể thực hiện xuất một bản ghi hoặc nhiều bản ghi dữ liệu "Tính chất tặng" ra file excel. Hệ thống thực hiện kiểm tra và xuất dữ liệu theo điều kiện thực hiện ra file excel</t>
  </si>
  <si>
    <t>Quản trị hệ thống cấp cao có thể thực hiện xuất một bản ghi hoặc nhiều bản ghi dữ liệu "Hình thức khen thưởng" ra file excel. Hệ thống thực hiện kiểm tra và xuất dữ liệu theo điều kiện thực hiện ra file excel</t>
  </si>
  <si>
    <t>Quản trị hệ thống cấp cao có thể thực hiện xuất một bản ghi hoặc nhiều bản ghi dữ liệu "Phương thức khen thưởng" ra file excel. Hệ thống thực hiện kiểm tra và xuất dữ liệu theo điều kiện thực hiện ra file excel</t>
  </si>
  <si>
    <t>Quản trị hệ thống cấp cao có thể thực hiện xuất một bản ghi hoặc nhiều bản ghi dữ liệu "Danh hiệu thi đua" ra file excel. Hệ thống thực hiện kiểm tra và xuất dữ liệu theo điều kiện thực hiện ra file excel</t>
  </si>
  <si>
    <t>Quản trị hệ thống cấp cao có thể thực hiện xuất một bản ghi hoặc nhiều bản ghi dữ liệu "Loại khen thưởng" ra file excel. Hệ thống thực hiện kiểm tra và xuất dữ liệu theo điều kiện thực hiện ra file excel</t>
  </si>
  <si>
    <t>Quản trị hệ thống cấp cao có thể thực hiện xuất một bản ghi hoặc nhiều bản ghi dữ liệu "Các hình thức kỷ luật" ra file excel. Hệ thống thực hiện kiểm tra và xuất dữ liệu theo điều kiện thực hiện ra file excel</t>
  </si>
  <si>
    <t>Quản trị hệ thống cấp cao có thể thực hiện xuất một bản ghi hoặc nhiều bản ghi dữ liệu "Lĩnh vực hoạt động" ra file excel. Hệ thống thực hiện kiểm tra và xuất dữ liệu theo điều kiện thực hiện ra file excel</t>
  </si>
  <si>
    <t>Văn thư có thể thực hiện xuất một bản ghi hoặc nhiều bản ghi dữ liệu thông tin đối tượng khen thưởng ra file excel. Hệ thống thực hiện kiểm tra và xuất dữ liệu theo điều kiện ra file excel</t>
  </si>
  <si>
    <t>Văn thư có thể thực hiện xuất một bản ghi hoặc nhiều bản ghi dữ liệu thông tin đối tượng thi đua ra file excel. Hệ thống thực hiện kiểm tra và xuất dữ liệu theo điều kiện ra file excel</t>
  </si>
  <si>
    <t>Quản trị hệ thống cấp cao có thể thực hiện xem phân trang thông tin cơ quan, đơn vị bằng cách nhấn vào phân trang. Hệ thống xử lý chuyển đến trang đã chọn</t>
  </si>
  <si>
    <t>Quản trị hệ thống cấp cao có thể thực hiện xem phân trang "Tính chất tặng" bằng cách nhấn vào phân trang. Hệ thống xử lý chuyển đến trang đã chọn</t>
  </si>
  <si>
    <t>Quản trị hệ thống có thể thực hiện xem phân trang "Hình thức khen thưởng" bằng cách nhấn vào phân trang. Hệ thống xử lý chuyển đến trang đã chọn</t>
  </si>
  <si>
    <t>Quản trị hệ thống cấp cao có thể thực hiện xem phân trang "Phương thức khen thưởng" bằng cách nhấn vào phân trang. Hệ thống xử lý chuyển đến trang đã chọn</t>
  </si>
  <si>
    <t>Quản trị hệ thống cấp cao có thể thực hiện xem phân trang "Danh hiệu thi đua" bằng cách nhấn vào phân trang. Hệ thống xử lý chuyển đến trang đã chọn</t>
  </si>
  <si>
    <t>Quản trị hệ thống cấp cao có thể thực hiện xem phân trang "Loại khen thưởng" bằng cách nhấn vào phân trang. Hệ thống xử lý chuyển đến trang đã chọn</t>
  </si>
  <si>
    <t>Quản trị hệ thống cấp cao có thể thực hiện xem phân trang "Các hình thức kỷ luật" bằng cách nhấn vào phân trang. Hệ thống xử lý chuyển đến trang đã chọn</t>
  </si>
  <si>
    <t>Quản trị hệ thống cấp cao có thể thực hiện xem phân trang "Lĩnh vực hoạt động" bằng cách nhấn vào phân trang. Hệ thống xử lý chuyển đến trang đã chọn</t>
  </si>
  <si>
    <t>Văn thư có thể thực hiện xem phân trang thông tin đối tượng khen thưởng bằng cách nhấn vào phân trang. Hệ thống xử lý chuyển đến trang đã chọn</t>
  </si>
  <si>
    <t>Văn thư có thể thực hiện xem phân trang thông tin đối tượng thi đua bằng cách nhấn vào phân trang. Hệ thống xử lý chuyển đến trang đã chọn</t>
  </si>
  <si>
    <t>Quản trị hệ thống cấp cao có thể thực hiện xuất ra file excel các thành phần danh sách hội đồng thi đua. Hệ thống thực hiện kiểm tra và xuất dữ liệu theo điều kiện thực hiện ra file excel</t>
  </si>
  <si>
    <t>Quản trị hệ thống BNĐP/Văn thư/Lãnh đạo BNĐP/Lãnh đạo Văn phòng BNĐP/Lãnh đạo phòng chuyên môn/Chuyên viên phòng chuyên môn mở chức năng Thông tin chung. Hệ thống hiển thị 2 chức năng "Giới thiệu chung" và "Liên hệ" tại hệ thống CSDL về thi đua- khen thưởng</t>
  </si>
  <si>
    <t>Quản trị hệ thống BNĐP/Văn thư/Lãnh đạo BNĐP/Lãnh đạo Văn phòng BNĐP/Lãnh đạo phòng chuyên môn/Chuyên viên phòng chuyên môn thực hiện tải xuống file hướng dẫn sử dụng. Hệ thống thực hiện tải file hướng dẫn sử dụng.</t>
  </si>
  <si>
    <t>Quản trị hệ thống cấp cao/Quản trị hệ thống BNĐP/Văn thư/Lãnh đạo BNĐP/Lãnh đạo Văn phòng BNĐP/Lãnh đạo phòng chuyên môn/Chuyên viên phòng chuyên môn chọn xem thông báo trên danh sách thông báo. Hệ thống chuyển trang chức năng tương ứng nếu thông báo được gán kèm link chức năng.</t>
  </si>
  <si>
    <t>Quản trị hệ thống cấp cao/Quản trị hệ thống BNĐP/Văn thư/Lãnh đạo BNĐP/Lãnh đạo Văn phòng BNĐP/Lãnh đạo phòng chuyên môn/Chuyên viên phòng chuyên môn có thể thực hiện đánh dấu một hoặc tất cả các thông báo là đã đọc. Hệ thống chuyển một hoặc toàn bộ thông báo chưa đọc sang đã đọc.</t>
  </si>
  <si>
    <t>Quản trị hệ thống cấp cao thực hiện gán vai trò cho người dùng. Hệ thống thực hiện lưu thông tin vào CSDL.</t>
  </si>
  <si>
    <t>Quản trị hệ thống cấp cao có thể khoá tài khoản người dùng. Hệ thống thực hiện khoá tài khoản người dùng.</t>
  </si>
  <si>
    <t>Quản trị hệ thống cấp cao thực hiện mở khoá tài khoản người dùng. Hệ thống thực hiện mở khoá tài khoản người dùng.</t>
  </si>
  <si>
    <t>Quản trị hệ thống cấp cao có thể thực hiện xem danh sách nhóm tài khoản người dùng. Hệ thống hiển thị danh sách nhóm tài khoản trên màn hình</t>
  </si>
  <si>
    <t>Quản trị hệ thống cấp cao có thể thực hiện tìm kiếm danh sách nhóm tài khoản người dùng đã lưu trong hệ thống bằng cách nhập điều kiện và thực hiện tìm kiếm. Hệ thống trả kết quả tìm kiếm theo điều kiện đã nhập</t>
  </si>
  <si>
    <t>Quản trị hệ thống cấp cao có thể thực hiện xem chi tiết nhóm tài khoản người dùng. Hệ thống hiên thị thông tin chi tiết</t>
  </si>
  <si>
    <t>Quản trị hệ thống cấp cao có thể thực hiện thêm mới một nhóm tài khoản người dùng bằng cách nhập thông tin và lưu. Hệ thống kiểm tra điều kiện dữ liệu, nếu hợp lệ sẽ lưu thông tin và hiển thị thông báo lưu thành công</t>
  </si>
  <si>
    <t>Quản trị hệ thống cấp cao có thể thực hiện sửa một nhóm tài khoản người dùng bằng cách cập nhật thông tin liên quan và lưu. Hệ thống kiểm tra điều kiện ràng buộc dữ liệu, nếu hợp lệ sẽ lưu thông tin mà người dùng cập nhật và hiển thị thông báo sửa thành công</t>
  </si>
  <si>
    <t>Quản trị hệ thống cấp cao có thể thực hiện thêm mới một tham số của hệ thống CSDL về thi đua- khen thưởng bằng cách nhập thông tin và lưu. Hệ thống kiểm tra điều kiện dữ liệu, nếu hợp lệ sẽ lưu thông tin và hiển thị thông báo lưu thành công</t>
  </si>
  <si>
    <t>Quản trị hệ thống cấp cao có thể thực hiện sửa một thông tin tham số hệ thống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</si>
  <si>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cấp cao có thể thực hiện xóa một tham số hệ hệ thống khi chưa được sử dụng trên hệ thống CSDL về thi đua- khen thưởng bằng cách nhập thông tin liên quan và lưu. Hệ thống kiểm tra điều kiện ràng buộc dữ liệu, nếu hợp lệ sẽ xóa thông tin và hiển thị thông báo xóa thành công</t>
  </si>
  <si>
    <t>Lãnh đạo BNĐP xóa cấu hình ảnh chữ ký số. Hệ thống kiểm tra và thực hiện xóa ảnh chữ ký số.</t>
  </si>
  <si>
    <t>Lãnh đạo BNĐP, Văn thư có thể thực hiện thêm mới một chỉ tiêu phong trào thi đua của hệ thống CSDL về thi đua- khen thưởng bằng cách nhập thông tin và lưu. Hệ thống kiểm tra điều kiện dữ liệu, nếu hợp lệ sẽ lưu thông tin và hiển thị thông báo lưu thành công</t>
  </si>
  <si>
    <t>Lãnh đạo BNĐP, Văn thư có thể thực hiện sửa một chỉ tiêu phong trào thi đua trên hệ thống CSDL về thi đua- khen thưởng bằng cách cập nhật thông tin liên quan và lưu. Hệ thống kiểm tra điều kiện ràng buộc dữ liệu, nếu hợp lệ sẽ lưu thông tin mà Lãnh đạo BNĐP, Văn thư cập nhật và hiển thị thông báo sửa thành công</t>
  </si>
  <si>
    <t>Lãnh đạo BNĐP, Văn thư có thể thực hiện xóa một chỉ tiêu phong trào thi đua trên hệ thống CSDL về thi đua- khen thưởng bằng cách nhập thông tin liên quan và lưu. Hệ thống kiểm tra điều kiện ràng buộc dữ liệu, nếu hợp lệ sẽ xóa thông tin và hiển thị thông báo xóa thành công</t>
  </si>
  <si>
    <t>Lãnh đạo BNĐP, Văn thư có thể thực hiện tìm kiếm danh sách chỉ tiêu phong trào thi đua hệ thống CSDL về thi đua- khen thưởng đã lưu trong hệ thống bằng cách nhập điều kiện tìm kiếm và thực hiện tìm kiếm. Hệ thống trả kết quả tìm kiếm theo điều kiện đã nhập</t>
  </si>
  <si>
    <t>Lãnh đạo BNĐP, Văn thư có thể thực hiện tìm kiếm nâng cao chỉ tiêu thông tin phong trào thi đua hệ thống CSDL về thi đua- khen thưởng đã lưu trong hệ thống bằng cách nhập điều kiện tìm kiếm và thực hiện tìm kiếm. Hệ thống trả kết quả tìm kiếm theo điều kiện đã nhập</t>
  </si>
  <si>
    <t>Lãnh đạo BNĐP, Văn thư có thể thực hiện sắp xếp theo thứ tự chỉ tiêu phong trào thi đua hệ thống CSDL về thi đua- khen thưởng đã lưu trong hệ thống bằng cách sắp xếp. Hệ thống trả kết quả sắp xếp theo điều kiện đã chọn.</t>
  </si>
  <si>
    <t>Lãnh đạo BNĐP, Văn thư có thể thực hiện xuất danh sách chỉ tiêu phong trào thi đua hệ thống CSDL về thi đua- khen thưởng đã lưu trong hệ thống bằng cách nhập điều kiện tìm kiếm và thực hiện tìm kiếm. Hệ thống thực hiện xuất danh sách theo các điều kiện đã nhập.</t>
  </si>
  <si>
    <t>Người dùng có thể thực hiện xóa một phong trào thi đua trên hệ thống CSDL về thi đua- khen thưởng. Hệ thống kiểm tra điều kiện ràng buộc dữ liệu, nếu hợp lệ sẽ xóa thông tin và hiển thị thông báo xóa thành công</t>
  </si>
  <si>
    <t>Người dùng có thể thực hiện tìm kiếm danh sách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</si>
  <si>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tìm kiếm nâng cao thông tin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</si>
  <si>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sắp xếp thứ tự danh sách phong trào thi đua. Hệ thống thực hiện sắp xếp và hiển thị danh sách đã sắp xếp trên màn hình.</t>
  </si>
  <si>
    <t>Người dùng có thể thực hiện xuất danh sách phong trào thi đua hệ thống CSDL về thi đua- khen thưởng đã lưu trong hệ thống bằng cách chọn xuất danh sách. Hệ thống thực hiện xuất danh sách.</t>
  </si>
  <si>
    <t>Người dùng có thể thực hiện xem chi tiết phong trào thi đua hệ thống CSDL về thi đua- khen thưởng. Hệ thống hiển thị thông tin chi tiết phong trào thi đua</t>
  </si>
  <si>
    <t>Lãnh đạo BNĐP, Văn thư có thể thực hiện xem chi tiết chỉ tiêu phong trào thi đua hệ thống CSDL về thi đua- khen thưởng. Hệ thống hiển thị thông tin chi tiết chỉ tiêu phong trào thi đua</t>
  </si>
  <si>
    <t>Văn thư thực hiện tìm kiếm thông tin đối tượng thi đua theo các điều kiện tìm kiếm và thực hiện tìm kiếm. Hệ thống thực hiện tìm kiếm và hiển thị kết quả trên màn hình.</t>
  </si>
  <si>
    <t>Văn thư thực hiện tìm kiếm thông tin đối tượng khen thưởng theo các điều kiện tìm kiếm và thực hiện tìm kiếm. Hệ thống thực hiện tìm kiếm và hiển thị kết quả trên màn hình.</t>
  </si>
  <si>
    <t>Người dùng có thể thực hiện thêm mới một đăng ký phong trào thi đua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</si>
  <si>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đăng ký phong trào thi đua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</si>
  <si>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đăng ký phong trào thi đua trên hệ thống CSDL về thi đua- khen thưởng. Hệ thống kiểm tra điều kiện ràng buộc dữ liệu, nếu hợp lệ sẽ xóa thông tin và hiển thị thông báo xóa thành công</t>
  </si>
  <si>
    <t>Người dùng có thể thực hiện xem chi tiết đăng ký phong trào thi đua hệ thống CSDL về thi đua- khen thưởng đã lưu. Hệ thống hiển thị thông tin chi tiết đăng ký tham gia phong trào thi đua trên màn hình.</t>
  </si>
  <si>
    <t>Người dùng có thể thực hiện tìm kiếm danh sách đăng ký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</si>
  <si>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tìm kiếm nâng cao thông tin đăng ký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</si>
  <si>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sắp xếp theo thứ tự đăng ký phong trào thi đua hệ thống CSDL về thi đua- khen thưởng. Hệ thống thực hiện sắp xếp và hiển thị kết quả trên màn hình.</t>
  </si>
  <si>
    <t>Người dùng có thể thực hiện xuất danh sách đăng ký phong trào thi đua hệ thống CSDL về thi đua- khen thưởng đã lưu. Hệ thống thực hiện xuất danh sách đăng ký phong trào thi đua.</t>
  </si>
  <si>
    <t>Người dùng có thể thực hiện tìm kiếm danh sách theo dõi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</si>
  <si>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tìm kiếm nâng cao thông tin theo dõi phong trào thi đua hệ thống CSDL về thi đua- khen thưởng đã lưu trong hệ thống bằng cách nhập điều kiện tìm kiếm và thực hiện tìm kiếm. Hệ thống trả kết quả tìm kiếm theo điều kiện đã nhập</t>
  </si>
  <si>
    <t>Người dùng có thể thực hiện sắp xếp theo thứ tự theo dõi phong trào thi đua hệ thống CSDL về thi đua- khen thưởng đã lưu trong hệ thống. Hệ thống hiển thị kết quả sau khi sắp xếp.</t>
  </si>
  <si>
    <t>Người dùng có thể thực hiện xuất danh sách theo dõi phong trào thi đua hệ thống CSDL về thi đua- khen thưởng đã lưu. Hệ thống thực hiện xuất danh sách theo dõi phòng trào thi đua.</t>
  </si>
  <si>
    <t>Văn thư xóa file hồ sơ phong trào thi đua đã đính kèm. Hệ thống thực hiện xóa file.</t>
  </si>
  <si>
    <t>Văn thư thực hiện tìm kiếm tờ trình phong trào thi đua liên quan. Hệ thống mở cửa sổ cho phép thực hiện tìm kiếm tờ trình phong trào thi đua liên quan.</t>
  </si>
  <si>
    <t>Văn thư thực hiện trình tờ trình phong trào thi đua sau khi đã chọn cá nhân/đơn vị nhận tờ trình. Hệ thống thông báo đã trình thành công</t>
  </si>
  <si>
    <t>Văn thư thực hiện xem chi tiết thông tin tham gia phong trào thi đua. Hệ thống cho phép xem chi tiết thông tin tham gia phong trào thi đua.</t>
  </si>
  <si>
    <t>Văn thư thực hiện thêm mới cá nhân, tập thể, hộ gia đình tham gia phong trào thi đua được đề xuất. Hệ thống cho phép nhập liệu danh sách cá nhân, tập thể, hộ gia đình đề xuất tham gia phong trào thi đua.</t>
  </si>
  <si>
    <t>Văn thư thực hiện sửa thông tin cá nhân, tập thể, hộ gia đình tham gia phong trào thi đua trong danh sách được đề xuất. Hệ thống cho phép chỉnh sửa thông tin và thực hiện lưu thay đổi.</t>
  </si>
  <si>
    <t>Văn thư thực hiện tìm kiếm danh sách thông tin tham gia phong trào thi đua được đề xuất. Hệ thống thực hiện tìm kiếm và trả về kết quả trên màn hình.</t>
  </si>
  <si>
    <t>Văn thư thực hiện tìm kiếm nâng cao danh sách thông tin tham gia phong trào thi đua được đề xuất. Hệ thống thực hiện tìm kiếm và trả về kết quả trên màn hình.</t>
  </si>
  <si>
    <t>Văn thư thực hiện sắp xếp danh sách thông tin tham gia phong trào thi đua trong danh sách được đề xuất. Hệ thống thực hiện sắp xếp và hiển thị danh sách trên màn hình.</t>
  </si>
  <si>
    <t>Văn thư thực hiện xuất danh sách thông tin tham gia phong trào thi đua được đề xuất. Hệ thống thực hiện tìm kiếm và trả về tệp (file excel/pdf) danh sách tham gia phong trào thi đua.</t>
  </si>
  <si>
    <t>Văn thư đơn vị trình thực hiện nhập kết hợp nhiều điều kiện tìm kiếm và xác nhận tìm kiếm. Hệ thống kiểm tra và hiển thị kết quả tìm kiếm trên trên màn hình.</t>
  </si>
  <si>
    <t>Văn thư đơn vị trình nhấn xem chi tiết dự thảo tờ trình. Hệ thống hiển thị chi tiết thông tin dự thảo tờ trình</t>
  </si>
  <si>
    <t>Văn thư đơn vị trình thực hiện sửa thông tin dự thảo tờ trình và thực hiện lưu thông tin điều chỉnh. Hệ thống kiểm tra dữ liệu và thông báo kết quả thực hiện.</t>
  </si>
  <si>
    <t>Văn thư đơn vị trình thực hiện xóa dự thảo tờ trình. Hệ thống kiểm tra và thông báo xóa tờ trình.</t>
  </si>
  <si>
    <t>Văn thư đơn vị trình có thể tải file khi xem chi tiết tờ trình. Hệ thống thực hiện tải file xuống thiết bị.</t>
  </si>
  <si>
    <t>Văn thư đơn vị trình có thể gửi tờ trình. Hệ thống hiển thị thông báo gửi thành công và chuyển trạng thái của tờ trình</t>
  </si>
  <si>
    <t>Văn thư xuất danh sách dự thảo tờ trình phong trào thi đua. Hệ thống thực hiện kiểm tra và xuất file.</t>
  </si>
  <si>
    <t>Văn thư có thể thực hiện tìm kiếm tờ trình hủy hồ sơ đề xuất phong trào thi đua đã lưu bằng cách nhập điều kiện tìm kiếm và thực hiện tìm kiếm. Hệ thống trả kết quả tìm kiếm theo điều kiện đã nhập</t>
  </si>
  <si>
    <t>Văn thư có thể thực hiện sửa tờ tình hủy hồ sơ đề xuất phong trào thi đua. Hệ thống kiểm tra điều kiện dữ liệu, lưu thông tin thay đổi và thông báo kết quả thực hiện.</t>
  </si>
  <si>
    <t>Văn thư có thể thực hiện xóa tờ trình hủy hồ sơ đề xuất phong trào thi đua và xác nhận xóa dữ liệu. Hệ thống kiểm tra điều kiện dữ liệu và thông báo kết quả thực hiện.</t>
  </si>
  <si>
    <t>Văn thư có thể thực hiện gửi tờ trình hủy hồ sơ đề xuất phong trào thi đua lên ban Thi đua Khen thưởng. Hệ thống thực hiện kiểm tra và gửi tờ trình.</t>
  </si>
  <si>
    <t>Văn thư có thể thực hiện xem chi tiết tờ trình hủy hồ sơ đề xuất phong trào thi đua. Hệ thống hiển thị thông tin tờ trình chi tiết.</t>
  </si>
  <si>
    <t>Văn thư chọn chức năng tạo tờ trình mới. Hệ thống hiển thị nhập mới tờ trình đề xuất khen thưởng.</t>
  </si>
  <si>
    <t>Văn thư thực hiện đính kèm file word/pdf/excel vào tờ trình. Hệ thống mở cửa sổ cho phép thực hiện chọn file từ thiết bị.</t>
  </si>
  <si>
    <t>Văn thư xóa file hồ sơ đã đính kèm. Hệ thống kiểm tra, xóa file và thông báo kết quả thực hiện.</t>
  </si>
  <si>
    <t>Văn thư thực hiện trình tờ trình sau khi đã chọn cá nhân/đơn vị nhận tờ trình. Hệ thống thông báo kết quả thực hiện.</t>
  </si>
  <si>
    <t>Văn thư thực hiện lưu nháp tờ trình. Hệ thống thực hiện lưu và thông báo kết quả thực hiện.</t>
  </si>
  <si>
    <t>Văn thư thực hiện thêm mới cá nhân đề xuất. Hệ thống cho phép nhập liệu cá nhân đề xuất khen thưởng.</t>
  </si>
  <si>
    <t>Văn thư thực hiện thêm mới tập thể đề xuất. Hệ thống cho phép nhập liệu tập thể đề xuất.</t>
  </si>
  <si>
    <t>Văn thư thực hiện thêm mới hộ gia đình đề xuất. Hệ thống cho phép thêm mới hộ gia đình đề xuất.</t>
  </si>
  <si>
    <t>Văn thư thực hiện nhập kết hợp nhiều điều kiện tìm kiếm và xác nhận tìm kiếm. Hệ thống kiểm tra và hiển thị kết quả tìm kiếm trên màn hình.</t>
  </si>
  <si>
    <t>Văn thư có thể xem chi tiết dự thảo tờ trình. Hệ thống hiển thị chi tiết thông tin dự thảo tờ trình</t>
  </si>
  <si>
    <t>Văn thư thực hiện xóa dự thảo tờ trình. Hệ thống kiểm tra và xoá dự thảo tờ trình, thông báo kết quả thực hiện.</t>
  </si>
  <si>
    <t>Văn thư có thể tải file khi xem chi tiết tờ trình. Hệ thống thực hiện tải file xuống thiết bị.</t>
  </si>
  <si>
    <t>Văn thư có thể thực hiện gửi tờ trình. Hệ thống thực hiện gửi tờ trình và chuyển trạng thái của tờ trình</t>
  </si>
  <si>
    <t>Văn thư xem chi tiết tờ trình bị trả lại. Hệ thống hiển thị chi tiết thông tin tờ trình bị trả lại</t>
  </si>
  <si>
    <t>Văn thư thực hiện sửa thông tin tờ trình bị trả lại và thực hiện lưu thông tin điều chỉnh. Hệ thống kiểm tra dữ liệu và thông báo kết quả thực hiện.</t>
  </si>
  <si>
    <t>Văn thư thực hiện xóa tờ trình bị trả lại. Hệ thống kiểm tra và thông báo kết quả thực hiện.</t>
  </si>
  <si>
    <t>Văn thư có thể tải file có trong tờ trình khi xem chi tiết tờ trình bị trả lại. Hệ thống tải file xuống thiết bị</t>
  </si>
  <si>
    <t>Văn thư thực hiện nhập điều kiện tìm kiếm và xác nhận tìm kiếm tờ trình bị trả lại. Hệ thống kiểm tra và hiển thị kết quả tìm kiếm trên màn hình.</t>
  </si>
  <si>
    <t xml:space="preserve">Văn thư thực hiện xem danh sách tờ trình đã chuyển cho Ban Thi đua Khen thưởng Trung ương. Hệ thống hiển thị danh sách tờ trình. </t>
  </si>
  <si>
    <t>Văn thư có thể xem chi tiết tờ trình đã chuyển cho Ban Thi đua khen thưởng Trung ương. Hệ thống hiển thị chi tiết thông tin tờ trình.</t>
  </si>
  <si>
    <t>Văn thư có thể tải file hồ sơ tờ trình khi xem chi tiết tờ trình đã chuyển cho Ban Thi đua khen thưởng Trung ương. Hệ thống tải file xuống thiết bị.</t>
  </si>
  <si>
    <t>Văn thư thực hiện nhập điều kiện tìm kiếm và xác nhận tìm kiếm tờ trình đã có quyết định của cấp có thẩm quyền. Hệ thống kiểm tra và hiển thị kết quả tìm kiếm trên màn hình.</t>
  </si>
  <si>
    <t>Văn thư thực hiện xem danh sách tờ trình đã có quyết định của cấp có thẩm quyền. Hệ thống hiển thị danh sách tờ trình.</t>
  </si>
  <si>
    <t>Văn thư có thể xem chi tiết tờ trình đã có quyết định của cấp có thẩm quyền. Hệ thống hiển thị chi tiết thông tin tờ trình.</t>
  </si>
  <si>
    <t>Văn thư có thể tải file hồ sơ tờ trình khi xem chi tiết tờ trình đã có quyết định của cấp có thẩm quyền. Hệ thống tải file xuống thiết bị</t>
  </si>
  <si>
    <t>Văn thư thực hiện xem danh sách tờ trình tạm để lại. Hệ thống hiển thị danh sách tờ trình.</t>
  </si>
  <si>
    <t>Quản lý các trường hợp tờ trình đã có quyết định của cấp có thẩm quyền - vai trò đơn vị trình hồ sơ</t>
  </si>
  <si>
    <t>Quản lý các trường hợp tờ trình tạm để lại - vai trò đơn vị trình hồ sơ</t>
  </si>
  <si>
    <t>Quản lý các trường hợp tờ trình trả lại - vai trò đơn vị trình hồ sơ</t>
  </si>
  <si>
    <t>Văn thư có thể xem quyết định gắn với tờ trình bằng các chọn tờ trình và chọn xem quyết định. Hệ thống hiển thị quyết định gắn với tờ trình được chọn.</t>
  </si>
  <si>
    <t>Văn thư thực hiện nhập điều kiện tìm kiếm và xác nhận tìm kiếm tờ trình tạm để lại. Hệ thống kiểm tra và hiển thị kết quả tìm kiếm trên màn hình.</t>
  </si>
  <si>
    <t>Văn thư có thể xem chi tiết tờ trình tạm để lại. Hệ thống hiển thị chi tiết thông tin tờ trình</t>
  </si>
  <si>
    <t>Văn thư có thể tải file hồ sơ tờ trình khi xem chi tiết tờ trình tạm để lại. Hệ thống tải file xuống thiết bị</t>
  </si>
  <si>
    <t>Văn thư thực hiện xem danh sách tờ trình trả lại. Hệ thống hiển thị danh sách tờ trình.</t>
  </si>
  <si>
    <t>Văn thư thực hiện tìm kiếm và xác nhận tìm kiếm tờ trình trả lại. Hệ thống kiểm tra và hiển thị kết quả tìm kiếm trên màn hình.</t>
  </si>
  <si>
    <t>Văn thư có thể xem chi tiết tờ trình trả lại. Hệ thống hiển thị chi tiết thông tin tờ trình</t>
  </si>
  <si>
    <t>Văn thư có thể tải file hồ sơ tờ trình khi xem chi tiết tờ trình trả lại. Hệ thống tải file xuống thiết bị</t>
  </si>
  <si>
    <t>Văn thư có thể thực hiện tìm kiếm tờ trình hủy hồ sơ đề xuất bằng cách nhập điều kiện tìm kiếm và thực hiện tìm kiếm. Hệ thống trả kết quả tìm kiếm theo điều kiện đã nhập</t>
  </si>
  <si>
    <t>Văn thư có thể thực hiện thêm mới tờ trình hủy hồ sơ đề xuất và chọn lưu. Hệ thống kiểm tra điều kiện dữ liệu, thực hiện lưu thông tin và thông báo kết quả thực hiện.</t>
  </si>
  <si>
    <t>Văn thư có thể thực hiện sửa tờ tình hủy hồ sơ đề xuất và chọn lưu. Hệ thống kiểm tra điều kiện dữ liệu, thực hiện lưu thông tin và thông báo kết quả thực hiện.</t>
  </si>
  <si>
    <t>Văn thư có thể thực hiện xóa tờ trình hủy hồ sơ đề xuất bằng cách nhấn xóa và xác nhận xóa dữ liệu. Hệ thống kiểm tra, thực hiện xoá tờ trình và thông báo kết quả thực hiện.</t>
  </si>
  <si>
    <t>Văn thư có thể thực hiện gửi tờ trình hủy hồ sơ đề xuất lên ban Thi đua Khen thưởng. Hệ thống kiểm tra, gửi tờ trình và thông báo kết quả thực hiện.</t>
  </si>
  <si>
    <t>Văn thư có thể thực hiện xem chi tiết tờ trình hủy hồ sơ đề xuất. Hệ thống hiển thị thông tin chi tiết tờ trình</t>
  </si>
  <si>
    <t>Văn thư có thể thực hiện thu hồi tờ trình hủy hồ sơ đề xuất đã được gửi lên ban Thi đua Khen thưởng trong thời gian tờ trình gửi lên chưa được xử lý. Hệ thống kiểm tra, thu hồi tờ trình được gửi và thông báo kết quả thực hiện.</t>
  </si>
  <si>
    <t>Văn thư thực hiện nhập điều kiện tìm kiếm và xác nhận tìm kiếm tờ trình đã chuyển. Hệ thống kiểm tra và hiển thị kết quả tìm kiếm trên màn hình.</t>
  </si>
  <si>
    <t>Văn thư có thể xem chi tiết tờ trình đã chuyển. Hệ thống hiển thị chi tiết thông tin tờ trình</t>
  </si>
  <si>
    <t>Văn thư có thể thực hiện sửa thông tin tờ trình đã chuyển và thực hiện lưu thông tin điều chỉnh. Hệ thống kiểm tra dữ liệu, lưu thông tin và thông báo kết quả thực hiện.</t>
  </si>
  <si>
    <t>Văn thư thực hiện xóa tờ trình đã chuyển. Hệ thống kiểm tra, xoá tờ trình và thông báo kết quả thực hiện.</t>
  </si>
  <si>
    <t>Văn thư có thể tải file excel danh sách tờ trình đã chuyển. Hệ thống tải file excel xuống thiết bị.</t>
  </si>
  <si>
    <t>Văn thư mở chức năng tờ trình đến đã gửi. Hệ thống hiển thị danh sách tờ trình đến đã gửi trong phạm vi phân quyền của tài khoản.</t>
  </si>
  <si>
    <t>Văn thư có thể tìm kiếm tờ trình đến đã gửi. Hệ thống trả về danh sách tờ trình đến theo điều kiện.</t>
  </si>
  <si>
    <t>Văn thư thực hiện thay đổi thông tin cán bộ nhận xử lý tờ trình. Hệ thống cho phép lựa chọn cán bộ mới trong phạm vi phân quyền.</t>
  </si>
  <si>
    <t>Quản lý các trường hợp tờ trình đã có quyết định - vai trò của Văn thư</t>
  </si>
  <si>
    <t>Văn thư nhập tiêu chí tìm kiếm các trường hợp tờ trình có quyết định và thực hiện tìm kiếm. Hệ thống trả về danh sách tờ trình đã có quyết định.</t>
  </si>
  <si>
    <t>Quản lý các trường hợp tờ trình trả lại - vai trò của Văn thư</t>
  </si>
  <si>
    <t>Văn thư nhập tiêu chí tìm kiếm các trường hợp tờ trình trả lại và thực hiện tìm kiếm. Hệ thống trả về danh sách tờ trình đã trả lại đơn vị trình.</t>
  </si>
  <si>
    <t>Văn thư thực hiện xem chi tiết trường hợp tờ trình đã trả lại. Hệ thống mở giao diện bộ hồ sơ.</t>
  </si>
  <si>
    <t>Quản lý trường hợp tờ trình tạm để lại - vai trò của Văn thư</t>
  </si>
  <si>
    <t>Văn thư nhập tiêu chí tìm kiếm các trường hợp tờ trình tạm để lại và thực hiện tìm kiếm. Hệ thống trả về danh sách tờ trình đã tạm để lại đơn vị trình.</t>
  </si>
  <si>
    <t>Văn thư thực hiện xem chi tiết trường hợp tờ trình tạm để lại. Hệ thống mở giao diện bộ hồ sơ.</t>
  </si>
  <si>
    <t>Văn thư thực hiện tải xuống tệp tin đã đính kèm trong bộ hồ sơ tạm để lại. Hệ thống cho phép tải file về thiết bị.</t>
  </si>
  <si>
    <t>Văn thư thực hiện xem thông tin ký số trên tệp tin đính kèm trong bộ hồ sơ tạm để lại. Hệ thống hiển thị thông tin chứng thư số nếu có.</t>
  </si>
  <si>
    <t>Văn thư thực hiện xem chi tiết tờ trình liên quan đến đối tượng khác được đề nghị khen thưởng. Hệ thống mở giao diện bộ hồ sơ.</t>
  </si>
  <si>
    <t>Văn thư thực hiện xem chi tiết tờ trình liên quan đến doanh nghiệp được đề nghị khen thưởng. Hệ thống mở giao diện bộ hồ sơ.</t>
  </si>
  <si>
    <t>Văn thư thực hiện xem chi tiết tờ trình liên quan đến cơ quan được đề nghị khen thưởng. Hệ thống mở giao diện bộ hồ sơ.</t>
  </si>
  <si>
    <t>Văn thư thực hiện xem chi tiết tờ trình liên quan đến cá nhân được đề nghị khen thưởng. Hệ thống mở giao diện bộ hồ sơ.</t>
  </si>
  <si>
    <t>Văn thư thực hiện tải xuống tệp tin đã đính kèm trong bộ hồ sơ của đối tượng khác được đề nghị khen thưởng. Hệ thống cho phép tải file về thiết bị.</t>
  </si>
  <si>
    <t>Văn thư thực hiện xem thông tin ký số trên tệp tin đính kèm trong bộ hồ sơ của đối tượng khác được đề nghị khen thưởng. Hệ thống hiển thị thông tin chứng thư số nếu có.</t>
  </si>
  <si>
    <t>Văn thư thực hiện tải xuống tệp tin đã đính kèm trong bộ hồ sơ của doanh nghiệp đượcđề nghị khen thưởng. Hệ thống cho phép tải file về thiết bị.</t>
  </si>
  <si>
    <t>Văn thư thực hiện xem thông tin ký số trên tệp tin đính kèm trong bộ hồ sơ của doanh nghiệp được đề nghị khen thưởng. Hệ thống hiển thị thông tin chứng thư số nếu có.</t>
  </si>
  <si>
    <t>Văn thư thực hiện xem thông tin ký số trên tệp tin đính kèm trong bộ hồ sơ của cơ quan được đề nghị khen thưởng. Hệ thống hiển thị thông tin chứng thư số nếu có.</t>
  </si>
  <si>
    <t>Văn thư thực hiện tải xuống tệp tin đã đính kèm trong bộ hồ sơ của cơ quan đượcđề nghị khen thưởng. Hệ thống cho phép tải file về thiết bị.</t>
  </si>
  <si>
    <t>Văn thư thực hiện tải xuống tệp tin đã đính kèm trong bộ hồ sơ của cá nhân được đề nghị khen thưởng. Hệ thống cho phép tải file về thiết bị.</t>
  </si>
  <si>
    <t>Văn thư thực hiện xem thông tin ký số trên tệp tin đính kèm trong bộ hồ sơ của cá nhân được đề nghị khen thưởng. Hệ thống hiển thị thông tin chứng thư số nếu có.</t>
  </si>
  <si>
    <t>Lãnh đạo BNĐP có thể thực hiện tìm kiếm trong danh sách phong trào thi đua bằng cách nhập điều kiện và thực hiện tìm kiếm. Hệ thống trả kết quả tìm kiếm theo điều kiện đã nhập</t>
  </si>
  <si>
    <t>Lãnh đạo BNĐP thực hiện xem danh sách cơ quan trình đề xuất khen thưởng trong phong trào thi đua. Hệ thống hiển thị danh sách cơ quan, đơn vị đã trình hồ sơ gán với phong trào thi đua tương ứng.</t>
  </si>
  <si>
    <t>Lãnh đạo BNĐP mở chức năng quản lý tờ trình đến đã gửi. Hệ thống hiển thị danh sách tờ trình đến đã gửi trong phạm vi phân quyền của tài khoản.</t>
  </si>
  <si>
    <t>Lãnh đạo BNĐP nhập tiêu chí tìm kiếm và thực hiện tìm kiếm. Hệ thống trả về danh sách tờ trình đến theo điều kiện tìm kiếm.</t>
  </si>
  <si>
    <t>Lãnh đạo BNĐP thực hiện xem tờ trình đến đã gửi. Hệ thống mở giao diện chi tiết tờ trình tương ứng.</t>
  </si>
  <si>
    <t>Lãnh đạo BNĐP thực hiện thay đổi thông tin cán bộ nhận xử lý tờ trình. Hệ thống cho phép thực hiện thay đổi thông tin cán bộ xử lý trong phạm vi phân quyền.</t>
  </si>
  <si>
    <t>Lãnh đạo BNĐP có thể tải xuống thông tin tờ trình. Hệ thống cho phép tải file về thiết bị.</t>
  </si>
  <si>
    <t>Lãnh đạo BNĐP mở chức năng quản lý tờ trình đến đã trả đơn vị trình. Hệ thống hiển thị danh sách tờ trình đến đã trả lại trong phạm vi phân quyền của tài khoản.</t>
  </si>
  <si>
    <t>Lãnh đạo BNĐP nhập tiêu chí tìm kiếm và thực hiện tìm kiếm tờ trình đã trả lại. Hệ thống trả về danh sách tờ trình đến theo điều kiện tìm kiếm.</t>
  </si>
  <si>
    <t>Lãnh đạo BNĐP tải xuống file thông tin tệp đính kèm trong hồ sơ. Hệ thống cho phép tải file về thiết bị.</t>
  </si>
  <si>
    <t>Lãnh đạo BNĐP nhập tiêu chí tìm kiếm tờ trình chờ gửi đi và thực hiện tìm kiếm. Hệ thống trả về danh sách tờ trình cần gửi đi theo điều kiện tìm kiếm.</t>
  </si>
  <si>
    <t>Lãnh đạo BNĐP thực hiện tải xuống tệp tin đính kèm trong bộ hồ sơ. Hệ thống cho phép tải tệp tin về thiết bị.</t>
  </si>
  <si>
    <t>Lãnh đạo BNĐP thực hiện mở bộ hồ sơ trình. Hệ thống mở giao diện chi tiết hồ sơ của đơn vị và thông tin chuyên viên phòng nghiệp vụ phê duyệt/ trả lại.</t>
  </si>
  <si>
    <t>Lãnh đạo BNĐP thực hiện trình tờ trình lên Thủ tưởng Chính phủ. Hệ thống thực hiện trình hồ sơ, hồ sơ được chuyển trạng thái đã trình Thủ tướng.</t>
  </si>
  <si>
    <t>Lãnh đạo BNĐP nhập tiêu chí tìm kiếm tờ trình đến của đơn vị và thực hiện tìm kiếm. Hệ thống trả về danh sách tờ trình đến theo điều kiện tìm kiếm.</t>
  </si>
  <si>
    <t>Lãnh đạo BNĐP có thể chọn nhiều tờ trình trên trang danh sách và thực hiện phê duyệt nhanh. Hệ thống cho phép phê duyệt nhanh.</t>
  </si>
  <si>
    <t>Lãnh đạo BNĐP thực hiện duyệt tờ trình. Hệ thống mở cửa sổ yêu cầu đơn vị xử lý tiếp theo trong luồng quy trình.</t>
  </si>
  <si>
    <t>Lãnh đạo BNĐP nhập thông tin trên cửa sổ yêu cầu đơn vị tiếp theo xử lý tờ trình và thực hiện gửi. Hệ thống chuyển hồ sơ tới đơn vị chuyên môn tương ứng.</t>
  </si>
  <si>
    <t>Lãnh đạo BNĐP nhập tiêu chí tìm kiếm và thực hiện tìm kiếm trên danh sách tờ trình đang xử lý tại Văn phòng chính phủ. Hệ thống trả về danh sách tờ trình theo điều kiện tìm kiếm.</t>
  </si>
  <si>
    <t>Lãnh đạo BNĐP thực hiện xem chi tiết tờ trình đã gửi đi đang được xử lý tại Văn phòng Chính phủ. Hệ thống mở giao diện bộ hồ sơ đã trình.</t>
  </si>
  <si>
    <t>Lãnh đạo BNĐP nhập tiêu chí tìm kiếm các trường hợp có quyết định và thực hiện tìm kiếm. Hệ thống trả về danh sách tờ trình đã có quyết định theo điều kiện tìm kiếm</t>
  </si>
  <si>
    <t>Lãnh đạo BNĐP thực hiện xem chi tiết trường hợp tờ trình đã trả lại. Hệ thống mở giao diện bộ hồ sơ.</t>
  </si>
  <si>
    <t>Lãnh đạo BNĐP nhập tiêu chí tìm kiếm các trường hợp tờ trình trả lại và thực hiện tìm kiếm. Hệ thống trả về danh sách tờ trình đã trả lại đơn vị trình theo tiêu chí tìm kiếm.</t>
  </si>
  <si>
    <t>Quản lý các trường hợp tờ trình trả lại - vai trò lãnh đạo Bộ, Ban, Ngành, đoàn thể Trung Ương, Tỉnh, thành phố</t>
  </si>
  <si>
    <t>Quản lý trường hợp tờ trình tạm để lại - vai trò lãnh đạo Bộ, Ban, Ngành, đoàn thể Trung Ương, Tỉnh, thành phố</t>
  </si>
  <si>
    <t>Lãnh đạo BNĐP nhập tiêu chí tìm kiếm các trường hợp tờ trình tạm để lại và thực hiện tìm kiếm. Hệ thống trả về danh sách tờ trình tạm để lại đơn vị trình.</t>
  </si>
  <si>
    <t>Lãnh đạo BNĐP thực hiện xem chi tiết trường hợp tạm để lại. Hệ thống mở giao diện bộ hồ sơ.</t>
  </si>
  <si>
    <t>Lãnh đạo BNĐP thực hiện tải xuống tệp tin đã đính kèm trong bộ hồ sơ tạm để lại. Hệ thống cho phép tải file về thiết bị.</t>
  </si>
  <si>
    <t>Lãnh đạo BNĐP thực hiện xem thông tin ký số trên tệp tin đính kèm trong bộ hồ sơ tạm để lại. Hệ thống hiển thị thông tin chứng thư số nếu có.</t>
  </si>
  <si>
    <t>Lãnh đạo BNĐP tra cứu tờ trình để theo dõi vết xử lý của tờ trình. Hệ thống trả về danh sách tờ trình theo điều kiện tìm kiếm.</t>
  </si>
  <si>
    <t>Lãnh đạo BNĐP tra cứu cá nhân được đề nghị khen thưởng. Hệ thống hiển thị danh sách cá nhân theo điều kiện tìm kiếm.</t>
  </si>
  <si>
    <t>Lãnh đạo BNĐP thực hiện tải xuống tệp tin đã đính kèm trong bộ hồ sơ của cá nhân được đề nghị khen thưởng. Hệ thống cho phép tải file về thiết bị.</t>
  </si>
  <si>
    <t>Lãnh đạo BNĐP thực hiện xem thông tin ký số trên tệp tin đính kèm trong bộ hồ sơ của cá nhân được đề nghị khen thưởng. Hệ thống hiển thị thông tin chứng thư số nếu có.</t>
  </si>
  <si>
    <t>Văn thư tra cứu cá nhân được đề nghị khen thưởng. Hệ thống hiển thị danh sách cá nhân theo điều kiện tìm kiếm</t>
  </si>
  <si>
    <t>Văn thư tra cứu cơ quan được đề nghị khen thưởng. Hệ thống hiển thị danh sách cơ quan theo điều kiện tìm kiếm</t>
  </si>
  <si>
    <t>Văn thư tra cứu doanh nghiệp được đề nghị khen thưởng. Hệ thống hiển thị danh sách doanh nghiệp theo điều kiện tìm kiếm</t>
  </si>
  <si>
    <t>Văn thư tra cứu đối tượng khác được đề nghị khen thưởng. Hệ thống hiển thị danh sách đối tượng khác theo điều kiện tìm kiếm</t>
  </si>
  <si>
    <t>Lãnh đạo BNĐP tra cứu cơ quan được đề nghị khen thưởng. Hệ thống hiển thị danh sách cơ quan theo điều kiện tìm kiếm</t>
  </si>
  <si>
    <t>Lãnh đạo BNĐP tra cứu doanh nghiệp được đề nghị khen thưởng. Hệ thống hiển thị danh sách doanh nghiệp theo điều kiện tìm kiếm</t>
  </si>
  <si>
    <t>Lãnh đạo BNĐP tra cứu đối tượng khác được đề nghị khen thưởng. Hệ thống hiển thị danh sách đối tượng khác theo điều kiện tìm kiếm</t>
  </si>
  <si>
    <t>Lãnh đạo Văn phòng BNĐP tra cứu cá nhân được đề nghị khen thưởng. Hệ thống hiển thị danh sách cá nhân theo điều kiện tìm kiếm</t>
  </si>
  <si>
    <t>Lãnh đạo Văn phòng BNĐP tra cứu cơ quan được đề nghị khen thưởng. Hệ thống hiển thị danh sách cơ quan theo điều kiện tìm kiếm</t>
  </si>
  <si>
    <t>Lãnh đạo Văn phòng BNĐP tra cứu doanh nghiệp được đề nghị khen thưởng. Hệ thống hiển thị danh sách doanh nghiệp theo điều kiện tìm kiếm</t>
  </si>
  <si>
    <t>Lãnh đạo Văn phòng BNĐP tra cứu đối tượng khác được đề nghị khen thưởng. Hệ thống hiển thị danh sách đối tượng khác theo điều kiện tìm kiếm</t>
  </si>
  <si>
    <t>Lãnh đạo BNĐP thực hiện xem chi tiết tờ trình liên quan đến cá nhân được đề nghị khen thưởng. Hệ thống mở giao diện bộ hồ sơ.</t>
  </si>
  <si>
    <t>Lãnh đạo BNĐP thực hiện tải xuống tệp tin đã đính kèm trong bộ hồ sơ của cơ quan được đề nghị khen thưởng. Hệ thống cho phép tải file về thiết bị.</t>
  </si>
  <si>
    <t>Lãnh đạo BNĐP thực hiện xem thông tin ký số trên tệp tin đính kèm trong bộ hồ sơ của cơ quan được đề nghị khen thưởng. Hệ thống hiển thị thông tin chứng thư số nếu có.</t>
  </si>
  <si>
    <t>Lãnh đạo BNĐP thực hiện tải xuống tệp tin đã đính kèm trong bộ hồ sơ của doanh nghiệp được đề nghị khen thưởng. Hệ thống cho phép tải file về thiết bị.</t>
  </si>
  <si>
    <t>Lãnh đạo BNĐP thực hiện xem thông tin ký số trên tệp tin đính kèm trong bộ hồ sơ của doanh nghiệp được đề nghị khen thưởng. Hệ thống hiển thị thông tin chứng thư số nếu có.</t>
  </si>
  <si>
    <t>Lãnh đạo BNĐP thực hiện xem chi tiết tờ trình liên quan đến doanh nghiệp được đề nghị khen thưởng. Hệ thống mở giao diện bộ hồ sơ.</t>
  </si>
  <si>
    <t>Lãnh đạo BNĐP thực hiện xem chi tiết tờ trình liên quan đến đối tượng khác được đề nghị khen thưởng. Hệ thống mở giao diện bộ hồ sơ.</t>
  </si>
  <si>
    <t>Lãnh đạo BNĐP thực hiện tải xuống tệp tin đã đính kèm trong bộ hồ sơ của đối tượng khác được đề nghị khen thưởng. Hệ thống cho phép tải file về thiết bị.</t>
  </si>
  <si>
    <t>Lãnh đạo BNĐP thực hiện xem thông tin ký số trên tệp tin đính kèm trong bộ hồ sơ của đối tượng khác được đề nghị khen thưởng. Hệ thống hiển thị thông tin chứng thư số nếu có.</t>
  </si>
  <si>
    <t>Lãnh đạo BNĐP thực hiện xem thống kê chi tiết kết quả xử lý tờ trình. Hệ thống hiển thị thống kê chi tiết xử lý tờ trình.</t>
  </si>
  <si>
    <t>Lãnh đạo BNĐP mở chức năng tổng hợp kết quả xử lý tờ trình. Hệ thống trả về tổng hợp kết quả xử lý tờ trình.</t>
  </si>
  <si>
    <t>Lãnh đạo BNĐP thực hiện xuất file thống kê kết quả xử lý tờ trình. Hệ thống thực hiện xuất file.</t>
  </si>
  <si>
    <t>Lãnh đạo Văn phòng BNĐP có thể thực hiện tìm kiếm trong danh sách phong trào thi đua đã lưu trong hệ thống bằng cách nhập điều kiện và thực hiện tìm kiếm. Hệ thống trả kết quả tìm kiếm theo điều kiện đã nhập</t>
  </si>
  <si>
    <t>Lãnh đạo Văn phòng BNĐP mở chức năng quản lý tờ trình đến đã gửi. Hệ thống hiển thị danh sách tờ trình đến đã gửi trong phạm vi phân quyền của tài khoản.</t>
  </si>
  <si>
    <t>Lãnh đạo Văn phòng BNĐP thực hiện xem tờ trình đến đã gửi. Hệ thống mở giao diện chi tiết tờ trình tương ứng.</t>
  </si>
  <si>
    <t>Lãnh đạo Văn phòng BNĐP thực hiện thay đổi thông tin cán bộ nhận xử lý tờ trình. Hệ thống cho phép lựa chọn cán bộ xử lý tờ trình trong phạm vi phân quyền.</t>
  </si>
  <si>
    <t>Lãnh đạo Văn phòng BNĐP tải xuống để xem thông tin tờ trình. Hệ thống cho phép tải file về thiết bị.</t>
  </si>
  <si>
    <t>Lãnh đạo Văn phòng BNĐP mở chức năng quản lý tờ trình đến đã trả đơn vị trình. Hệ thống hiển thị danh sách tờ trình đến đã trả lại trong phạm vi phân quyền của tài khoản.</t>
  </si>
  <si>
    <t>Lãnh đạo Văn phòng BNĐP tải xuống tệp đính kèm trong hồ sơ. Hệ thống cho phép tải file về thiết bị.</t>
  </si>
  <si>
    <t>Lãnh đạo Văn phòng BNĐP chọn nhiều tờ trình trên trang danh sách và thực hiện phê duyệt nhanh. Hệ thống kiểm tra và thực hiện phê duyệt nhanh.</t>
  </si>
  <si>
    <t>Lãnh đạo Văn phòng BNĐP thực hiện duyệt tờ trình. Hệ thống mở cửa sổ yêu cầu đơn vị tiếp theo xử lý tờ trình trong luồng quy trình.</t>
  </si>
  <si>
    <t>Lãnh đạo Văn phòng BNĐP nhập thông tin trên cửa sổ yêu cầu đơn vị tiếp theo xử lý và thực hiện gửi. Hệ thống chuyển hồ sơ tới đơn vị chuyên môn tương ứng.</t>
  </si>
  <si>
    <t>Lãnh đạo Văn phòng BNĐP nhập tiêu chí tìm kiếm các trường hợp tạm để lại và thực hiện tìm kiếm. Hệ thống trả về danh sách tờ trình tạm để lại đơn vị trình.</t>
  </si>
  <si>
    <t>Lãnh đạo Văn phòng BNĐP thực hiện xem chi tiết trường hợp tạm để lại. Hệ thống mở giao diện bộ hồ sơ.</t>
  </si>
  <si>
    <t>Lãnh đạo Văn phòng BNĐP thực hiện tải xuống tệp tin đã đính kèm trong bộ hồ sơ tạm để lại. Hệ thống cho phép tải file về thiết bị.</t>
  </si>
  <si>
    <t>Lãnh đạo Văn phòng BNĐP thực hiện xem thông tin ký số trên tệp tin đính kèm trong bộ hồ sơ tạm để lại. Hệ thống hiển thị thông tin chứng thư số nếu có.</t>
  </si>
  <si>
    <t>Lãnh đạo Văn phòng BNĐP tra cứu tờ trình để theo dõi vết xử lý tờ trình. Hệ thống trả về danh sách tờ trình thỏa mãn điều kiện tìm kiếm</t>
  </si>
  <si>
    <t>Lãnh đạo Văn phòng BNĐP thực hiện tải xuống tệp tin đã đính kèm trong bộ hồ sơ của cá nhân được đề nghị khen thưởng. Hệ thống cho phép tải file về thiết bị.</t>
  </si>
  <si>
    <t>Lãnh đạo Văn phòng BNĐP thực hiện xem chi tiết tờ trình liên quan đến cá nhân được đề nghị khen thưởng. Hệ thống mở giao diện bộ hồ sơ.</t>
  </si>
  <si>
    <t>Lãnh đạo Văn phòng BNĐP thực hiện xem thông tin ký số trên tệp tin đính kèm trong bộ hồ sơ của cá nhân được đề nghị khen thưởng. Hệ thống hiển thị thông tin chứng thư số nếu có.</t>
  </si>
  <si>
    <t>Lãnh đạo Văn phòng BNĐP thực hiện xem chi tiết tờ trình liên quan đến cơ quan được đề nghị khen thưởng. Hệ thống mở giao diện bộ hồ sơ.</t>
  </si>
  <si>
    <t>Lãnh đạo Văn phòng BNĐP thực hiện tải xuống tệp tin đã đính kèm trong bộ hồ sơ của cơ quan được đề nghị khen thưởng. Hệ thống cho phép tải file về thiết bị.</t>
  </si>
  <si>
    <t>Lãnh đạo Văn phòng BNĐP thực hiện xem thông tin ký số trên tệp tin đính kèm trong bộ hồ sơ của cơ quan được đề nghị khen thưởng. Hệ thống hiển thị thông tin chứng thư số nếu có.</t>
  </si>
  <si>
    <t>Lãnh đạo Văn phòng BNĐP thực hiện xem chi tiết tờ trình liên quan đến doanh nghiệp được đề nghị khen thưởng. Hệ thống mở giao diện bộ hồ sơ.</t>
  </si>
  <si>
    <t>Lãnh đạo Văn phòng BNĐP thực hiện tải xuống tệp tin đã đính kèm trong bộ hồ sơ của doanh nghiệp được đề nghị khen thưởng. Hệ thống cho phép tải file về thiết bị.</t>
  </si>
  <si>
    <t>Lãnh đạo Văn phòng BNĐP thực hiện xem thông tin ký số trên tệp tin đính kèm trong bộ hồ sơ của doanh nghiệp được đề nghị khen thưởng. Hệ thống hiển thị thông tin chứng thư số nếu có.</t>
  </si>
  <si>
    <t>Lãnh đạo Văn phòng BNĐP thực hiện xem chi tiết tờ trình liên quan đến đối tượng khác được đề nghị khen thưởng. Hệ thống mở giao diện bộ hồ sơ.</t>
  </si>
  <si>
    <t>Lãnh đạo Văn phòng BNĐP thực hiện tải xuống tệp tin đã đính kèm trong bộ hồ sơ của đối tượng khác được đề nghị khen thưởng. Hệ thống cho phép tải file về thiết bị.</t>
  </si>
  <si>
    <t>Lãnh đạo Văn phòng BNĐP thực hiện xem thông tin ký số trên tệp tin đính kèm trong bộ hồ sơ của đối tượng khác được đề nghị khen thưởng. Hệ thống hiển thị thông tin chứng thư số nếu có.</t>
  </si>
  <si>
    <t>Lãnh đạo Văn phòng BNĐP mở chức năng tổng hợp kết quả xử lý tờ trình. Hệ thống trả về kết quả tổng hợp xử lý tờ trình.</t>
  </si>
  <si>
    <t>Lãnh đạo Văn phòng BNĐP thực hiện tìm kiếm tổng hợp kết quả tờ trình theo các tiêu chí. Hệ thống trả về kết quả tổng hợp theo điều kiện tìm kiếm.</t>
  </si>
  <si>
    <t>Lãnh đạo phòng chuyên môn có thể thực hiện tìm kiếm trong danh sách phong trào thi đua đã lưu trong hệ thống bằng cách nhập điều kiện và thực hiện tìm kiếm. Hệ thống trả kết quả tìm kiếm theo điều kiện đã nhập</t>
  </si>
  <si>
    <t>Lãnh đạo phòng chuyên môn thực hiện xem danh sách cơ quan trình đề xuất khen thưởng trong phong trào thi đua. Hệ thống hiển thị danh sách cơ quan, đơn vị đã trình hồ sơ gán với phong trào tương ứng.</t>
  </si>
  <si>
    <t>Lãnh đạo phòng chuyên môn mở chức năng Tờ trình đến đã gửi. Hệ thống hiển thị danh sách tờ trình đến đã gửi trong phạm vi phân quyền của tài khoản.</t>
  </si>
  <si>
    <t>Lãnh đạo phòng chuyên môn nhập tiêu chí tìm kiếm và thực hiện tìm kiếm. Hệ thống trả về danh sách tờ trình đến thỏa mãn điều kiện.</t>
  </si>
  <si>
    <t>Lãnh đạo phòng chuyên môn thực hiện xem tờ trình đã gửi. Hệ thống mở giao diện chi tiết tờ trình tương ứng.</t>
  </si>
  <si>
    <t>Lãnh đạo phòng chuyên môn thực hiện thay đổi thông tin cán bộ nhận xử lý tờ trình. Hệ thống cho phép thay đổi cán bộ xử lý trong phạm vi phân quyền.</t>
  </si>
  <si>
    <t>Lãnh đạo phòng chuyên môn tải xuống để xem thông tin tờ trình. Hệ thống cho phép tải file về thiết bị.</t>
  </si>
  <si>
    <t>Lãnh đạo phòng chuyên môn mở chức năng quản lý tờ trình đến đã trả đơn vị trình. Hệ thống hiển thị danh sách tờ trình đến đã trả lại trong phạm vi phân quyền của tài khoản.</t>
  </si>
  <si>
    <t>Lãnh đạo phòng chuyên môn nhập tiêu chí tìm kiếm và thực hiện tìm kiếm tờ trình đã trả lại. Hệ thống trả về danh sách tờ trình đến thỏa mãn điều kiện.</t>
  </si>
  <si>
    <t>Lãnh đạo phòng chuyên môn thực hiện xem tờ trình đã trả lại. Hệ thống mở giao diện chi tiết tờ trình tương ứng.</t>
  </si>
  <si>
    <t>Lãnh đạo phòng chuyên môn thực hiện mở xem thông tin lý do trả lại. Hệ thống hiển thị chi tiết nội dung lý do trả lại đơn vị trình</t>
  </si>
  <si>
    <t>Lãnh đạo phòng chuyên môn tải xuống xem thông tin tệp đính kèm trong hồ sơ. Hệ thống cho phép tải file về thiết bị.</t>
  </si>
  <si>
    <t>Lãnh đạo phòng chuyên môn nhập tiêu chí tìm kiếm tờ trình đến và thực hiện tìm kiếm. Hệ thống trả về danh sách tờ trình đến thỏa mãn điều kiện.</t>
  </si>
  <si>
    <t>Lãnh đạo phòng chuyên môn chọn nhiều tờ trình trên trang danh sách và thực hiện phê duyệt nhanh. Hệ thống thực hiện phê duyệt nhanh.</t>
  </si>
  <si>
    <t>Lãnh đạo phòng chuyên môn thực hiện xem tờ trình đến của đơn vị. Hệ thống mở giao diện chi tiết hồ sơ của đơn vị.</t>
  </si>
  <si>
    <t>Lãnh đạo phòng chuyên môn thực hiện duyệt tờ trình. Hệ thống mở cửa sổ yêu cầu đơn vị tiếp theo xử lý trong luồng quy trình.</t>
  </si>
  <si>
    <t>Lãnh đạo phòng chuyên môn nhập thông tin trên cửa sổ yêu cầu đơn vị tiếp theo xử lý và thực hiện gửi. Hệ thống chuyển hồ sơ tới chuyên viên phòng chuyên môn tương ứng.</t>
  </si>
  <si>
    <t>Lãnh đạo phòng chuyên môn nhập tiêu chí tìm kiếm các trường hợp có quyết định và thực hiện tìm kiếm. Hệ thống trả về danh sách tờ trình đã có quyết định.</t>
  </si>
  <si>
    <t>Lãnh đạo phòng chuyên môn thực hiện xem chi tiết trường hợp có quyết định. Hệ thống mở giao diện bộ hồ sơ.</t>
  </si>
  <si>
    <t>Lãnh đạo phòng chuyên môn thực hiện tải xuống tệp tin đã đính kèm trong bộ hồ sơ đã có quyết định. Hệ thống cho phép tải file về thiết bị.</t>
  </si>
  <si>
    <t>Lãnh đạo phòng chuyên môn thực hiện xem thông tin ký số trên tệp tin đính kèm. Hệ thống hiển thị thông tin chứng thư số nếu có.</t>
  </si>
  <si>
    <t>Lãnh đạo phòng chuyên môn nhập tiêu chí tìm kiếm các trường hợp trả lại và thực hiện tìm kiếm. Hệ thống trả về danh sách tờ trình đã trả lại đơn vị trình.</t>
  </si>
  <si>
    <t>Lãnh đạo phòng chuyên môn thực hiện xem chi tiết trường hợp đã trả lại. Hệ thống mở giao diện bộ hồ sơ.</t>
  </si>
  <si>
    <t>Lãnh đạo phòng chuyên môn thực hiện tải xuống tệp tin đã đính kèm trong bộ hồ sơ đã trả lại. Hệ thống cho phép tải file về thiết bị.</t>
  </si>
  <si>
    <t>Lãnh đạo phòng chuyên môn thực hiện xem thông tin ký số trên tệp tin đính kèm trong bộ hồ sơ đã trả lại. Hệ thống hiển thị thông tin chứng thư số nếu có.</t>
  </si>
  <si>
    <t>Lãnh đạo phòng chuyên môn tra cứu tờ trình để theo dõi vết xử lý. Hệ thống trả về danh sách tờ trình thỏa mãn điều kiện tìm kiếm</t>
  </si>
  <si>
    <t>Lãnh đạo phòng chuyên môn tra cứu cá nhân được đề nghị khen thưởng. Hệ thống hiển thị danh sách cá nhân theo điều kiện tìm kiếm</t>
  </si>
  <si>
    <t>Lãnh đạo phòng chuyên môn tra cứu cơ quan được đề nghị khen thưởng. Hệ thống hiển thị danh sách cơ quan theo điều kiện tìm kiếm</t>
  </si>
  <si>
    <t>Lãnh đạo phòng chuyên môn tra cứu doanh nghiệp được đề nghị khen thưởng. Hệ thống hiển thị danh sách doanh nghiệp theo điều kiện tìm kiếm</t>
  </si>
  <si>
    <t>Lãnh đạo phòng chuyên môn tra cứu đối tượng khác được đề nghị khen thưởng. Hệ thống hiển thị danh sách đối tượng khác theo điều kiện tìm kiếm</t>
  </si>
  <si>
    <t>Lãnh đạo phòng chuyên môn nhập tiêu chí tìm kiếm các trường hợp tạm để lại và thực hiện tìm kiếm. Hệ thống trả về danh sách tờ trình tạm để lại đơn vị trình.</t>
  </si>
  <si>
    <t>Lãnh đạo phòng chuyên môn thực hiện xem chi tiết trường hợp tạm để lại. Hệ thống mở giao diện bộ hồ sơ.</t>
  </si>
  <si>
    <t>Lãnh đạo phòng chuyên môn thực hiện tải xuống tệp tin đã đính kèm trong bộ hồ sơ tạm để lại. Hệ thống cho phép tải file về thiết bị.</t>
  </si>
  <si>
    <t>Lãnh đạo phòng chuyên môn thực hiện xem thông tin ký số trên tệp tin đính kèm trong bộ hồ sơ tạm để lại. Hệ thống hiển thị thông tin chứng thư số nếu có.</t>
  </si>
  <si>
    <t>Lãnh đạo phòng chuyên môn thực hiện xem lịch sử xử lý tờ trình. Hệ thống hiển thị lịch sử xử lý của tờ trình.</t>
  </si>
  <si>
    <t>Lãnh đạo Văn phòng BNĐP thực hiện xem lịch sử xử lý tờ trình. Hệ thống hiển thị lịch sử xử lý của tờ trình.</t>
  </si>
  <si>
    <t>Lãnh đạo phòng chuyên môn thực hiện xem chi tiết tờ trình liên quan đến cá nhân được đề nghị khen thưởng. Hệ thống mở giao diện bộ hồ sơ.</t>
  </si>
  <si>
    <t>Lãnh đạo phòng chuyên môn thực hiện tải xuống tệp tin đã đính kèm trong bộ hồ sơ của cá nhân được đề nghị khen thưởng. Hệ thống cho phép tải file về thiết bị.</t>
  </si>
  <si>
    <t>Lãnh đạo phòng chuyên môn thực hiện xem thông tin ký số trên tệp tin đính kèm trong bộ hồ sơ của cá nhân được đề nghị khen thưởng. Hệ thống hiển thị thông tin chứng thư số nếu có.</t>
  </si>
  <si>
    <t>Lãnh đạo BNĐP thực hiện xem chi tiết tờ trình liên quan đến cơ quan được đề nghị khen thưởng. Hệ thống mở giao diện bộ hồ sơ.</t>
  </si>
  <si>
    <t>Lãnh đạo phòng chuyên môn thực hiện xem chi tiết tờ trình liên quan đến cơ quan được đề nghị khen thưởng. Hệ thống mở giao diện bộ hồ sơ.</t>
  </si>
  <si>
    <t>Lãnh đạo phòng chuyên môn thực hiện tải xuống tệp tin đã đính kèm trong bộ hồ sơ của cơ quan được đề nghị khen thưởng. Hệ thống cho phép tải file về thiết bị.</t>
  </si>
  <si>
    <t>Lãnh đạo phòng chuyên môn thực hiện xem thông tin ký số trên tệp tin đính kèm trong bộ hồ sơ của cơ quan được đề nghị khen thưởng. Hệ thống hiển thị thông tin chứng thư số nếu có.</t>
  </si>
  <si>
    <t>Lãnh đạo phòng chuyên môn thực hiện tải xuống tệp tin đã đính kèm trong bộ hồ sơ của doanh nghiệp được đề nghị khen thưởng. Hệ thống cho phép tải file về thiết bị.</t>
  </si>
  <si>
    <t>Lãnh đạo phòng chuyên môn thực hiện xem thông tin ký số trên tệp tin đính kèm trong bộ hồ sơ của doanh nghiệp được đề nghị khen thưởng. Hệ thống hiển thị thông tin chứng thư số nếu có.</t>
  </si>
  <si>
    <t>Lãnh đạo phòng chuyên môn thực hiện xem chi tiết tờ trình liên quan đến doanh nghiệp được đề nghị khen thưởng. Hệ thống mở giao diện bộ hồ sơ.</t>
  </si>
  <si>
    <t>Lãnh đạo phòng chuyên môn thực hiện xem chi tiết tờ trình liên quan đến đối tượng khác được đề nghị khen thưởng. Hệ thống mở giao diện bộ hồ sơ.</t>
  </si>
  <si>
    <t>Lãnh đạo phòng chuyên môn thực hiện tải xuống tệp tin đã đính kèm trong bộ hồ sơ của đối tượng khác được đề nghị khen thưởng. Hệ thống cho phép tải file về thiết bị.</t>
  </si>
  <si>
    <t>Lãnh đạo phòng chuyên môn thực hiện xem thông tin ký số trên tệp tin đính kèm trong bộ hồ sơ của đối tượng khác được đề nghị khen thưởng. Hệ thống hiển thị thông tin chứng thư số nếu có.</t>
  </si>
  <si>
    <t>Lãnh đạo phòng chuyên môn mở chức năng tổng hợp kết quả xử lý tờ trình. Hệ thống hiển thị thông tin tổng hợp kết quả xử lý tờ trình.</t>
  </si>
  <si>
    <t>Lãnh đạo phòng chuyên môn thực hiện tìm kiếm tìm kiếm tổng hợp kết quả tờ trình theo các tiêu chí. Hệ thống trả về kết quả tổng hợp theo điều kiện tìm kiếm.</t>
  </si>
  <si>
    <t>Chuyên viên phòng chuyên môn, Lãnh đạo BNĐP chọn đính kèm tài liệu định dạng khác pdf hoặc ảnh. Hệ thống không nhận file và đưa ra cảnh báo với Chuyên viên phòng chuyên môn, Lãnh đạo BNĐP.</t>
  </si>
  <si>
    <t>Chuyên viên phòng chuyên môn, Lãnh đạo BNĐP thực hiện xóa file đã đính kèm. Hệ thống cho phép xóa file đính kèm khỏi danh sách đã nhập.</t>
  </si>
  <si>
    <t>Chuyên viên phòng chuyên môn, Lãnh đạo BNĐP thực hiện xoá thông tin khen thưởng đang điện tử hóa. Hệ thống quay trở lại danh sách.</t>
  </si>
  <si>
    <t>Người dùng có thể thực hiện xem chi tiết quy trình kiểm soát thông tin dạng văn bản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</si>
  <si>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kiểm soát thông tin dạng văn bản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</si>
  <si>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xuất danh sách quy trình kiểm soát thông tin dạng văn bản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</si>
  <si>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quản lý rủi ro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</si>
  <si>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quản lý rủi ro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</si>
  <si>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quản lý rủi ro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</si>
  <si>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quản lý rủi ro hệ thống CSDL về thi đua- khen thưởng đã lưu trong hệ thống bằng cách sắp xếp. Hệ thống trả kết quả tìm kiếm trên màn hình theo điều kiện đã nhập</t>
  </si>
  <si>
    <t>Người dùng có thể thực hiện xuất danh sách quy trình quản lý rủi ro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</si>
  <si>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Tiếp nhận và giải quyết đơn thư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</si>
  <si>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Tiếp nhận và giải quyết đơn thư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</si>
  <si>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Tiếp nhận và giải quyết đơn thư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</si>
  <si>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Tiếp nhận và giải quyết đơn thư hệ thống CSDL về thi đua- khen thưởng đã lưu trong hệ thống bằng cách sắp xếp. Hệ thống trả kết quả tìm kiếm trên màn hình theo điều kiện đã nhập</t>
  </si>
  <si>
    <t>Người dùng có thể thực hiện xuất danh sách quy trình Tiếp nhận và giải quyết đơn thư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</si>
  <si>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Quản lý văn bản đi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</si>
  <si>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Quản lý văn bản đi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</si>
  <si>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Quản lý văn bản đi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</si>
  <si>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Quản lý văn bản đi hệ thống CSDL về thi đua- khen thưởng đã lưu trong hệ thống bằng cách sắp xếp. Hệ thống trả kết quả tìm kiếm trên màn hình theo điều kiện đã nhập</t>
  </si>
  <si>
    <t>Người dùng có thể thực hiện xuất danh sách quy trình Quản lý văn bản đi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</si>
  <si>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Quản lý văn bản đến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</si>
  <si>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Quản lý văn bản đến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</si>
  <si>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Quản lý văn bản đến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</si>
  <si>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Quản lý văn bản đến hệ thống CSDL về thi đua- khen thưởng đã lưu trong hệ thống bằng cách sắp xếp. Hệ thống trả kết quả tìm kiếm trên màn hình theo điều kiện đã nhập</t>
  </si>
  <si>
    <t>Người dùng có thể thực hiện xuất danh sách quy trình Quản lý văn bản đến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</si>
  <si>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Tiếp công dân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</si>
  <si>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Tiếp công dân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</si>
  <si>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Tiếp công dân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</si>
  <si>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Tiếp công dân hệ thống CSDL về thi đua- khen thưởng đã lưu trong hệ thống bằng cách sắp xếp. Hệ thống trả kết quả tìm kiếm trên màn hình theo điều kiện đã nhập</t>
  </si>
  <si>
    <t>Người dùng có thể thực hiện xuất danh sách quy trình Tiếp công dân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</si>
  <si>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khai thác tài liệu lưu trữ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</si>
  <si>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khai thác tài liệu lưu trữ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</si>
  <si>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khai thác tài liệu lưu trữ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</si>
  <si>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khai thác tài liệu lưu trữ hệ thống CSDL về thi đua- khen thưởng đã lưu trong hệ thống bằng cách sắp xếp. Hệ thống trả kết quả tìm kiếm trên màn hình theo điều kiện đã nhập</t>
  </si>
  <si>
    <t>Người dùng có thể thực hiện xuất danh sách quy trình khai thác tài liệu lưu trữ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</si>
  <si>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xem chi tiết quy trình cấp đổi, cấp lại hiện vật khen thưởng cấp nhà nước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</si>
  <si>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danh sách quy trình cấp đổi, cấp lại hiện vật khen thưởng cấp nhà nước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</si>
  <si>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tìm kiếm nâng cao thông tin quy trình cấp đổi, cấp lại hiện vật khen thưởng cấp nhà nước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</si>
  <si>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cấp đổi, cấp lại hiện vật khen thưởng cấp nhà nước hệ thống CSDL về thi đua- khen thưởng đã lưu trong hệ thống bằng cách sắp xếp. Hệ thống trả kết quả tìm kiếm trên màn hình theo điều kiện đã nhập</t>
  </si>
  <si>
    <t>Người dùng có thể thực hiện xuất danh sách quy trình cấp đổi, cấp lại hiện vật khen thưởng cấp nhà nước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</si>
  <si>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thêm mới một quy trình kiểm soát thông tin dạng văn bản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</si>
  <si>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kiểm soát thông tin dạng văn bản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</si>
  <si>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kiểm soát thông tin dạng văn bản trên hệ thống CSDL về thi đua- khen thưởng bằng cách nhập thông tin liên quan và lưu. Hệ thống kiểm tra điều kiện ràng buộc dữ liệu, nếu hợp lệ sẽ xóa thông tin và hiển thị thông báo xóa thành công</t>
  </si>
  <si>
    <t>Người dùng có thể thực hiện tìm kiếm nâng cao thông tin quy trình kiểm soát thông tin dạng văn bản trên hệ thống CSDL về thi đua- khen thưởng đã lưu trong hệ thống bằng cách nhập điều kiện tìm kiếm và thực hiện tìm kiếm. Hệ thống trả kết quả tìm kiếm trên màn hình theo điều kiện đã nhập</t>
  </si>
  <si>
    <t>Người dùng có thể thực hiện sắp xếp theo thứ tự quy trình kiểm soát thông tin dạng văn bản trên hệ thống CSDL về thi đua- khen thưởng đã lưu trong hệ thống bằng cách sắp xếp. Hệ thống trả kết quả tìm kiếm trên màn hình theo điều kiện đã nhập</t>
  </si>
  <si>
    <t>Người dùng có thể thực hiện thêm mới một quy trình quản lý rủi ro của hệ thống CSDL về thi đua- khen thưởng bằng cách nhập thông tin và lưu. Hệ thống kiểm tra điều kiện dữ liệu, nếu hợp lệ sẽ lưu thông tin và hiển thị thông báo lưu thành công</t>
  </si>
  <si>
    <t>Người dùng có thể thực hiện sửa một quy trình quản lý rủi ro bản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</si>
  <si>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Người dùng có thể thực hiện xóa một quy trình quản lý rủi ro trên hệ thống CSDL về thi đua- khen thưởng bằng cách nhập thông tin liên quan và lưu. Hệ thống kiểm tra điều kiện ràng buộc dữ liệu, nếu hợp lệ sẽ xóa thông tin và hiển thị thông báo xóa thành công</t>
  </si>
  <si>
    <t>Chuyên viên phòng chuyên môn, Lãnh đạo BNĐP thực hiện xuất kết quả Báo cáo thống kê kết quả khen thưởng ra file Excel. Hệ thống thực hiện xuất kết quả báo cáo ra file Excel</t>
  </si>
  <si>
    <t>Chuyên viên phòng chuyên môn, Lãnh đạo BNĐP thực hiện xuất kết quả Báo cáo sổ công văn đến ra file Excel. Hệ thống thực hiện xuất kết quả báo cáo ra file Excel</t>
  </si>
  <si>
    <t>Chuyên viên phòng chuyên môn, Lãnh đạo BNĐP thực hiện xuất kết quả Báo cáo tổng hợp danh sách khen thưởng ra file Excel. Hệ thống thực hiện xuất kết quả báo cáo ra file Excel</t>
  </si>
  <si>
    <t>Chuyên viên phòng chuyên môn, Lãnh đạo BNĐP thực hiện xuất kết quả Báo cáo Lưu trữ điện tử ra file Excel. Hệ thống thực hiện xuất kết quả báo cáo ra file Excel</t>
  </si>
  <si>
    <t>Chuyên viên phòng chuyên môn, Lãnh đạo BNĐP thực hiện xuất kết quả Báo cáo Tổng hợp các hình thức khen thưởng ra file Excel. Hệ thống thực hiện xuất kết quả báo cáo ra file Excel</t>
  </si>
  <si>
    <t>Chuyên viên phòng chuyên môn, Lãnh đạo BNĐP thực hiện xuất kết quả Báo cáo Tổng hợp quyết định theo các hình thức khen thưởng ra file Excel. Hệ thống thực hiện xuất kết quả báo cáo ra file Excel</t>
  </si>
  <si>
    <t>Chuyên viên phòng chuyên môn, Lãnh đạo BNĐP thực hiện xuất kết quả Báo cáo Tình hình xử lý tờ trình khen thưởng tại từng đơn vị chuyên môn ra file Excel. Hệ thống thực hiện xuất kết quả báo cáo ra file Excel</t>
  </si>
  <si>
    <t>Chuyên viên phòng chuyên môn, Lãnh đạo BNĐP thực hiện xuất kết quả Báo cáo Thống kê khen thưởng theo phong trào thi đua ra file Excel. Hệ thống thực hiện xuất kết quả báo cáo ra file Excel</t>
  </si>
  <si>
    <t>Chuyên viên phòng chuyên môn, Lãnh đạo BNĐP thực hiện xuất kết quả Báo cáo Thống kê tổng số phong trào thi đua ra file Excel. Hệ thống thực hiện xuất kết quả báo cáo ra file Excel</t>
  </si>
  <si>
    <t>Chuyên viên phòng chuyên môn, Lãnh đạo BNĐP thực hiện xuất kết quả Báo cáo Thống kê số lượng khen thưởng của tỉnh, thành phố trực thuộc Trung ương/bộ, ngành ra file Excel. Hệ thống thực hiện xuất kết quả báo cáo ra file Excel</t>
  </si>
  <si>
    <t>Chuyên viên phòng chuyên môn, Lãnh đạo BNĐP thực hiện xuất kết quả Báo cáo Thống kê số lượng công chức làm công tác thi đua, khen thưởng toàn quốc ra file Excel. Hệ thống thực hiện xuất kết quả báo cáo ra file Excel</t>
  </si>
  <si>
    <t>Chuyên viên phòng chuyên môn, Lãnh đạo BNĐP thực hiện xuất kết quả Báo cáo Thống kê Số phong trào thi đua ra file Excel. Hệ thống thực hiện xuất kết quả báo cáo ra file Excel</t>
  </si>
  <si>
    <t>Chuyên viên phòng chuyên môn, Lãnh đạo BNĐP thực hiện xuất kết quả Báo cáo Số lượng khen thưởng cấp nhà nước ra file Excel. Hệ thống thực hiện xuất kết quả báo cáo ra file Excel</t>
  </si>
  <si>
    <t>Chuyên viên phòng chuyên môn, Lãnh đạo BNĐP thực hiện xuất kết quả Báo cáo Số lượng công chức làm công tác thi đua khen thưởng ra file Excel. Hệ thống thực hiện xuất kết quả báo cáo ra file Excel</t>
  </si>
  <si>
    <t>Chuyên viên phòng chuyên môn, Lãnh đạo BNĐP thực hiện xuất kết quả Thống kê tình trạng xử lý hồ sơ theo cán bộ xử lý ra file Excel. Hệ thống thực hiện xuất kết quả báo cáo ra file Excel</t>
  </si>
  <si>
    <t>Chuyên viên phòng chuyên môn, Lãnh đạo BNĐP thực hiện xuất kết quả Báo cáo thống kê Thủ tục Phong tặng danh hiệu Chiến sĩ thi đua toàn quốc ra file Excel. Hệ thống thực hiện xuất kết quả báo cáo ra file Excel</t>
  </si>
  <si>
    <t>Chuyên viên phòng chuyên môn, Lãnh đạo BNĐP thực hiện xuất kết quả Báo cáo thống kê Thủ tục tặng thưởng Bằng khen của Thủ tướng Chính phủ cho tập thể, cá nhân theo công trạng và thành tích đạt được ra file Excel. Hệ thống thực hiện xuất kết quả báo cáo ra file Excel</t>
  </si>
  <si>
    <t>Chuyên viên phòng chuyên môn, Lãnh đạo BNĐP thực hiện xuất kết quả Báo cáo thống kê Thủ tục tặng Cờ thi đua của Chính phủ theo công trạng và thành tích đạt được ra file Excel. Hệ thống thực hiện xuất kết quả báo cáo ra file Excel</t>
  </si>
  <si>
    <t>Chuyên viên phòng chuyên môn, Lãnh đạo BNĐP thực hiện xuất kết quả Báo cáo thống kê Thủ tục khen thưởng Huân chương Đại đoàn kết dân tộc ra file Excel. Hệ thống thực hiện xuất kết quả báo cáo ra file Excel</t>
  </si>
  <si>
    <t>Chuyên viên phòng chuyên môn, Lãnh đạo BNĐP thực hiện xuất kết quả Báo cáo thống kê Thủ tục khen thưởng Huân chương Chiến công cho tập thể, cá nhân có thành tích thực hiện nhiệm vụ chính trị ra file Excel. Hệ thống thực hiện xuất kết quả báo cáo ra file Excel</t>
  </si>
  <si>
    <t>Chuyên viên phòng chuyên môn, Lãnh đạo BNĐP thực hiện xuất kết quả Báo cáo thống kê Thủ tục Khen thưởng Huy chương Hữu Nghị cho cá nhân người nước ngoài ra file Excel. Hệ thống thực hiện xuất kết quả báo cáo ra file Excel</t>
  </si>
  <si>
    <t>Chuyên viên phòng chuyên môn, Lãnh đạo BNĐP thực hiện xuất kết quả Báo cáo thống kê Thủ tục Tặng thưởng Huy chương Quân kỳ quyết thắng, Huy chương Vì an ninh Tổ quốc, Huy chương Chiến sĩ vẻ vang ra file Excel. Hệ thống thực hiện xuất kết quả báo cáo ra file Excel</t>
  </si>
  <si>
    <t>Chuyên viên phòng chuyên môn, Lãnh đạo BNĐP thực hiện xuất kết quả Báo cáo thống kê Thủ tục tặng thưởng Huân chương Bảo vệ Tổ quốc ra file Excel. Hệ thống thực hiện xuất kết quả báo cáo ra file Excel</t>
  </si>
  <si>
    <t>Chuyên viên phòng chuyên môn, Lãnh đạo BNĐP thực hiện xuất kết quả Báo cáo thống kê Thủ tục tặng thưởng Huân chương Dũng cảm ra file Excel. Hệ thống thực hiện xuất kết quả báo cáo ra file Excel</t>
  </si>
  <si>
    <t>Chuyên viên phòng chuyên môn, Lãnh đạo BNĐP thực hiện xuất kết quả Báo cáo thống kê Thủ tục tặng thưởng Huân chương Quân công ra file Excel. Hệ thống thực hiện xuất kết quả báo cáo ra file Excel</t>
  </si>
  <si>
    <t>Chuyên viên phòng chuyên môn, Lãnh đạo BNĐP thực hiện xuất kết quả Báo cáo thống kê Thủ tục tặng thưởng Bằng khen của Thủ tướng Chính phủ cho tập thể, cá nhân người nước ngoài ra file Excel. Hệ thống thực hiện xuất kết quả báo cáo ra file Excel</t>
  </si>
  <si>
    <t>Chuyên viên phòng chuyên môn, Lãnh đạo BNĐP thực hiện xuất kết quả Báo cáo thống kê Thủ tục tặng thưởng Bằng khen của Thủ tướng Chính phủ cho gia đình ra file Excel. Hệ thống thực hiện xuất kết quả báo cáo ra file Excel</t>
  </si>
  <si>
    <t>Chuyên viên phòng chuyên môn, Lãnh đạo BNĐP thực hiện xuất kết quả Báo cáo thống kê Thủ tục Khen thưởng Huân chương Hữu Nghị cho tập thể, cá nhân người nước ngoài ra file Excel. Hệ thống thực hiện xuất kết quả báo cáo ra file Excel</t>
  </si>
  <si>
    <t>Chuyên viên phòng chuyên môn, Lãnh đạo BNĐP thực hiện xuất kết quả Báo cáo thống kê Thủ tục Khen thưởng Huân chương lao động cho tập thể, cá nhân người nước ngoài, người Việt Nam ở nước ngoài ra file Excel. Hệ thống thực hiện xuất kết quả báo cáo ra file Excel</t>
  </si>
  <si>
    <t>Chuyên viên phòng chuyên môn, Lãnh đạo BNĐP thực hiện xuất kết quả Báo cáo thống kê Thủ tục Khen thưởng Huân chương Lao động cho cá nhân có quá trình cống hiến ra file Excel. Hệ thống thực hiện xuất kết quả báo cáo ra file Excel</t>
  </si>
  <si>
    <t>Chuyên viên phòng chuyên môn, Lãnh đạo BNĐP thực hiện xuất kết quả Báo cáo thống kê Thủ tục phong tặng Tỉnh anh hùng, Thành phố anh hùng ra file Excel. Hệ thống thực hiện xuất kết quả báo cáo ra file Excel</t>
  </si>
  <si>
    <t>Chuyên viên phòng chuyên môn, Lãnh đạo BNĐP thực hiện xuất kết quả Báo cáo thống kê Thủ tục Khen thưởng Huân chương Độc lập cho cá nhân có quá trình cống hiến ra file Excel. Hệ thống thực hiện xuất kết quả báo cáo ra file Excel</t>
  </si>
  <si>
    <t>Chuyên viên phòng chuyên môn, Lãnh đạo BNĐP thực hiện xuất kết quả Báo cáo thống kê Thủ tục tặng thưởng Cờ thi đua của Chính phủ về thành tích thi đua theo đợt hoặc chuyên đề ra file Excel. Hệ thống thực hiện xuất kết quả báo cáo ra file Excel</t>
  </si>
  <si>
    <t>Chuyên viên phòng chuyên môn, Lãnh đạo BNĐP thực hiện xuất kết quả Báo cáo thống kê Thủ tục Khen thưởng Huân chương Hồ Chí Minh cho cá nhân có quá trình cống hiến ra file Excel. Hệ thống thực hiện xuất kết quả báo cáo ra file Excel</t>
  </si>
  <si>
    <t>Chuyên viên phòng chuyên môn, Lãnh đạo BNĐP thực hiện xuất kết quả Báo cáo thống kê Thủ tục Khen thưởng Huân chương Sao vàng cho cá nhân có quá trình cống hiến ra file Excel. Hệ thống thực hiện xuất kết quả báo cáo ra file Excel</t>
  </si>
  <si>
    <t>Chuyên viên phòng chuyên môn, Lãnh đạo BNĐP thực hiện xuất kết quả Báo cáo thống kê Thủ tục Khen thưởng Huân chương Chiến công cho tập thể, cá nhân có thành tích thi đua theo đợt hoặc chuyên đề ra file Excel. Hệ thống thực hiện xuất kết quả báo cáo ra file Excel</t>
  </si>
  <si>
    <t>Chuyên viên phòng chuyên môn, Lãnh đạo BNĐP thực hiện xuất kết quả Báo cáo thống kê Thủ tục tặng thưởng Bằng khen của Thủ tướng Chính phủ về thành tích thi đua theo đợt hoặc chuyên đề ra file Excel. Hệ thống thực hiện xuất kết quả báo cáo ra file Excel</t>
  </si>
  <si>
    <t>Chuyên viên phòng chuyên môn, Lãnh đạo BNĐP thực hiện xuất kết quả Báo cáo thống kê Thủ tục khen thưởng Huân chương Lao động cho tập thể, cá nhân về phong trào thi đua theo đợt hoặc chuyên đề ra file Excel. Hệ thống thực hiện xuất kết quả báo cáo ra file Excel</t>
  </si>
  <si>
    <t>Chuyên viên phòng chuyên môn, Lãnh đạo BNĐP thực hiện xuất kết quả Báo cáo thống kê Thủ tục Tặng thưởng Bằng khen của Thủ tướng Chính phủ về thành tích đột xuất ra file Excel. Hệ thống thực hiện xuất kết quả báo cáo ra file Excel</t>
  </si>
  <si>
    <t>Chuyên viên phòng chuyên môn, Lãnh đạo BNĐP thực hiện xuất kết quả Báo cáo thống kê Thủ tục khen thưởng Huân chương Chiến công cho tập thể, cá nhân về thành tích đột xuất ra file Excel. Hệ thống thực hiện xuất kết quả báo cáo ra file Excel</t>
  </si>
  <si>
    <t>Chuyên viên phòng chuyên môn, Lãnh đạo BNĐP thực hiện xuất kết quả Báo cáo thống kê Thủ tục khen thưởng Huân chương lao động cho tập thể, cá nhân về thành tích đột xuất ra file Excel. Hệ thống thực hiện xuất kết quả báo cáo ra file Excel</t>
  </si>
  <si>
    <t>Chuyên viên phòng chuyên môn, Lãnh đạo BNĐP thực hiện xuất kết quả Báo cáo thống kê Thủ tục phong tặng, truy tặng Danh hiệu Anh hùng lực lượng vũ trang nhân dân ra file Excel. Hệ thống thực hiện xuất kết quả báo cáo ra file Excel</t>
  </si>
  <si>
    <t>Chuyên viên phòng chuyên môn, Lãnh đạo BNĐP thực hiện xuất kết quả Báo cáo thống kê Thủ tục phong tặng danh hiệu Anh hùng lao động ra file Excel. Hệ thống thực hiện xuất kết quả báo cáo ra file Excel</t>
  </si>
  <si>
    <t>Chuyên viên phòng chuyên môn, Lãnh đạo BNĐP thực hiện xuất kết quả Báo cáo thống kê Thủ tục khen thưởng Huân chương Lao động cho tập thể, cá nhân theo công trạng và thành tích đạt được ra file Excel. Hệ thống thực hiện xuất kết quả báo cáo ra file Excel</t>
  </si>
  <si>
    <t>Chuyên viên phòng chuyên môn, Lãnh đạo BNĐP thực hiện xuất kết quả Báo cáo thống kê Thủ tục khen thưởng Huân chương Độc lập cho tập thể, cá nhân theo công trạng và thành tích đạt được ra file Excel. Hệ thống thực hiện xuất kết quả báo cáo ra file Excel</t>
  </si>
  <si>
    <t>Chuyên viên phòng chuyên môn, Lãnh đạo BNĐP thực hiện xuất kết quả Báo cáo thống kê Thủ tục khen thưởng Huân chương Hồ Chí Minh cho tập thể, cá nhân về thành tích thực hiện nhiệm vụ chính trị ra file Excel. Hệ thống thực hiện xuất kết quả báo cáo ra file Excel</t>
  </si>
  <si>
    <t>Chuyên viên phòng chuyên môn, Lãnh đạo BNĐP thực hiện xuất kết quả Báo cáo thống kê Thủ tục khen thưởng Huân chương Sao vàng cho tập thể, cá nhân về thành tích thực hiện nhiệm vụ chính trị ra file Excel. Hệ thống thực hiện xuất kết quả báo cáo ra file Excel</t>
  </si>
  <si>
    <t>Chuyên viên phòng chuyên môn, Lãnh đạo BNĐP thực hiện xuất kết quả Báo cáo thống kê Số lượng tổ chức làm công tác thi đua, khen thưởng của bộ, ban, ngành, đoàn thể trung ương, tỉnh, thành phố trực thuộc trung ương ra file Excel. Hệ thống thực hiện xuất kết quả báo cáo ra file Excel</t>
  </si>
  <si>
    <t>Chuyên viên phòng chuyên môn, Lãnh đạo BNĐP thực hiện xuất kết quả Báo cáo Số lượng khen thưởng cấp bộ, ban, ngành đoàn thể trung ương và tỉnh, thành phố trực thuộc trung ương ra file Excel. Hệ thống thực hiện xuất kết quả báo cáo ra file Excel</t>
  </si>
  <si>
    <t>Chuyên viên phòng chuyên môn, Lãnh đạo BNĐP thực hiện xuất kết quả Báo cáo số lượng tổ chức làm công tác thi đua, khen thưởng của bộ, ban, ngành, đoàn thể trung ương, tỉnh, thành phố trực thuộc trung ương ra file Excel. Hệ thống thực hiện xuất kết quả báo cáo ra file Excel</t>
  </si>
  <si>
    <t>Chuyên viên phòng chuyên môn, Lãnh đạo BNĐP thực hiện xuất kết quả Báo cáo số lượng công chức làm công tác thi đua, khen thưởng của bộ, ban, ngành đoàn thể trung ương, tỉnh, thành phố trực thuộc trung ương ra file Excel. Hệ thống thực hiện xuất kết quả báo cáo ra file Excel</t>
  </si>
  <si>
    <t>Chuyên viên phòng chuyên môn, Lãnh đạo BNĐP thực hiện xuất kết quả Báo cáo thống kê kết quả khen thưởng ra file PDF. Hệ thống thực hiện xuất kết quả báo cáo ra file PDF</t>
  </si>
  <si>
    <t>Chuyên viên phòng chuyên môn, Lãnh đạo BNĐP thực hiện xuất kết quả Báo cáo sổ công văn đến ra file PDF. Hệ thống thực hiện xuất kết quả báo cáo ra file PDF</t>
  </si>
  <si>
    <t>Chuyên viên phòng chuyên môn, Lãnh đạo BNĐP thực hiện xuất kết quả Báo cáo tổng hợp danh sách khen thưởng ra file PDF. Hệ thống thực hiện xuất kết quả báo cáo ra file PDF</t>
  </si>
  <si>
    <t>Chuyên viên phòng chuyên môn, Lãnh đạo BNĐP thực hiện xuất kết quả Báo cáo Lưu trữ điện tử ra file PDF. Hệ thống thực hiện xuất kết quả báo cáo ra file PDF</t>
  </si>
  <si>
    <t>Chuyên viên phòng chuyên môn, Lãnh đạo BNĐP thực hiện xuất kết quả Báo cáo Tổng hợp các hình thức khen thưởng ra file PDF. Hệ thống thực hiện xuất kết quả báo cáo ra file PDF</t>
  </si>
  <si>
    <t>Chuyên viên phòng chuyên môn, Lãnh đạo BNĐP thực hiện xuất kết quả Báo cáo Tổng hợp quyết định theo các hình thức khen thưởng ra file PDF. Hệ thống thực hiện xuất kết quả báo cáo ra file PDF</t>
  </si>
  <si>
    <t>Chuyên viên phòng chuyên môn, Lãnh đạo BNĐP thực hiện xuất kết quả Báo cáo Tình hình xử lý tờ trình khen thưởng tại từng đơn vị chuyên môn ra file PDF. Hệ thống thực hiện xuất kết quả báo cáo ra file PDF</t>
  </si>
  <si>
    <t>Chuyên viên phòng chuyên môn, Lãnh đạo BNĐP thực hiện xuất kết quả Báo cáo Thống kê khen thưởng theo phong trào thi đua ra file PDF. Hệ thống thực hiện xuất kết quả báo cáo ra file PDF</t>
  </si>
  <si>
    <t>Chuyên viên phòng chuyên môn, Lãnh đạo BNĐP thực hiện xuất kết quả Báo cáo Thống kê tổng số phong trào thi đua ra file PDF. Hệ thống thực hiện xuất kết quả báo cáo ra file PDF</t>
  </si>
  <si>
    <t>Chuyên viên phòng chuyên môn, Lãnh đạo BNĐP thực hiện xuất kết quả Báo cáo Thống kê số lượng khen thưởng của tỉnh, thành phố trực thuộc Trung ương/bộ, ngành ra file PDF. Hệ thống thực hiện xuất kết quả báo cáo ra file PDF</t>
  </si>
  <si>
    <t>Chuyên viên phòng chuyên môn, Lãnh đạo BNĐP thực hiện xuất kết quả Báo cáo Thống kê số lượng công chức làm công tác thi đua, khen thưởng toàn quốc ra file PDF. Hệ thống thực hiện xuất kết quả báo cáo ra file PDF</t>
  </si>
  <si>
    <t>Chuyên viên phòng chuyên môn, Lãnh đạo BNĐP thực hiện xuất kết quả Báo cáo Thống kê Số phong trào thi đua ra file PDF. Hệ thống thực hiện xuất kết quả báo cáo ra file PDF</t>
  </si>
  <si>
    <t>Chuyên viên phòng chuyên môn, Lãnh đạo BNĐP thực hiện xuất kết quả Báo cáo Số lượng khen thưởng cấp nhà nước ra file PDF. Hệ thống thực hiện xuất kết quả báo cáo ra file PDF</t>
  </si>
  <si>
    <t>Chuyên viên phòng chuyên môn, Lãnh đạo BNĐP thực hiện xuất kết quả Báo cáo Số lượng công chức làm công tác thi đua khen thưởng ra file PDF. Hệ thống thực hiện xuất kết quả báo cáo ra file PDF</t>
  </si>
  <si>
    <t>Chuyên viên phòng chuyên môn, Lãnh đạo BNĐP thực hiện xuất kết quả Thống kê tình trạng xử lý hồ sơ theo cán bộ xử lý ra file PDF. Hệ thống thực hiện xuất kết quả báo cáo ra file PDF</t>
  </si>
  <si>
    <t>Chuyên viên phòng chuyên môn, Lãnh đạo BNĐP thực hiện xuất kết quả Báo cáo thống kê Thủ tục Phong tặng danh hiệu Chiến sĩ thi đua toàn quốc ra file PDF. Hệ thống thực hiện xuất kết quả báo cáo ra file PDF</t>
  </si>
  <si>
    <t>Chuyên viên phòng chuyên môn, Lãnh đạo BNĐP thực hiện xuất kết quả Báo cáo thống kê Thủ tục tặng thưởng Bằng khen của Thủ tướng Chính phủ cho tập thể, cá nhân theo công trạng và thành tích đạt được ra file PDF. Hệ thống thực hiện xuất kết quả báo cáo ra file PDF</t>
  </si>
  <si>
    <t>Chuyên viên phòng chuyên môn, Lãnh đạo BNĐP thực hiện xuất kết quả Báo cáo thống kê Thủ tục tặng Cờ thi đua của Chính phủ theo công trạng và thành tích đạt được ra file PDF. Hệ thống thực hiện xuất kết quả báo cáo ra file PDF</t>
  </si>
  <si>
    <t>Chuyên viên phòng chuyên môn, Lãnh đạo BNĐP thực hiện xuất kết quả Báo cáo thống kê Thủ tục khen thưởng Huân chương Đại đoàn kết dân tộc ra file PDF. Hệ thống thực hiện xuất kết quả báo cáo ra file PDF</t>
  </si>
  <si>
    <t>Chuyên viên phòng chuyên môn, Lãnh đạo BNĐP thực hiện xuất kết quả Báo cáo thống kê Thủ tục khen thưởng Huân chương Chiến công cho tập thể, cá nhân có thành tích thực hiện nhiệm vụ chính trị ra file PDF. Hệ thống thực hiện xuất kết quả báo cáo ra file PDF</t>
  </si>
  <si>
    <t>Chuyên viên phòng chuyên môn, Lãnh đạo BNĐP thực hiện xuất kết quả Báo cáo thống kê Thủ tục Khen thưởng Huy chương Hữu Nghị cho cá nhân người nước ngoài ra file PDF. Hệ thống thực hiện xuất kết quả báo cáo ra file PDF</t>
  </si>
  <si>
    <t>Chuyên viên phòng chuyên môn, Lãnh đạo BNĐP thực hiện xuất kết quả Báo cáo thống kê Thủ tục Tặng thưởng Huy chương Quân kỳ quyết thắng, Huy chương Vì an ninh Tổ quốc, Huy chương Chiến sĩ vẻ vang ra file PDF. Hệ thống thực hiện xuất kết quả báo cáo ra file PDF</t>
  </si>
  <si>
    <t>Chuyên viên phòng chuyên môn, Lãnh đạo BNĐP thực hiện xuất kết quả Báo cáo thống kê Thủ tục tặng thưởng Huân chương Bảo vệ Tổ quốc ra file PDF. Hệ thống thực hiện xuất kết quả báo cáo ra file PDF</t>
  </si>
  <si>
    <t>Chuyên viên phòng chuyên môn, Lãnh đạo BNĐP thực hiện xuất kết quả Báo cáo thống kê Thủ tục tặng thưởng Huân chương Dũng cảm ra file PDF. Hệ thống thực hiện xuất kết quả báo cáo ra file PDF</t>
  </si>
  <si>
    <t>Chuyên viên phòng chuyên môn, Lãnh đạo BNĐP thực hiện xuất kết quả Báo cáo thống kê Thủ tục tặng thưởng Huân chương Quân công ra file PDF. Hệ thống thực hiện xuất kết quả báo cáo ra file PDF</t>
  </si>
  <si>
    <t>Chuyên viên phòng chuyên môn, Lãnh đạo BNĐP thực hiện xuất kết quả Báo cáo thống kê Thủ tục tặng thưởng Bằng khen của Thủ tướng Chính phủ cho tập thể, cá nhân người nước ngoài ra file PDF. Hệ thống thực hiện xuất kết quả báo cáo ra file PDF</t>
  </si>
  <si>
    <t>Chuyên viên phòng chuyên môn, Lãnh đạo BNĐP thực hiện xuất kết quả Báo cáo thống kê Thủ tục tặng thưởng Bằng khen của Thủ tướng Chính phủ cho gia đình ra file PDF. Hệ thống thực hiện xuất kết quả báo cáo ra file PDF</t>
  </si>
  <si>
    <t>Chuyên viên phòng chuyên môn, Lãnh đạo BNĐP thực hiện xuất kết quả Báo cáo thống kê Thủ tục Khen thưởng Huân chương Hữu Nghị cho tập thể, cá nhân người nước ngoài ra file PDF. Hệ thống thực hiện xuất kết quả báo cáo ra file PDF</t>
  </si>
  <si>
    <t>Chuyên viên phòng chuyên môn, Lãnh đạo BNĐP thực hiện xuất kết quả Báo cáo thống kê Thủ tục Khen thưởng Huân chương lao động cho tập thể, cá nhân người nước ngoài, người Việt Nam ở nước ngoài ra file PDF. Hệ thống thực hiện xuất kết quả báo cáo ra file PDF</t>
  </si>
  <si>
    <t>Chuyên viên phòng chuyên môn, Lãnh đạo BNĐP thực hiện xuất kết quả Báo cáo thống kê Thủ tục Khen thưởng Huân chương Lao động cho cá nhân có quá trình cống hiến ra file PDF. Hệ thống thực hiện xuất kết quả báo cáo ra file PDF</t>
  </si>
  <si>
    <t>Chuyên viên phòng chuyên môn, Lãnh đạo BNĐP thực hiện xuất kết quả Báo cáo thống kê Thủ tục phong tặng Tỉnh anh hùng, Thành phố anh hùng ra file PDF. Hệ thống thực hiện xuất kết quả báo cáo ra file PDF</t>
  </si>
  <si>
    <t>Chuyên viên phòng chuyên môn, Lãnh đạo BNĐP thực hiện xuất kết quả Báo cáo thống kê Thủ tục Khen thưởng Huân chương Độc lập cho cá nhân có quá trình cống hiến ra file PDF. Hệ thống thực hiện xuất kết quả báo cáo ra file PDF</t>
  </si>
  <si>
    <t>Chuyên viên phòng chuyên môn, Lãnh đạo BNĐP thực hiện xuất kết quả Báo cáo thống kê Thủ tục tặng thưởng Cờ thi đua của Chính phủ về thành tích thi đua theo đợt hoặc chuyên đề ra file PDF. Hệ thống thực hiện xuất kết quả báo cáo ra file PDF</t>
  </si>
  <si>
    <t>Chuyên viên phòng chuyên môn, Lãnh đạo BNĐP thực hiện xuất kết quả Báo cáo thống kê Thủ tục Khen thưởng Huân chương Hồ Chí Minh cho cá nhân có quá trình cống hiến ra file PDF. Hệ thống thực hiện xuất kết quả báo cáo ra file PDF</t>
  </si>
  <si>
    <t>Chuyên viên phòng chuyên môn, Lãnh đạo BNĐP thực hiện xuất kết quả Báo cáo thống kê Thủ tục Khen thưởng Huân chương Sao vàng cho cá nhân có quá trình cống hiến ra file PDF. Hệ thống thực hiện xuất kết quả báo cáo ra file PDF</t>
  </si>
  <si>
    <t>Chuyên viên phòng chuyên môn, Lãnh đạo BNĐP thực hiện xuất kết quả Báo cáo thống kê Thủ tục Khen thưởng Huân chương Chiến công cho tập thể, cá nhân có thành tích thi đua theo đợt hoặc chuyên đề ra file PDF. Hệ thống thực hiện xuất kết quả báo cáo ra file PDF</t>
  </si>
  <si>
    <t>Chuyên viên phòng chuyên môn, Lãnh đạo BNĐP thực hiện xuất kết quả Báo cáo thống kê Thủ tục tặng thưởng Bằng khen của Thủ tướng Chính phủ về thành tích thi đua theo đợt hoặc chuyên đề ra file PDF. Hệ thống thực hiện xuất kết quả báo cáo ra file PDF</t>
  </si>
  <si>
    <t>Chuyên viên phòng chuyên môn, Lãnh đạo BNĐP thực hiện xuất kết quả Báo cáo thống kê Thủ tục khen thưởng Huân chương Lao động cho tập thể, cá nhân về phong trào thi đua theo đợt hoặc chuyên đề ra file PDF. Hệ thống thực hiện xuất kết quả báo cáo ra file PDF</t>
  </si>
  <si>
    <t>Chuyên viên phòng chuyên môn, Lãnh đạo BNĐP thực hiện xuất kết quả Báo cáo thống kê Thủ tục Tặng thưởng Bằng khen của Thủ tướng Chính phủ về thành tích đột xuất ra file PDF. Hệ thống thực hiện xuất kết quả báo cáo ra file PDF</t>
  </si>
  <si>
    <t>Chuyên viên phòng chuyên môn, Lãnh đạo BNĐP thực hiện xuất kết quả Báo cáo thống kê Thủ tục khen thưởng Huân chương Chiến công cho tập thể, cá nhân về thành tích đột xuất ra file PDF. Hệ thống thực hiện xuất kết quả báo cáo ra file PDF</t>
  </si>
  <si>
    <t>Chuyên viên phòng chuyên môn, Lãnh đạo BNĐP thực hiện xuất kết quả Báo cáo thống kê Thủ tục khen thưởng Huân chương lao động cho tập thể, cá nhân về thành tích đột xuất ra file PDF. Hệ thống thực hiện xuất kết quả báo cáo ra file PDF</t>
  </si>
  <si>
    <t>Chuyên viên phòng chuyên môn, Lãnh đạo BNĐP thực hiện xuất kết quả Báo cáo thống kê Thủ tục phong tặng, truy tặng Danh hiệu Anh hùng lực lượng vũ trang nhân dân ra file PDF. Hệ thống thực hiện xuất kết quả báo cáo ra file PDF</t>
  </si>
  <si>
    <t>Chuyên viên phòng chuyên môn, Lãnh đạo BNĐP thực hiện xuất kết quả Báo cáo thống kê Thủ tục phong tặng danh hiệu Anh hùng lao động ra file PDF. Hệ thống thực hiện xuất kết quả báo cáo ra file PDF</t>
  </si>
  <si>
    <t>Chuyên viên phòng chuyên môn, Lãnh đạo BNĐP thực hiện xuất kết quả Báo cáo thống kê Thủ tục khen thưởng Huân chương Lao động cho tập thể, cá nhân theo công trạng và thành tích đạt được ra file PDF. Hệ thống thực hiện xuất kết quả báo cáo ra file PDF</t>
  </si>
  <si>
    <t>Chuyên viên phòng chuyên môn, Lãnh đạo BNĐP thực hiện xuất kết quả Báo cáo thống kê Thủ tục khen thưởng Huân chương Độc lập cho tập thể, cá nhân theo công trạng và thành tích đạt được ra file PDF. Hệ thống thực hiện xuất kết quả báo cáo ra file PDF</t>
  </si>
  <si>
    <t>Chuyên viên phòng chuyên môn, Lãnh đạo BNĐP thực hiện xuất kết quả Báo cáo thống kê Thủ tục khen thưởng Huân chương Hồ Chí Minh cho tập thể, cá nhân về thành tích thực hiện nhiệm vụ chính trị ra file PDF. Hệ thống thực hiện xuất kết quả báo cáo ra file PDF</t>
  </si>
  <si>
    <t>Chuyên viên phòng chuyên môn, Lãnh đạo BNĐP thực hiện xuất kết quả Báo cáo thống kê Thủ tục khen thưởng Huân chương Sao vàng cho tập thể, cá nhân về thành tích thực hiện nhiệm vụ chính trị ra file PDF. Hệ thống thực hiện xuất kết quả báo cáo ra file PDF</t>
  </si>
  <si>
    <t>Chuyên viên phòng chuyên môn, Lãnh đạo BNĐP thực hiện xuất kết quả Báo cáo thống kê Số lượng tổ chức làm công tác thi đua, khen thưởng của bộ, ban, ngành, đoàn thể trung ương, tỉnh, thành phố trực thuộc trung ương ra file PDF. Hệ thống thực hiện xuất kết quả báo cáo ra file PDF</t>
  </si>
  <si>
    <t>Chuyên viên phòng chuyên môn, Lãnh đạo BNĐP thực hiện xuất kết quả Báo cáo Số lượng khen thưởng cấp bộ, ban, ngành đoàn thể trung ương và tỉnh, thành phố trực thuộc trung ương ra file PDF. Hệ thống thực hiện xuất kết quả báo cáo ra file PDF</t>
  </si>
  <si>
    <t>Chuyên viên phòng chuyên môn, Lãnh đạo BNĐP thực hiện xuất kết quả Báo cáo Số lượng tổ chức làm công tác thi đua, khen thưởng của bộ, ban, ngành, đoàn thể trung ương, tỉnh, thành phố trực thuộc trung ương ra file PDF. Hệ thống thực hiện xuất kết quả báo cáo ra file PDF</t>
  </si>
  <si>
    <t>Chuyên viên phòng chuyên môn, Lãnh đạo BNĐP thực hiện xuất kết quả Báo cáo số lượng công chức làm công tác thi đua, khen thưởng của bộ, ban, ngành đoàn thể trung ương, tỉnh, thành phố trực thuộc trung ương ra file PDF. Hệ thống thực hiện xuất kết quả báo cáo ra file PDF</t>
  </si>
  <si>
    <t>Chuyên viên phòng chuyên môn, Lãnh đạo BNĐP chọn xem thiết kế Báo cáo số lượng tổ chức làm công tác thi đua, khen thưởng của bộ, ban, ngành, đoàn thể trung ương, tỉnh, thành phố trực thuộc trung ương. Hệ thống hiển thị màn hình xem thiết kế biểu mẫu</t>
  </si>
  <si>
    <t>Chuyên viên phòng chuyên môn, Lãnh đạo BNĐP chọn xem thiết kế Báo cáo số lượng công chức làm công tác thi đua, khen thưởng của bộ, ban, ngành đoàn thể trung ương, tỉnh, thành phố trực thuộc trung ương. Hệ thống hiển thị màn hình xem thiết kế biểu mẫu</t>
  </si>
  <si>
    <t>Chuyên viên phòng chuyên môn, Lãnh đạo BNĐP chọn Làm mới bảng biểu, hệ thống cập nhật lại dữ liệu mới nhất từ Server cho Biểu đồ báo cáo Thủ tục Phong tặng danh hiệu Chiến sĩ thi đua toàn quốc</t>
  </si>
  <si>
    <t>Chuyên viên phòng chuyên môn, Lãnh đạo BNĐP chọn chia sẻ bảng biểu, chọn bật chế độ Công khai; Hệ thống sẽ sinh ra 1 đường dẫn chia sẻ báo cáo cho Biểu đồ báo cáo Thủ tục Phong tặng danh hiệu Chiến sĩ thi đua toàn quốc</t>
  </si>
  <si>
    <t>Chuyên viên phòng chuyên môn, Lãnh đạo BNĐP chọn nút Tải dưới dạng ảnh, hệ thống xuất ra file ảnh của báo cáo và trả về cho Chuyên viên phòng chuyên môn, Lãnh đạo BNĐP biểu đồ báo cáo Thủ tục Phong tặng danh hiệu Chiến sĩ thi đua toàn quốc</t>
  </si>
  <si>
    <t>Chuyên viên phòng chuyên môn, Lãnh đạo BNĐP chọn bật chế độ toàn màn hình: Hệ thống chuyển sang chế độ hiển thị toàn màn hình cho Biểu đồ báo cáo Thủ tục Phong tặng danh hiệu Chiến sĩ thi đua toàn quốc</t>
  </si>
  <si>
    <t>Chuyên viên phòng chuyên môn, Lãnh đạo BNĐP chọn nút Chỉnh sửa các tiêu chí xuất hiện trên báo cáo, thực hiện chỉnh sửa và lưu báo cáo, hệ thống lưu lại báo cáo đã chỉnh sửa các tiêu chí cho Biểu đồ báo cáo Thủ tục Phong tặng danh hiệu Chiến sĩ thi đua toàn quốc</t>
  </si>
  <si>
    <t>Chuyên viên phòng chuyên môn, Lãnh đạo BNĐP chọn Chia sẻ bảng biểu, chọn bật chế độ Công khai; Hệ thống sẽ sinh ra 1 đường dẫn chia sẻ báo cáo cho Biểu đồ báo cáo Thủ tục tặng thưởng Bằng khen của Thủ tướng Chính phủ cho tập thể, cá nhân theo công trạng và thành tích đạt được</t>
  </si>
  <si>
    <t>Chuyên viên phòng chuyên môn, Lãnh đạo BNĐP chọn lưu báo cáo. Hệ thống lưu báo cáo cho Biểu đồ báo cáo Thủ tục tặng thưởng Bằng khen của Thủ tướng Chính phủ cho tập thể, cá nhân theo công trạng và thành tích đạt được</t>
  </si>
  <si>
    <t>Chuyên viên phòng chuyên môn, Lãnh đạo BNĐP chọn lưu báo cáo. Hệ thống lưu báo cáo cho Biểu đồ báo cáo Thủ tục Phong tặng danh hiệu Chiến sĩ thi đua toàn quốc</t>
  </si>
  <si>
    <t>Chuyên viên phòng chuyên môn, Lãnh đạo BNĐP chọn bật chế độ toàn màn hình: Hệ thống chuyển sang chế độ hiển thị toàn màn hình cho Biểu đồ báo cáo Thủ tục tặng thưởng Bằng khen của Thủ tướng Chính phủ cho tập thể, cá nhân theo công trạng và thành tích đạt được</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</si>
  <si>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Bằng khen của Thủ tướng Chính phủ cho tập thể, cá nhân theo công trạng và thành tích đạt được</t>
  </si>
  <si>
    <t>Chuyên viên phòng chuyên môn, Lãnh đạo BNĐP chọn lưu báo cáo. Hệ thống lưu báo cáo cho Biểu đồ báo cáo Thủ tục tặng Cờ thi đua của Chính phủ theo công trạng và thành tích đạt được</t>
  </si>
  <si>
    <t>Chuyên viên phòng chuyên môn, Lãnh đạo BNĐP chọn lưu báo cáo. Hệ thống lưu báo cáo cho Biểu đồ báo cáo Thủ tục khen thưởng Huân chương Đại đoàn kết dân tộc</t>
  </si>
  <si>
    <t>Chuyên viên phòng chuyên môn, Lãnh đạo BNĐP chọn lưu báo cáo. Hệ thống lưu báo cáo cho Biểu đồ báo cáo Thủ tục khen thưởng Huân chương Chiến công cho tập thể, cá nhân có thành tích thực hiện nhiệm vụ chính trị</t>
  </si>
  <si>
    <t>Chuyên viên phòng chuyên môn, Lãnh đạo BNĐP chọn lưu báo cáo. Hệ thống lưu báo cáo cho Biểu đồ báo cáo Thủ tục Khen thưởng Huy chương Hữu Nghị cho cá nhân người nước ngoài</t>
  </si>
  <si>
    <t>Chuyên viên phòng chuyên môn, Lãnh đạo BNĐP chọn lưu báo cáo. Hệ thống lưu báo cáo cho Biểu đồ báo cáo Thủ tục Tặng thưởng Huy chương Quân kỳ quyết thắng, Huy chương Vì an ninh Tổ quốc, Huy chương Chiến sĩ vẻ vang</t>
  </si>
  <si>
    <t>Chuyên viên phòng chuyên môn, Lãnh đạo BNĐP chọn lưu báo cáo. Hệ thống lưu báo cáo cho Biểu đồ báo cáo Thủ tục tặng thưởng Huân chương Bảo vệ Tổ quốc</t>
  </si>
  <si>
    <t>Chuyên viên phòng chuyên môn, Lãnh đạo BNĐP chọn lưu báo cáo. Hệ thống lưu báo cáo cho Biểu đồ báo cáo Thủ tục tặng thưởng Huân chương Dũng cảm</t>
  </si>
  <si>
    <t>Chuyên viên phòng chuyên môn, Lãnh đạo BNĐP chọn lưu báo cáo. Hệ thống lưu báo cáo cho Biểu đồ báo cáo Thủ tục tặng thưởng Huân chương Quân công</t>
  </si>
  <si>
    <t>Chuyên viên phòng chuyên môn, Lãnh đạo BNĐP chọn lưu báo cáo. Hệ thống lưu báo cáo cho Biểu đồ báo cáo Thủ tục tặng thưởng Bằng khen của Thủ tướng Chính phủ cho tập thể, cá nhân người nước ngoài</t>
  </si>
  <si>
    <t>Chuyên viên phòng chuyên môn, Lãnh đạo BNĐP chọn lưu báo cáo. Hệ thống lưu báo cáo cho Biểu đồ báo cáo Thủ tục tặng thưởng Bằng khen của Thủ tướng Chính phủ cho gia đình</t>
  </si>
  <si>
    <t>Chuyên viên phòng chuyên môn, Lãnh đạo BNĐP chọn lưu báo cáo. Hệ thống lưu báo cáo cho Biểu đồ báo cáo Thủ tục Khen thưởng Huân chương Hữu Nghị cho tập thể, cá nhân người nước ngoài</t>
  </si>
  <si>
    <t>Chuyên viên phòng chuyên môn, Lãnh đạo BNĐP chọn lưu báo cáo. Hệ thống lưu báo cáo cho Biểu đồ báo cáo Thủ tục Khen thưởng Huân chương lao động cho tập thể, cá nhân người nước ngoài, người Việt Nam ở nước ngoài</t>
  </si>
  <si>
    <t>Chuyên viên phòng chuyên môn, Lãnh đạo BNĐP chọn lưu báo cáo. Hệ thống lưu báo cáo cho Biểu đồ báo cáo Thủ tục Khen thưởng Huân chương Lao động cho cá nhân có quá trình cống hiến</t>
  </si>
  <si>
    <t>Chuyên viên phòng chuyên môn, Lãnh đạo BNĐP chọn lưu báo cáo. Hệ thống lưu báo cáo cho Biểu đồ báo cáo Thủ tục phong tặng Tỉnh anh hùng, Thành phố anh hùng</t>
  </si>
  <si>
    <t>Chuyên viên phòng chuyên môn, Lãnh đạo BNĐP chọn lưu báo cáo. Hệ thống lưu báo cáo cho Biểu đồ báo cáo Thủ tục Khen thưởng Huân chương Độc lập cho cá nhân có quá trình cống hiến</t>
  </si>
  <si>
    <t>Chuyên viên phòng chuyên môn, Lãnh đạo BNĐP chọn lưu báo cáo. Hệ thống lưu báo cáo cho Biểu đồ báo cáo Thủ tục tặng thưởng Cờ thi đua của Chính phủ về thành tích thi đua theo đợt hoặc chuyên đề</t>
  </si>
  <si>
    <t>Chuyên viên phòng chuyên môn, Lãnh đạo BNĐP chọn lưu báo cáo. Hệ thống lưu báo cáo cho Biểu đồ báo cáo Thủ tục Khen thưởng Huân chương Hồ Chí Minh cho cá nhân có quá trình cống hiến</t>
  </si>
  <si>
    <t>Chuyên viên phòng chuyên môn, Lãnh đạo BNĐP chọn lưu báo cáo. Hệ thống lưu báo cáo cho Biểu đồ báo cáo Thủ tục Khen thưởng Huân chương Sao vàng cho cá nhân có quá trình cống hiến</t>
  </si>
  <si>
    <t>Chuyên viên phòng chuyên môn, Lãnh đạo BNĐP chọn lưu báo cáo. Hệ thống lưu báo cáo cho Biểu đồ báo cáo Thủ tục Khen thưởng Huân chương Chiến công cho tập thể, cá nhân có thành tích thi đua theo đợt hoặc chuyên đề</t>
  </si>
  <si>
    <t>Chuyên viên phòng chuyên môn, Lãnh đạo BNĐP chọn lưu báo cáo. Hệ thống lưu báo cáo cho Biểu đồ báo cáo Thủ tục tặng thưởng Bằng khen của Thủ tướng Chính phủ về thành tích thi đua theo đợt hoặc chuyên đề</t>
  </si>
  <si>
    <t>Chuyên viên phòng chuyên môn, Lãnh đạo BNĐP chọn lưu báo cáo. Hệ thống lưu báo cáo cho Biểu đồ báo cáo Thủ tục khen thưởng Huân chương Lao động cho tập thể, cá nhân về phong trào thi đua theo đợt hoặc chuyên đề</t>
  </si>
  <si>
    <t>Chuyên viên phòng chuyên môn, Lãnh đạo BNĐP chọn lưu báo cáo. Hệ thống lưu báo cáo cho Biểu đồ báo cáo Thủ tục Tặng thưởng Bằng khen của Thủ tướng Chính phủ về thành tích đột xuất</t>
  </si>
  <si>
    <t>Chuyên viên phòng chuyên môn, Lãnh đạo BNĐP chọn lưu báo cáo. Hệ thống lưu báo cáo cho Biểu đồ báo cáo Thủ tục khen thưởng Huân chương Chiến công cho tập thể, cá nhân về thành tích đột xuất</t>
  </si>
  <si>
    <t>Chuyên viên phòng chuyên môn, Lãnh đạo BNĐP chọn lưu báo cáo. Hệ thống lưu báo cáo cho Biểu đồ báo cáo Thủ tục khen thưởng Huân chương lao động cho tập thể, cá nhân về thành tích đột xuất</t>
  </si>
  <si>
    <t>Chuyên viên phòng chuyên môn, Lãnh đạo BNĐP chọn lưu báo cáo. Hệ thống lưu báo cáo cho Biểu đồ báo cáo Thủ tục phong tặng, truy tặng Danh hiệu Anh hùng lực lượng vũ trang nhân dân</t>
  </si>
  <si>
    <t>Chuyên viên phòng chuyên môn, Lãnh đạo BNĐP chọn lưu báo cáo. Hệ thống lưu báo cáo cho Biểu đồ báo cáo Thủ tục phong tặng danh hiệu Anh hùng lao động</t>
  </si>
  <si>
    <t>Chuyên viên phòng chuyên môn, Lãnh đạo BNĐP chọn lưu báo cáo. Hệ thống lưu báo cáo cho Biểu đồ báo cáo Thủ tục khen thưởng Huân chương Lao động cho tập thể, cá nhân theo công trạng và thành tích đạt được</t>
  </si>
  <si>
    <t>Chuyên viên phòng chuyên môn, Lãnh đạo BNĐP chọn lưu báo cáo. Hệ thống lưu báo cáo cho Biểu đồ báo cáo Thủ tục khen thưởng Huân chương Độc lập cho tập thể, cá nhân theo công trạng và thành tích đạt được</t>
  </si>
  <si>
    <t>Chuyên viên phòng chuyên môn, Lãnh đạo BNĐP chọn lưu báo cáo. Hệ thống lưu báo cáo cho Biểu đồ báo cáo Thủ tục khen thưởng Huân chương Hồ Chí Minh cho tập thể, cá nhân về thành tích thực hiện nhiệm vụ chính trị</t>
  </si>
  <si>
    <t>Chuyên viên phòng chuyên môn, Lãnh đạo BNĐP chọn lưu báo cáo. Hệ thống lưu báo cáo cho Biểu đồ báo cáo Thủ tục khen thưởng Huân chương Sao vàng cho tập thể, cá nhân về thành tích thực hiện nhiệm vụ chính trị</t>
  </si>
  <si>
    <t>Chuyên viên phòng chuyên môn, Lãnh đạo BNĐP chọn lưu báo cáo. Hệ thống lưu báo cáo cho Biểu đồ báo cáo số lượng khen thưởng cấp bộ, ban, ngành đoàn thể trung ương và tỉnh, thành phố trực thuộc trung ương</t>
  </si>
  <si>
    <t>Chuyên viên phòng chuyên môn, Lãnh đạo BNĐP chọn lưu báo cáo. Hệ thống lưu báo cáo cho biểu đồ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</si>
  <si>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lưu báo cáo. Hệ thống lưu báo cáo cho biểu đồ thống kê số lượng công chức làm công tác thi đua, khen thưởng của bộ, ban, ngành đoàn thể trung ương, tỉnh, thành phố trực thuộc trung ương</t>
  </si>
  <si>
    <t>Văn thư có thể thực hiện thêm mới tờ trình hủy hồ sơ đề xuất phong trào thi đua. Hệ thống kiểm tra điều kiện dữ liệu, thực hiện thêm mới và thông báo kết quả thực hiện.</t>
  </si>
  <si>
    <t>Quản trị hệ thống cấp cao có thể thực hiện xem chi tiết một chức năng hệ thống CSDL về thi đua- khen thưởng đã khai báo bằng cách vào mã hoặc tên chức năng. Hệ thống hiển thị thông tin chi tiết các thông tin của chức năng</t>
  </si>
  <si>
    <t>Quản trị hệ thống cấp cao có thể xem danh sách các vai trò đã sử dụng một chức năng của hệ thống CSDL về thi đua- khen thưởng bằng cách vào chức năng xem danh sách cấu hình. Hệ thống hiển thị danh sách danh sách đã được cấu hình</t>
  </si>
  <si>
    <t>Quản trị hệ thống cấp cao có thể thực hiện xem chi tiết một vai trò hệ thống CSDL về thi đua- khen thưởng đã khai báo bằng cách vào mã hoặc tên vai trò. Hệ thống hiển thị thông tin chi tiết các thông tin của vai trò và danh sách các chức năng tương ứng với vai trò</t>
  </si>
  <si>
    <t>Quản trị hệ thống cấp cao có thể thực hiện cấu hình các chức năng sử dụng cho vai trò của hệ thống CSDL về thi đua- khen thưởng bằng cách vào chức năng cấu hình, thực hiện cấu hình và thực hiện Lưu. Hệ thống kiểm tra điều kiện dữ liệu, nếu hợp lệ sẽ lưu thông tin và hiển thị thông báo cấu hình vai trò thành công</t>
  </si>
  <si>
    <t>Quản trị hệ thống cấp cao, Quản trị hệ thống BNĐP có thể thực hiện xem chi tiết thông tin của tài khoản người dùng hệ thống CSDL về thi đua- khen thưởng đã khai báo bằng cách vào tên người dùng. Hệ thống hiển thị thông tin chi tiết các thông tin của người dùng và vai trò của người dùng đang được gán.</t>
  </si>
  <si>
    <t>Quản trị hệ thống cấp cao, Quản trị hệ thống BNĐP có thể thực hiện vô hiệu hóa tài khoản người dùng của hệ thống CSDL về thi đua- khen thưởng bằng cách vào chức năng vô hiệu hóa người dùng. Hệ thống kiểm tra điều kiện dữ liệu, nếu hợp lệ sẽ lưu thông tin và hiển thị thông báo vô hiệu hóa tài khoản thành công</t>
  </si>
  <si>
    <t>Quản trị hệ thống cấp cao, Quản trị hệ thống BNĐP có thể thực hiện bỏ vô hiệu hóa tài khoản người dùng của hệ thống CSDL về thi đua- khen thưởng bằng cách vào chức năng hủy bỏ vô hiệu hóa người dùng. Hệ thống kiểm tra điều kiện dữ liệu, nếu hợp lệ sẽ lưu thông tin và hiển thị thông báo vô hiệu hóa tài khoản thành công</t>
  </si>
  <si>
    <t>Chuyên viên phòng chuyên môn, Lãnh đạo BNĐP chọn Chia sẻ bảng biểu, chọn bật chế độ Công khai; Hệ thống sẽ sinh ra 1 đường dẫn chia sẻ báo cáo cho Biểu đồ báo cáo Thủ tục tặng Cờ thi đua của Chính phủ theo công trạng và thành tích đạt được</t>
  </si>
  <si>
    <t>Chuyên viên phòng chuyên môn, Lãnh đạo BNĐP chọn Chia sẻ bảng biểu, chọn bật chế độ Công khai; Hệ thống sẽ sinh ra 1 đường dẫn chia sẻ báo cáo cho Biểu đồ báo cáo Thủ tục khen thưởng Huân chương Đại đoàn kết dân tộc</t>
  </si>
  <si>
    <t>Chuyên viên phòng chuyên môn, Lãnh đạo BNĐP chọn Chia sẻ bảng biểu, chọn bật chế độ Công khai; Hệ thống sẽ sinh ra 1 đường dẫn chia sẻ báo cáo cho Biểu đồ báo cáo Thủ tục khen thưởng Huân chương Chiến công cho tập thể, cá nhân có thành tích thực hiện nhiệm vụ chính trị</t>
  </si>
  <si>
    <t>Chuyên viên phòng chuyên môn, Lãnh đạo BNĐP chọn Chia sẻ bảng biểu, chọn bật chế độ Công khai; Hệ thống sẽ sinh ra 1 đường dẫn chia sẻ báo cáo cho Biểu đồ báo cáo Thủ tục Khen thưởng Huy chương Hữu Nghị cho cá nhân người nước ngoài</t>
  </si>
  <si>
    <t>Chuyên viên phòng chuyên môn, Lãnh đạo BNĐP chọn Chia sẻ bảng biểu, chọn bật chế độ Công khai; Hệ thống sẽ sinh ra 1 đường dẫn chia sẻ báo cáo cho Biểu đồ báo cáo Thủ tục Tặng thưởng Huy chương Quân kỳ quyết thắng, Huy chương Vì an ninh Tổ quốc, Huy chương Chiến sĩ vẻ vang</t>
  </si>
  <si>
    <t>Chuyên viên phòng chuyên môn, Lãnh đạo BNĐP chọn Chia sẻ bảng biểu, chọn bật chế độ Công khai; Hệ thống sẽ sinh ra 1 đường dẫn chia sẻ báo cáo cho Biểu đồ báo cáo Thủ tục tặng thưởng Huân chương Bảo vệ Tổ quốc</t>
  </si>
  <si>
    <t>Chuyên viên phòng chuyên môn, Lãnh đạo BNĐP chọn Chia sẻ bảng biểu, chọn bật chế độ Công khai; Hệ thống sẽ sinh ra 1 đường dẫn chia sẻ báo cáo cho Biểu đồ báo cáo Thủ tục tặng thưởng Huân chương Dũng cảm</t>
  </si>
  <si>
    <t>Chuyên viên phòng chuyên môn, Lãnh đạo BNĐP chọn Chia sẻ bảng biểu, chọn bật chế độ Công khai; Hệ thống sẽ sinh ra 1 đường dẫn chia sẻ báo cáo cho Biểu đồ báo cáo Thủ tục tặng thưởng Huân chương Quân công</t>
  </si>
  <si>
    <t>Chuyên viên phòng chuyên môn, Lãnh đạo BNĐP chọn Chia sẻ bảng biểu, chọn bật chế độ Công khai; Hệ thống sẽ sinh ra 1 đường dẫn chia sẻ báo cáo cho Biểu đồ báo cáo Thủ tục tặng thưởng Bằng khen của Thủ tướng Chính phủ cho tập thể, cá nhân người nước ngoài</t>
  </si>
  <si>
    <t>Chuyên viên phòng chuyên môn, Lãnh đạo BNĐP chọn Chia sẻ bảng biểu, chọn bật chế độ Công khai; Hệ thống sẽ sinh ra 1 đường dẫn chia sẻ báo cáo cho Biểu đồ báo cáo Thủ tục tặng thưởng Bằng khen của Thủ tướng Chính phủ cho gia đình</t>
  </si>
  <si>
    <t>Chuyên viên phòng chuyên môn, Lãnh đạo BNĐP chọn Chia sẻ bảng biểu, chọn bật chế độ Công khai; Hệ thống sẽ sinh ra 1 đường dẫn chia sẻ báo cáo cho Biểu đồ báo cáo Thủ tục Khen thưởng Huân chương Hữu Nghị cho tập thể, cá nhân người nước ngoài</t>
  </si>
  <si>
    <t>Chuyên viên phòng chuyên môn, Lãnh đạo BNĐP chọn Chia sẻ bảng biểu, chọn bật chế độ Công khai; Hệ thống sẽ sinh ra 1 đường dẫn chia sẻ báo cáo cho Biểu đồ báo cáo Thủ tục Khen thưởng Huân chương lao động cho tập thể, cá nhân người nước ngoài, người Việt Nam ở nước ngoài</t>
  </si>
  <si>
    <t>Chuyên viên phòng chuyên môn, Lãnh đạo BNĐP chọn Chia sẻ bảng biểu, chọn bật chế độ Công khai; Hệ thống sẽ sinh ra 1 đường dẫn chia sẻ báo cáo cho Biểu đồ báo cáo Thủ tục Khen thưởng Huân chương Lao động cho cá nhân có quá trình cống hiến</t>
  </si>
  <si>
    <t>Chuyên viên phòng chuyên môn, Lãnh đạo BNĐP chọn Chia sẻ bảng biểu, chọn bật chế độ Công khai; Hệ thống sẽ sinh ra 1 đường dẫn chia sẻ báo cáo cho Biểu đồ báo cáo Thủ tục phong tặng Tỉnh anh hùng, Thành phố anh hùng</t>
  </si>
  <si>
    <t>Chuyên viên phòng chuyên môn, Lãnh đạo BNĐP chọn Chia sẻ bảng biểu, chọn bật chế độ Công khai; Hệ thống sẽ sinh ra 1 đường dẫn chia sẻ báo cáo cho Biểu đồ báo cáo Thủ tục Khen thưởng Huân chương Độc lập cho cá nhân có quá trình cống hiến</t>
  </si>
  <si>
    <t>Chuyên viên phòng chuyên môn, Lãnh đạo BNĐP chọn Chia sẻ bảng biểu, chọn bật chế độ Công khai; Hệ thống sẽ sinh ra 1 đường dẫn chia sẻ báo cáo cho Biểu đồ báo cáo Thủ tục tặng thưởng Cờ thi đua của Chính phủ về thành tích thi đua theo đợt hoặc chuyên đề</t>
  </si>
  <si>
    <t>Chuyên viên phòng chuyên môn, Lãnh đạo BNĐP chọn Chia sẻ bảng biểu, chọn bật chế độ Công khai; Hệ thống sẽ sinh ra 1 đường dẫn chia sẻ báo cáo cho Biểu đồ báo cáo Thủ tục Khen thưởng Huân chương Hồ Chí Minh cho cá nhân có quá trình cống hiến</t>
  </si>
  <si>
    <t>Chuyên viên phòng chuyên môn, Lãnh đạo BNĐP chọn Chia sẻ bảng biểu, chọn bật chế độ Công khai; Hệ thống sẽ sinh ra 1 đường dẫn chia sẻ báo cáo cho Biểu đồ báo cáo Thủ tục Khen thưởng Huân chương Sao vàng cho cá nhân có quá trình cống hiến</t>
  </si>
  <si>
    <t>Chuyên viên phòng chuyên môn, Lãnh đạo BNĐP chọn Chia sẻ bảng biểu, chọn bật chế độ Công khai; Hệ thống sẽ sinh ra 1 đường dẫn chia sẻ báo cáo cho Biểu đồ báo cáo Thủ tục Khen thưởng Huân chương Chiến công cho tập thể, cá nhân có thành tích thi đua theo đợt hoặc chuyên đề</t>
  </si>
  <si>
    <t>Chuyên viên phòng chuyên môn, Lãnh đạo BNĐP chọn Chia sẻ bảng biểu, chọn bật chế độ Công khai; Hệ thống sẽ sinh ra 1 đường dẫn chia sẻ báo cáo cho Biểu đồ báo cáo Thủ tục tặng thưởng Bằng khen của Thủ tướng Chính phủ về thành tích thi đua theo đợt hoặc chuyên đề</t>
  </si>
  <si>
    <t>Chuyên viên phòng chuyên môn, Lãnh đạo BNĐP chọn Chia sẻ bảng biểu, chọn bật chế độ Công khai; Hệ thống sẽ sinh ra 1 đường dẫn chia sẻ báo cáo cho Biểu đồ báo cáo Thủ tục khen thưởng Huân chương Lao động cho tập thể, cá nhân về phong trào thi đua theo đợt hoặc chuyên đề</t>
  </si>
  <si>
    <t>Chuyên viên phòng chuyên môn, Lãnh đạo BNĐP chọn Chia sẻ bảng biểu, chọn bật chế độ Công khai; Hệ thống sẽ sinh ra 1 đường dẫn chia sẻ báo cáo cho Biểu đồ báo cáo Thủ tục Tặng thưởng Bằng khen của Thủ tướng Chính phủ về thành tích đột xuất</t>
  </si>
  <si>
    <t>Chuyên viên phòng chuyên môn, Lãnh đạo BNĐP chọn Chia sẻ bảng biểu, chọn bật chế độ Công khai; Hệ thống sẽ sinh ra 1 đường dẫn chia sẻ báo cáo cho Biểu đồ báo cáo Thủ tục khen thưởng Huân chương Chiến công cho tập thể, cá nhân về thành tích đột xuất</t>
  </si>
  <si>
    <t>Chuyên viên phòng chuyên môn, Lãnh đạo BNĐP chọn Chia sẻ bảng biểu, chọn bật chế độ Công khai; Hệ thống sẽ sinh ra 1 đường dẫn chia sẻ báo cáo cho Biểu đồ báo cáo Thủ tục khen thưởng Huân chương lao động cho tập thể, cá nhân về thành tích đột xuất</t>
  </si>
  <si>
    <t>Chuyên viên phòng chuyên môn, Lãnh đạo BNĐP chọn Chia sẻ bảng biểu, chọn bật chế độ Công khai; Hệ thống sẽ sinh ra 1 đường dẫn chia sẻ báo cáo cho Biểu đồ báo cáo Thủ tục phong tặng, truy tặng Danh hiệu Anh hùng lực lượng vũ trang nhân dân</t>
  </si>
  <si>
    <t>Chuyên viên phòng chuyên môn, Lãnh đạo BNĐP chọn Chia sẻ bảng biểu, chọn bật chế độ Công khai; Hệ thống sẽ sinh ra 1 đường dẫn chia sẻ báo cáo cho Biểu đồ báo cáo Thủ tục phong tặng danh hiệu Anh hùng lao động</t>
  </si>
  <si>
    <t>Chuyên viên phòng chuyên môn, Lãnh đạo BNĐP chọn Chia sẻ bảng biểu, chọn bật chế độ Công khai; Hệ thống sẽ sinh ra 1 đường dẫn chia sẻ báo cáo cho Biểu đồ báo cáo Thủ tục khen thưởng Huân chương Lao động cho tập thể, cá nhân theo công trạng và thành tích đạt được</t>
  </si>
  <si>
    <t>Chuyên viên phòng chuyên môn, Lãnh đạo BNĐP chọn Chia sẻ bảng biểu, chọn bật chế độ Công khai; Hệ thống sẽ sinh ra 1 đường dẫn chia sẻ báo cáo cho Biểu đồ báo cáo Thủ tục khen thưởng Huân chương Độc lập cho tập thể, cá nhân theo công trạng và thành tích đạt được</t>
  </si>
  <si>
    <t>Chuyên viên phòng chuyên môn, Lãnh đạo BNĐP chọn Chia sẻ bảng biểu, chọn bật chế độ Công khai; Hệ thống sẽ sinh ra 1 đường dẫn chia sẻ báo cáo cho Biểu đồ báo cáo Thủ tục khen thưởng Huân chương Hồ Chí Minh cho tập thể, cá nhân về thành tích thực hiện nhiệm vụ chính trị</t>
  </si>
  <si>
    <t>Chuyên viên phòng chuyên môn, Lãnh đạo BNĐP chọn Chia sẻ bảng biểu, chọn bật chế độ Công khai; Hệ thống sẽ sinh ra 1 đường dẫn chia sẻ báo cáo cho Biểu đồ báo cáo Thủ tục khen thưởng Huân chương Sao vàng cho tập thể, cá nhân về thành tích thực hiện nhiệm vụ chính trị</t>
  </si>
  <si>
    <t>Chuyên viên phòng chuyên môn, Lãnh đạo BNĐP chọn Chia sẻ bảng biểu, chọn bật chế độ Công khai; Hệ thống sẽ sinh ra 1 đường dẫn chia sẻ báo cáo cho Biểu đồ báo cáo số lượng khen thưởng cấp bộ, ban, ngành đoàn thể trung ương và tỉnh, thành phố trực thuộc trung ương</t>
  </si>
  <si>
    <t>Chuyên viên phòng chuyên môn, Lãnh đạo BNĐP chọn Chia sẻ bảng biểu, chọn bật chế độ Công khai; Hệ thống sẽ sinh ra 1 đường dẫn chia sẻ báo cáo cho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</si>
  <si>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Chia sẻ bảng biểu, chọn bật chế độ Công khai; Hệ thống sẽ sinh ra 1 đường dẫn chia sẻ báo cáo cho số lượng công chức làm công tác thi đua, khen thưởng của bộ, ban, ngành đoàn thể trung ương, tỉnh, thành phố trực thuộc trung ương</t>
  </si>
  <si>
    <t>Chuyên viên phòng chuyên môn, Lãnh đạo BNĐP chọn Làm mới bảng biểu, hệ thống cập nhật lại dữ liệu mới nhất từ Server cho Biểu đồ báo cáo Thủ tục tặng thưởng Bằng khen của Thủ tướng Chính phủ cho tập thể, cá nhân theo công trạng và thành tích đạt được</t>
  </si>
  <si>
    <t>Chuyên viên phòng chuyên môn, Lãnh đạo BNĐP chọn Làm mới bảng biểu, hệ thống cập nhật lại dữ liệu mới nhất từ Server  cho Biểu đồ báo cáo Thủ tục tặng Cờ thi đua của Chính phủ theo công trạng và thành tích đạt được</t>
  </si>
  <si>
    <t>Chuyên viên phòng chuyên môn, Lãnh đạo BNĐP chọn Làm mới bảng biểu, hệ thống cập nhật lại dữ liệu mới nhất từ Server  cho Biểu đồ báo cáo Thủ tục khen thưởng Huân chương Đại đoàn kết dân tộc</t>
  </si>
  <si>
    <t>Chuyên viên phòng chuyên môn, Lãnh đạo BNĐP chọn Làm mới bảng biểu, hệ thống cập nhật lại dữ liệu mới nhất từ Server  cho Biểu đồ báo cáo Thủ tục khen thưởng Huân chương Chiến công cho tập thể, cá nhân có thành tích thực hiện nhiệm vụ chính trị</t>
  </si>
  <si>
    <t>Chuyên viên phòng chuyên môn, Lãnh đạo BNĐP chọn Làm mới bảng biểu, hệ thống cập nhật lại dữ liệu mới nhất từ Server  cho Biểu đồ báo cáo Thủ tục Khen thưởng Huy chương Hữu Nghị cho cá nhân người nước ngoài</t>
  </si>
  <si>
    <t>Chuyên viên phòng chuyên môn, Lãnh đạo BNĐP chọn Làm mới bảng biểu, hệ thống cập nhật lại dữ liệu mới nhất từ Server  cho Biểu đồ báo cáo Thủ tục Tặng thưởng Huy chương Quân kỳ quyết thắng, Huy chương Vì an ninh Tổ quốc, Huy chương Chiến sĩ vẻ vang</t>
  </si>
  <si>
    <t>Chuyên viên phòng chuyên môn, Lãnh đạo BNĐP chọn Làm mới bảng biểu, hệ thống cập nhật lại dữ liệu mới nhất từ Server  cho Biểu đồ báo cáo Thủ tục tặng thưởng Huân chương Bảo vệ Tổ quốc</t>
  </si>
  <si>
    <t>Chuyên viên phòng chuyên môn, Lãnh đạo BNĐP chọn Làm mới bảng biểu, hệ thống cập nhật lại dữ liệu mới nhất từ Server  cho Biểu đồ báo cáo Thủ tục tặng thưởng Huân chương Dũng cảm</t>
  </si>
  <si>
    <t>Chuyên viên phòng chuyên môn, Lãnh đạo BNĐP chọn Làm mới bảng biểu, hệ thống cập nhật lại dữ liệu mới nhất từ Server  cho Biểu đồ báo cáo Thủ tục tặng thưởng Huân chương Quân công</t>
  </si>
  <si>
    <t>Chuyên viên phòng chuyên môn, Lãnh đạo BNĐP chọn Làm mới bảng biểu, hệ thống cập nhật lại dữ liệu mới nhất từ Server  cho Biểu đồ báo cáo Thủ tục tặng thưởng Bằng khen của Thủ tướng Chính phủ cho tập thể, cá nhân người nước ngoài</t>
  </si>
  <si>
    <t>Chuyên viên phòng chuyên môn, Lãnh đạo BNĐP chọn Làm mới bảng biểu, hệ thống cập nhật lại dữ liệu mới nhất từ Server  cho Biểu đồ báo cáo Thủ tục tặng thưởng Bằng khen của Thủ tướng Chính phủ cho gia đình</t>
  </si>
  <si>
    <t>Chuyên viên phòng chuyên môn, Lãnh đạo BNĐP chọn Làm mới bảng biểu, hệ thống cập nhật lại dữ liệu mới nhất từ Server  cho Biểu đồ báo cáo Thủ tục Khen thưởng Huân chương Hữu Nghị cho tập thể, cá nhân người nước ngoài</t>
  </si>
  <si>
    <t>Chuyên viên phòng chuyên môn, Lãnh đạo BNĐP chọn Làm mới bảng biểu, hệ thống cập nhật lại dữ liệu mới nhất từ Server  cho Biểu đồ báo cáo Thủ tục Khen thưởng Huân chương lao động cho tập thể, cá nhân người nước ngoài, người Việt Nam ở nước ngoài</t>
  </si>
  <si>
    <t>Chuyên viên phòng chuyên môn, Lãnh đạo BNĐP chọn Làm mới bảng biểu, hệ thống cập nhật lại dữ liệu mới nhất từ Server  cho Biểu đồ báo cáo Thủ tục Khen thưởng Huân chương Lao động cho cá nhân có quá trình cống hiến</t>
  </si>
  <si>
    <t>Chuyên viên phòng chuyên môn, Lãnh đạo BNĐP chọn Làm mới bảng biểu, hệ thống cập nhật lại dữ liệu mới nhất từ Server  cho Biểu đồ báo cáo Thủ tục phong tặng Tỉnh anh hùng, Thành phố anh hùng</t>
  </si>
  <si>
    <t>Chuyên viên phòng chuyên môn, Lãnh đạo BNĐP chọn Làm mới bảng biểu, hệ thống cập nhật lại dữ liệu mới nhất từ Server  cho Biểu đồ báo cáo Thủ tục Khen thưởng Huân chương Độc lập cho cá nhân có quá trình cống hiến</t>
  </si>
  <si>
    <t>Chuyên viên phòng chuyên môn, Lãnh đạo BNĐP chọn Làm mới bảng biểu, hệ thống cập nhật lại dữ liệu mới nhất từ Server  cho Biểu đồ báo cáo Thủ tục tặng thưởng Cờ thi đua của Chính phủ về thành tích thi đua theo đợt hoặc chuyên đề</t>
  </si>
  <si>
    <t>Chuyên viên phòng chuyên môn, Lãnh đạo BNĐP chọn Làm mới bảng biểu, hệ thống cập nhật lại dữ liệu mới nhất từ Server  cho Biểu đồ báo cáo Thủ tục Khen thưởng Huân chương Hồ Chí Minh cho cá nhân có quá trình cống hiến</t>
  </si>
  <si>
    <t>Chuyên viên phòng chuyên môn, Lãnh đạo BNĐP chọn Làm mới bảng biểu, hệ thống cập nhật lại dữ liệu mới nhất từ Server  cho Biểu đồ báo cáo Thủ tục Khen thưởng Huân chương Sao vàng cho cá nhân có quá trình cống hiến</t>
  </si>
  <si>
    <t>Chuyên viên phòng chuyên môn, Lãnh đạo BNĐP chọn Làm mới bảng biểu, hệ thống cập nhật lại dữ liệu mới nhất từ Server  cho Biểu đồ báo cáo Thủ tục Khen thưởng Huân chương Chiến công cho tập thể, cá nhân có thành tích thi đua theo đợt hoặc chuyên đề</t>
  </si>
  <si>
    <t>Chuyên viên phòng chuyên môn, Lãnh đạo BNĐP chọn Làm mới bảng biểu, hệ thống cập nhật lại dữ liệu mới nhất từ Server  cho Biểu đồ báo cáo Thủ tục tặng thưởng Bằng khen của Thủ tướng Chính phủ về thành tích thi đua theo đợt hoặc chuyên đề</t>
  </si>
  <si>
    <t>Chuyên viên phòng chuyên môn, Lãnh đạo BNĐP chọn Làm mới bảng biểu, hệ thống cập nhật lại dữ liệu mới nhất từ Server  cho Biểu đồ báo cáo Thủ tục khen thưởng Huân chương Lao động cho tập thể, cá nhân về phong trào thi đua theo đợt hoặc chuyên đề</t>
  </si>
  <si>
    <t>Chuyên viên phòng chuyên môn, Lãnh đạo BNĐP chọn Làm mới bảng biểu, hệ thống cập nhật lại dữ liệu mới nhất từ Server  cho Biểu đồ báo cáo Thủ tục Tặng thưởng Bằng khen của Thủ tướng Chính phủ về thành tích đột xuất</t>
  </si>
  <si>
    <t>Chuyên viên phòng chuyên môn, Lãnh đạo BNĐP chọn Làm mới bảng biểu, hệ thống cập nhật lại dữ liệu mới nhất từ Server  cho Biểu đồ báo cáo Thủ tục khen thưởng Huân chương Chiến công cho tập thể, cá nhân về thành tích đột xuất</t>
  </si>
  <si>
    <t>Chuyên viên phòng chuyên môn, Lãnh đạo BNĐP chọn Làm mới bảng biểu, hệ thống cập nhật lại dữ liệu mới nhất từ Server  cho Biểu đồ báo cáo Thủ tục khen thưởng Huân chương lao động cho tập thể, cá nhân về thành tích đột xuất</t>
  </si>
  <si>
    <t>Chuyên viên phòng chuyên môn, Lãnh đạo BNĐP chọn Làm mới bảng biểu, hệ thống cập nhật lại dữ liệu mới nhất từ Server  cho Biểu đồ báo cáo Thủ tục phong tặng, truy tặng Danh hiệu Anh hùng lực lượng vũ trang nhân dân</t>
  </si>
  <si>
    <t>Chuyên viên phòng chuyên môn, Lãnh đạo BNĐP chọn Làm mới bảng biểu, hệ thống cập nhật lại dữ liệu mới nhất từ Server  cho Biểu đồ báo cáo Thủ tục phong tặng danh hiệu Anh hùng lao động</t>
  </si>
  <si>
    <t>Chuyên viên phòng chuyên môn, Lãnh đạo BNĐP chọn Làm mới bảng biểu, hệ thống cập nhật lại dữ liệu mới nhất từ Server  cho Biểu đồ báo cáo Thủ tục khen thưởng Huân chương Lao động cho tập thể, cá nhân theo công trạng và thành tích đạt được</t>
  </si>
  <si>
    <t>Chuyên viên phòng chuyên môn, Lãnh đạo BNĐP chọn Làm mới bảng biểu, hệ thống cập nhật lại dữ liệu mới nhất từ Server  cho Biểu đồ báo cáo Thủ tục khen thưởng Huân chương Độc lập cho tập thể, cá nhân theo công trạng và thành tích đạt được</t>
  </si>
  <si>
    <t>Chuyên viên phòng chuyên môn, Lãnh đạo BNĐP chọn Làm mới bảng biểu, hệ thống cập nhật lại dữ liệu mới nhất từ Server  cho Biểu đồ báo cáo Thủ tục khen thưởng Huân chương Hồ Chí Minh cho tập thể, cá nhân về thành tích thực hiện nhiệm vụ chính trị</t>
  </si>
  <si>
    <t>Chuyên viên phòng chuyên môn, Lãnh đạo BNĐP chọn Làm mới bảng biểu, hệ thống cập nhật lại dữ liệu mới nhất từ Server  cho Biểu đồ báo cáo Thủ tục khen thưởng Huân chương Sao vàng cho tập thể, cá nhân về thành tích thực hiện nhiệm vụ chính trị</t>
  </si>
  <si>
    <t>Chuyên viên phòng chuyên môn, Lãnh đạo BNĐP chọn Làm mới bảng biểu, hệ thống cập nhật lại dữ liệu mới nhất từ Server  cho Biểu đồ báo cáo số lượng khen thưởng cấp bộ, ban, ngành đoàn thể trung ương và tỉnh, thành phố trực thuộc trung ương</t>
  </si>
  <si>
    <t>Chuyên viên phòng chuyên môn, Lãnh đạo BNĐP chọn Làm mới bảng biểu, hệ thống cập nhật lại dữ liệu mới nhất từ Server  cho báo cáo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</si>
  <si>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Làm mới bảng biểu, hệ thống cập nhật lại dữ liệu mới nhất từ Server  cho báo cáo thống kê số lượng công chức làm công tác thi đua, khen thưởng của bộ, ban, ngành đoàn thể trung ương, tỉnh, thành phố trực thuộc trung ương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</si>
  <si>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Phong tặng danh hiệu Chiến sĩ thi đua toàn quốc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</si>
  <si>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Bằng khen của Thủ tướng Chính phủ cho tập thể, cá nhân theo công trạng và thành tích đạt được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</si>
  <si>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Cờ thi đua của Chính phủ theo công trạng và thành tích đạt được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</si>
  <si>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Đại đoàn kết dân tộc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</si>
  <si>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Chiến công cho tập thể, cá nhân có thành tích thực hiện nhiệm vụ chính trị</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</si>
  <si>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Huy chương Hữu Nghị cho cá nhân người nước ngoài</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</si>
  <si>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Huy chương Quân kỳ quyết thắng, Huy chương Vì an ninh Tổ quốc, Huy chương Chiến sĩ vẻ vang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</si>
  <si>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Huân chương Bảo vệ Tổ quốc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</si>
  <si>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Huân chương Dũng cảm</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</si>
  <si>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Huân chương Quân công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</si>
  <si>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Bằng khen của Thủ tướng Chính phủ cho tập thể, cá nhân người nước ngoài</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</si>
  <si>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Bằng khen của Thủ tướng Chính phủ cho gia đình</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</si>
  <si>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Hữu Nghị cho tập thể, cá nhân người nước ngoài</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</si>
  <si>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lao động cho tập thể, cá nhân người nước ngoài, người Việt Nam ở nước ngoài</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</si>
  <si>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Lao động cho cá nhân có quá trình cống hiến</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</si>
  <si>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phong tặng Tỉnh anh hùng, Thành phố anh hùng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</si>
  <si>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Độc lập cho cá nhân có quá trình cống hiến</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</si>
  <si>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Cờ thi đua của Chính phủ về thành tích thi đua theo đợt hoặc chuyên đề</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</si>
  <si>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Hồ Chí Minh cho cá nhân có quá trình cống hiến</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</si>
  <si>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Sao vàng cho cá nhân có quá trình cống hiến</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</si>
  <si>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Chiến công cho tập thể, cá nhân có thành tích thi đua theo đợt hoặc chuyên đề</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</si>
  <si>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Bằng khen của Thủ tướng Chính phủ về thành tích thi đua theo đợt hoặc chuyên đề</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</si>
  <si>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Lao động cho tập thể, cá nhân về phong trào thi đua theo đợt hoặc chuyên đề</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</si>
  <si>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Tặng thưởng Bằng khen của Thủ tướng Chính phủ về thành tích đột xuất</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</si>
  <si>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Chiến công cho tập thể, cá nhân về thành tích đột xuất</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</si>
  <si>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lao động cho tập thể, cá nhân về thành tích đột xuất</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</si>
  <si>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phong tặng, truy tặng Danh hiệu Anh hùng lực lượng vũ trang nhân dân</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</si>
  <si>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phong tặng danh hiệu Anh hùng lao động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</si>
  <si>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Lao động cho tập thể, cá nhân theo công trạng và thành tích đạt được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</si>
  <si>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Độc lập cho tập thể, cá nhân theo công trạng và thành tích đạt được</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</si>
  <si>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Hồ Chí Minh cho tập thể, cá nhân về thành tích thực hiện nhiệm vụ chính trị</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</si>
  <si>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Thủ tục khen thưởng Huân chương Sao vàng cho tập thể, cá nhân về thành tích thực hiện nhiệm vụ chính trị</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</si>
  <si>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Biểu đồ báo cáo số lượng khen thưởng cấp bộ, ban, ngành đoàn thể trung ương và tỉnh, thành phố trực thuộc trung ương</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</si>
  <si>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</si>
  <si>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Đặt khoảng thời gian tự động làm mới và lựa chọn thời gian làm mới; Hệ thống lưu lại cấu hình và cập nhật lại dữ liệu mới nhất từ Server theo chu kỳ đã chọn cho số lượng công chức làm công tác thi đua, khen thưởng của bộ, ban, ngành đoàn thể trung ương, tỉnh, thành phố trực thuộc trung ương</t>
  </si>
  <si>
    <t>Chuyên viên phòng chuyên môn, Lãnh đạo BNĐP chọn bật chế độ toàn màn hình: Hệ thống chuyển sang chế độ hiển thị toàn màn hình  cho Biểu đồ báo cáo Thủ tục tặng Cờ thi đua của Chính phủ theo công trạng và thành tích đạt được</t>
  </si>
  <si>
    <t>Chuyên viên phòng chuyên môn, Lãnh đạo BNĐP chọn bật chế độ toàn màn hình: Hệ thống chuyển sang chế độ hiển thị toàn màn hình  cho Biểu đồ báo cáo Thủ tục khen thưởng Huân chương Đại đoàn kết dân tộc</t>
  </si>
  <si>
    <t>Chuyên viên phòng chuyên môn, Lãnh đạo BNĐP chọn bật chế độ toàn màn hình: Hệ thống chuyển sang chế độ hiển thị toàn màn hình  cho Biểu đồ báo cáo Thủ tục khen thưởng Huân chương Chiến công cho tập thể, cá nhân có thành tích thực hiện nhiệm vụ chính trị</t>
  </si>
  <si>
    <t>Chuyên viên phòng chuyên môn, Lãnh đạo BNĐP chọn bật chế độ toàn màn hình: Hệ thống chuyển sang chế độ hiển thị toàn màn hình  cho Biểu đồ báo cáo Thủ tục Khen thưởng Huy chương Hữu Nghị cho cá nhân người nước ngoài</t>
  </si>
  <si>
    <t>Chuyên viên phòng chuyên môn, Lãnh đạo BNĐP chọn bật chế độ toàn màn hình: Hệ thống chuyển sang chế độ hiển thị toàn màn hình  cho Biểu đồ báo cáo Thủ tục Tặng thưởng Huy chương Quân kỳ quyết thắng, Huy chương Vì an ninh Tổ quốc, Huy chương Chiến sĩ vẻ vang</t>
  </si>
  <si>
    <t>Chuyên viên phòng chuyên môn, Lãnh đạo BNĐP chọn bật chế độ toàn màn hình: Hệ thống chuyển sang chế độ hiển thị toàn màn hình  cho Biểu đồ báo cáo Thủ tục tặng thưởng Huân chương Bảo vệ Tổ quốc</t>
  </si>
  <si>
    <t>Chuyên viên phòng chuyên môn, Lãnh đạo BNĐP chọn bật chế độ toàn màn hình: Hệ thống chuyển sang chế độ hiển thị toàn màn hình  cho Biểu đồ báo cáo Thủ tục tặng thưởng Huân chương Dũng cảm</t>
  </si>
  <si>
    <t>Chuyên viên phòng chuyên môn, Lãnh đạo BNĐP chọn bật chế độ toàn màn hình: Hệ thống chuyển sang chế độ hiển thị toàn màn hình  cho Biểu đồ báo cáo Thủ tục tặng thưởng Huân chương Quân công</t>
  </si>
  <si>
    <t>Chuyên viên phòng chuyên môn, Lãnh đạo BNĐP chọn bật chế độ toàn màn hình: Hệ thống chuyển sang chế độ hiển thị toàn màn hình  cho Biểu đồ báo cáo Thủ tục tặng thưởng Bằng khen của Thủ tướng Chính phủ cho tập thể, cá nhân người nước ngoài</t>
  </si>
  <si>
    <t>Chuyên viên phòng chuyên môn, Lãnh đạo BNĐP chọn bật chế độ toàn màn hình: Hệ thống chuyển sang chế độ hiển thị toàn màn hình  cho Biểu đồ báo cáo Thủ tục tặng thưởng Bằng khen của Thủ tướng Chính phủ cho gia đình</t>
  </si>
  <si>
    <t>Chuyên viên phòng chuyên môn, Lãnh đạo BNĐP chọn bật chế độ toàn màn hình: Hệ thống chuyển sang chế độ hiển thị toàn màn hình  cho Biểu đồ báo cáo Thủ tục Khen thưởng Huân chương Hữu Nghị cho tập thể, cá nhân người nước ngoài</t>
  </si>
  <si>
    <t>Chuyên viên phòng chuyên môn, Lãnh đạo BNĐP chọn bật chế độ toàn màn hình: Hệ thống chuyển sang chế độ hiển thị toàn màn hình  cho Biểu đồ báo cáo Thủ tục Khen thưởng Huân chương lao động cho tập thể, cá nhân người nước ngoài, người Việt Nam ở nước ngoài</t>
  </si>
  <si>
    <t>Chuyên viên phòng chuyên môn, Lãnh đạo BNĐP chọn bật chế độ toàn màn hình: Hệ thống chuyển sang chế độ hiển thị toàn màn hình  cho Biểu đồ báo cáo Thủ tục Khen thưởng Huân chương Lao động cho cá nhân có quá trình cống hiến</t>
  </si>
  <si>
    <t>Chuyên viên phòng chuyên môn, Lãnh đạo BNĐP chọn bật chế độ toàn màn hình: Hệ thống chuyển sang chế độ hiển thị toàn màn hình  cho Biểu đồ báo cáo Thủ tục phong tặng Tỉnh anh hùng, Thành phố anh hùng</t>
  </si>
  <si>
    <t>Chuyên viên phòng chuyên môn, Lãnh đạo BNĐP chọn bật chế độ toàn màn hình: Hệ thống chuyển sang chế độ hiển thị toàn màn hình  cho Biểu đồ báo cáo Thủ tục Khen thưởng Huân chương Độc lập cho cá nhân có quá trình cống hiến</t>
  </si>
  <si>
    <t>Chuyên viên phòng chuyên môn, Lãnh đạo BNĐP chọn bật chế độ toàn màn hình: Hệ thống chuyển sang chế độ hiển thị toàn màn hình  cho Biểu đồ báo cáo Thủ tục tặng thưởng Cờ thi đua của Chính phủ về thành tích thi đua theo đợt hoặc chuyên đề</t>
  </si>
  <si>
    <t>Chuyên viên phòng chuyên môn, Lãnh đạo BNĐP chọn bật chế độ toàn màn hình: Hệ thống chuyển sang chế độ hiển thị toàn màn hình  cho Biểu đồ báo cáo Thủ tục Khen thưởng Huân chương Hồ Chí Minh cho cá nhân có quá trình cống hiến</t>
  </si>
  <si>
    <t>Chuyên viên phòng chuyên môn, Lãnh đạo BNĐP chọn bật chế độ toàn màn hình: Hệ thống chuyển sang chế độ hiển thị toàn màn hình  cho Biểu đồ báo cáo Thủ tục Khen thưởng Huân chương Sao vàng cho cá nhân có quá trình cống hiến</t>
  </si>
  <si>
    <t>Chuyên viên phòng chuyên môn, Lãnh đạo BNĐP chọn bật chế độ toàn màn hình: Hệ thống chuyển sang chế độ hiển thị toàn màn hình  cho Biểu đồ báo cáo Thủ tục Khen thưởng Huân chương Chiến công cho tập thể, cá nhân có thành tích thi đua theo đợt hoặc chuyên đề</t>
  </si>
  <si>
    <t>Chuyên viên phòng chuyên môn, Lãnh đạo BNĐP chọn bật chế độ toàn màn hình: Hệ thống chuyển sang chế độ hiển thị toàn màn hình  cho Biểu đồ báo cáo Thủ tục tặng thưởng Bằng khen của Thủ tướng Chính phủ về thành tích thi đua theo đợt hoặc chuyên đề</t>
  </si>
  <si>
    <t>Chuyên viên phòng chuyên môn, Lãnh đạo BNĐP chọn bật chế độ toàn màn hình: Hệ thống chuyển sang chế độ hiển thị toàn màn hình  cho Biểu đồ báo cáo Thủ tục khen thưởng Huân chương Lao động cho tập thể, cá nhân về phong trào thi đua theo đợt hoặc chuyên đề</t>
  </si>
  <si>
    <t>Chuyên viên phòng chuyên môn, Lãnh đạo BNĐP chọn bật chế độ toàn màn hình: Hệ thống chuyển sang chế độ hiển thị toàn màn hình  cho Biểu đồ báo cáo Thủ tục Tặng thưởng Bằng khen của Thủ tướng Chính phủ về thành tích đột xuất</t>
  </si>
  <si>
    <t>Chuyên viên phòng chuyên môn, Lãnh đạo BNĐP chọn bật chế độ toàn màn hình: Hệ thống chuyển sang chế độ hiển thị toàn màn hình  cho Biểu đồ báo cáo Thủ tục khen thưởng Huân chương Chiến công cho tập thể, cá nhân về thành tích đột xuất</t>
  </si>
  <si>
    <t>Chuyên viên phòng chuyên môn, Lãnh đạo BNĐP chọn bật chế độ toàn màn hình: Hệ thống chuyển sang chế độ hiển thị toàn màn hình  cho Biểu đồ báo cáo Thủ tục khen thưởng Huân chương lao động cho tập thể, cá nhân về thành tích đột xuất</t>
  </si>
  <si>
    <t>Chuyên viên phòng chuyên môn, Lãnh đạo BNĐP chọn bật chế độ toàn màn hình: Hệ thống chuyển sang chế độ hiển thị toàn màn hình  cho Biểu đồ báo cáo Thủ tục phong tặng, truy tặng Danh hiệu Anh hùng lực lượng vũ trang nhân dân</t>
  </si>
  <si>
    <t>Chuyên viên phòng chuyên môn, Lãnh đạo BNĐP chọn bật chế độ toàn màn hình: Hệ thống chuyển sang chế độ hiển thị toàn màn hình  cho Biểu đồ báo cáo Thủ tục phong tặng danh hiệu Anh hùng lao động</t>
  </si>
  <si>
    <t>Chuyên viên phòng chuyên môn, Lãnh đạo BNĐP chọn bật chế độ toàn màn hình: Hệ thống chuyển sang chế độ hiển thị toàn màn hình  cho Biểu đồ báo cáo Thủ tục khen thưởng Huân chương Lao động cho tập thể, cá nhân theo công trạng và thành tích đạt được</t>
  </si>
  <si>
    <t>Chuyên viên phòng chuyên môn, Lãnh đạo BNĐP chọn bật chế độ toàn màn hình: Hệ thống chuyển sang chế độ hiển thị toàn màn hình  cho Biểu đồ báo cáo Thủ tục khen thưởng Huân chương Độc lập cho tập thể, cá nhân theo công trạng và thành tích đạt được</t>
  </si>
  <si>
    <t>Chuyên viên phòng chuyên môn, Lãnh đạo BNĐP chọn bật chế độ toàn màn hình: Hệ thống chuyển sang chế độ hiển thị toàn màn hình  cho Biểu đồ báo cáo Thủ tục khen thưởng Huân chương Hồ Chí Minh cho tập thể, cá nhân về thành tích thực hiện nhiệm vụ chính trị</t>
  </si>
  <si>
    <t>Chuyên viên phòng chuyên môn, Lãnh đạo BNĐP chọn bật chế độ toàn màn hình: Hệ thống chuyển sang chế độ hiển thị toàn màn hình  cho Biểu đồ báo cáo Thủ tục khen thưởng Huân chương Sao vàng cho tập thể, cá nhân về thành tích thực hiện nhiệm vụ chính trị</t>
  </si>
  <si>
    <t>Chuyên viên phòng chuyên môn, Lãnh đạo BNĐP chọn bật chế độ toàn màn hình: Hệ thống chuyển sang chế độ hiển thị toàn màn hình  cho Biểu đồ báo cáo số lượng khen thưởng cấp bộ, ban, ngành đoàn thể trung ương và tỉnh, thành phố trực thuộc trung ương</t>
  </si>
  <si>
    <t>Chuyên viên phòng chuyên môn, Lãnh đạo BNĐP chọn bật chế độ toàn màn hình: Hệ thống chuyển sang chế độ hiển thị toàn màn hình  cho báo cáo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</si>
  <si>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bật chế độ toàn màn hình: Hệ thống chuyển sang chế độ hiển thị toàn màn hình  cho báo cáo thống kê số lượng công chức làm công tác thi đua, khen thưởng của bộ, ban, ngành đoàn thể trung ương, tỉnh, thành phố trực thuộc trung ương</t>
  </si>
  <si>
    <t>Chuyên viên phòng chuyên môn, Lãnh đạo BNĐP chọn nút chỉnh sửa các tiêu chí báo cáo, thực hiện chỉnh sửa và lưu báo cáo, hệ thống lưu lại báo cáo đã chỉnh sửa cho báo cáo thống kê số lượng tổ chức làm công tác thi đua, khen thưởng của bộ, ban, ngành, đoàn thể trung ương, tỉnh, thành phố trực thuộc trung ương về thành tích thực hiện nhiệm vụ chính trị</t>
  </si>
  <si>
    <t>Chuyên viên phòng chuyên môn, Lãnh đạo BNĐP chọn nút chỉnh sửa các tiêu chí báo cáo, thực hiện chỉnh sửa và lưu báo cáo, hệ thống lưu lại báo cáo đã chỉnh sửa cho báo cáo thống kê số lượng công chức làm công tác thi đua, khen thưởng của bộ, ban, ngành đoàn thể trung ương, tỉnh, thành phố trực thuộc trung ương</t>
  </si>
  <si>
    <t>Chuyên viên phòng chuyên môn, Lãnh đạo BNĐP chọn nút chỉnh sửa các tiêu chí báo cáo, thực hiện chỉnh sửa và lưu báo cáo, hệ thống lưu lại báo cáo đã chỉnh sửa các tiêu chí cho Biểu đồ báo cáo Thủ tục tặng Cờ thi đua của Chính phủ theo công trạng và thành tích đạt được</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</si>
  <si>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Đại đoàn kết dân tộc</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</si>
  <si>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Chiến công cho tập thể, cá nhân có thành tích thực hiện nhiệm vụ chính trị</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</si>
  <si>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Huy chương Hữu Nghị cho cá nhân người nước ngoài</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</si>
  <si>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Huy chương Quân kỳ quyết thắng, Huy chương Vì an ninh Tổ quốc, Huy chương Chiến sĩ vẻ vang</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</si>
  <si>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Huân chương Bảo vệ Tổ quốc</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</si>
  <si>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Huân chương Dũng cảm</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</si>
  <si>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Huân chương Quân công</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</si>
  <si>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Bằng khen của Thủ tướng Chính phủ cho tập thể, cá nhân người nước ngoài</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</si>
  <si>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Bằng khen của Thủ tướng Chính phủ cho gia đình</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</si>
  <si>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Hữu Nghị cho tập thể, cá nhân người nước ngoài</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</si>
  <si>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lao động cho tập thể, cá nhân người nước ngoài, người Việt Nam ở nước ngoài</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</si>
  <si>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Lao động cho cá nhân có quá trình cống hiến</t>
  </si>
  <si>
    <t>Chuyên viên phòng chuyên môn, Lãnh đạo BNĐP chọn nút chỉnh sửa các tiêu chí báo cáo, thực hiện chỉnh sửa và lưu báo cáo, hệ thống lưu lại báo cáo đã chỉnh sửa các tiêu chí cho Biểu đồ báo cáo Thủ tục phong tặng Tỉnh anh hùng, Thành phố anh hùng</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</si>
  <si>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Độc lập cho cá nhân có quá trình cống hiến</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</si>
  <si>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Cờ thi đua của Chính phủ về thành tích thi đua theo đợt hoặc chuyên đề</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</si>
  <si>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Hồ Chí Minh cho cá nhân có quá trình cống hiến</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</si>
  <si>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Sao vàng cho cá nhân có quá trình cống hiến</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</si>
  <si>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Chiến công cho tập thể, cá nhân có thành tích thi đua theo đợt hoặc chuyên đề</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</si>
  <si>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Bằng khen của Thủ tướng Chính phủ về thành tích thi đua theo đợt hoặc chuyên đề</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</si>
  <si>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Lao động cho tập thể, cá nhân về phong trào thi đua theo đợt hoặc chuyên đề</t>
  </si>
  <si>
    <t>Chuyên viên phòng chuyên môn, Lãnh đạo BNĐP chọn nút chỉnh sửa các tiêu chí báo cáo, thực hiện chỉnh sửa và lưu báo cáo, hệ thống lưu lại báo cáo đã chỉnh sửa các tiêu chí cho Biểu đồ báo cáo Thủ tục Tặng thưởng Bằng khen của Thủ tướng Chính phủ về thành tích đột xuất</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</si>
  <si>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Chiến công cho tập thể, cá nhân về thành tích đột xuất</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</si>
  <si>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lao động cho tập thể, cá nhân về thành tích đột xuất</t>
  </si>
  <si>
    <t>Chuyên viên phòng chuyên môn, Lãnh đạo BNĐP chọn nút chỉnh sửa các tiêu chí báo cáo, thực hiện chỉnh sửa và lưu báo cáo, hệ thống lưu lại báo cáo đã chỉnh sửa các tiêu chí cho Biểu đồ báo cáo Thủ tục phong tặng, truy tặng Danh hiệu Anh hùng lực lượng vũ trang nhân dân</t>
  </si>
  <si>
    <t>Chuyên viên phòng chuyên môn, Lãnh đạo BNĐP chọn nút chỉnh sửa các tiêu chí báo cáo, thực hiện chỉnh sửa và lưu báo cáo, hệ thống lưu lại báo cáo đã chỉnh sửa các tiêu chí cho Biểu đồ báo cáo Thủ tục phong tặng danh hiệu Anh hùng lao động</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</si>
  <si>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Lao động cho tập thể, cá nhân theo công trạng và thành tích đạt được</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</si>
  <si>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Độc lập cho tập thể, cá nhân theo công trạng và thành tích đạt được</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</si>
  <si>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Hồ Chí Minh cho tập thể, cá nhân về thành tích thực hiện nhiệm vụ chính trị</t>
  </si>
  <si>
    <t>Chuyên viên phòng chuyên môn, Lãnh đạo BNĐP chọn nút chỉnh sửa các tiêu chí báo cáo, thực hiện chỉnh sửa và lưu báo cáo, hệ thống lưu lại báo cáo đã chỉnh sửa các tiêu chí cho Biểu đồ báo cáo Thủ tục khen thưởng Huân chương Sao vàng cho tập thể, cá nhân về thành tích thực hiện nhiệm vụ chính trị</t>
  </si>
  <si>
    <t>Chuyên viên phòng chuyên môn, Lãnh đạo BNĐP chọn nút chỉnh sửa các tiêu chí báo cáo, thực hiện chỉnh sửa và lưu báo cáo, hệ thống lưu lại báo cáo đã chỉnh sửa các tiêu chí cho Biểu đồ báo cáo số lượng khen thưởng cấp bộ, ban, ngành đoàn thể trung ương và tỉnh, thành phố trực thuộc trung ương</t>
  </si>
  <si>
    <t>Văn thư thực hiện nhập điều kiện tìm kiếm và xác nhận tìm kiếm tờ trình đã chuyển cho Ban Thi đua khen thưởng Trung ương. Hệ thống kiểm tra và hiển thị kết quả tìm kiếm trên màn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</si>
</sst>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quot;£&quot;#,##0;\-&quot;£&quot;#,##0"/>
    <numFmt numFmtId="165" formatCode="&quot;£&quot;#,##0.00;[Red]\-&quot;£&quot;#,##0.00"/>
    <numFmt numFmtId="166" formatCode="_-* #,##0_-;\-* #,##0_-;_-* &quot;-&quot;_-;_-@_-"/>
    <numFmt numFmtId="167" formatCode="_-&quot;£&quot;* #,##0.00_-;\-&quot;£&quot;* #,##0.00_-;_-&quot;£&quot;* &quot;-&quot;??_-;_-@_-"/>
    <numFmt numFmtId="168" formatCode="_-* #,##0.00_-;\-* #,##0.00_-;_-* &quot;-&quot;??_-;_-@_-"/>
    <numFmt numFmtId="169" formatCode="_-* #,##0.00\ _₫_-;\-* #,##0.00\ _₫_-;_-* &quot;-&quot;??\ _₫_-;_-@_-"/>
    <numFmt numFmtId="170" formatCode="&quot;€&quot;#,##0_);\(&quot;€&quot;#,##0\)"/>
    <numFmt numFmtId="171" formatCode="&quot;€&quot;#,##0_);[Red]\(&quot;€&quot;#,##0\)"/>
    <numFmt numFmtId="172" formatCode="_(&quot;€&quot;* #,##0.00_);_(&quot;€&quot;* \(#,##0.00\);_(&quot;€&quot;* &quot;-&quot;??_);_(@_)"/>
    <numFmt numFmtId="173" formatCode="_(* #,##0_);_(* \(#,##0\);_(* &quot;-&quot;??_);_(@_)"/>
    <numFmt numFmtId="174" formatCode="\$#,##0\ ;\(\$#,##0\)"/>
    <numFmt numFmtId="175" formatCode="&quot;\&quot;#,##0.00;[Red]&quot;\&quot;\-#,##0.00"/>
    <numFmt numFmtId="176" formatCode="&quot;\&quot;#,##0;[Red]&quot;\&quot;\-#,##0"/>
    <numFmt numFmtId="177" formatCode="_-&quot;€&quot;* #,##0_-;\-&quot;€&quot;* #,##0_-;_-&quot;€&quot;* &quot;-&quot;_-;_-@_-"/>
    <numFmt numFmtId="178" formatCode="_-&quot;€&quot;* #,##0.00_-;\-&quot;€&quot;* #,##0.00_-;_-&quot;€&quot;* &quot;-&quot;??_-;_-@_-"/>
    <numFmt numFmtId="179" formatCode="0.000;[Red]0.000"/>
    <numFmt numFmtId="180" formatCode="0.0000;[Red]0.0000"/>
    <numFmt numFmtId="181" formatCode="0.000"/>
    <numFmt numFmtId="182" formatCode="_(* #,##0.000_);_(* \(#,##0.000\);_(* &quot;-&quot;??_);_(@_)"/>
    <numFmt numFmtId="183" formatCode="0.00;[Red]0.00"/>
    <numFmt numFmtId="186" formatCode="0.0"/>
    <numFmt numFmtId="187" formatCode="_-* #,##0.0_-;\-* #,##0.0_-;_-* &quot;-&quot;?_-;_-@_-"/>
  </numFmts>
  <fonts count="118">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163"/>
    </font>
    <font>
      <sz val="11"/>
      <color indexed="8"/>
      <name val="Calibri"/>
      <family val="2"/>
    </font>
    <font>
      <sz val="10"/>
      <name val="MS Sans Serif"/>
      <family val="2"/>
    </font>
    <font>
      <b/>
      <sz val="13"/>
      <name val="Times New Roman"/>
      <family val="1"/>
    </font>
    <font>
      <sz val="13"/>
      <name val="Times New Roman"/>
      <family val="1"/>
    </font>
    <font>
      <b/>
      <sz val="13"/>
      <color rgb="FF000000"/>
      <name val="Times New Roman"/>
      <family val="1"/>
    </font>
    <font>
      <sz val="10"/>
      <name val="Arial"/>
      <family val="2"/>
    </font>
    <font>
      <sz val="11"/>
      <color indexed="8"/>
      <name val="Times New Roman"/>
      <family val="1"/>
    </font>
    <font>
      <sz val="12"/>
      <name val="Times New Roman"/>
      <family val="1"/>
    </font>
    <font>
      <sz val="10"/>
      <name val="Arial"/>
      <family val="2"/>
    </font>
    <font>
      <i/>
      <sz val="13"/>
      <name val="Times New Roman"/>
      <family val="1"/>
    </font>
    <font>
      <sz val="12"/>
      <name val="바탕체"/>
      <family val="1"/>
      <charset val="129"/>
    </font>
    <font>
      <sz val="10"/>
      <name val="Helv"/>
      <family val="2"/>
    </font>
    <font>
      <sz val="10"/>
      <color indexed="8"/>
      <name val="MS Sans Serif"/>
      <family val="2"/>
    </font>
    <font>
      <sz val="12"/>
      <name val="¹UAAA¼"/>
      <family val="3"/>
      <charset val="129"/>
    </font>
    <font>
      <sz val="11"/>
      <color indexed="8"/>
      <name val="맑은 고딕"/>
      <family val="3"/>
    </font>
    <font>
      <sz val="11"/>
      <color indexed="9"/>
      <name val="맑은 고딕"/>
      <family val="3"/>
    </font>
    <font>
      <sz val="11"/>
      <color indexed="9"/>
      <name val="Calibri"/>
      <family val="2"/>
    </font>
    <font>
      <sz val="11"/>
      <color indexed="20"/>
      <name val="맑은 고딕"/>
      <family val="3"/>
    </font>
    <font>
      <b/>
      <sz val="11"/>
      <color indexed="52"/>
      <name val="맑은 고딕"/>
      <family val="3"/>
    </font>
    <font>
      <b/>
      <sz val="10"/>
      <name val="Helv"/>
      <family val="2"/>
    </font>
    <font>
      <b/>
      <sz val="11"/>
      <color indexed="9"/>
      <name val="맑은 고딕"/>
      <family val="3"/>
    </font>
    <font>
      <b/>
      <sz val="11"/>
      <color indexed="8"/>
      <name val="Calibri"/>
      <family val="2"/>
    </font>
    <font>
      <i/>
      <sz val="11"/>
      <color indexed="23"/>
      <name val="맑은 고딕"/>
      <family val="3"/>
    </font>
    <font>
      <sz val="11"/>
      <color indexed="17"/>
      <name val="맑은 고딕"/>
      <family val="3"/>
    </font>
    <font>
      <sz val="8"/>
      <name val="Arial"/>
      <family val="2"/>
    </font>
    <font>
      <b/>
      <sz val="12"/>
      <name val="Helv"/>
      <family val="2"/>
    </font>
    <font>
      <b/>
      <sz val="12"/>
      <name val="Arial"/>
      <family val="2"/>
    </font>
    <font>
      <b/>
      <sz val="15"/>
      <color indexed="56"/>
      <name val="맑은 고딕"/>
      <family val="3"/>
    </font>
    <font>
      <b/>
      <sz val="13"/>
      <color indexed="56"/>
      <name val="맑은 고딕"/>
      <family val="3"/>
    </font>
    <font>
      <b/>
      <sz val="11"/>
      <color indexed="56"/>
      <name val="맑은 고딕"/>
      <family val="3"/>
    </font>
    <font>
      <b/>
      <sz val="10"/>
      <name val=".VnTime"/>
      <family val="2"/>
    </font>
    <font>
      <u/>
      <sz val="10"/>
      <color indexed="12"/>
      <name val="Arial"/>
      <family val="2"/>
    </font>
    <font>
      <sz val="11"/>
      <color indexed="62"/>
      <name val="맑은 고딕"/>
      <family val="3"/>
    </font>
    <font>
      <sz val="11"/>
      <color indexed="52"/>
      <name val="맑은 고딕"/>
      <family val="3"/>
    </font>
    <font>
      <b/>
      <sz val="11"/>
      <name val="Helv"/>
      <family val="2"/>
    </font>
    <font>
      <sz val="11"/>
      <color indexed="60"/>
      <name val="맑은 고딕"/>
      <family val="3"/>
    </font>
    <font>
      <sz val="11"/>
      <name val=".VnArial"/>
      <family val="2"/>
    </font>
    <font>
      <sz val="11"/>
      <name val="돋움"/>
      <family val="3"/>
      <charset val="129"/>
    </font>
    <font>
      <sz val="11"/>
      <color indexed="8"/>
      <name val="Arial"/>
      <family val="2"/>
    </font>
    <font>
      <b/>
      <sz val="11"/>
      <color indexed="63"/>
      <name val="맑은 고딕"/>
      <family val="3"/>
    </font>
    <font>
      <b/>
      <sz val="18"/>
      <color indexed="62"/>
      <name val="Cambria"/>
      <family val="2"/>
    </font>
    <font>
      <b/>
      <sz val="11"/>
      <color indexed="12"/>
      <name val="MS Sans Serif"/>
      <family val="2"/>
    </font>
    <font>
      <b/>
      <sz val="18"/>
      <color indexed="56"/>
      <name val="맑은 고딕"/>
      <family val="3"/>
    </font>
    <font>
      <b/>
      <sz val="11"/>
      <color indexed="8"/>
      <name val="맑은 고딕"/>
      <family val="3"/>
    </font>
    <font>
      <b/>
      <sz val="8"/>
      <name val="VN Helvetica"/>
    </font>
    <font>
      <b/>
      <sz val="12"/>
      <name val=".VnTime"/>
      <family val="2"/>
    </font>
    <font>
      <b/>
      <sz val="10"/>
      <name val="VN AvantGBook"/>
    </font>
    <font>
      <b/>
      <sz val="10"/>
      <name val="VN Helvetica"/>
    </font>
    <font>
      <b/>
      <sz val="16"/>
      <name val=".VnTime"/>
      <family val="2"/>
    </font>
    <font>
      <sz val="10"/>
      <name val=".VnTime"/>
      <family val="2"/>
    </font>
    <font>
      <sz val="9"/>
      <name val=".VnTime"/>
      <family val="2"/>
    </font>
    <font>
      <sz val="11"/>
      <color indexed="10"/>
      <name val="맑은 고딕"/>
      <family val="3"/>
    </font>
    <font>
      <u/>
      <sz val="11"/>
      <color indexed="20"/>
      <name val="돋움"/>
      <family val="3"/>
      <charset val="129"/>
    </font>
    <font>
      <sz val="14"/>
      <name val="뼻뮝"/>
      <family val="3"/>
      <charset val="129"/>
    </font>
    <font>
      <sz val="12"/>
      <name val="바탕체"/>
      <family val="3"/>
    </font>
    <font>
      <sz val="12"/>
      <name val="뼻뮝"/>
      <family val="1"/>
      <charset val="129"/>
    </font>
    <font>
      <sz val="10"/>
      <name val="굴림체"/>
      <family val="3"/>
      <charset val="129"/>
    </font>
    <font>
      <sz val="12"/>
      <name val="新細明體"/>
      <family val="1"/>
      <charset val="136"/>
    </font>
    <font>
      <sz val="12"/>
      <name val="宋体"/>
      <charset val="134"/>
    </font>
    <font>
      <sz val="11"/>
      <name val="Times New Roman"/>
      <family val="1"/>
    </font>
    <font>
      <sz val="11"/>
      <color theme="1"/>
      <name val="Times New Roman"/>
      <family val="1"/>
    </font>
    <font>
      <sz val="12"/>
      <name val=".VnTime"/>
      <family val="2"/>
    </font>
    <font>
      <b/>
      <sz val="11"/>
      <name val="Times New Roman"/>
      <family val="1"/>
    </font>
    <font>
      <b/>
      <i/>
      <sz val="11"/>
      <name val="Times New Roman"/>
      <family val="1"/>
    </font>
    <font>
      <sz val="11"/>
      <color rgb="FFFF0000"/>
      <name val="Times New Roman"/>
      <family val="1"/>
    </font>
    <font>
      <b/>
      <sz val="9"/>
      <color indexed="81"/>
      <name val="Tahoma"/>
      <family val="2"/>
      <charset val="163"/>
    </font>
    <font>
      <sz val="9"/>
      <color indexed="81"/>
      <name val="Tahoma"/>
      <family val="2"/>
      <charset val="163"/>
    </font>
    <font>
      <sz val="14"/>
      <color indexed="8"/>
      <name val="Arial"/>
      <family val="2"/>
    </font>
    <font>
      <sz val="11"/>
      <color theme="1"/>
      <name val="Calibri"/>
      <family val="2"/>
      <charset val="163"/>
      <scheme val="minor"/>
    </font>
    <font>
      <b/>
      <sz val="14"/>
      <name val="Times New Roman"/>
      <family val="1"/>
    </font>
    <font>
      <sz val="14"/>
      <name val="Times New Roman"/>
      <family val="1"/>
    </font>
    <font>
      <sz val="11"/>
      <name val="Calibri"/>
      <family val="2"/>
    </font>
    <font>
      <sz val="13"/>
      <color rgb="FFFF0000"/>
      <name val="Times New Roman"/>
      <family val="1"/>
    </font>
    <font>
      <sz val="12"/>
      <color theme="1"/>
      <name val="Calibri"/>
      <family val="2"/>
      <scheme val="minor"/>
    </font>
    <font>
      <sz val="14"/>
      <name val=".VnTime"/>
      <family val="2"/>
    </font>
    <font>
      <sz val="14"/>
      <color theme="1"/>
      <name val="Arial"/>
      <family val="2"/>
    </font>
    <font>
      <b/>
      <sz val="9"/>
      <color indexed="81"/>
      <name val="Tahoma"/>
      <family val="2"/>
    </font>
    <font>
      <sz val="9"/>
      <color indexed="81"/>
      <name val="Tahoma"/>
      <family val="2"/>
    </font>
    <font>
      <b/>
      <i/>
      <sz val="13"/>
      <name val="Times New Roman"/>
      <family val="1"/>
    </font>
    <font>
      <b/>
      <sz val="11"/>
      <color theme="1"/>
      <name val="Times New Roman"/>
      <family val="1"/>
    </font>
    <font>
      <b/>
      <sz val="12"/>
      <name val="Times New Roman"/>
      <family val="1"/>
    </font>
    <font>
      <sz val="13"/>
      <color theme="1"/>
      <name val="Times New Roman"/>
      <family val="1"/>
    </font>
    <font>
      <sz val="12"/>
      <color theme="1"/>
      <name val="Times New Roman"/>
      <family val="1"/>
    </font>
    <font>
      <b/>
      <sz val="13"/>
      <color theme="1"/>
      <name val="Times New Roman"/>
      <family val="1"/>
    </font>
    <font>
      <b/>
      <sz val="20"/>
      <color theme="1"/>
      <name val="Times New Roman"/>
      <family val="1"/>
    </font>
    <font>
      <b/>
      <sz val="12"/>
      <color theme="1"/>
      <name val="Times New Roman"/>
      <family val="1"/>
    </font>
    <font>
      <b/>
      <i/>
      <sz val="13"/>
      <color theme="1"/>
      <name val="Times New Roman"/>
      <family val="1"/>
    </font>
    <font>
      <sz val="11"/>
      <color theme="1"/>
      <name val="Calibri"/>
      <family val="2"/>
    </font>
    <font>
      <sz val="11"/>
      <color theme="1"/>
      <name val="Arial"/>
      <family val="2"/>
    </font>
    <font>
      <sz val="14"/>
      <color theme="1"/>
      <name val="Times New Roman"/>
      <family val="1"/>
    </font>
    <font>
      <sz val="11"/>
      <name val="Arial"/>
      <family val="2"/>
    </font>
    <font>
      <b/>
      <sz val="12"/>
      <color rgb="FF000000"/>
      <name val="Times New Roman"/>
      <family val="1"/>
    </font>
    <font>
      <sz val="12"/>
      <color rgb="FF000000"/>
      <name val="Times New Roman"/>
      <family val="1"/>
    </font>
    <font>
      <sz val="13"/>
      <color rgb="FF000000"/>
      <name val="Times New Roman"/>
      <family val="1"/>
    </font>
    <font>
      <i/>
      <sz val="11"/>
      <color theme="1"/>
      <name val="Times New Roman"/>
      <family val="1"/>
    </font>
    <font>
      <i/>
      <sz val="12"/>
      <color theme="1"/>
      <name val="Times New Roman"/>
      <family val="1"/>
    </font>
    <font>
      <i/>
      <sz val="12"/>
      <name val="Times New Roman"/>
      <family val="1"/>
    </font>
    <font>
      <b/>
      <i/>
      <sz val="11"/>
      <color theme="1"/>
      <name val="Times New Roman"/>
      <family val="1"/>
    </font>
    <font>
      <sz val="13"/>
      <color indexed="8"/>
      <name val="Calibri"/>
      <family val="2"/>
    </font>
    <font>
      <sz val="8"/>
      <name val="Calibri"/>
      <family val="2"/>
    </font>
    <font>
      <b/>
      <sz val="13"/>
      <color indexed="8"/>
      <name val="Times New Roman"/>
      <family val="1"/>
    </font>
    <font>
      <sz val="12"/>
      <color indexed="8"/>
      <name val="Times New Roman"/>
      <family val="2"/>
    </font>
    <font>
      <sz val="12"/>
      <color indexed="8"/>
      <name val="Times New Roman"/>
      <family val="1"/>
      <charset val="163"/>
    </font>
    <font>
      <i/>
      <sz val="13"/>
      <color theme="1"/>
      <name val="Times New Roman"/>
      <family val="1"/>
    </font>
    <font>
      <b/>
      <sz val="13"/>
      <color rgb="FFFF0000"/>
      <name val="Times New Roman"/>
      <family val="1"/>
    </font>
    <font>
      <u/>
      <sz val="13"/>
      <name val="Times New Roman"/>
      <family val="1"/>
    </font>
    <font>
      <b/>
      <sz val="13"/>
      <name val="Calibri"/>
      <family val="2"/>
      <scheme val="minor"/>
    </font>
  </fonts>
  <fills count="6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22"/>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0"/>
        <bgColor indexed="64"/>
      </patternFill>
    </fill>
    <fill>
      <patternFill patternType="solid">
        <fgColor indexed="43"/>
      </patternFill>
    </fill>
    <fill>
      <patternFill patternType="solid">
        <fgColor indexed="26"/>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39997558519241921"/>
        <bgColor indexed="64"/>
      </patternFill>
    </fill>
    <fill>
      <patternFill patternType="solid">
        <fgColor theme="9" tint="0.59999389629810485"/>
        <bgColor indexed="64"/>
      </patternFill>
    </fill>
    <fill>
      <patternFill patternType="solid">
        <fgColor rgb="FFB8CCE4"/>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D8D8D8"/>
        <bgColor rgb="FFD8D8D8"/>
      </patternFill>
    </fill>
    <fill>
      <patternFill patternType="solid">
        <fgColor rgb="FFC8C8C8"/>
        <bgColor rgb="FFC8C8C8"/>
      </patternFill>
    </fill>
    <fill>
      <patternFill patternType="solid">
        <fgColor theme="5" tint="0.79998168889431442"/>
        <bgColor indexed="64"/>
      </patternFill>
    </fill>
    <fill>
      <patternFill patternType="solid">
        <fgColor theme="6" tint="0.39997558519241921"/>
        <bgColor indexed="64"/>
      </patternFill>
    </fill>
    <fill>
      <patternFill patternType="solid">
        <fgColor rgb="FFDDD9C4"/>
        <bgColor indexed="64"/>
      </patternFill>
    </fill>
    <fill>
      <patternFill patternType="solid">
        <fgColor rgb="FFFFFFFF"/>
        <bgColor indexed="64"/>
      </patternFill>
    </fill>
    <fill>
      <patternFill patternType="solid">
        <fgColor rgb="FFDDD9C4"/>
        <bgColor rgb="FF000000"/>
      </patternFill>
    </fill>
    <fill>
      <patternFill patternType="solid">
        <fgColor theme="0"/>
        <bgColor rgb="FFB7E1CD"/>
      </patternFill>
    </fill>
    <fill>
      <patternFill patternType="solid">
        <fgColor theme="0"/>
        <bgColor rgb="FFFFFFFF"/>
      </patternFill>
    </fill>
    <fill>
      <patternFill patternType="solid">
        <fgColor theme="6" tint="0.79998168889431442"/>
        <bgColor indexed="64"/>
      </patternFill>
    </fill>
  </fills>
  <borders count="40">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style="medium">
        <color indexed="64"/>
      </right>
      <top style="hair">
        <color indexed="64"/>
      </top>
      <bottom style="hair">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38">
    <xf numFmtId="0" fontId="0" fillId="0" borderId="0"/>
    <xf numFmtId="43" fontId="11" fillId="0" borderId="0" applyFont="0" applyFill="0" applyBorder="0" applyAlignment="0" applyProtection="0"/>
    <xf numFmtId="0" fontId="10" fillId="0" borderId="0"/>
    <xf numFmtId="0" fontId="16" fillId="0" borderId="0"/>
    <xf numFmtId="0" fontId="16" fillId="0" borderId="0"/>
    <xf numFmtId="0" fontId="10" fillId="0" borderId="0"/>
    <xf numFmtId="168" fontId="10" fillId="0" borderId="0" applyFont="0" applyFill="0" applyBorder="0" applyAlignment="0" applyProtection="0"/>
    <xf numFmtId="0" fontId="19" fillId="0" borderId="0"/>
    <xf numFmtId="0" fontId="10" fillId="0" borderId="0"/>
    <xf numFmtId="168" fontId="10" fillId="0" borderId="0" applyFont="0" applyFill="0" applyBorder="0" applyAlignment="0" applyProtection="0"/>
    <xf numFmtId="0" fontId="16"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2" fillId="0" borderId="0"/>
    <xf numFmtId="0" fontId="22" fillId="0" borderId="0"/>
    <xf numFmtId="0" fontId="16" fillId="0" borderId="0"/>
    <xf numFmtId="0" fontId="16" fillId="0" borderId="0"/>
    <xf numFmtId="0" fontId="22" fillId="0" borderId="0"/>
    <xf numFmtId="0" fontId="23" fillId="0" borderId="0"/>
    <xf numFmtId="0" fontId="10" fillId="0" borderId="0"/>
    <xf numFmtId="0" fontId="16" fillId="0" borderId="0"/>
    <xf numFmtId="9" fontId="24" fillId="0" borderId="0" applyFont="0" applyFill="0" applyBorder="0" applyAlignment="0" applyProtection="0"/>
    <xf numFmtId="0" fontId="25" fillId="4" borderId="0" applyNumberFormat="0" applyBorder="0" applyAlignment="0" applyProtection="0">
      <alignment vertical="center"/>
    </xf>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7"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11" fillId="18" borderId="0" applyNumberFormat="0" applyBorder="0" applyAlignment="0" applyProtection="0"/>
    <xf numFmtId="0" fontId="11" fillId="18" borderId="0" applyNumberFormat="0" applyBorder="0" applyAlignment="0" applyProtection="0"/>
    <xf numFmtId="0" fontId="27" fillId="19" borderId="0" applyNumberFormat="0" applyBorder="0" applyAlignment="0" applyProtection="0"/>
    <xf numFmtId="0" fontId="26" fillId="20" borderId="0" applyNumberFormat="0" applyBorder="0" applyAlignment="0" applyProtection="0">
      <alignment vertical="center"/>
    </xf>
    <xf numFmtId="0" fontId="11" fillId="21" borderId="0" applyNumberFormat="0" applyBorder="0" applyAlignment="0" applyProtection="0"/>
    <xf numFmtId="0" fontId="11" fillId="22" borderId="0" applyNumberFormat="0" applyBorder="0" applyAlignment="0" applyProtection="0"/>
    <xf numFmtId="0" fontId="27" fillId="23" borderId="0" applyNumberFormat="0" applyBorder="0" applyAlignment="0" applyProtection="0"/>
    <xf numFmtId="0" fontId="26" fillId="24" borderId="0" applyNumberFormat="0" applyBorder="0" applyAlignment="0" applyProtection="0">
      <alignment vertical="center"/>
    </xf>
    <xf numFmtId="0" fontId="11" fillId="21" borderId="0" applyNumberFormat="0" applyBorder="0" applyAlignment="0" applyProtection="0"/>
    <xf numFmtId="0" fontId="11" fillId="25" borderId="0" applyNumberFormat="0" applyBorder="0" applyAlignment="0" applyProtection="0"/>
    <xf numFmtId="0" fontId="27" fillId="22" borderId="0" applyNumberFormat="0" applyBorder="0" applyAlignment="0" applyProtection="0"/>
    <xf numFmtId="0" fontId="26" fillId="26" borderId="0" applyNumberFormat="0" applyBorder="0" applyAlignment="0" applyProtection="0">
      <alignment vertical="center"/>
    </xf>
    <xf numFmtId="0" fontId="11" fillId="18" borderId="0" applyNumberFormat="0" applyBorder="0" applyAlignment="0" applyProtection="0"/>
    <xf numFmtId="0" fontId="11" fillId="22" borderId="0" applyNumberFormat="0" applyBorder="0" applyAlignment="0" applyProtection="0"/>
    <xf numFmtId="0" fontId="27" fillId="22" borderId="0" applyNumberFormat="0" applyBorder="0" applyAlignment="0" applyProtection="0"/>
    <xf numFmtId="0" fontId="26" fillId="15" borderId="0" applyNumberFormat="0" applyBorder="0" applyAlignment="0" applyProtection="0">
      <alignment vertical="center"/>
    </xf>
    <xf numFmtId="0" fontId="11" fillId="27" borderId="0" applyNumberFormat="0" applyBorder="0" applyAlignment="0" applyProtection="0"/>
    <xf numFmtId="0" fontId="11" fillId="18" borderId="0" applyNumberFormat="0" applyBorder="0" applyAlignment="0" applyProtection="0"/>
    <xf numFmtId="0" fontId="27" fillId="19" borderId="0" applyNumberFormat="0" applyBorder="0" applyAlignment="0" applyProtection="0"/>
    <xf numFmtId="0" fontId="26" fillId="16" borderId="0" applyNumberFormat="0" applyBorder="0" applyAlignment="0" applyProtection="0">
      <alignment vertical="center"/>
    </xf>
    <xf numFmtId="0" fontId="11" fillId="21" borderId="0" applyNumberFormat="0" applyBorder="0" applyAlignment="0" applyProtection="0"/>
    <xf numFmtId="0" fontId="11" fillId="28" borderId="0" applyNumberFormat="0" applyBorder="0" applyAlignment="0" applyProtection="0"/>
    <xf numFmtId="0" fontId="27" fillId="28" borderId="0" applyNumberFormat="0" applyBorder="0" applyAlignment="0" applyProtection="0"/>
    <xf numFmtId="0" fontId="26" fillId="29" borderId="0" applyNumberFormat="0" applyBorder="0" applyAlignment="0" applyProtection="0">
      <alignment vertical="center"/>
    </xf>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28" fillId="5" borderId="0" applyNumberFormat="0" applyBorder="0" applyAlignment="0" applyProtection="0">
      <alignment vertical="center"/>
    </xf>
    <xf numFmtId="0" fontId="16" fillId="0" borderId="0"/>
    <xf numFmtId="0" fontId="29" fillId="30" borderId="7" applyNumberFormat="0" applyAlignment="0" applyProtection="0">
      <alignment vertical="center"/>
    </xf>
    <xf numFmtId="0" fontId="30" fillId="0" borderId="0"/>
    <xf numFmtId="0" fontId="31" fillId="31" borderId="8" applyNumberFormat="0" applyAlignment="0" applyProtection="0">
      <alignment vertical="center"/>
    </xf>
    <xf numFmtId="168" fontId="10" fillId="0" borderId="0" applyFont="0" applyFill="0" applyBorder="0" applyAlignment="0" applyProtection="0"/>
    <xf numFmtId="168" fontId="10"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8"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168" fontId="16" fillId="0" borderId="0" applyFont="0" applyFill="0" applyBorder="0" applyAlignment="0" applyProtection="0"/>
    <xf numFmtId="43" fontId="10" fillId="0" borderId="0" applyFont="0" applyFill="0" applyBorder="0" applyAlignment="0" applyProtection="0"/>
    <xf numFmtId="168" fontId="16"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43" fontId="11" fillId="0" borderId="0" applyFont="0" applyFill="0" applyBorder="0" applyAlignment="0" applyProtection="0"/>
    <xf numFmtId="3"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72" fontId="10" fillId="0" borderId="0" applyFont="0" applyFill="0" applyBorder="0" applyAlignment="0" applyProtection="0"/>
    <xf numFmtId="174" fontId="16" fillId="0" borderId="0" applyFont="0" applyFill="0" applyBorder="0" applyAlignment="0" applyProtection="0"/>
    <xf numFmtId="0" fontId="16" fillId="0" borderId="0" applyFont="0" applyFill="0" applyBorder="0" applyAlignment="0" applyProtection="0"/>
    <xf numFmtId="0" fontId="32" fillId="32" borderId="0" applyNumberFormat="0" applyBorder="0" applyAlignment="0" applyProtection="0"/>
    <xf numFmtId="0" fontId="32" fillId="33" borderId="0" applyNumberFormat="0" applyBorder="0" applyAlignment="0" applyProtection="0"/>
    <xf numFmtId="0" fontId="32" fillId="34" borderId="0" applyNumberFormat="0" applyBorder="0" applyAlignment="0" applyProtection="0"/>
    <xf numFmtId="0" fontId="33" fillId="0" borderId="0" applyNumberFormat="0" applyFill="0" applyBorder="0" applyAlignment="0" applyProtection="0">
      <alignment vertical="center"/>
    </xf>
    <xf numFmtId="2" fontId="16" fillId="0" borderId="0" applyFont="0" applyFill="0" applyBorder="0" applyAlignment="0" applyProtection="0"/>
    <xf numFmtId="0" fontId="34" fillId="6" borderId="0" applyNumberFormat="0" applyBorder="0" applyAlignment="0" applyProtection="0">
      <alignment vertical="center"/>
    </xf>
    <xf numFmtId="38" fontId="35" fillId="3" borderId="0" applyNumberFormat="0" applyBorder="0" applyAlignment="0" applyProtection="0"/>
    <xf numFmtId="0" fontId="36" fillId="0" borderId="0">
      <alignment horizontal="left"/>
    </xf>
    <xf numFmtId="0" fontId="37" fillId="0" borderId="9" applyNumberFormat="0" applyAlignment="0" applyProtection="0">
      <alignment horizontal="left" vertical="center"/>
    </xf>
    <xf numFmtId="0" fontId="37" fillId="0" borderId="2">
      <alignment horizontal="left" vertical="center"/>
    </xf>
    <xf numFmtId="0" fontId="38" fillId="0" borderId="10" applyNumberFormat="0" applyFill="0" applyAlignment="0" applyProtection="0">
      <alignment vertical="center"/>
    </xf>
    <xf numFmtId="0" fontId="39" fillId="0" borderId="11" applyNumberFormat="0" applyFill="0" applyAlignment="0" applyProtection="0">
      <alignment vertical="center"/>
    </xf>
    <xf numFmtId="0" fontId="40" fillId="0" borderId="12" applyNumberFormat="0" applyFill="0" applyAlignment="0" applyProtection="0">
      <alignment vertical="center"/>
    </xf>
    <xf numFmtId="0" fontId="40" fillId="0" borderId="0" applyNumberFormat="0" applyFill="0" applyBorder="0" applyAlignment="0" applyProtection="0">
      <alignment vertical="center"/>
    </xf>
    <xf numFmtId="170" fontId="41" fillId="35" borderId="4" applyNumberFormat="0" applyAlignment="0">
      <alignment horizontal="left" vertical="top"/>
    </xf>
    <xf numFmtId="0" fontId="42" fillId="0" borderId="0" applyNumberFormat="0" applyFill="0" applyBorder="0" applyAlignment="0" applyProtection="0">
      <alignment vertical="top"/>
      <protection locked="0"/>
    </xf>
    <xf numFmtId="10" fontId="35" fillId="3" borderId="4" applyNumberFormat="0" applyBorder="0" applyAlignment="0" applyProtection="0"/>
    <xf numFmtId="0" fontId="43" fillId="9" borderId="7" applyNumberFormat="0" applyAlignment="0" applyProtection="0">
      <alignment vertical="center"/>
    </xf>
    <xf numFmtId="0" fontId="43" fillId="9" borderId="7" applyNumberFormat="0" applyAlignment="0" applyProtection="0">
      <alignment vertical="center"/>
    </xf>
    <xf numFmtId="0" fontId="43" fillId="9" borderId="7" applyNumberFormat="0" applyAlignment="0" applyProtection="0">
      <alignment vertical="center"/>
    </xf>
    <xf numFmtId="0" fontId="16" fillId="0" borderId="0"/>
    <xf numFmtId="0" fontId="16" fillId="0" borderId="0"/>
    <xf numFmtId="0" fontId="16" fillId="0" borderId="0"/>
    <xf numFmtId="0" fontId="16" fillId="0" borderId="0"/>
    <xf numFmtId="0" fontId="10" fillId="0" borderId="0"/>
    <xf numFmtId="0" fontId="12" fillId="0" borderId="0"/>
    <xf numFmtId="0" fontId="44" fillId="0" borderId="13" applyNumberFormat="0" applyFill="0" applyAlignment="0" applyProtection="0">
      <alignment vertical="center"/>
    </xf>
    <xf numFmtId="0" fontId="45" fillId="0" borderId="14"/>
    <xf numFmtId="0" fontId="46" fillId="36" borderId="0" applyNumberFormat="0" applyBorder="0" applyAlignment="0" applyProtection="0">
      <alignment vertical="center"/>
    </xf>
    <xf numFmtId="0" fontId="16" fillId="0" borderId="0"/>
    <xf numFmtId="0" fontId="16" fillId="0" borderId="0"/>
    <xf numFmtId="0" fontId="16" fillId="0" borderId="0"/>
    <xf numFmtId="0" fontId="47" fillId="0" borderId="0"/>
    <xf numFmtId="0" fontId="47" fillId="0" borderId="0"/>
    <xf numFmtId="0" fontId="48" fillId="0" borderId="0">
      <alignment vertical="center"/>
    </xf>
    <xf numFmtId="0" fontId="48" fillId="0" borderId="0">
      <alignment vertical="center"/>
    </xf>
    <xf numFmtId="0" fontId="49" fillId="0" borderId="0"/>
    <xf numFmtId="0" fontId="10" fillId="0" borderId="0"/>
    <xf numFmtId="0" fontId="16" fillId="0" borderId="0"/>
    <xf numFmtId="0" fontId="48" fillId="37" borderId="15" applyNumberFormat="0" applyFont="0" applyAlignment="0" applyProtection="0">
      <alignment vertical="center"/>
    </xf>
    <xf numFmtId="0" fontId="50" fillId="30" borderId="5" applyNumberFormat="0" applyAlignment="0" applyProtection="0">
      <alignment vertical="center"/>
    </xf>
    <xf numFmtId="10" fontId="16" fillId="0" borderId="0" applyFont="0" applyFill="0" applyBorder="0" applyAlignment="0" applyProtection="0"/>
    <xf numFmtId="9" fontId="16"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0" fontId="51" fillId="0" borderId="0" applyNumberFormat="0" applyFill="0" applyBorder="0" applyAlignment="0" applyProtection="0"/>
    <xf numFmtId="0" fontId="12" fillId="0" borderId="0"/>
    <xf numFmtId="0" fontId="18" fillId="0" borderId="0"/>
    <xf numFmtId="0" fontId="18" fillId="0" borderId="0"/>
    <xf numFmtId="0" fontId="12" fillId="0" borderId="0"/>
    <xf numFmtId="0" fontId="45" fillId="0" borderId="0"/>
    <xf numFmtId="49" fontId="52" fillId="0" borderId="0">
      <alignment horizontal="right" vertical="center"/>
    </xf>
    <xf numFmtId="0" fontId="24" fillId="0" borderId="0"/>
    <xf numFmtId="0" fontId="53" fillId="0" borderId="0" applyNumberFormat="0" applyFill="0" applyBorder="0" applyAlignment="0" applyProtection="0">
      <alignment vertical="center"/>
    </xf>
    <xf numFmtId="0" fontId="54" fillId="0" borderId="16" applyNumberFormat="0" applyFill="0" applyAlignment="0" applyProtection="0">
      <alignment vertical="center"/>
    </xf>
    <xf numFmtId="170" fontId="55" fillId="38" borderId="1">
      <alignment vertical="top"/>
    </xf>
    <xf numFmtId="0" fontId="56" fillId="39" borderId="4">
      <alignment horizontal="left" vertical="center"/>
    </xf>
    <xf numFmtId="171" fontId="57" fillId="40" borderId="1"/>
    <xf numFmtId="164" fontId="41" fillId="0" borderId="1">
      <alignment horizontal="left" vertical="top"/>
    </xf>
    <xf numFmtId="170" fontId="58" fillId="0" borderId="1">
      <alignment horizontal="left" vertical="top"/>
    </xf>
    <xf numFmtId="170" fontId="41" fillId="0" borderId="1">
      <alignment horizontal="left" vertical="top"/>
    </xf>
    <xf numFmtId="170" fontId="58" fillId="0" borderId="1">
      <alignment horizontal="left" vertical="top"/>
    </xf>
    <xf numFmtId="0" fontId="59" fillId="41" borderId="0">
      <alignment horizontal="left" vertical="center"/>
    </xf>
    <xf numFmtId="170" fontId="60" fillId="0" borderId="6">
      <alignment horizontal="left" vertical="top"/>
    </xf>
    <xf numFmtId="0" fontId="61" fillId="0" borderId="6">
      <alignment horizontal="lef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top"/>
      <protection locked="0"/>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Font="0" applyFill="0" applyBorder="0" applyAlignment="0" applyProtection="0"/>
    <xf numFmtId="0" fontId="66" fillId="0" borderId="0"/>
    <xf numFmtId="0" fontId="16" fillId="0" borderId="0"/>
    <xf numFmtId="0" fontId="21" fillId="0" borderId="0" applyFont="0" applyFill="0" applyBorder="0" applyAlignment="0" applyProtection="0"/>
    <xf numFmtId="0" fontId="21" fillId="0" borderId="0" applyFont="0" applyFill="0" applyBorder="0" applyAlignment="0" applyProtection="0"/>
    <xf numFmtId="175" fontId="21" fillId="0" borderId="0" applyFont="0" applyFill="0" applyBorder="0" applyAlignment="0" applyProtection="0"/>
    <xf numFmtId="176" fontId="21" fillId="0" borderId="0" applyFont="0" applyFill="0" applyBorder="0" applyAlignment="0" applyProtection="0"/>
    <xf numFmtId="0" fontId="67" fillId="0" borderId="0"/>
    <xf numFmtId="0" fontId="68" fillId="0" borderId="0"/>
    <xf numFmtId="166" fontId="68" fillId="0" borderId="0" applyFont="0" applyFill="0" applyBorder="0" applyAlignment="0" applyProtection="0"/>
    <xf numFmtId="168" fontId="68" fillId="0" borderId="0" applyFont="0" applyFill="0" applyBorder="0" applyAlignment="0" applyProtection="0"/>
    <xf numFmtId="0" fontId="69" fillId="0" borderId="0"/>
    <xf numFmtId="0" fontId="48" fillId="0" borderId="0"/>
    <xf numFmtId="177" fontId="68" fillId="0" borderId="0" applyFont="0" applyFill="0" applyBorder="0" applyAlignment="0" applyProtection="0"/>
    <xf numFmtId="178" fontId="68" fillId="0" borderId="0" applyFont="0" applyFill="0" applyBorder="0" applyAlignment="0" applyProtection="0"/>
    <xf numFmtId="0" fontId="9" fillId="0" borderId="0"/>
    <xf numFmtId="0" fontId="16" fillId="0" borderId="0"/>
    <xf numFmtId="0" fontId="72" fillId="0" borderId="0"/>
    <xf numFmtId="169" fontId="49" fillId="0" borderId="0" applyFont="0" applyFill="0" applyBorder="0" applyAlignment="0" applyProtection="0"/>
    <xf numFmtId="41" fontId="16" fillId="0" borderId="0" applyFont="0" applyFill="0" applyBorder="0" applyAlignment="0" applyProtection="0"/>
    <xf numFmtId="43" fontId="11"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6" fillId="0" borderId="0"/>
    <xf numFmtId="0" fontId="79" fillId="0" borderId="0"/>
    <xf numFmtId="0" fontId="9" fillId="0" borderId="0"/>
    <xf numFmtId="0" fontId="16" fillId="0" borderId="0"/>
    <xf numFmtId="0" fontId="15" fillId="44" borderId="27" applyFont="0" applyFill="0" applyAlignment="0">
      <alignment horizontal="center" vertical="center" wrapText="1"/>
    </xf>
    <xf numFmtId="0" fontId="84" fillId="0" borderId="0"/>
    <xf numFmtId="0" fontId="11" fillId="0" borderId="0"/>
    <xf numFmtId="43" fontId="11" fillId="0" borderId="0" applyFont="0" applyFill="0" applyBorder="0" applyAlignment="0" applyProtection="0"/>
    <xf numFmtId="43" fontId="85" fillId="0" borderId="0" applyFont="0" applyFill="0" applyBorder="0" applyAlignment="0" applyProtection="0"/>
    <xf numFmtId="0" fontId="11" fillId="0" borderId="0"/>
    <xf numFmtId="0" fontId="8" fillId="0" borderId="0"/>
    <xf numFmtId="0" fontId="84" fillId="0" borderId="0"/>
    <xf numFmtId="168" fontId="7" fillId="0" borderId="0" applyFont="0" applyFill="0" applyBorder="0" applyAlignment="0" applyProtection="0"/>
    <xf numFmtId="0" fontId="8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99" fillId="0" borderId="0"/>
    <xf numFmtId="0" fontId="16" fillId="0" borderId="0"/>
    <xf numFmtId="43" fontId="5" fillId="0" borderId="0" applyFont="0" applyFill="0" applyBorder="0" applyAlignment="0" applyProtection="0"/>
    <xf numFmtId="0" fontId="4" fillId="0" borderId="0"/>
    <xf numFmtId="0" fontId="16" fillId="0" borderId="0"/>
    <xf numFmtId="0" fontId="3" fillId="0" borderId="0"/>
    <xf numFmtId="0" fontId="11"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112" fillId="0" borderId="0"/>
    <xf numFmtId="0" fontId="113" fillId="0" borderId="0"/>
    <xf numFmtId="0" fontId="11" fillId="0" borderId="0"/>
    <xf numFmtId="0" fontId="1" fillId="0" borderId="0"/>
    <xf numFmtId="0" fontId="16" fillId="0" borderId="0"/>
  </cellStyleXfs>
  <cellXfs count="406">
    <xf numFmtId="0" fontId="0" fillId="0" borderId="0" xfId="0"/>
    <xf numFmtId="0" fontId="14" fillId="0" borderId="0" xfId="191" applyFont="1" applyAlignment="1">
      <alignment vertical="center" wrapText="1"/>
    </xf>
    <xf numFmtId="0" fontId="13" fillId="0" borderId="4" xfId="191" applyFont="1" applyBorder="1" applyAlignment="1">
      <alignment horizontal="center" vertical="center" wrapText="1"/>
    </xf>
    <xf numFmtId="3" fontId="13" fillId="0" borderId="4" xfId="191" applyNumberFormat="1" applyFont="1" applyBorder="1" applyAlignment="1">
      <alignment horizontal="center" vertical="center" wrapText="1"/>
    </xf>
    <xf numFmtId="0" fontId="13" fillId="0" borderId="4" xfId="191" applyFont="1" applyBorder="1" applyAlignment="1">
      <alignment vertical="center" wrapText="1"/>
    </xf>
    <xf numFmtId="0" fontId="13" fillId="0" borderId="0" xfId="191" applyFont="1" applyAlignment="1">
      <alignment vertical="center" wrapText="1"/>
    </xf>
    <xf numFmtId="0" fontId="14" fillId="0" borderId="4" xfId="191" applyFont="1" applyBorder="1" applyAlignment="1">
      <alignment horizontal="center" vertical="center" wrapText="1"/>
    </xf>
    <xf numFmtId="0" fontId="14" fillId="0" borderId="4" xfId="191" applyFont="1" applyBorder="1" applyAlignment="1">
      <alignment vertical="center" wrapText="1"/>
    </xf>
    <xf numFmtId="0" fontId="14" fillId="0" borderId="0" xfId="191" applyFont="1" applyAlignment="1">
      <alignment horizontal="center" vertical="center" wrapText="1"/>
    </xf>
    <xf numFmtId="3" fontId="14" fillId="0" borderId="0" xfId="191" applyNumberFormat="1" applyFont="1" applyAlignment="1">
      <alignment vertical="center" wrapText="1"/>
    </xf>
    <xf numFmtId="173" fontId="70" fillId="0" borderId="4" xfId="1" applyNumberFormat="1" applyFont="1" applyBorder="1" applyAlignment="1">
      <alignment vertical="center" wrapText="1"/>
    </xf>
    <xf numFmtId="173" fontId="71" fillId="0" borderId="4" xfId="1" applyNumberFormat="1" applyFont="1" applyBorder="1" applyAlignment="1">
      <alignment vertical="center" wrapText="1"/>
    </xf>
    <xf numFmtId="3" fontId="17" fillId="0" borderId="4" xfId="192" applyNumberFormat="1" applyFont="1" applyBorder="1" applyAlignment="1">
      <alignment horizontal="right" vertical="center" wrapText="1"/>
    </xf>
    <xf numFmtId="0" fontId="70" fillId="0" borderId="0" xfId="193" applyFont="1" applyAlignment="1">
      <alignment vertical="center" wrapText="1"/>
    </xf>
    <xf numFmtId="3" fontId="70" fillId="0" borderId="0" xfId="194" applyNumberFormat="1" applyFont="1" applyAlignment="1">
      <alignment horizontal="right" vertical="center" wrapText="1"/>
    </xf>
    <xf numFmtId="3" fontId="71" fillId="0" borderId="4" xfId="191" applyNumberFormat="1" applyFont="1" applyBorder="1" applyAlignment="1">
      <alignment vertical="center" wrapText="1"/>
    </xf>
    <xf numFmtId="0" fontId="73" fillId="0" borderId="0" xfId="193" applyFont="1" applyAlignment="1">
      <alignment vertical="center" wrapText="1"/>
    </xf>
    <xf numFmtId="0" fontId="73" fillId="0" borderId="4" xfId="193" applyFont="1" applyBorder="1" applyAlignment="1">
      <alignment vertical="center" wrapText="1"/>
    </xf>
    <xf numFmtId="173" fontId="73" fillId="0" borderId="4" xfId="1" applyNumberFormat="1" applyFont="1" applyBorder="1" applyAlignment="1">
      <alignment horizontal="center" vertical="center" wrapText="1"/>
    </xf>
    <xf numFmtId="0" fontId="73" fillId="0" borderId="4" xfId="193" applyFont="1" applyBorder="1" applyAlignment="1">
      <alignment horizontal="center" vertical="center" wrapText="1"/>
    </xf>
    <xf numFmtId="3" fontId="73" fillId="0" borderId="4" xfId="194" applyNumberFormat="1" applyFont="1" applyBorder="1" applyAlignment="1">
      <alignment horizontal="right" vertical="center" wrapText="1"/>
    </xf>
    <xf numFmtId="0" fontId="73" fillId="42" borderId="20" xfId="193" applyFont="1" applyFill="1" applyBorder="1" applyAlignment="1">
      <alignment vertical="center" wrapText="1"/>
    </xf>
    <xf numFmtId="173" fontId="73" fillId="42" borderId="20" xfId="1" applyNumberFormat="1" applyFont="1" applyFill="1" applyBorder="1" applyAlignment="1">
      <alignment vertical="center" wrapText="1"/>
    </xf>
    <xf numFmtId="3" fontId="73" fillId="42" borderId="20" xfId="193" applyNumberFormat="1" applyFont="1" applyFill="1" applyBorder="1" applyAlignment="1">
      <alignment horizontal="right" vertical="center" wrapText="1"/>
    </xf>
    <xf numFmtId="0" fontId="73" fillId="42" borderId="21" xfId="193" applyFont="1" applyFill="1" applyBorder="1" applyAlignment="1">
      <alignment vertical="center" wrapText="1"/>
    </xf>
    <xf numFmtId="173" fontId="73" fillId="0" borderId="20" xfId="88" applyNumberFormat="1" applyFont="1" applyBorder="1" applyAlignment="1">
      <alignment horizontal="center" vertical="center" wrapText="1"/>
    </xf>
    <xf numFmtId="0" fontId="70" fillId="0" borderId="20" xfId="193" applyFont="1" applyBorder="1" applyAlignment="1">
      <alignment vertical="center" wrapText="1"/>
    </xf>
    <xf numFmtId="173" fontId="70" fillId="0" borderId="20" xfId="1" applyNumberFormat="1" applyFont="1" applyBorder="1" applyAlignment="1">
      <alignment horizontal="center" vertical="center" wrapText="1"/>
    </xf>
    <xf numFmtId="179" fontId="70" fillId="0" borderId="20" xfId="193" applyNumberFormat="1" applyFont="1" applyBorder="1" applyAlignment="1">
      <alignment horizontal="center" vertical="center" wrapText="1"/>
    </xf>
    <xf numFmtId="3" fontId="70" fillId="0" borderId="20" xfId="1" applyNumberFormat="1" applyFont="1" applyBorder="1" applyAlignment="1">
      <alignment horizontal="right" vertical="center" wrapText="1"/>
    </xf>
    <xf numFmtId="179" fontId="70" fillId="0" borderId="20" xfId="194" applyNumberFormat="1" applyFont="1" applyBorder="1" applyAlignment="1">
      <alignment horizontal="center" vertical="center" wrapText="1"/>
    </xf>
    <xf numFmtId="0" fontId="73" fillId="42" borderId="20" xfId="193" applyFont="1" applyFill="1" applyBorder="1" applyAlignment="1">
      <alignment horizontal="center" vertical="center" wrapText="1"/>
    </xf>
    <xf numFmtId="3" fontId="73" fillId="42" borderId="20" xfId="1" applyNumberFormat="1" applyFont="1" applyFill="1" applyBorder="1" applyAlignment="1">
      <alignment horizontal="right" vertical="center" wrapText="1"/>
    </xf>
    <xf numFmtId="0" fontId="70" fillId="0" borderId="22" xfId="193" applyFont="1" applyBorder="1" applyAlignment="1">
      <alignment vertical="center" wrapText="1"/>
    </xf>
    <xf numFmtId="179" fontId="70" fillId="0" borderId="22" xfId="193" applyNumberFormat="1" applyFont="1" applyBorder="1" applyAlignment="1">
      <alignment horizontal="center" vertical="center" wrapText="1"/>
    </xf>
    <xf numFmtId="0" fontId="73" fillId="42" borderId="23" xfId="193" applyFont="1" applyFill="1" applyBorder="1" applyAlignment="1">
      <alignment vertical="center" wrapText="1"/>
    </xf>
    <xf numFmtId="0" fontId="73" fillId="42" borderId="18" xfId="193" applyFont="1" applyFill="1" applyBorder="1" applyAlignment="1">
      <alignment horizontal="center" vertical="center" wrapText="1"/>
    </xf>
    <xf numFmtId="3" fontId="73" fillId="42" borderId="18" xfId="1" applyNumberFormat="1" applyFont="1" applyFill="1" applyBorder="1" applyAlignment="1">
      <alignment horizontal="right" vertical="center" wrapText="1"/>
    </xf>
    <xf numFmtId="173" fontId="73" fillId="42" borderId="18" xfId="1" applyNumberFormat="1" applyFont="1" applyFill="1" applyBorder="1" applyAlignment="1">
      <alignment vertical="center" wrapText="1"/>
    </xf>
    <xf numFmtId="180" fontId="70" fillId="0" borderId="20" xfId="193" applyNumberFormat="1" applyFont="1" applyBorder="1" applyAlignment="1">
      <alignment horizontal="center" vertical="center" wrapText="1"/>
    </xf>
    <xf numFmtId="179" fontId="70" fillId="0" borderId="22" xfId="194" applyNumberFormat="1" applyFont="1" applyBorder="1" applyAlignment="1">
      <alignment horizontal="center" vertical="center" wrapText="1"/>
    </xf>
    <xf numFmtId="0" fontId="73" fillId="42" borderId="18" xfId="193" applyFont="1" applyFill="1" applyBorder="1" applyAlignment="1">
      <alignment vertical="center" wrapText="1"/>
    </xf>
    <xf numFmtId="0" fontId="73" fillId="42" borderId="19" xfId="193" applyFont="1" applyFill="1" applyBorder="1" applyAlignment="1">
      <alignment vertical="center" wrapText="1"/>
    </xf>
    <xf numFmtId="180" fontId="70" fillId="0" borderId="20" xfId="194" applyNumberFormat="1" applyFont="1" applyBorder="1" applyAlignment="1">
      <alignment horizontal="center" vertical="center" wrapText="1"/>
    </xf>
    <xf numFmtId="173" fontId="70" fillId="0" borderId="20" xfId="1" applyNumberFormat="1" applyFont="1" applyBorder="1" applyAlignment="1">
      <alignment vertical="center" wrapText="1"/>
    </xf>
    <xf numFmtId="173" fontId="73" fillId="42" borderId="20" xfId="1" applyNumberFormat="1" applyFont="1" applyFill="1" applyBorder="1" applyAlignment="1">
      <alignment horizontal="center" vertical="center" wrapText="1"/>
    </xf>
    <xf numFmtId="180" fontId="73" fillId="42" borderId="20" xfId="193" applyNumberFormat="1" applyFont="1" applyFill="1" applyBorder="1" applyAlignment="1">
      <alignment horizontal="center" vertical="center" wrapText="1"/>
    </xf>
    <xf numFmtId="173" fontId="70" fillId="0" borderId="22" xfId="1" applyNumberFormat="1" applyFont="1" applyBorder="1" applyAlignment="1">
      <alignment horizontal="center" vertical="center" wrapText="1"/>
    </xf>
    <xf numFmtId="180" fontId="70" fillId="0" borderId="22" xfId="193" applyNumberFormat="1" applyFont="1" applyBorder="1" applyAlignment="1">
      <alignment horizontal="center" vertical="center" wrapText="1"/>
    </xf>
    <xf numFmtId="173" fontId="73" fillId="42" borderId="21" xfId="1" applyNumberFormat="1" applyFont="1" applyFill="1" applyBorder="1" applyAlignment="1">
      <alignment vertical="center" wrapText="1"/>
    </xf>
    <xf numFmtId="0" fontId="73" fillId="42" borderId="21" xfId="193" applyFont="1" applyFill="1" applyBorder="1" applyAlignment="1">
      <alignment horizontal="center" vertical="center" wrapText="1"/>
    </xf>
    <xf numFmtId="3" fontId="73" fillId="42" borderId="21" xfId="1" applyNumberFormat="1" applyFont="1" applyFill="1" applyBorder="1" applyAlignment="1">
      <alignment horizontal="right" vertical="center" wrapText="1"/>
    </xf>
    <xf numFmtId="0" fontId="73" fillId="42" borderId="24" xfId="193" applyFont="1" applyFill="1" applyBorder="1" applyAlignment="1">
      <alignment vertical="center" wrapText="1"/>
    </xf>
    <xf numFmtId="0" fontId="73" fillId="42" borderId="25" xfId="193" applyFont="1" applyFill="1" applyBorder="1" applyAlignment="1">
      <alignment vertical="center" wrapText="1"/>
    </xf>
    <xf numFmtId="0" fontId="73" fillId="42" borderId="26" xfId="193" applyFont="1" applyFill="1" applyBorder="1" applyAlignment="1">
      <alignment vertical="center" wrapText="1"/>
    </xf>
    <xf numFmtId="173" fontId="70" fillId="0" borderId="4" xfId="1" applyNumberFormat="1" applyFont="1" applyBorder="1" applyAlignment="1">
      <alignment horizontal="center" vertical="center" wrapText="1"/>
    </xf>
    <xf numFmtId="180" fontId="70" fillId="0" borderId="4" xfId="193" applyNumberFormat="1" applyFont="1" applyBorder="1" applyAlignment="1">
      <alignment horizontal="center" vertical="center" wrapText="1"/>
    </xf>
    <xf numFmtId="179" fontId="70" fillId="0" borderId="4" xfId="193" applyNumberFormat="1" applyFont="1" applyBorder="1" applyAlignment="1">
      <alignment horizontal="center" vertical="center" wrapText="1"/>
    </xf>
    <xf numFmtId="3" fontId="70" fillId="0" borderId="4" xfId="1" applyNumberFormat="1" applyFont="1" applyBorder="1" applyAlignment="1">
      <alignment horizontal="right" vertical="center" wrapText="1"/>
    </xf>
    <xf numFmtId="173" fontId="75" fillId="0" borderId="4" xfId="1" applyNumberFormat="1" applyFont="1" applyBorder="1" applyAlignment="1">
      <alignment horizontal="center" vertical="center" wrapText="1"/>
    </xf>
    <xf numFmtId="0" fontId="73" fillId="43" borderId="20" xfId="193" applyFont="1" applyFill="1" applyBorder="1" applyAlignment="1">
      <alignment horizontal="center" vertical="center" wrapText="1"/>
    </xf>
    <xf numFmtId="173" fontId="73" fillId="43" borderId="20" xfId="88" applyNumberFormat="1" applyFont="1" applyFill="1" applyBorder="1" applyAlignment="1">
      <alignment horizontal="center" vertical="center" wrapText="1"/>
    </xf>
    <xf numFmtId="173" fontId="73" fillId="0" borderId="0" xfId="88" applyNumberFormat="1" applyFont="1" applyAlignment="1">
      <alignment horizontal="center" vertical="center" wrapText="1"/>
    </xf>
    <xf numFmtId="0" fontId="73" fillId="3" borderId="4" xfId="193" applyFont="1" applyFill="1" applyBorder="1" applyAlignment="1">
      <alignment vertical="center" wrapText="1"/>
    </xf>
    <xf numFmtId="181" fontId="70" fillId="3" borderId="4" xfId="193" applyNumberFormat="1" applyFont="1" applyFill="1" applyBorder="1" applyAlignment="1">
      <alignment horizontal="center" vertical="center" wrapText="1"/>
    </xf>
    <xf numFmtId="3" fontId="75" fillId="3" borderId="4" xfId="193" applyNumberFormat="1" applyFont="1" applyFill="1" applyBorder="1" applyAlignment="1">
      <alignment horizontal="right" vertical="center" wrapText="1"/>
    </xf>
    <xf numFmtId="0" fontId="70" fillId="0" borderId="20" xfId="193" applyFont="1" applyBorder="1" applyAlignment="1">
      <alignment horizontal="center" vertical="center" wrapText="1"/>
    </xf>
    <xf numFmtId="173" fontId="70" fillId="0" borderId="0" xfId="1" applyNumberFormat="1" applyFont="1" applyAlignment="1">
      <alignment vertical="center" wrapText="1"/>
    </xf>
    <xf numFmtId="173" fontId="70" fillId="0" borderId="0" xfId="88" applyNumberFormat="1" applyFont="1" applyAlignment="1">
      <alignment vertical="center" wrapText="1"/>
    </xf>
    <xf numFmtId="181" fontId="70" fillId="0" borderId="0" xfId="193" applyNumberFormat="1" applyFont="1" applyAlignment="1">
      <alignment vertical="center" wrapText="1"/>
    </xf>
    <xf numFmtId="0" fontId="0" fillId="0" borderId="0" xfId="0" applyAlignment="1">
      <alignment horizontal="center"/>
    </xf>
    <xf numFmtId="43" fontId="0" fillId="0" borderId="0" xfId="1" applyFont="1"/>
    <xf numFmtId="0" fontId="80" fillId="2" borderId="4" xfId="0" applyFont="1" applyFill="1" applyBorder="1" applyAlignment="1">
      <alignment horizontal="center" vertical="center" wrapText="1"/>
    </xf>
    <xf numFmtId="0" fontId="81" fillId="2" borderId="4" xfId="0" applyFont="1" applyFill="1" applyBorder="1" applyAlignment="1">
      <alignment horizontal="center" vertical="center" wrapText="1"/>
    </xf>
    <xf numFmtId="0" fontId="81" fillId="2" borderId="4" xfId="0" applyFont="1" applyFill="1" applyBorder="1" applyAlignment="1">
      <alignment vertical="center" wrapText="1"/>
    </xf>
    <xf numFmtId="173" fontId="81" fillId="2" borderId="4" xfId="1" applyNumberFormat="1" applyFont="1" applyFill="1" applyBorder="1" applyAlignment="1">
      <alignment horizontal="center" vertical="center" wrapText="1"/>
    </xf>
    <xf numFmtId="0" fontId="82" fillId="2" borderId="0" xfId="0" applyFont="1" applyFill="1" applyAlignment="1">
      <alignment horizontal="center"/>
    </xf>
    <xf numFmtId="0" fontId="82" fillId="2" borderId="0" xfId="0" applyFont="1" applyFill="1"/>
    <xf numFmtId="173" fontId="82" fillId="2" borderId="0" xfId="0" applyNumberFormat="1" applyFont="1" applyFill="1"/>
    <xf numFmtId="0" fontId="13" fillId="2" borderId="0" xfId="0" applyFont="1" applyFill="1" applyAlignment="1">
      <alignment horizontal="center" vertical="center"/>
    </xf>
    <xf numFmtId="173" fontId="81" fillId="45" borderId="4" xfId="1" applyNumberFormat="1" applyFont="1" applyFill="1" applyBorder="1" applyAlignment="1">
      <alignment horizontal="center" vertical="center" wrapText="1"/>
    </xf>
    <xf numFmtId="0" fontId="80" fillId="45" borderId="30" xfId="0" applyFont="1" applyFill="1" applyBorder="1" applyAlignment="1">
      <alignment vertical="center"/>
    </xf>
    <xf numFmtId="0" fontId="73" fillId="0" borderId="0" xfId="193" applyFont="1" applyAlignment="1">
      <alignment horizontal="center" vertical="center" wrapText="1"/>
    </xf>
    <xf numFmtId="0" fontId="70" fillId="0" borderId="0" xfId="193" applyFont="1" applyAlignment="1">
      <alignment horizontal="center" vertical="center" wrapText="1"/>
    </xf>
    <xf numFmtId="173" fontId="81" fillId="46" borderId="4" xfId="1" applyNumberFormat="1" applyFont="1" applyFill="1" applyBorder="1" applyAlignment="1">
      <alignment horizontal="center" vertical="center" wrapText="1"/>
    </xf>
    <xf numFmtId="173" fontId="0" fillId="0" borderId="0" xfId="0" applyNumberFormat="1"/>
    <xf numFmtId="3" fontId="0" fillId="0" borderId="0" xfId="0" applyNumberFormat="1"/>
    <xf numFmtId="173" fontId="80" fillId="46" borderId="4" xfId="1" applyNumberFormat="1" applyFont="1" applyFill="1" applyBorder="1" applyAlignment="1">
      <alignment horizontal="center" vertical="center" wrapText="1"/>
    </xf>
    <xf numFmtId="0" fontId="20" fillId="0" borderId="0" xfId="191" applyFont="1" applyAlignment="1">
      <alignment horizontal="right" vertical="center" wrapText="1"/>
    </xf>
    <xf numFmtId="0" fontId="14" fillId="0" borderId="4" xfId="2" applyFont="1" applyBorder="1" applyAlignment="1">
      <alignment horizontal="center" vertical="center"/>
    </xf>
    <xf numFmtId="0" fontId="14" fillId="0" borderId="4" xfId="2" applyFont="1" applyBorder="1" applyAlignment="1">
      <alignment vertical="center" wrapText="1"/>
    </xf>
    <xf numFmtId="0" fontId="13" fillId="0" borderId="4" xfId="191" applyFont="1" applyBorder="1" applyAlignment="1">
      <alignment horizontal="left" vertical="center" wrapText="1"/>
    </xf>
    <xf numFmtId="173" fontId="70" fillId="0" borderId="4" xfId="1" applyNumberFormat="1" applyFont="1" applyFill="1" applyBorder="1" applyAlignment="1">
      <alignment vertical="center" wrapText="1"/>
    </xf>
    <xf numFmtId="3" fontId="71" fillId="0" borderId="4" xfId="214" applyNumberFormat="1" applyFont="1" applyBorder="1" applyAlignment="1">
      <alignment vertical="center" wrapText="1"/>
    </xf>
    <xf numFmtId="173" fontId="73" fillId="0" borderId="4" xfId="1" applyNumberFormat="1" applyFont="1" applyFill="1" applyBorder="1" applyAlignment="1">
      <alignment horizontal="center" vertical="center" wrapText="1"/>
    </xf>
    <xf numFmtId="3" fontId="73" fillId="0" borderId="4" xfId="194" applyNumberFormat="1" applyFont="1" applyFill="1" applyBorder="1" applyAlignment="1">
      <alignment horizontal="right" vertical="center" wrapText="1"/>
    </xf>
    <xf numFmtId="173" fontId="73" fillId="0" borderId="0" xfId="88" applyNumberFormat="1" applyFont="1" applyBorder="1" applyAlignment="1">
      <alignment horizontal="center" vertical="center" wrapText="1"/>
    </xf>
    <xf numFmtId="0" fontId="14" fillId="0" borderId="31" xfId="191" applyFont="1" applyBorder="1" applyAlignment="1">
      <alignment horizontal="left" vertical="center" wrapText="1"/>
    </xf>
    <xf numFmtId="182" fontId="73" fillId="42" borderId="20" xfId="1" applyNumberFormat="1" applyFont="1" applyFill="1" applyBorder="1" applyAlignment="1">
      <alignment vertical="center" wrapText="1"/>
    </xf>
    <xf numFmtId="182" fontId="70" fillId="0" borderId="20" xfId="1" applyNumberFormat="1" applyFont="1" applyBorder="1" applyAlignment="1">
      <alignment horizontal="center" vertical="center" wrapText="1"/>
    </xf>
    <xf numFmtId="182" fontId="73" fillId="42" borderId="18" xfId="1" applyNumberFormat="1" applyFont="1" applyFill="1" applyBorder="1" applyAlignment="1">
      <alignment vertical="center" wrapText="1"/>
    </xf>
    <xf numFmtId="182" fontId="73" fillId="42" borderId="20" xfId="1" applyNumberFormat="1" applyFont="1" applyFill="1" applyBorder="1" applyAlignment="1">
      <alignment horizontal="center" vertical="center" wrapText="1"/>
    </xf>
    <xf numFmtId="182" fontId="73" fillId="42" borderId="21" xfId="1" applyNumberFormat="1" applyFont="1" applyFill="1" applyBorder="1" applyAlignment="1">
      <alignment vertical="center" wrapText="1"/>
    </xf>
    <xf numFmtId="182" fontId="70" fillId="0" borderId="4" xfId="1" applyNumberFormat="1" applyFont="1" applyBorder="1" applyAlignment="1">
      <alignment horizontal="center" vertical="center" wrapText="1"/>
    </xf>
    <xf numFmtId="182" fontId="71" fillId="0" borderId="4" xfId="1" applyNumberFormat="1" applyFont="1" applyBorder="1" applyAlignment="1">
      <alignment vertical="center" wrapText="1"/>
    </xf>
    <xf numFmtId="173" fontId="73" fillId="47" borderId="20" xfId="88" applyNumberFormat="1" applyFont="1" applyFill="1" applyBorder="1" applyAlignment="1">
      <alignment horizontal="center" vertical="center" wrapText="1"/>
    </xf>
    <xf numFmtId="3" fontId="70" fillId="3" borderId="4" xfId="193" applyNumberFormat="1" applyFont="1" applyFill="1" applyBorder="1" applyAlignment="1">
      <alignment horizontal="right" vertical="center" wrapText="1"/>
    </xf>
    <xf numFmtId="183" fontId="70" fillId="0" borderId="4" xfId="193" applyNumberFormat="1" applyFont="1" applyBorder="1" applyAlignment="1">
      <alignment horizontal="center" vertical="center" wrapText="1"/>
    </xf>
    <xf numFmtId="0" fontId="70" fillId="0" borderId="4" xfId="193" applyFont="1" applyBorder="1" applyAlignment="1">
      <alignment vertical="center" wrapText="1"/>
    </xf>
    <xf numFmtId="0" fontId="89" fillId="0" borderId="4" xfId="2" applyFont="1" applyBorder="1" applyAlignment="1">
      <alignment horizontal="center" vertical="center"/>
    </xf>
    <xf numFmtId="0" fontId="89" fillId="0" borderId="4" xfId="2" applyFont="1" applyBorder="1" applyAlignment="1">
      <alignment vertical="center" wrapText="1"/>
    </xf>
    <xf numFmtId="0" fontId="14" fillId="48" borderId="0" xfId="191" applyFont="1" applyFill="1" applyAlignment="1">
      <alignment vertical="center" wrapText="1"/>
    </xf>
    <xf numFmtId="173" fontId="13" fillId="0" borderId="4" xfId="1" applyNumberFormat="1" applyFont="1" applyBorder="1" applyAlignment="1">
      <alignment vertical="center" wrapText="1"/>
    </xf>
    <xf numFmtId="173" fontId="14" fillId="0" borderId="4" xfId="1" applyNumberFormat="1" applyFont="1" applyBorder="1" applyAlignment="1">
      <alignment vertical="center" wrapText="1"/>
    </xf>
    <xf numFmtId="173" fontId="14" fillId="0" borderId="4" xfId="1" applyNumberFormat="1" applyFont="1" applyBorder="1" applyAlignment="1">
      <alignment horizontal="center" vertical="center" wrapText="1"/>
    </xf>
    <xf numFmtId="173" fontId="89" fillId="0" borderId="4" xfId="1" applyNumberFormat="1" applyFont="1" applyBorder="1" applyAlignment="1">
      <alignment horizontal="center" vertical="center" wrapText="1"/>
    </xf>
    <xf numFmtId="173" fontId="14" fillId="48" borderId="4" xfId="1" applyNumberFormat="1" applyFont="1" applyFill="1" applyBorder="1" applyAlignment="1">
      <alignment vertical="center" wrapText="1"/>
    </xf>
    <xf numFmtId="0" fontId="83" fillId="46" borderId="0" xfId="191" applyFont="1" applyFill="1" applyAlignment="1">
      <alignment horizontal="center" vertical="center" wrapText="1"/>
    </xf>
    <xf numFmtId="0" fontId="73" fillId="49" borderId="4" xfId="193" applyFont="1" applyFill="1" applyBorder="1" applyAlignment="1">
      <alignment vertical="center" wrapText="1"/>
    </xf>
    <xf numFmtId="173" fontId="70" fillId="49" borderId="4" xfId="1" applyNumberFormat="1" applyFont="1" applyFill="1" applyBorder="1" applyAlignment="1">
      <alignment vertical="center" wrapText="1"/>
    </xf>
    <xf numFmtId="173" fontId="73" fillId="49" borderId="4" xfId="1" applyNumberFormat="1" applyFont="1" applyFill="1" applyBorder="1" applyAlignment="1">
      <alignment vertical="center" wrapText="1"/>
    </xf>
    <xf numFmtId="0" fontId="73" fillId="43" borderId="4" xfId="193" applyFont="1" applyFill="1" applyBorder="1" applyAlignment="1">
      <alignment vertical="center" wrapText="1"/>
    </xf>
    <xf numFmtId="173" fontId="90" fillId="43" borderId="4" xfId="1" applyNumberFormat="1" applyFont="1" applyFill="1" applyBorder="1" applyAlignment="1">
      <alignment vertical="center" wrapText="1"/>
    </xf>
    <xf numFmtId="0" fontId="70" fillId="43" borderId="4" xfId="214" applyFont="1" applyFill="1" applyBorder="1" applyAlignment="1">
      <alignment vertical="center" wrapText="1"/>
    </xf>
    <xf numFmtId="173" fontId="73" fillId="43" borderId="4" xfId="1" applyNumberFormat="1" applyFont="1" applyFill="1" applyBorder="1" applyAlignment="1">
      <alignment horizontal="center" vertical="center" wrapText="1"/>
    </xf>
    <xf numFmtId="43" fontId="73" fillId="0" borderId="4" xfId="1" applyFont="1" applyBorder="1" applyAlignment="1">
      <alignment vertical="center" wrapText="1"/>
    </xf>
    <xf numFmtId="0" fontId="93" fillId="0" borderId="0" xfId="214" applyFont="1" applyAlignment="1">
      <alignment vertical="center"/>
    </xf>
    <xf numFmtId="0" fontId="93" fillId="2" borderId="0" xfId="214" applyFont="1" applyFill="1" applyAlignment="1">
      <alignment vertical="center"/>
    </xf>
    <xf numFmtId="0" fontId="71" fillId="0" borderId="0" xfId="214" applyFont="1" applyAlignment="1">
      <alignment vertical="center"/>
    </xf>
    <xf numFmtId="173" fontId="93" fillId="0" borderId="0" xfId="196" applyNumberFormat="1" applyFont="1" applyAlignment="1">
      <alignment vertical="center"/>
    </xf>
    <xf numFmtId="173" fontId="93" fillId="0" borderId="0" xfId="196" applyNumberFormat="1" applyFont="1" applyAlignment="1">
      <alignment horizontal="center" vertical="center"/>
    </xf>
    <xf numFmtId="173" fontId="89" fillId="0" borderId="4" xfId="1" applyNumberFormat="1" applyFont="1" applyBorder="1" applyAlignment="1">
      <alignment vertical="center" wrapText="1"/>
    </xf>
    <xf numFmtId="0" fontId="98" fillId="0" borderId="33" xfId="218" applyFont="1" applyBorder="1" applyAlignment="1">
      <alignment horizontal="center"/>
    </xf>
    <xf numFmtId="0" fontId="102" fillId="50" borderId="34" xfId="218" applyFont="1" applyFill="1" applyBorder="1" applyAlignment="1">
      <alignment horizontal="center"/>
    </xf>
    <xf numFmtId="0" fontId="103" fillId="0" borderId="34" xfId="218" applyFont="1" applyBorder="1" applyAlignment="1">
      <alignment horizontal="center"/>
    </xf>
    <xf numFmtId="0" fontId="103" fillId="0" borderId="34" xfId="218" applyFont="1" applyBorder="1"/>
    <xf numFmtId="3" fontId="103" fillId="0" borderId="34" xfId="218" applyNumberFormat="1" applyFont="1" applyBorder="1" applyAlignment="1">
      <alignment horizontal="center"/>
    </xf>
    <xf numFmtId="3" fontId="103" fillId="0" borderId="34" xfId="218" applyNumberFormat="1" applyFont="1" applyBorder="1"/>
    <xf numFmtId="0" fontId="103" fillId="51" borderId="34" xfId="218" applyFont="1" applyFill="1" applyBorder="1" applyAlignment="1">
      <alignment horizontal="center"/>
    </xf>
    <xf numFmtId="0" fontId="102" fillId="51" borderId="34" xfId="218" applyFont="1" applyFill="1" applyBorder="1" applyAlignment="1">
      <alignment horizontal="center"/>
    </xf>
    <xf numFmtId="3" fontId="102" fillId="51" borderId="34" xfId="218" applyNumberFormat="1" applyFont="1" applyFill="1" applyBorder="1"/>
    <xf numFmtId="0" fontId="103" fillId="51" borderId="34" xfId="218" applyFont="1" applyFill="1" applyBorder="1"/>
    <xf numFmtId="0" fontId="70" fillId="46" borderId="20" xfId="193" applyFont="1" applyFill="1" applyBorder="1" applyAlignment="1">
      <alignment vertical="center" wrapText="1"/>
    </xf>
    <xf numFmtId="173" fontId="70" fillId="46" borderId="20" xfId="1" applyNumberFormat="1" applyFont="1" applyFill="1" applyBorder="1" applyAlignment="1">
      <alignment horizontal="center" vertical="center" wrapText="1"/>
    </xf>
    <xf numFmtId="0" fontId="94" fillId="46" borderId="4" xfId="0" applyFont="1" applyFill="1" applyBorder="1" applyAlignment="1">
      <alignment horizontal="center" vertical="center"/>
    </xf>
    <xf numFmtId="0" fontId="94" fillId="46" borderId="4" xfId="0" applyFont="1" applyFill="1" applyBorder="1" applyAlignment="1">
      <alignment horizontal="center" vertical="center" wrapText="1"/>
    </xf>
    <xf numFmtId="0" fontId="92" fillId="0" borderId="4" xfId="0" applyFont="1" applyBorder="1" applyAlignment="1">
      <alignment vertical="center"/>
    </xf>
    <xf numFmtId="0" fontId="92" fillId="0" borderId="4" xfId="0" applyFont="1" applyBorder="1" applyAlignment="1">
      <alignment vertical="center" wrapText="1"/>
    </xf>
    <xf numFmtId="0" fontId="92" fillId="0" borderId="4" xfId="0" applyFont="1" applyBorder="1" applyAlignment="1">
      <alignment horizontal="center" vertical="center"/>
    </xf>
    <xf numFmtId="186" fontId="92" fillId="0" borderId="4" xfId="0" applyNumberFormat="1" applyFont="1" applyBorder="1" applyAlignment="1">
      <alignment horizontal="center" vertical="center"/>
    </xf>
    <xf numFmtId="173" fontId="92" fillId="0" borderId="4" xfId="220" applyNumberFormat="1" applyFont="1" applyBorder="1" applyAlignment="1">
      <alignment vertical="center"/>
    </xf>
    <xf numFmtId="3" fontId="104" fillId="0" borderId="4" xfId="0" applyNumberFormat="1" applyFont="1" applyBorder="1" applyAlignment="1">
      <alignment horizontal="right" vertical="center"/>
    </xf>
    <xf numFmtId="0" fontId="94" fillId="46" borderId="30" xfId="0" applyFont="1" applyFill="1" applyBorder="1" applyAlignment="1">
      <alignment horizontal="center" vertical="center"/>
    </xf>
    <xf numFmtId="0" fontId="94" fillId="46" borderId="31" xfId="0" applyFont="1" applyFill="1" applyBorder="1" applyAlignment="1">
      <alignment horizontal="center" vertical="center"/>
    </xf>
    <xf numFmtId="0" fontId="94" fillId="46" borderId="31" xfId="0" applyFont="1" applyFill="1" applyBorder="1" applyAlignment="1">
      <alignment horizontal="center" vertical="center" wrapText="1"/>
    </xf>
    <xf numFmtId="0" fontId="97" fillId="46" borderId="4" xfId="0" applyFont="1" applyFill="1" applyBorder="1" applyAlignment="1">
      <alignment horizontal="center" vertical="center"/>
    </xf>
    <xf numFmtId="0" fontId="92" fillId="0" borderId="31" xfId="0" applyFont="1" applyBorder="1" applyAlignment="1">
      <alignment vertical="center" wrapText="1"/>
    </xf>
    <xf numFmtId="3" fontId="104" fillId="0" borderId="30" xfId="0" applyNumberFormat="1" applyFont="1" applyBorder="1" applyAlignment="1">
      <alignment horizontal="right" vertical="center"/>
    </xf>
    <xf numFmtId="0" fontId="92" fillId="0" borderId="6" xfId="0" applyFont="1" applyBorder="1" applyAlignment="1">
      <alignment vertical="center" wrapText="1"/>
    </xf>
    <xf numFmtId="0" fontId="92" fillId="0" borderId="30" xfId="0" applyFont="1" applyBorder="1" applyAlignment="1">
      <alignment horizontal="center" vertical="center"/>
    </xf>
    <xf numFmtId="186" fontId="92" fillId="0" borderId="35" xfId="0" applyNumberFormat="1" applyFont="1" applyBorder="1" applyAlignment="1">
      <alignment horizontal="center" vertical="center"/>
    </xf>
    <xf numFmtId="173" fontId="92" fillId="0" borderId="3" xfId="220" applyNumberFormat="1" applyFont="1" applyBorder="1" applyAlignment="1">
      <alignment vertical="center"/>
    </xf>
    <xf numFmtId="0" fontId="92" fillId="0" borderId="31" xfId="0" applyFont="1" applyBorder="1" applyAlignment="1">
      <alignment horizontal="left" vertical="center"/>
    </xf>
    <xf numFmtId="37" fontId="94" fillId="0" borderId="30" xfId="0" applyNumberFormat="1" applyFont="1" applyBorder="1" applyAlignment="1">
      <alignment horizontal="center" vertical="center"/>
    </xf>
    <xf numFmtId="0" fontId="94" fillId="0" borderId="35" xfId="0" applyFont="1" applyBorder="1" applyAlignment="1">
      <alignment horizontal="center" vertical="center"/>
    </xf>
    <xf numFmtId="173" fontId="94" fillId="2" borderId="3" xfId="220" applyNumberFormat="1" applyFont="1" applyFill="1" applyBorder="1" applyAlignment="1">
      <alignment vertical="center"/>
    </xf>
    <xf numFmtId="173" fontId="92" fillId="0" borderId="4" xfId="1" applyNumberFormat="1" applyFont="1" applyBorder="1" applyAlignment="1">
      <alignment horizontal="right" vertical="center"/>
    </xf>
    <xf numFmtId="173" fontId="94" fillId="2" borderId="30" xfId="220" applyNumberFormat="1" applyFont="1" applyFill="1" applyBorder="1" applyAlignment="1">
      <alignment horizontal="right" vertical="center"/>
    </xf>
    <xf numFmtId="0" fontId="96" fillId="52" borderId="4" xfId="0" applyFont="1" applyFill="1" applyBorder="1" applyAlignment="1">
      <alignment horizontal="center" vertical="center"/>
    </xf>
    <xf numFmtId="0" fontId="90" fillId="52" borderId="4" xfId="0" applyFont="1" applyFill="1" applyBorder="1" applyAlignment="1">
      <alignment horizontal="center" vertical="center"/>
    </xf>
    <xf numFmtId="173" fontId="96" fillId="52" borderId="4" xfId="220" applyNumberFormat="1" applyFont="1" applyFill="1" applyBorder="1" applyAlignment="1">
      <alignment horizontal="center" vertical="center"/>
    </xf>
    <xf numFmtId="173" fontId="96" fillId="52" borderId="4" xfId="220" applyNumberFormat="1" applyFont="1" applyFill="1" applyBorder="1" applyAlignment="1">
      <alignment horizontal="center" vertical="center" wrapText="1"/>
    </xf>
    <xf numFmtId="0" fontId="96" fillId="49" borderId="4" xfId="0" applyFont="1" applyFill="1" applyBorder="1" applyAlignment="1">
      <alignment horizontal="center" vertical="center"/>
    </xf>
    <xf numFmtId="0" fontId="96" fillId="49" borderId="4" xfId="0" applyFont="1" applyFill="1" applyBorder="1" applyAlignment="1">
      <alignment vertical="center"/>
    </xf>
    <xf numFmtId="0" fontId="105" fillId="49" borderId="4" xfId="0" applyFont="1" applyFill="1" applyBorder="1" applyAlignment="1">
      <alignment horizontal="center" vertical="center" wrapText="1"/>
    </xf>
    <xf numFmtId="173" fontId="91" fillId="49" borderId="4" xfId="220" applyNumberFormat="1" applyFont="1" applyFill="1" applyBorder="1" applyAlignment="1">
      <alignment horizontal="right" vertical="center"/>
    </xf>
    <xf numFmtId="173" fontId="96" fillId="49" borderId="4" xfId="220" applyNumberFormat="1" applyFont="1" applyFill="1" applyBorder="1" applyAlignment="1">
      <alignment horizontal="right" vertical="center"/>
    </xf>
    <xf numFmtId="173" fontId="106" fillId="49" borderId="4" xfId="220" applyNumberFormat="1" applyFont="1" applyFill="1" applyBorder="1" applyAlignment="1">
      <alignment horizontal="center" vertical="center" wrapText="1"/>
    </xf>
    <xf numFmtId="0" fontId="93" fillId="0" borderId="4" xfId="0" applyFont="1" applyBorder="1" applyAlignment="1">
      <alignment horizontal="center" vertical="center"/>
    </xf>
    <xf numFmtId="0" fontId="93" fillId="0" borderId="4" xfId="0" applyFont="1" applyBorder="1" applyAlignment="1">
      <alignment vertical="center"/>
    </xf>
    <xf numFmtId="0" fontId="71" fillId="0" borderId="4" xfId="0" applyFont="1" applyBorder="1" applyAlignment="1">
      <alignment horizontal="center" vertical="center" wrapText="1"/>
    </xf>
    <xf numFmtId="173" fontId="93" fillId="0" borderId="4" xfId="220" applyNumberFormat="1" applyFont="1" applyBorder="1" applyAlignment="1">
      <alignment horizontal="center" vertical="center"/>
    </xf>
    <xf numFmtId="173" fontId="93" fillId="0" borderId="4" xfId="220" applyNumberFormat="1" applyFont="1" applyBorder="1" applyAlignment="1">
      <alignment horizontal="right" vertical="center"/>
    </xf>
    <xf numFmtId="0" fontId="106" fillId="0" borderId="4" xfId="0" applyFont="1" applyBorder="1" applyAlignment="1">
      <alignment horizontal="center" vertical="center"/>
    </xf>
    <xf numFmtId="0" fontId="106" fillId="0" borderId="4" xfId="0" quotePrefix="1" applyFont="1" applyBorder="1" applyAlignment="1">
      <alignment vertical="center"/>
    </xf>
    <xf numFmtId="0" fontId="105" fillId="0" borderId="4" xfId="0" applyFont="1" applyBorder="1" applyAlignment="1">
      <alignment horizontal="center" vertical="center" wrapText="1"/>
    </xf>
    <xf numFmtId="173" fontId="107" fillId="0" borderId="4" xfId="220" applyNumberFormat="1" applyFont="1" applyBorder="1" applyAlignment="1">
      <alignment horizontal="center" vertical="center"/>
    </xf>
    <xf numFmtId="173" fontId="106" fillId="0" borderId="4" xfId="220" applyNumberFormat="1" applyFont="1" applyBorder="1" applyAlignment="1">
      <alignment horizontal="right" vertical="center"/>
    </xf>
    <xf numFmtId="0" fontId="106" fillId="0" borderId="31" xfId="0" applyFont="1" applyBorder="1" applyAlignment="1">
      <alignment horizontal="center" vertical="center"/>
    </xf>
    <xf numFmtId="173" fontId="93" fillId="49" borderId="4" xfId="220" applyNumberFormat="1" applyFont="1" applyFill="1" applyBorder="1" applyAlignment="1">
      <alignment horizontal="center" vertical="center"/>
    </xf>
    <xf numFmtId="173" fontId="93" fillId="49" borderId="4" xfId="220" applyNumberFormat="1" applyFont="1" applyFill="1" applyBorder="1" applyAlignment="1">
      <alignment horizontal="right" vertical="center"/>
    </xf>
    <xf numFmtId="173" fontId="106" fillId="0" borderId="4" xfId="220" applyNumberFormat="1" applyFont="1" applyBorder="1" applyAlignment="1">
      <alignment horizontal="center" vertical="center" wrapText="1"/>
    </xf>
    <xf numFmtId="173" fontId="93" fillId="0" borderId="4" xfId="220" applyNumberFormat="1" applyFont="1" applyBorder="1" applyAlignment="1">
      <alignment horizontal="center" vertical="center" wrapText="1"/>
    </xf>
    <xf numFmtId="173" fontId="93" fillId="0" borderId="4" xfId="220" quotePrefix="1" applyNumberFormat="1" applyFont="1" applyBorder="1" applyAlignment="1">
      <alignment horizontal="center" vertical="center" wrapText="1"/>
    </xf>
    <xf numFmtId="0" fontId="96" fillId="2" borderId="4" xfId="0" applyFont="1" applyFill="1" applyBorder="1" applyAlignment="1">
      <alignment horizontal="center" vertical="center"/>
    </xf>
    <xf numFmtId="0" fontId="96" fillId="2" borderId="4" xfId="0" applyFont="1" applyFill="1" applyBorder="1" applyAlignment="1">
      <alignment horizontal="left" vertical="center"/>
    </xf>
    <xf numFmtId="0" fontId="108" fillId="2" borderId="4" xfId="0" applyFont="1" applyFill="1" applyBorder="1" applyAlignment="1">
      <alignment vertical="center"/>
    </xf>
    <xf numFmtId="173" fontId="18" fillId="2" borderId="4" xfId="220" applyNumberFormat="1" applyFont="1" applyFill="1" applyBorder="1" applyAlignment="1">
      <alignment horizontal="right" vertical="center"/>
    </xf>
    <xf numFmtId="173" fontId="93" fillId="2" borderId="4" xfId="220" applyNumberFormat="1" applyFont="1" applyFill="1" applyBorder="1" applyAlignment="1">
      <alignment horizontal="right" vertical="center"/>
    </xf>
    <xf numFmtId="173" fontId="96" fillId="2" borderId="4" xfId="220" applyNumberFormat="1" applyFont="1" applyFill="1" applyBorder="1" applyAlignment="1">
      <alignment horizontal="right" vertical="center"/>
    </xf>
    <xf numFmtId="173" fontId="96" fillId="2" borderId="4" xfId="220" applyNumberFormat="1" applyFont="1" applyFill="1" applyBorder="1" applyAlignment="1">
      <alignment horizontal="center" vertical="center"/>
    </xf>
    <xf numFmtId="0" fontId="93" fillId="2" borderId="4" xfId="0" applyFont="1" applyFill="1" applyBorder="1" applyAlignment="1">
      <alignment vertical="center"/>
    </xf>
    <xf numFmtId="0" fontId="90" fillId="2" borderId="4" xfId="0" applyFont="1" applyFill="1" applyBorder="1" applyAlignment="1">
      <alignment vertical="center"/>
    </xf>
    <xf numFmtId="0" fontId="91" fillId="49" borderId="4" xfId="0" applyFont="1" applyFill="1" applyBorder="1" applyAlignment="1">
      <alignment horizontal="center" vertical="center"/>
    </xf>
    <xf numFmtId="0" fontId="91" fillId="49" borderId="4" xfId="0" applyFont="1" applyFill="1" applyBorder="1" applyAlignment="1">
      <alignment horizontal="left" vertical="center"/>
    </xf>
    <xf numFmtId="0" fontId="73" fillId="49" borderId="4" xfId="0" applyFont="1" applyFill="1" applyBorder="1" applyAlignment="1">
      <alignment vertical="center"/>
    </xf>
    <xf numFmtId="173" fontId="18" fillId="49" borderId="4" xfId="220" applyNumberFormat="1" applyFont="1" applyFill="1" applyBorder="1" applyAlignment="1">
      <alignment horizontal="right" vertical="center"/>
    </xf>
    <xf numFmtId="173" fontId="91" fillId="49" borderId="4" xfId="220" applyNumberFormat="1" applyFont="1" applyFill="1" applyBorder="1" applyAlignment="1">
      <alignment horizontal="center" vertical="center"/>
    </xf>
    <xf numFmtId="0" fontId="18" fillId="49" borderId="4" xfId="0" applyFont="1" applyFill="1" applyBorder="1" applyAlignment="1">
      <alignment vertical="center"/>
    </xf>
    <xf numFmtId="0" fontId="0" fillId="0" borderId="0" xfId="0" applyAlignment="1">
      <alignment wrapText="1"/>
    </xf>
    <xf numFmtId="187" fontId="13" fillId="0" borderId="32" xfId="191" applyNumberFormat="1" applyFont="1" applyBorder="1" applyAlignment="1">
      <alignment vertical="center" wrapText="1"/>
    </xf>
    <xf numFmtId="0" fontId="18" fillId="0" borderId="0" xfId="133" applyFont="1"/>
    <xf numFmtId="0" fontId="91" fillId="0" borderId="0" xfId="133" applyFont="1"/>
    <xf numFmtId="0" fontId="96" fillId="0" borderId="4" xfId="136" applyFont="1" applyBorder="1" applyAlignment="1">
      <alignment horizontal="center" vertical="center" wrapText="1"/>
    </xf>
    <xf numFmtId="0" fontId="96" fillId="0" borderId="4" xfId="136" applyFont="1" applyBorder="1" applyAlignment="1">
      <alignment horizontal="left" vertical="center" wrapText="1"/>
    </xf>
    <xf numFmtId="0" fontId="96" fillId="53" borderId="4" xfId="136" applyFont="1" applyFill="1" applyBorder="1" applyAlignment="1">
      <alignment horizontal="center" vertical="center" wrapText="1"/>
    </xf>
    <xf numFmtId="0" fontId="96" fillId="53" borderId="4" xfId="136" applyFont="1" applyFill="1" applyBorder="1" applyAlignment="1">
      <alignment horizontal="left" vertical="center" wrapText="1"/>
    </xf>
    <xf numFmtId="173" fontId="96" fillId="53" borderId="4" xfId="136" applyNumberFormat="1" applyFont="1" applyFill="1" applyBorder="1" applyAlignment="1">
      <alignment horizontal="left" vertical="center" wrapText="1"/>
    </xf>
    <xf numFmtId="0" fontId="93" fillId="0" borderId="4" xfId="136" applyFont="1" applyBorder="1" applyAlignment="1">
      <alignment horizontal="center" vertical="center" wrapText="1"/>
    </xf>
    <xf numFmtId="0" fontId="18" fillId="0" borderId="4" xfId="222" applyFont="1" applyBorder="1" applyAlignment="1">
      <alignment horizontal="left" vertical="center" wrapText="1"/>
    </xf>
    <xf numFmtId="173" fontId="93" fillId="0" borderId="4" xfId="196" applyNumberFormat="1" applyFont="1" applyBorder="1" applyAlignment="1">
      <alignment horizontal="center" vertical="center" wrapText="1"/>
    </xf>
    <xf numFmtId="173" fontId="93" fillId="0" borderId="4" xfId="136" applyNumberFormat="1" applyFont="1" applyBorder="1" applyAlignment="1">
      <alignment horizontal="left" vertical="center" wrapText="1"/>
    </xf>
    <xf numFmtId="173" fontId="92" fillId="2" borderId="4" xfId="1" applyNumberFormat="1" applyFont="1" applyFill="1" applyBorder="1" applyAlignment="1">
      <alignment vertical="center" wrapText="1"/>
    </xf>
    <xf numFmtId="0" fontId="109" fillId="0" borderId="4" xfId="0" applyFont="1" applyBorder="1"/>
    <xf numFmtId="173" fontId="109" fillId="0" borderId="4" xfId="0" applyNumberFormat="1" applyFont="1" applyBorder="1"/>
    <xf numFmtId="0" fontId="92" fillId="0" borderId="0" xfId="221" applyFont="1" applyAlignment="1">
      <alignment vertical="center"/>
    </xf>
    <xf numFmtId="0" fontId="13" fillId="42" borderId="4" xfId="138" applyFont="1" applyFill="1" applyBorder="1" applyAlignment="1">
      <alignment horizontal="center" vertical="center" wrapText="1"/>
    </xf>
    <xf numFmtId="0" fontId="13" fillId="54" borderId="4" xfId="0" applyFont="1" applyFill="1" applyBorder="1" applyAlignment="1">
      <alignment horizontal="center" vertical="center"/>
    </xf>
    <xf numFmtId="0" fontId="13" fillId="54" borderId="4" xfId="0" applyFont="1" applyFill="1" applyBorder="1" applyAlignment="1">
      <alignment horizontal="center" vertical="center" wrapText="1"/>
    </xf>
    <xf numFmtId="0" fontId="14" fillId="54" borderId="4" xfId="0" applyFont="1" applyFill="1" applyBorder="1" applyAlignment="1">
      <alignment vertical="center" wrapText="1"/>
    </xf>
    <xf numFmtId="0" fontId="13" fillId="0" borderId="4" xfId="0" applyFont="1" applyBorder="1" applyAlignment="1">
      <alignment horizontal="center" vertical="center" wrapText="1"/>
    </xf>
    <xf numFmtId="0" fontId="94" fillId="2" borderId="4" xfId="233" applyFont="1" applyFill="1" applyBorder="1" applyAlignment="1">
      <alignment horizontal="center" vertical="center" wrapText="1"/>
    </xf>
    <xf numFmtId="0" fontId="14" fillId="0" borderId="4" xfId="0" applyFont="1" applyBorder="1" applyAlignment="1">
      <alignment vertical="center" wrapText="1"/>
    </xf>
    <xf numFmtId="0" fontId="92" fillId="0" borderId="4" xfId="0" applyFont="1" applyBorder="1" applyAlignment="1">
      <alignment vertical="top" wrapText="1"/>
    </xf>
    <xf numFmtId="0" fontId="92" fillId="0" borderId="4" xfId="0" applyFont="1" applyBorder="1" applyAlignment="1">
      <alignment horizontal="center" vertical="center" wrapText="1"/>
    </xf>
    <xf numFmtId="0" fontId="13" fillId="0" borderId="4" xfId="0" applyFont="1" applyBorder="1" applyAlignment="1">
      <alignment horizontal="center" vertical="top" wrapText="1"/>
    </xf>
    <xf numFmtId="177" fontId="94" fillId="0" borderId="28" xfId="189" applyFont="1" applyBorder="1" applyAlignment="1">
      <alignment horizontal="left" vertical="center" wrapText="1"/>
    </xf>
    <xf numFmtId="0" fontId="13" fillId="0" borderId="4" xfId="0" applyFont="1" applyBorder="1" applyAlignment="1">
      <alignment vertical="center" wrapText="1"/>
    </xf>
    <xf numFmtId="0" fontId="94" fillId="0" borderId="28" xfId="0" applyFont="1" applyBorder="1" applyAlignment="1">
      <alignment horizontal="left" vertical="center" wrapText="1"/>
    </xf>
    <xf numFmtId="0" fontId="13" fillId="2" borderId="28" xfId="0" applyFont="1" applyFill="1" applyBorder="1" applyAlignment="1">
      <alignment vertical="center" wrapText="1"/>
    </xf>
    <xf numFmtId="0" fontId="94" fillId="55" borderId="28" xfId="0" applyFont="1" applyFill="1" applyBorder="1" applyAlignment="1">
      <alignment vertical="center" wrapText="1"/>
    </xf>
    <xf numFmtId="0" fontId="92" fillId="55" borderId="4" xfId="0" applyFont="1" applyFill="1" applyBorder="1" applyAlignment="1">
      <alignment horizontal="left" vertical="center" wrapText="1"/>
    </xf>
    <xf numFmtId="0" fontId="94" fillId="55" borderId="28" xfId="0" applyFont="1" applyFill="1" applyBorder="1" applyAlignment="1">
      <alignment horizontal="left" vertical="center" wrapText="1"/>
    </xf>
    <xf numFmtId="0" fontId="94" fillId="55" borderId="4" xfId="0" applyFont="1" applyFill="1" applyBorder="1" applyAlignment="1">
      <alignment horizontal="left" vertical="center" wrapText="1"/>
    </xf>
    <xf numFmtId="0" fontId="94" fillId="55" borderId="28" xfId="0" applyFont="1" applyFill="1" applyBorder="1" applyAlignment="1">
      <alignment horizontal="left" vertical="center"/>
    </xf>
    <xf numFmtId="0" fontId="94" fillId="0" borderId="4" xfId="0" applyFont="1" applyBorder="1" applyAlignment="1">
      <alignment vertical="top" wrapText="1"/>
    </xf>
    <xf numFmtId="0" fontId="94" fillId="0" borderId="4" xfId="0" applyFont="1" applyBorder="1" applyAlignment="1">
      <alignment horizontal="center" vertical="center" wrapText="1"/>
    </xf>
    <xf numFmtId="0" fontId="94" fillId="0" borderId="4" xfId="0" applyFont="1" applyBorder="1" applyAlignment="1">
      <alignment horizontal="left" vertical="center" wrapText="1"/>
    </xf>
    <xf numFmtId="177" fontId="94" fillId="0" borderId="4" xfId="189" applyFont="1" applyBorder="1" applyAlignment="1">
      <alignment horizontal="left" vertical="center" wrapText="1"/>
    </xf>
    <xf numFmtId="0" fontId="92" fillId="55" borderId="4" xfId="0" applyFont="1" applyFill="1" applyBorder="1" applyAlignment="1">
      <alignment vertical="top" wrapText="1"/>
    </xf>
    <xf numFmtId="0" fontId="14" fillId="55" borderId="4" xfId="0" applyFont="1" applyFill="1" applyBorder="1" applyAlignment="1">
      <alignment vertical="center" wrapText="1"/>
    </xf>
    <xf numFmtId="0" fontId="13" fillId="55" borderId="4" xfId="0" applyFont="1" applyFill="1" applyBorder="1" applyAlignment="1">
      <alignment vertical="center" wrapText="1"/>
    </xf>
    <xf numFmtId="177" fontId="94" fillId="2" borderId="4" xfId="189" applyFont="1" applyFill="1" applyBorder="1" applyAlignment="1">
      <alignment horizontal="left" vertical="center" wrapText="1"/>
    </xf>
    <xf numFmtId="0" fontId="94" fillId="55" borderId="4" xfId="0" applyFont="1" applyFill="1" applyBorder="1" applyAlignment="1">
      <alignment vertical="top" wrapText="1"/>
    </xf>
    <xf numFmtId="0" fontId="92" fillId="2" borderId="4" xfId="0" applyFont="1" applyFill="1" applyBorder="1" applyAlignment="1">
      <alignment vertical="top" wrapText="1"/>
    </xf>
    <xf numFmtId="0" fontId="92" fillId="55" borderId="4" xfId="0" applyFont="1" applyFill="1" applyBorder="1" applyAlignment="1">
      <alignment vertical="center" wrapText="1"/>
    </xf>
    <xf numFmtId="0" fontId="14" fillId="2" borderId="4" xfId="0" applyFont="1" applyFill="1" applyBorder="1" applyAlignment="1">
      <alignment vertical="center" wrapText="1"/>
    </xf>
    <xf numFmtId="0" fontId="14" fillId="56" borderId="4" xfId="0" applyFont="1" applyFill="1" applyBorder="1" applyAlignment="1">
      <alignment vertical="center" wrapText="1"/>
    </xf>
    <xf numFmtId="0" fontId="94" fillId="57" borderId="4" xfId="0" applyFont="1" applyFill="1" applyBorder="1" applyAlignment="1">
      <alignment vertical="top" wrapText="1"/>
    </xf>
    <xf numFmtId="0" fontId="15" fillId="58" borderId="4" xfId="0" applyFont="1" applyFill="1" applyBorder="1" applyAlignment="1">
      <alignment horizontal="left" vertical="top" wrapText="1"/>
    </xf>
    <xf numFmtId="0" fontId="94" fillId="0" borderId="28" xfId="0" applyFont="1" applyBorder="1" applyAlignment="1">
      <alignment vertical="center" wrapText="1"/>
    </xf>
    <xf numFmtId="0" fontId="94" fillId="2" borderId="4" xfId="0" applyFont="1" applyFill="1" applyBorder="1" applyAlignment="1">
      <alignment horizontal="left" vertical="center" wrapText="1"/>
    </xf>
    <xf numFmtId="0" fontId="14" fillId="2" borderId="4" xfId="0" applyFont="1" applyFill="1" applyBorder="1"/>
    <xf numFmtId="0" fontId="13" fillId="2" borderId="4" xfId="0" applyFont="1" applyFill="1" applyBorder="1"/>
    <xf numFmtId="0" fontId="13" fillId="2" borderId="4" xfId="0" applyFont="1" applyFill="1" applyBorder="1" applyAlignment="1">
      <alignment horizontal="center" vertical="center"/>
    </xf>
    <xf numFmtId="0" fontId="94" fillId="2" borderId="4" xfId="0" applyFont="1" applyFill="1" applyBorder="1" applyAlignment="1">
      <alignment horizontal="center" vertical="center" wrapText="1"/>
    </xf>
    <xf numFmtId="0" fontId="92" fillId="2" borderId="4" xfId="0" applyFont="1" applyFill="1" applyBorder="1" applyAlignment="1">
      <alignment horizontal="left" vertical="center" wrapText="1"/>
    </xf>
    <xf numFmtId="0" fontId="13" fillId="2" borderId="4" xfId="0" applyFont="1" applyFill="1" applyBorder="1" applyAlignment="1">
      <alignment vertical="center"/>
    </xf>
    <xf numFmtId="0" fontId="94" fillId="0" borderId="0" xfId="221" applyFont="1" applyAlignment="1">
      <alignment horizontal="center" vertical="center"/>
    </xf>
    <xf numFmtId="0" fontId="94" fillId="0" borderId="4" xfId="206" applyFont="1" applyBorder="1" applyAlignment="1">
      <alignment horizontal="left" vertical="center" wrapText="1"/>
    </xf>
    <xf numFmtId="0" fontId="94" fillId="2" borderId="4" xfId="206" applyFont="1" applyFill="1" applyBorder="1" applyAlignment="1">
      <alignment horizontal="left" vertical="center" wrapText="1"/>
    </xf>
    <xf numFmtId="0" fontId="94" fillId="58" borderId="28" xfId="0" applyFont="1" applyFill="1" applyBorder="1" applyAlignment="1">
      <alignment vertical="center" wrapText="1"/>
    </xf>
    <xf numFmtId="0" fontId="94" fillId="58" borderId="33" xfId="0" applyFont="1" applyFill="1" applyBorder="1" applyAlignment="1">
      <alignment vertical="center" wrapText="1"/>
    </xf>
    <xf numFmtId="0" fontId="13" fillId="54" borderId="4" xfId="0" applyFont="1" applyFill="1" applyBorder="1" applyAlignment="1">
      <alignment horizontal="left" vertical="center" wrapText="1"/>
    </xf>
    <xf numFmtId="0" fontId="94" fillId="0" borderId="0" xfId="221" applyFont="1" applyAlignment="1">
      <alignment vertical="center"/>
    </xf>
    <xf numFmtId="0" fontId="13" fillId="0" borderId="4" xfId="0" applyFont="1" applyBorder="1" applyAlignment="1">
      <alignment horizontal="left" vertical="center" wrapText="1"/>
    </xf>
    <xf numFmtId="0" fontId="94" fillId="0" borderId="4" xfId="221" applyFont="1" applyBorder="1" applyAlignment="1">
      <alignment horizontal="left" vertical="center" wrapText="1"/>
    </xf>
    <xf numFmtId="0" fontId="94" fillId="0" borderId="0" xfId="221" applyFont="1" applyAlignment="1">
      <alignment horizontal="left" vertical="center" wrapText="1"/>
    </xf>
    <xf numFmtId="0" fontId="116" fillId="0" borderId="4" xfId="0" applyFont="1" applyBorder="1" applyAlignment="1">
      <alignment vertical="center" wrapText="1"/>
    </xf>
    <xf numFmtId="0" fontId="13" fillId="0" borderId="4" xfId="235" applyFont="1" applyBorder="1" applyAlignment="1">
      <alignment horizontal="left" vertical="center" wrapText="1"/>
    </xf>
    <xf numFmtId="0" fontId="13" fillId="0" borderId="4" xfId="234" applyFont="1" applyBorder="1" applyAlignment="1">
      <alignment horizontal="center" vertical="center" wrapText="1"/>
    </xf>
    <xf numFmtId="0" fontId="117" fillId="0" borderId="4" xfId="235" applyFont="1" applyBorder="1" applyAlignment="1">
      <alignment vertical="center" wrapText="1"/>
    </xf>
    <xf numFmtId="0" fontId="13" fillId="2" borderId="4" xfId="0" applyFont="1" applyFill="1" applyBorder="1" applyAlignment="1">
      <alignment vertical="center" wrapText="1"/>
    </xf>
    <xf numFmtId="0" fontId="13" fillId="59" borderId="4" xfId="138" applyFont="1" applyFill="1" applyBorder="1" applyAlignment="1">
      <alignment horizontal="center" vertical="center" wrapText="1"/>
    </xf>
    <xf numFmtId="0" fontId="94" fillId="2" borderId="4" xfId="0" applyFont="1" applyFill="1" applyBorder="1" applyAlignment="1">
      <alignment horizontal="justify" vertical="center" wrapText="1"/>
    </xf>
    <xf numFmtId="0" fontId="94" fillId="0" borderId="4" xfId="0" applyFont="1" applyBorder="1" applyAlignment="1">
      <alignment vertical="center" wrapText="1"/>
    </xf>
    <xf numFmtId="0" fontId="97" fillId="2" borderId="4" xfId="236" applyFont="1" applyFill="1" applyBorder="1" applyAlignment="1">
      <alignment horizontal="left" vertical="center" wrapText="1"/>
    </xf>
    <xf numFmtId="0" fontId="13" fillId="2" borderId="4" xfId="236" applyFont="1" applyFill="1" applyBorder="1" applyAlignment="1">
      <alignment horizontal="center" vertical="center" wrapText="1"/>
    </xf>
    <xf numFmtId="0" fontId="97" fillId="0" borderId="4" xfId="236" applyFont="1" applyBorder="1" applyAlignment="1">
      <alignment horizontal="left" vertical="center" wrapText="1"/>
    </xf>
    <xf numFmtId="0" fontId="13" fillId="0" borderId="4" xfId="236" applyFont="1" applyBorder="1" applyAlignment="1">
      <alignment horizontal="center" vertical="center" wrapText="1"/>
    </xf>
    <xf numFmtId="0" fontId="15" fillId="2" borderId="4" xfId="0" applyFont="1" applyFill="1" applyBorder="1" applyAlignment="1">
      <alignment horizontal="center" vertical="center" wrapText="1"/>
    </xf>
    <xf numFmtId="0" fontId="83" fillId="2" borderId="4" xfId="0" applyFont="1" applyFill="1" applyBorder="1" applyAlignment="1">
      <alignment vertical="top" wrapText="1"/>
    </xf>
    <xf numFmtId="0" fontId="83" fillId="2" borderId="4" xfId="0" applyFont="1" applyFill="1" applyBorder="1" applyAlignment="1">
      <alignment vertical="center" wrapText="1"/>
    </xf>
    <xf numFmtId="0" fontId="115" fillId="2" borderId="4" xfId="0" applyFont="1" applyFill="1" applyBorder="1" applyAlignment="1">
      <alignment vertical="top" wrapText="1"/>
    </xf>
    <xf numFmtId="0" fontId="94" fillId="59" borderId="4" xfId="138" applyFont="1" applyFill="1" applyBorder="1" applyAlignment="1">
      <alignment horizontal="center" vertical="center" wrapText="1"/>
    </xf>
    <xf numFmtId="0" fontId="94" fillId="42" borderId="28" xfId="138" applyFont="1" applyFill="1" applyBorder="1" applyAlignment="1">
      <alignment horizontal="center" vertical="center" wrapText="1"/>
    </xf>
    <xf numFmtId="0" fontId="94" fillId="54" borderId="28" xfId="0" applyFont="1" applyFill="1" applyBorder="1" applyAlignment="1">
      <alignment horizontal="left" vertical="center"/>
    </xf>
    <xf numFmtId="0" fontId="94" fillId="0" borderId="28" xfId="0" applyFont="1" applyBorder="1" applyAlignment="1">
      <alignment vertical="center"/>
    </xf>
    <xf numFmtId="0" fontId="94" fillId="2" borderId="28" xfId="0" applyFont="1" applyFill="1" applyBorder="1" applyAlignment="1">
      <alignment horizontal="left" vertical="center" wrapText="1"/>
    </xf>
    <xf numFmtId="0" fontId="94" fillId="2" borderId="28" xfId="0" applyFont="1" applyFill="1" applyBorder="1" applyAlignment="1">
      <alignment vertical="center" wrapText="1"/>
    </xf>
    <xf numFmtId="0" fontId="94" fillId="54" borderId="28" xfId="0" applyFont="1" applyFill="1" applyBorder="1" applyAlignment="1">
      <alignment horizontal="left" vertical="center" wrapText="1"/>
    </xf>
    <xf numFmtId="0" fontId="94" fillId="2" borderId="28" xfId="0" applyFont="1" applyFill="1" applyBorder="1" applyAlignment="1">
      <alignment vertical="center"/>
    </xf>
    <xf numFmtId="0" fontId="94" fillId="54" borderId="4" xfId="0" applyFont="1" applyFill="1" applyBorder="1" applyAlignment="1">
      <alignment horizontal="left" vertical="center" wrapText="1"/>
    </xf>
    <xf numFmtId="0" fontId="94" fillId="57" borderId="28" xfId="0" applyFont="1" applyFill="1" applyBorder="1" applyAlignment="1">
      <alignment vertical="center" wrapText="1"/>
    </xf>
    <xf numFmtId="0" fontId="92" fillId="2" borderId="28" xfId="0" applyFont="1" applyFill="1" applyBorder="1" applyAlignment="1">
      <alignment vertical="center" wrapText="1"/>
    </xf>
    <xf numFmtId="0" fontId="94" fillId="0" borderId="4" xfId="235" applyFont="1" applyBorder="1" applyAlignment="1">
      <alignment horizontal="justify" vertical="center" wrapText="1"/>
    </xf>
    <xf numFmtId="0" fontId="94" fillId="59" borderId="4" xfId="138" applyFont="1" applyFill="1" applyBorder="1" applyAlignment="1">
      <alignment horizontal="left" vertical="center" wrapText="1"/>
    </xf>
    <xf numFmtId="0" fontId="13" fillId="0" borderId="4" xfId="233" applyFont="1" applyBorder="1" applyAlignment="1">
      <alignment horizontal="center" vertical="center" wrapText="1"/>
    </xf>
    <xf numFmtId="0" fontId="13" fillId="0" borderId="28" xfId="0" applyFont="1" applyBorder="1" applyAlignment="1">
      <alignment vertical="center" wrapText="1"/>
    </xf>
    <xf numFmtId="0" fontId="14" fillId="0" borderId="4" xfId="0" applyFont="1" applyBorder="1" applyAlignment="1">
      <alignment horizontal="left" vertical="center" wrapText="1"/>
    </xf>
    <xf numFmtId="0" fontId="94" fillId="0" borderId="4" xfId="233" applyFont="1" applyBorder="1" applyAlignment="1">
      <alignment horizontal="center" vertical="center" wrapText="1"/>
    </xf>
    <xf numFmtId="0" fontId="15" fillId="0" borderId="4" xfId="0" applyFont="1" applyBorder="1" applyAlignment="1">
      <alignment horizontal="left" vertical="center" wrapText="1"/>
    </xf>
    <xf numFmtId="0" fontId="14" fillId="0" borderId="4" xfId="236" applyFont="1" applyBorder="1" applyAlignment="1">
      <alignment horizontal="center" vertical="center" wrapText="1"/>
    </xf>
    <xf numFmtId="0" fontId="114" fillId="0" borderId="4" xfId="236" applyFont="1" applyBorder="1" applyAlignment="1">
      <alignment horizontal="left" vertical="center" wrapText="1"/>
    </xf>
    <xf numFmtId="0" fontId="94" fillId="54" borderId="4" xfId="0" applyFont="1" applyFill="1" applyBorder="1" applyAlignment="1">
      <alignment horizontal="center" vertical="center" wrapText="1"/>
    </xf>
    <xf numFmtId="0" fontId="94" fillId="54" borderId="28" xfId="0" applyFont="1" applyFill="1" applyBorder="1" applyAlignment="1">
      <alignment horizontal="center" vertical="center" wrapText="1"/>
    </xf>
    <xf numFmtId="0" fontId="94" fillId="2" borderId="28" xfId="206" applyFont="1" applyFill="1" applyBorder="1" applyAlignment="1">
      <alignment horizontal="left" vertical="center" wrapText="1"/>
    </xf>
    <xf numFmtId="0" fontId="13" fillId="0" borderId="4" xfId="221" applyFont="1" applyBorder="1" applyAlignment="1">
      <alignment horizontal="left" vertical="center" wrapText="1"/>
    </xf>
    <xf numFmtId="0" fontId="14" fillId="0" borderId="4" xfId="0" applyFont="1" applyBorder="1" applyAlignment="1">
      <alignment vertical="top" wrapText="1"/>
    </xf>
    <xf numFmtId="0" fontId="100" fillId="0" borderId="0" xfId="221" applyFont="1" applyAlignment="1">
      <alignment vertical="center"/>
    </xf>
    <xf numFmtId="0" fontId="81" fillId="0" borderId="34" xfId="0" applyFont="1" applyBorder="1" applyAlignment="1">
      <alignment horizontal="left" vertical="center" wrapText="1"/>
    </xf>
    <xf numFmtId="0" fontId="81" fillId="0" borderId="34" xfId="221" applyFont="1" applyBorder="1" applyAlignment="1">
      <alignment vertical="center"/>
    </xf>
    <xf numFmtId="0" fontId="81" fillId="0" borderId="37" xfId="0" applyFont="1" applyBorder="1" applyAlignment="1">
      <alignment horizontal="left" vertical="center" wrapText="1"/>
    </xf>
    <xf numFmtId="0" fontId="81" fillId="0" borderId="37" xfId="221" applyFont="1" applyBorder="1" applyAlignment="1">
      <alignment vertical="center"/>
    </xf>
    <xf numFmtId="0" fontId="81" fillId="0" borderId="4" xfId="0" applyFont="1" applyBorder="1" applyAlignment="1">
      <alignment horizontal="left" vertical="center" wrapText="1"/>
    </xf>
    <xf numFmtId="0" fontId="81" fillId="0" borderId="4" xfId="221" applyFont="1" applyBorder="1" applyAlignment="1">
      <alignment vertical="center"/>
    </xf>
    <xf numFmtId="0" fontId="80" fillId="0" borderId="34" xfId="0" applyFont="1" applyBorder="1" applyAlignment="1">
      <alignment horizontal="left" vertical="center" wrapText="1"/>
    </xf>
    <xf numFmtId="0" fontId="81" fillId="0" borderId="39" xfId="221" applyFont="1" applyBorder="1" applyAlignment="1">
      <alignment vertical="center"/>
    </xf>
    <xf numFmtId="0" fontId="81" fillId="0" borderId="36" xfId="221" applyFont="1" applyBorder="1" applyAlignment="1">
      <alignment vertical="center"/>
    </xf>
    <xf numFmtId="0" fontId="13" fillId="0" borderId="28" xfId="221" applyFont="1" applyBorder="1" applyAlignment="1">
      <alignment horizontal="left" vertical="center" wrapText="1"/>
    </xf>
    <xf numFmtId="0" fontId="80" fillId="0" borderId="4" xfId="0" applyFont="1" applyBorder="1" applyAlignment="1">
      <alignment horizontal="left" vertical="center" wrapText="1"/>
    </xf>
    <xf numFmtId="0" fontId="80" fillId="0" borderId="38" xfId="0" applyFont="1" applyBorder="1" applyAlignment="1">
      <alignment horizontal="left" vertical="center" wrapText="1"/>
    </xf>
    <xf numFmtId="0" fontId="94" fillId="2" borderId="4" xfId="0" quotePrefix="1" applyFont="1" applyFill="1" applyBorder="1" applyAlignment="1">
      <alignment vertical="center" wrapText="1"/>
    </xf>
    <xf numFmtId="0" fontId="94" fillId="2" borderId="4" xfId="237" applyFont="1" applyFill="1" applyBorder="1" applyAlignment="1">
      <alignment horizontal="left" vertical="center" wrapText="1"/>
    </xf>
    <xf numFmtId="0" fontId="92" fillId="2" borderId="4" xfId="0" applyFont="1" applyFill="1" applyBorder="1" applyAlignment="1">
      <alignment horizontal="center" vertical="center"/>
    </xf>
    <xf numFmtId="0" fontId="94" fillId="0" borderId="4" xfId="0" quotePrefix="1" applyFont="1" applyBorder="1" applyAlignment="1">
      <alignment vertical="center" wrapText="1"/>
    </xf>
    <xf numFmtId="0" fontId="92" fillId="0" borderId="4" xfId="0" applyFont="1" applyBorder="1" applyAlignment="1">
      <alignment horizontal="left" vertical="center" wrapText="1"/>
    </xf>
    <xf numFmtId="0" fontId="94" fillId="0" borderId="4" xfId="0" applyFont="1" applyBorder="1" applyAlignment="1">
      <alignment horizontal="center" vertical="top" wrapText="1"/>
    </xf>
    <xf numFmtId="0" fontId="92" fillId="0" borderId="4" xfId="210" applyFont="1" applyBorder="1" applyAlignment="1">
      <alignment vertical="center" wrapText="1"/>
    </xf>
    <xf numFmtId="0" fontId="92" fillId="0" borderId="4" xfId="0" applyFont="1" applyBorder="1" applyAlignment="1">
      <alignment horizontal="justify" vertical="center" wrapText="1"/>
    </xf>
    <xf numFmtId="0" fontId="92" fillId="0" borderId="4" xfId="221" applyFont="1" applyBorder="1" applyAlignment="1">
      <alignment vertical="center" wrapText="1"/>
    </xf>
    <xf numFmtId="0" fontId="94" fillId="0" borderId="4" xfId="0" applyFont="1" applyBorder="1"/>
    <xf numFmtId="0" fontId="92" fillId="0" borderId="4" xfId="0" quotePrefix="1" applyFont="1" applyBorder="1" applyAlignment="1">
      <alignment horizontal="left" vertical="center" wrapText="1"/>
    </xf>
    <xf numFmtId="0" fontId="92" fillId="0" borderId="0" xfId="0" applyFont="1" applyAlignment="1">
      <alignment vertical="center" wrapText="1"/>
    </xf>
    <xf numFmtId="0" fontId="92" fillId="0" borderId="0" xfId="221" applyFont="1" applyAlignment="1">
      <alignment vertical="center" wrapText="1"/>
    </xf>
    <xf numFmtId="0" fontId="92" fillId="0" borderId="4" xfId="235" applyFont="1" applyBorder="1" applyAlignment="1">
      <alignment horizontal="justify" vertical="center" wrapText="1"/>
    </xf>
    <xf numFmtId="0" fontId="81" fillId="0" borderId="34" xfId="0" applyFont="1" applyBorder="1" applyAlignment="1">
      <alignment vertical="center" wrapText="1"/>
    </xf>
    <xf numFmtId="0" fontId="81" fillId="0" borderId="37" xfId="0" applyFont="1" applyBorder="1" applyAlignment="1">
      <alignment vertical="center" wrapText="1"/>
    </xf>
    <xf numFmtId="0" fontId="81" fillId="0" borderId="4" xfId="0" applyFont="1" applyBorder="1" applyAlignment="1">
      <alignment vertical="center" wrapText="1"/>
    </xf>
    <xf numFmtId="0" fontId="81" fillId="0" borderId="38" xfId="0" applyFont="1" applyBorder="1" applyAlignment="1">
      <alignment wrapText="1"/>
    </xf>
    <xf numFmtId="0" fontId="81" fillId="0" borderId="34" xfId="0" applyFont="1" applyBorder="1" applyAlignment="1">
      <alignment wrapText="1"/>
    </xf>
    <xf numFmtId="0" fontId="81" fillId="0" borderId="37" xfId="0" applyFont="1" applyBorder="1" applyAlignment="1">
      <alignment wrapText="1"/>
    </xf>
    <xf numFmtId="0" fontId="81" fillId="0" borderId="38" xfId="0" applyFont="1" applyBorder="1" applyAlignment="1">
      <alignment vertical="center" wrapText="1"/>
    </xf>
    <xf numFmtId="0" fontId="92" fillId="0" borderId="4" xfId="236" applyFont="1" applyBorder="1" applyAlignment="1">
      <alignment horizontal="left" vertical="center" wrapText="1"/>
    </xf>
    <xf numFmtId="0" fontId="13" fillId="0" borderId="4" xfId="0" applyFont="1" applyBorder="1" applyAlignment="1">
      <alignment horizontal="left" vertical="center"/>
    </xf>
    <xf numFmtId="0" fontId="13" fillId="55" borderId="4" xfId="0" applyFont="1" applyFill="1" applyBorder="1" applyAlignment="1">
      <alignment horizontal="left" vertical="center" wrapText="1"/>
    </xf>
    <xf numFmtId="0" fontId="111" fillId="0" borderId="4" xfId="0" applyFont="1" applyBorder="1" applyAlignment="1">
      <alignment horizontal="left" vertical="center" wrapText="1"/>
    </xf>
    <xf numFmtId="0" fontId="13" fillId="2" borderId="4" xfId="0" applyFont="1" applyFill="1" applyBorder="1" applyAlignment="1">
      <alignment horizontal="left" vertical="center" wrapText="1"/>
    </xf>
    <xf numFmtId="0" fontId="94" fillId="0" borderId="4" xfId="237" applyFont="1" applyBorder="1" applyAlignment="1">
      <alignment horizontal="left" vertical="center" wrapText="1"/>
    </xf>
    <xf numFmtId="0" fontId="94" fillId="57" borderId="4" xfId="0" applyFont="1" applyFill="1" applyBorder="1" applyAlignment="1">
      <alignment horizontal="left" vertical="center" wrapText="1"/>
    </xf>
    <xf numFmtId="0" fontId="15" fillId="58" borderId="4" xfId="0" applyFont="1" applyFill="1" applyBorder="1" applyAlignment="1">
      <alignment horizontal="left" vertical="center" wrapText="1"/>
    </xf>
    <xf numFmtId="0" fontId="94" fillId="58" borderId="4" xfId="0" applyFont="1" applyFill="1" applyBorder="1" applyAlignment="1">
      <alignment horizontal="left" vertical="center" wrapText="1"/>
    </xf>
    <xf numFmtId="0" fontId="117" fillId="0" borderId="4" xfId="235" applyFont="1" applyBorder="1" applyAlignment="1">
      <alignment horizontal="left" vertical="center" wrapText="1"/>
    </xf>
    <xf numFmtId="0" fontId="81" fillId="0" borderId="34" xfId="221" applyFont="1" applyBorder="1" applyAlignment="1">
      <alignment horizontal="left" vertical="center" wrapText="1"/>
    </xf>
    <xf numFmtId="0" fontId="81" fillId="0" borderId="37" xfId="221" applyFont="1" applyBorder="1" applyAlignment="1">
      <alignment horizontal="left" vertical="center" wrapText="1"/>
    </xf>
    <xf numFmtId="0" fontId="81" fillId="0" borderId="34" xfId="221" applyFont="1" applyBorder="1" applyAlignment="1">
      <alignment horizontal="left" vertical="center"/>
    </xf>
    <xf numFmtId="0" fontId="13" fillId="59" borderId="4" xfId="138" applyFont="1" applyFill="1" applyBorder="1" applyAlignment="1">
      <alignment horizontal="left" vertical="center" wrapText="1"/>
    </xf>
    <xf numFmtId="0" fontId="13" fillId="2" borderId="4" xfId="236" applyFont="1" applyFill="1" applyBorder="1" applyAlignment="1">
      <alignment horizontal="left" vertical="center" wrapText="1"/>
    </xf>
    <xf numFmtId="0" fontId="14" fillId="0" borderId="4" xfId="236" applyFont="1" applyBorder="1" applyAlignment="1">
      <alignment horizontal="left" vertical="center" wrapText="1"/>
    </xf>
    <xf numFmtId="0" fontId="13" fillId="0" borderId="4" xfId="236" applyFont="1" applyBorder="1" applyAlignment="1">
      <alignment horizontal="left" vertical="center" wrapText="1"/>
    </xf>
    <xf numFmtId="0" fontId="15" fillId="2" borderId="4" xfId="0" applyFont="1" applyFill="1" applyBorder="1" applyAlignment="1">
      <alignment horizontal="left" vertical="center" wrapText="1"/>
    </xf>
    <xf numFmtId="0" fontId="115" fillId="0" borderId="4" xfId="0" applyFont="1" applyBorder="1" applyAlignment="1">
      <alignment vertical="center" wrapText="1"/>
    </xf>
    <xf numFmtId="0" fontId="80" fillId="45" borderId="28" xfId="0" applyFont="1" applyFill="1" applyBorder="1" applyAlignment="1">
      <alignment horizontal="center" vertical="center"/>
    </xf>
    <xf numFmtId="0" fontId="80" fillId="45" borderId="29" xfId="0" applyFont="1" applyFill="1" applyBorder="1" applyAlignment="1">
      <alignment horizontal="center" vertical="center"/>
    </xf>
    <xf numFmtId="0" fontId="80" fillId="0" borderId="0" xfId="191" applyFont="1" applyAlignment="1">
      <alignment horizontal="center" vertical="center" wrapText="1"/>
    </xf>
    <xf numFmtId="0" fontId="13" fillId="0" borderId="0" xfId="191" applyFont="1" applyAlignment="1">
      <alignment horizontal="center" vertical="center" wrapText="1"/>
    </xf>
    <xf numFmtId="0" fontId="14" fillId="0" borderId="31" xfId="191" applyFont="1" applyBorder="1" applyAlignment="1">
      <alignment horizontal="left" vertical="center" wrapText="1"/>
    </xf>
    <xf numFmtId="0" fontId="14" fillId="0" borderId="6" xfId="191" applyFont="1" applyBorder="1" applyAlignment="1">
      <alignment horizontal="left" vertical="center" wrapText="1"/>
    </xf>
    <xf numFmtId="0" fontId="14" fillId="0" borderId="3" xfId="191" applyFont="1" applyBorder="1" applyAlignment="1">
      <alignment horizontal="left" vertical="center" wrapText="1"/>
    </xf>
    <xf numFmtId="173" fontId="70" fillId="0" borderId="4" xfId="1" applyNumberFormat="1" applyFont="1" applyBorder="1" applyAlignment="1">
      <alignment horizontal="center" vertical="center" wrapText="1"/>
    </xf>
    <xf numFmtId="173" fontId="71" fillId="0" borderId="4" xfId="1" applyNumberFormat="1" applyFont="1" applyFill="1" applyBorder="1" applyAlignment="1">
      <alignment horizontal="center" vertical="center" wrapText="1"/>
    </xf>
    <xf numFmtId="173" fontId="70" fillId="0" borderId="28" xfId="1" applyNumberFormat="1" applyFont="1" applyBorder="1" applyAlignment="1">
      <alignment horizontal="center" vertical="center" wrapText="1"/>
    </xf>
    <xf numFmtId="173" fontId="70" fillId="0" borderId="30" xfId="1" applyNumberFormat="1" applyFont="1" applyBorder="1" applyAlignment="1">
      <alignment horizontal="center" vertical="center" wrapText="1"/>
    </xf>
    <xf numFmtId="173" fontId="71" fillId="0" borderId="28" xfId="1" applyNumberFormat="1" applyFont="1" applyFill="1" applyBorder="1" applyAlignment="1">
      <alignment horizontal="center" vertical="center" wrapText="1"/>
    </xf>
    <xf numFmtId="173" fontId="71" fillId="0" borderId="30" xfId="1" applyNumberFormat="1" applyFont="1" applyFill="1" applyBorder="1" applyAlignment="1">
      <alignment horizontal="center" vertical="center" wrapText="1"/>
    </xf>
    <xf numFmtId="0" fontId="73" fillId="0" borderId="0" xfId="193" applyFont="1" applyAlignment="1">
      <alignment horizontal="center" vertical="center" wrapText="1"/>
    </xf>
    <xf numFmtId="0" fontId="74" fillId="0" borderId="0" xfId="193" applyFont="1" applyAlignment="1">
      <alignment horizontal="left" vertical="center" wrapText="1"/>
    </xf>
    <xf numFmtId="0" fontId="73" fillId="0" borderId="0" xfId="193" applyFont="1" applyAlignment="1">
      <alignment horizontal="left" vertical="center" wrapText="1"/>
    </xf>
    <xf numFmtId="0" fontId="73" fillId="0" borderId="17" xfId="193" applyFont="1" applyBorder="1" applyAlignment="1">
      <alignment horizontal="center" vertical="center" wrapText="1"/>
    </xf>
    <xf numFmtId="0" fontId="73" fillId="0" borderId="18" xfId="193" applyFont="1" applyBorder="1" applyAlignment="1">
      <alignment horizontal="center" vertical="center" wrapText="1"/>
    </xf>
    <xf numFmtId="0" fontId="73" fillId="0" borderId="19" xfId="193" applyFont="1" applyBorder="1" applyAlignment="1">
      <alignment horizontal="center" vertical="center" wrapText="1"/>
    </xf>
    <xf numFmtId="0" fontId="70" fillId="0" borderId="0" xfId="193" applyFont="1" applyAlignment="1">
      <alignment vertical="center" wrapText="1"/>
    </xf>
    <xf numFmtId="0" fontId="100" fillId="0" borderId="33" xfId="218" applyFont="1" applyBorder="1" applyAlignment="1">
      <alignment horizontal="center"/>
    </xf>
    <xf numFmtId="0" fontId="101" fillId="0" borderId="33" xfId="218" applyFont="1" applyBorder="1"/>
    <xf numFmtId="0" fontId="95" fillId="0" borderId="0" xfId="214" applyFont="1" applyAlignment="1">
      <alignment horizontal="center" vertical="center"/>
    </xf>
    <xf numFmtId="173" fontId="106" fillId="0" borderId="6" xfId="220" applyNumberFormat="1" applyFont="1" applyBorder="1" applyAlignment="1">
      <alignment horizontal="center" vertical="center" wrapText="1"/>
    </xf>
    <xf numFmtId="0" fontId="94" fillId="0" borderId="4" xfId="0" applyFont="1" applyBorder="1" applyAlignment="1">
      <alignment horizontal="center" vertical="center"/>
    </xf>
    <xf numFmtId="0" fontId="94" fillId="0" borderId="28" xfId="0" applyFont="1" applyBorder="1" applyAlignment="1">
      <alignment horizontal="center" vertical="center"/>
    </xf>
    <xf numFmtId="0" fontId="94" fillId="0" borderId="29" xfId="0" applyFont="1" applyBorder="1" applyAlignment="1">
      <alignment horizontal="center" vertical="center"/>
    </xf>
    <xf numFmtId="0" fontId="94" fillId="0" borderId="30" xfId="0" applyFont="1" applyBorder="1" applyAlignment="1">
      <alignment horizontal="center" vertical="center"/>
    </xf>
    <xf numFmtId="0" fontId="92" fillId="0" borderId="31" xfId="0" applyFont="1" applyBorder="1" applyAlignment="1">
      <alignment horizontal="center" vertical="center"/>
    </xf>
    <xf numFmtId="0" fontId="92" fillId="0" borderId="6" xfId="0" applyFont="1" applyBorder="1" applyAlignment="1">
      <alignment horizontal="center" vertical="center"/>
    </xf>
    <xf numFmtId="0" fontId="92" fillId="0" borderId="31" xfId="0" applyFont="1" applyBorder="1" applyAlignment="1">
      <alignment horizontal="center" vertical="center" wrapText="1"/>
    </xf>
    <xf numFmtId="0" fontId="92" fillId="0" borderId="6" xfId="0" applyFont="1" applyBorder="1" applyAlignment="1">
      <alignment horizontal="center" vertical="center" wrapText="1"/>
    </xf>
    <xf numFmtId="0" fontId="92" fillId="0" borderId="31" xfId="0" applyFont="1" applyBorder="1" applyAlignment="1">
      <alignment horizontal="left" vertical="center"/>
    </xf>
    <xf numFmtId="0" fontId="92" fillId="0" borderId="3" xfId="0" applyFont="1" applyBorder="1" applyAlignment="1">
      <alignment horizontal="left" vertical="center"/>
    </xf>
  </cellXfs>
  <cellStyles count="238">
    <cellStyle name="_x000d__x000a_JournalTemplate=C:\COMFO\CTALK\JOURSTD.TPL_x000d__x000a_LbStateAddress=3 3 0 251 1 89 2 311_x000d__x000a_LbStateJou" xfId="10" xr:uid="{00000000-0005-0000-0000-000000000000}"/>
    <cellStyle name="??&amp;O?&amp;H?_x0008__x000f__x0007_?_x0007__x0001__x0001_" xfId="11" xr:uid="{00000000-0005-0000-0000-000001000000}"/>
    <cellStyle name="??&amp;O?&amp;H?_x0008_??_x0007__x0001__x0001_" xfId="12" xr:uid="{00000000-0005-0000-0000-000002000000}"/>
    <cellStyle name="_Bao gia camera" xfId="13" xr:uid="{00000000-0005-0000-0000-000003000000}"/>
    <cellStyle name="_Bao gia camera_Bao gia xay dung mo hinh mot cua - EFY" xfId="14" xr:uid="{00000000-0005-0000-0000-000004000000}"/>
    <cellStyle name="_Bao gia camera_Bao gia xay dung mo hinh mot cua - EFY_Cap Tinh-Thiet ke du toan phan mem KNTC Quang Binh" xfId="15" xr:uid="{00000000-0005-0000-0000-000005000000}"/>
    <cellStyle name="_Bao gia camera_Cap So-Thiet ke du toan phan mem KNTC Quang Binh" xfId="16" xr:uid="{00000000-0005-0000-0000-000006000000}"/>
    <cellStyle name="_Bao gia camera_Thiet ke du toan DHTN" xfId="17" xr:uid="{00000000-0005-0000-0000-000007000000}"/>
    <cellStyle name="_Bao gia camera_Thiet ke du toan DHTN_Cap So-Thiet ke du toan phan mem KNTC Quang Binh" xfId="18" xr:uid="{00000000-0005-0000-0000-000008000000}"/>
    <cellStyle name="_Bao gia camera_Tong du toan mot cua - So TTTT Hung Yen" xfId="19" xr:uid="{00000000-0005-0000-0000-000009000000}"/>
    <cellStyle name="_Bao gia camera_Tong du toan mot cua - So TTTT Hung Yen_Cap Tinh-Thiet ke du toan phan mem KNTC Quang Binh" xfId="20" xr:uid="{00000000-0005-0000-0000-00000A000000}"/>
    <cellStyle name="_Book1" xfId="21" xr:uid="{00000000-0005-0000-0000-00000B000000}"/>
    <cellStyle name="_Copy of Tadimex_BOM_Rev01" xfId="22" xr:uid="{00000000-0005-0000-0000-00000C000000}"/>
    <cellStyle name="_Rocky Preliminary Specification_0129" xfId="23" xr:uid="{00000000-0005-0000-0000-00000D000000}"/>
    <cellStyle name="_Specs" xfId="24" xr:uid="{00000000-0005-0000-0000-00000E000000}"/>
    <cellStyle name="_Tadimex_BOM_Rev02" xfId="25" xr:uid="{00000000-0005-0000-0000-00000F000000}"/>
    <cellStyle name="_Tong_du_toan_VDB_V4.1" xfId="26" xr:uid="{00000000-0005-0000-0000-000010000000}"/>
    <cellStyle name="0,0_x000a__x000a_NA_x000a__x000a_" xfId="27" xr:uid="{00000000-0005-0000-0000-000011000000}"/>
    <cellStyle name="0,0_x000d__x000a_NA_x000d__x000a_" xfId="28" xr:uid="{00000000-0005-0000-0000-000012000000}"/>
    <cellStyle name="¹eºÐA²_±aA¸" xfId="29" xr:uid="{00000000-0005-0000-0000-000013000000}"/>
    <cellStyle name="20% - Accent1 2" xfId="30" xr:uid="{00000000-0005-0000-0000-000014000000}"/>
    <cellStyle name="20% - Accent2 2" xfId="31" xr:uid="{00000000-0005-0000-0000-000015000000}"/>
    <cellStyle name="20% - Accent3 2" xfId="32" xr:uid="{00000000-0005-0000-0000-000016000000}"/>
    <cellStyle name="20% - Accent4 2" xfId="33" xr:uid="{00000000-0005-0000-0000-000017000000}"/>
    <cellStyle name="20% - Accent5 2" xfId="34" xr:uid="{00000000-0005-0000-0000-000018000000}"/>
    <cellStyle name="20% - Accent6 2" xfId="35" xr:uid="{00000000-0005-0000-0000-000019000000}"/>
    <cellStyle name="40% - Accent1 2" xfId="36" xr:uid="{00000000-0005-0000-0000-00001A000000}"/>
    <cellStyle name="40% - Accent2 2" xfId="37" xr:uid="{00000000-0005-0000-0000-00001B000000}"/>
    <cellStyle name="40% - Accent3 2" xfId="38" xr:uid="{00000000-0005-0000-0000-00001C000000}"/>
    <cellStyle name="40% - Accent4 2" xfId="39" xr:uid="{00000000-0005-0000-0000-00001D000000}"/>
    <cellStyle name="40% - Accent5 2" xfId="40" xr:uid="{00000000-0005-0000-0000-00001E000000}"/>
    <cellStyle name="40% - Accent6 2" xfId="41" xr:uid="{00000000-0005-0000-0000-00001F000000}"/>
    <cellStyle name="60% - Accent1 2" xfId="42" xr:uid="{00000000-0005-0000-0000-000020000000}"/>
    <cellStyle name="60% - Accent2 2" xfId="43" xr:uid="{00000000-0005-0000-0000-000021000000}"/>
    <cellStyle name="60% - Accent3 2" xfId="44" xr:uid="{00000000-0005-0000-0000-000022000000}"/>
    <cellStyle name="60% - Accent4 2" xfId="45" xr:uid="{00000000-0005-0000-0000-000023000000}"/>
    <cellStyle name="60% - Accent5 2" xfId="46" xr:uid="{00000000-0005-0000-0000-000024000000}"/>
    <cellStyle name="60% - Accent6 2" xfId="47" xr:uid="{00000000-0005-0000-0000-000025000000}"/>
    <cellStyle name="Accent1 - 20%" xfId="48" xr:uid="{00000000-0005-0000-0000-000026000000}"/>
    <cellStyle name="Accent1 - 40%" xfId="49" xr:uid="{00000000-0005-0000-0000-000027000000}"/>
    <cellStyle name="Accent1 - 60%" xfId="50" xr:uid="{00000000-0005-0000-0000-000028000000}"/>
    <cellStyle name="Accent1 2" xfId="51" xr:uid="{00000000-0005-0000-0000-000029000000}"/>
    <cellStyle name="Accent2 - 20%" xfId="52" xr:uid="{00000000-0005-0000-0000-00002A000000}"/>
    <cellStyle name="Accent2 - 40%" xfId="53" xr:uid="{00000000-0005-0000-0000-00002B000000}"/>
    <cellStyle name="Accent2 - 60%" xfId="54" xr:uid="{00000000-0005-0000-0000-00002C000000}"/>
    <cellStyle name="Accent2 2" xfId="55" xr:uid="{00000000-0005-0000-0000-00002D000000}"/>
    <cellStyle name="Accent3 - 20%" xfId="56" xr:uid="{00000000-0005-0000-0000-00002E000000}"/>
    <cellStyle name="Accent3 - 40%" xfId="57" xr:uid="{00000000-0005-0000-0000-00002F000000}"/>
    <cellStyle name="Accent3 - 60%" xfId="58" xr:uid="{00000000-0005-0000-0000-000030000000}"/>
    <cellStyle name="Accent3 2" xfId="59" xr:uid="{00000000-0005-0000-0000-000031000000}"/>
    <cellStyle name="Accent4 - 20%" xfId="60" xr:uid="{00000000-0005-0000-0000-000032000000}"/>
    <cellStyle name="Accent4 - 40%" xfId="61" xr:uid="{00000000-0005-0000-0000-000033000000}"/>
    <cellStyle name="Accent4 - 60%" xfId="62" xr:uid="{00000000-0005-0000-0000-000034000000}"/>
    <cellStyle name="Accent4 2" xfId="63" xr:uid="{00000000-0005-0000-0000-000035000000}"/>
    <cellStyle name="Accent5 - 20%" xfId="64" xr:uid="{00000000-0005-0000-0000-000036000000}"/>
    <cellStyle name="Accent5 - 40%" xfId="65" xr:uid="{00000000-0005-0000-0000-000037000000}"/>
    <cellStyle name="Accent5 - 60%" xfId="66" xr:uid="{00000000-0005-0000-0000-000038000000}"/>
    <cellStyle name="Accent5 2" xfId="67" xr:uid="{00000000-0005-0000-0000-000039000000}"/>
    <cellStyle name="Accent6 - 20%" xfId="68" xr:uid="{00000000-0005-0000-0000-00003A000000}"/>
    <cellStyle name="Accent6 - 40%" xfId="69" xr:uid="{00000000-0005-0000-0000-00003B000000}"/>
    <cellStyle name="Accent6 - 60%" xfId="70" xr:uid="{00000000-0005-0000-0000-00003C000000}"/>
    <cellStyle name="Accent6 2" xfId="71" xr:uid="{00000000-0005-0000-0000-00003D000000}"/>
    <cellStyle name="AeE­ [0]_´eCu≫cAa" xfId="72" xr:uid="{00000000-0005-0000-0000-00003E000000}"/>
    <cellStyle name="AeE­_´eCu≫cAa" xfId="73" xr:uid="{00000000-0005-0000-0000-00003F000000}"/>
    <cellStyle name="AÞ¸¶ [0]_´eCu≫cAa" xfId="74" xr:uid="{00000000-0005-0000-0000-000040000000}"/>
    <cellStyle name="AÞ¸¶_´eCu≫cAa" xfId="75" xr:uid="{00000000-0005-0000-0000-000041000000}"/>
    <cellStyle name="Bad 2" xfId="76" xr:uid="{00000000-0005-0000-0000-000042000000}"/>
    <cellStyle name="C￥AØ_´eCu≫cAa" xfId="77" xr:uid="{00000000-0005-0000-0000-000043000000}"/>
    <cellStyle name="Calculation 2" xfId="78" xr:uid="{00000000-0005-0000-0000-000044000000}"/>
    <cellStyle name="category" xfId="79" xr:uid="{00000000-0005-0000-0000-000045000000}"/>
    <cellStyle name="Check Cell 2" xfId="80" xr:uid="{00000000-0005-0000-0000-000046000000}"/>
    <cellStyle name="Comma" xfId="1" builtinId="3"/>
    <cellStyle name="Comma [0] 2" xfId="195" xr:uid="{00000000-0005-0000-0000-000048000000}"/>
    <cellStyle name="Comma 10" xfId="81" xr:uid="{00000000-0005-0000-0000-000049000000}"/>
    <cellStyle name="Comma 10 2" xfId="82" xr:uid="{00000000-0005-0000-0000-00004A000000}"/>
    <cellStyle name="Comma 11" xfId="83" xr:uid="{00000000-0005-0000-0000-00004B000000}"/>
    <cellStyle name="Comma 12" xfId="84" xr:uid="{00000000-0005-0000-0000-00004C000000}"/>
    <cellStyle name="Comma 13" xfId="212" xr:uid="{00000000-0005-0000-0000-00004D000000}"/>
    <cellStyle name="Comma 13 2" xfId="196" xr:uid="{00000000-0005-0000-0000-00004E000000}"/>
    <cellStyle name="Comma 14" xfId="197" xr:uid="{00000000-0005-0000-0000-00004F000000}"/>
    <cellStyle name="Comma 15" xfId="194" xr:uid="{00000000-0005-0000-0000-000050000000}"/>
    <cellStyle name="Comma 16" xfId="217" xr:uid="{00000000-0005-0000-0000-000051000000}"/>
    <cellStyle name="Comma 17" xfId="226" xr:uid="{00000000-0005-0000-0000-000052000000}"/>
    <cellStyle name="Comma 18" xfId="228" xr:uid="{00000000-0005-0000-0000-000053000000}"/>
    <cellStyle name="Comma 19" xfId="230" xr:uid="{00000000-0005-0000-0000-000054000000}"/>
    <cellStyle name="Comma 2" xfId="85" xr:uid="{00000000-0005-0000-0000-000055000000}"/>
    <cellStyle name="Comma 2 2" xfId="86" xr:uid="{00000000-0005-0000-0000-000056000000}"/>
    <cellStyle name="Comma 2 2 2" xfId="207" xr:uid="{00000000-0005-0000-0000-000057000000}"/>
    <cellStyle name="Comma 2 3" xfId="198" xr:uid="{00000000-0005-0000-0000-000058000000}"/>
    <cellStyle name="Comma 2 3 2" xfId="220" xr:uid="{00000000-0005-0000-0000-000059000000}"/>
    <cellStyle name="Comma 2 3 2 2" xfId="199" xr:uid="{00000000-0005-0000-0000-00005A000000}"/>
    <cellStyle name="Comma 2 4" xfId="208" xr:uid="{00000000-0005-0000-0000-00005B000000}"/>
    <cellStyle name="Comma 20" xfId="232" xr:uid="{00000000-0005-0000-0000-00005C000000}"/>
    <cellStyle name="Comma 3" xfId="87" xr:uid="{00000000-0005-0000-0000-00005D000000}"/>
    <cellStyle name="Comma 3 2 2" xfId="88" xr:uid="{00000000-0005-0000-0000-00005E000000}"/>
    <cellStyle name="Comma 4" xfId="89" xr:uid="{00000000-0005-0000-0000-00005F000000}"/>
    <cellStyle name="Comma 5" xfId="90" xr:uid="{00000000-0005-0000-0000-000060000000}"/>
    <cellStyle name="Comma 5 2" xfId="91" xr:uid="{00000000-0005-0000-0000-000061000000}"/>
    <cellStyle name="Comma 5 3" xfId="215" xr:uid="{00000000-0005-0000-0000-000062000000}"/>
    <cellStyle name="Comma 6" xfId="92" xr:uid="{00000000-0005-0000-0000-000063000000}"/>
    <cellStyle name="Comma 7" xfId="93" xr:uid="{00000000-0005-0000-0000-000064000000}"/>
    <cellStyle name="Comma 7 2" xfId="6" xr:uid="{00000000-0005-0000-0000-000065000000}"/>
    <cellStyle name="Comma 7 3" xfId="94" xr:uid="{00000000-0005-0000-0000-000066000000}"/>
    <cellStyle name="Comma 8" xfId="9" xr:uid="{00000000-0005-0000-0000-000067000000}"/>
    <cellStyle name="Comma 9" xfId="95" xr:uid="{00000000-0005-0000-0000-000068000000}"/>
    <cellStyle name="Comma0" xfId="96" xr:uid="{00000000-0005-0000-0000-000069000000}"/>
    <cellStyle name="Currency 2" xfId="97" xr:uid="{00000000-0005-0000-0000-00006A000000}"/>
    <cellStyle name="Currency 2 2" xfId="98" xr:uid="{00000000-0005-0000-0000-00006B000000}"/>
    <cellStyle name="Currency 3" xfId="99" xr:uid="{00000000-0005-0000-0000-00006C000000}"/>
    <cellStyle name="Currency 4" xfId="100" xr:uid="{00000000-0005-0000-0000-00006D000000}"/>
    <cellStyle name="Currency 5" xfId="101" xr:uid="{00000000-0005-0000-0000-00006E000000}"/>
    <cellStyle name="Currency0" xfId="102" xr:uid="{00000000-0005-0000-0000-00006F000000}"/>
    <cellStyle name="Date" xfId="103" xr:uid="{00000000-0005-0000-0000-000070000000}"/>
    <cellStyle name="Emphasis 1" xfId="104" xr:uid="{00000000-0005-0000-0000-000071000000}"/>
    <cellStyle name="Emphasis 2" xfId="105" xr:uid="{00000000-0005-0000-0000-000072000000}"/>
    <cellStyle name="Emphasis 3" xfId="106" xr:uid="{00000000-0005-0000-0000-000073000000}"/>
    <cellStyle name="Explanatory Text 2" xfId="107" xr:uid="{00000000-0005-0000-0000-000074000000}"/>
    <cellStyle name="Fixed" xfId="108" xr:uid="{00000000-0005-0000-0000-000075000000}"/>
    <cellStyle name="Good 2" xfId="109" xr:uid="{00000000-0005-0000-0000-000076000000}"/>
    <cellStyle name="Grey" xfId="110" xr:uid="{00000000-0005-0000-0000-000077000000}"/>
    <cellStyle name="HEADER" xfId="111" xr:uid="{00000000-0005-0000-0000-000078000000}"/>
    <cellStyle name="Header1" xfId="112" xr:uid="{00000000-0005-0000-0000-000079000000}"/>
    <cellStyle name="Header2" xfId="113" xr:uid="{00000000-0005-0000-0000-00007A000000}"/>
    <cellStyle name="Heading 1 2" xfId="114" xr:uid="{00000000-0005-0000-0000-00007B000000}"/>
    <cellStyle name="Heading 2 2" xfId="115" xr:uid="{00000000-0005-0000-0000-00007C000000}"/>
    <cellStyle name="Heading 3 2" xfId="116" xr:uid="{00000000-0005-0000-0000-00007D000000}"/>
    <cellStyle name="Heading 4 2" xfId="117" xr:uid="{00000000-0005-0000-0000-00007E000000}"/>
    <cellStyle name="headoption" xfId="118" xr:uid="{00000000-0005-0000-0000-00007F000000}"/>
    <cellStyle name="Hyperlink 2" xfId="119" xr:uid="{00000000-0005-0000-0000-000080000000}"/>
    <cellStyle name="Input [yellow]" xfId="120" xr:uid="{00000000-0005-0000-0000-000081000000}"/>
    <cellStyle name="Input 2" xfId="121" xr:uid="{00000000-0005-0000-0000-000082000000}"/>
    <cellStyle name="Input 3" xfId="122" xr:uid="{00000000-0005-0000-0000-000083000000}"/>
    <cellStyle name="Input 4" xfId="123" xr:uid="{00000000-0005-0000-0000-000084000000}"/>
    <cellStyle name="Jun" xfId="124" xr:uid="{00000000-0005-0000-0000-000085000000}"/>
    <cellStyle name="Ledger 17 x 11 in" xfId="2" xr:uid="{00000000-0005-0000-0000-000086000000}"/>
    <cellStyle name="Ledger 17 x 11 in 2" xfId="125" xr:uid="{00000000-0005-0000-0000-000087000000}"/>
    <cellStyle name="Ledger 17 x 11 in 2 2" xfId="126" xr:uid="{00000000-0005-0000-0000-000088000000}"/>
    <cellStyle name="Ledger 17 x 11 in 3" xfId="127" xr:uid="{00000000-0005-0000-0000-000089000000}"/>
    <cellStyle name="Ledger 17 x 11 in 4" xfId="128" xr:uid="{00000000-0005-0000-0000-00008A000000}"/>
    <cellStyle name="Ledger 17 x 11 in_1.KinhphiTKTC2107" xfId="129" xr:uid="{00000000-0005-0000-0000-00008B000000}"/>
    <cellStyle name="Linked Cell 2" xfId="130" xr:uid="{00000000-0005-0000-0000-00008C000000}"/>
    <cellStyle name="Model" xfId="131" xr:uid="{00000000-0005-0000-0000-00008D000000}"/>
    <cellStyle name="Neutral 2" xfId="132" xr:uid="{00000000-0005-0000-0000-00008E000000}"/>
    <cellStyle name="Normal" xfId="0" builtinId="0"/>
    <cellStyle name="Normal - Style1" xfId="133" xr:uid="{00000000-0005-0000-0000-000090000000}"/>
    <cellStyle name="Normal 10" xfId="191" xr:uid="{00000000-0005-0000-0000-000091000000}"/>
    <cellStyle name="Normal 10 2" xfId="200" xr:uid="{00000000-0005-0000-0000-000092000000}"/>
    <cellStyle name="Normal 10 2 2" xfId="219" xr:uid="{00000000-0005-0000-0000-000093000000}"/>
    <cellStyle name="Normal 10 2 2 2" xfId="236" xr:uid="{00000000-0005-0000-0000-000094000000}"/>
    <cellStyle name="Normal 10 3" xfId="214" xr:uid="{00000000-0005-0000-0000-000095000000}"/>
    <cellStyle name="Normal 11" xfId="205" xr:uid="{00000000-0005-0000-0000-000096000000}"/>
    <cellStyle name="Normal 11 2" xfId="213" xr:uid="{00000000-0005-0000-0000-000097000000}"/>
    <cellStyle name="Normal 12" xfId="210" xr:uid="{00000000-0005-0000-0000-000098000000}"/>
    <cellStyle name="Normal 12 2" xfId="216" xr:uid="{00000000-0005-0000-0000-000099000000}"/>
    <cellStyle name="Normal 12 2 2" xfId="223" xr:uid="{00000000-0005-0000-0000-00009A000000}"/>
    <cellStyle name="Normal 13" xfId="221" xr:uid="{00000000-0005-0000-0000-00009B000000}"/>
    <cellStyle name="Normal 14" xfId="224" xr:uid="{00000000-0005-0000-0000-00009C000000}"/>
    <cellStyle name="Normal 15" xfId="225" xr:uid="{00000000-0005-0000-0000-00009D000000}"/>
    <cellStyle name="Normal 16" xfId="134" xr:uid="{00000000-0005-0000-0000-00009E000000}"/>
    <cellStyle name="Normal 16 2" xfId="3" xr:uid="{00000000-0005-0000-0000-00009F000000}"/>
    <cellStyle name="Normal 16 2 2" xfId="234" xr:uid="{00000000-0005-0000-0000-0000A0000000}"/>
    <cellStyle name="Normal 16 2 2 3" xfId="233" xr:uid="{00000000-0005-0000-0000-0000A1000000}"/>
    <cellStyle name="Normal 17" xfId="227" xr:uid="{00000000-0005-0000-0000-0000A2000000}"/>
    <cellStyle name="Normal 18" xfId="229" xr:uid="{00000000-0005-0000-0000-0000A3000000}"/>
    <cellStyle name="Normal 19" xfId="201" xr:uid="{00000000-0005-0000-0000-0000A4000000}"/>
    <cellStyle name="Normal 2" xfId="4" xr:uid="{00000000-0005-0000-0000-0000A5000000}"/>
    <cellStyle name="Normal 2 10" xfId="222" xr:uid="{00000000-0005-0000-0000-0000A6000000}"/>
    <cellStyle name="Normal 2 2" xfId="135" xr:uid="{00000000-0005-0000-0000-0000A7000000}"/>
    <cellStyle name="Normal 2 2 2" xfId="206" xr:uid="{00000000-0005-0000-0000-0000A8000000}"/>
    <cellStyle name="Normal 2 2 2 2" xfId="237" xr:uid="{00000000-0005-0000-0000-0000A9000000}"/>
    <cellStyle name="Normal 2 2 3" xfId="202" xr:uid="{00000000-0005-0000-0000-0000AA000000}"/>
    <cellStyle name="Normal 2 3" xfId="192" xr:uid="{00000000-0005-0000-0000-0000AB000000}"/>
    <cellStyle name="Normal 2 4" xfId="235" xr:uid="{00000000-0005-0000-0000-0000AC000000}"/>
    <cellStyle name="Normal 2 5" xfId="193" xr:uid="{00000000-0005-0000-0000-0000AD000000}"/>
    <cellStyle name="Normal 20" xfId="231" xr:uid="{00000000-0005-0000-0000-0000AE000000}"/>
    <cellStyle name="Normal 3" xfId="7" xr:uid="{00000000-0005-0000-0000-0000AF000000}"/>
    <cellStyle name="Normal 3 2" xfId="203" xr:uid="{00000000-0005-0000-0000-0000B0000000}"/>
    <cellStyle name="Normal 4" xfId="136" xr:uid="{00000000-0005-0000-0000-0000B1000000}"/>
    <cellStyle name="Normal 4 2" xfId="209" xr:uid="{00000000-0005-0000-0000-0000B2000000}"/>
    <cellStyle name="Normal 5" xfId="137" xr:uid="{00000000-0005-0000-0000-0000B3000000}"/>
    <cellStyle name="Normal 5 2" xfId="5" xr:uid="{00000000-0005-0000-0000-0000B4000000}"/>
    <cellStyle name="Normal 5_2.DT_PCGD(2.9)" xfId="8" xr:uid="{00000000-0005-0000-0000-0000B5000000}"/>
    <cellStyle name="Normal 6" xfId="138" xr:uid="{00000000-0005-0000-0000-0000B6000000}"/>
    <cellStyle name="Normal 7" xfId="139" xr:uid="{00000000-0005-0000-0000-0000B7000000}"/>
    <cellStyle name="Normal 77" xfId="218" xr:uid="{00000000-0005-0000-0000-0000B8000000}"/>
    <cellStyle name="Normal 8" xfId="140" xr:uid="{00000000-0005-0000-0000-0000B9000000}"/>
    <cellStyle name="Normal 8 2" xfId="141" xr:uid="{00000000-0005-0000-0000-0000BA000000}"/>
    <cellStyle name="Normal 9" xfId="142" xr:uid="{00000000-0005-0000-0000-0000BB000000}"/>
    <cellStyle name="Normal 9 2" xfId="211" xr:uid="{00000000-0005-0000-0000-0000BC000000}"/>
    <cellStyle name="Note 2" xfId="143" xr:uid="{00000000-0005-0000-0000-0000BE000000}"/>
    <cellStyle name="Output 2" xfId="144" xr:uid="{00000000-0005-0000-0000-0000BF000000}"/>
    <cellStyle name="Percent [2]" xfId="145" xr:uid="{00000000-0005-0000-0000-0000C0000000}"/>
    <cellStyle name="Percent 2" xfId="146" xr:uid="{00000000-0005-0000-0000-0000C1000000}"/>
    <cellStyle name="Percent 3" xfId="147" xr:uid="{00000000-0005-0000-0000-0000C2000000}"/>
    <cellStyle name="Percent 4" xfId="148" xr:uid="{00000000-0005-0000-0000-0000C3000000}"/>
    <cellStyle name="Percent 5" xfId="149" xr:uid="{00000000-0005-0000-0000-0000C4000000}"/>
    <cellStyle name="Sheet Title" xfId="150" xr:uid="{00000000-0005-0000-0000-0000C5000000}"/>
    <cellStyle name="Style 1" xfId="151" xr:uid="{00000000-0005-0000-0000-0000C6000000}"/>
    <cellStyle name="Style 1 2" xfId="152" xr:uid="{00000000-0005-0000-0000-0000C7000000}"/>
    <cellStyle name="Style 1 3" xfId="153" xr:uid="{00000000-0005-0000-0000-0000C8000000}"/>
    <cellStyle name="Style 1_2.DT_PCGD(5.7)" xfId="154" xr:uid="{00000000-0005-0000-0000-0000C9000000}"/>
    <cellStyle name="Style 2" xfId="204" xr:uid="{00000000-0005-0000-0000-0000CA000000}"/>
    <cellStyle name="subhead" xfId="155" xr:uid="{00000000-0005-0000-0000-0000CB000000}"/>
    <cellStyle name="SubTotal1Text" xfId="156" xr:uid="{00000000-0005-0000-0000-0000CC000000}"/>
    <cellStyle name="þ_x001d_ð'&amp;Oy?Hy9_x0008__x000f__x0007_æ_x0007__x0007__x0001__x0001_" xfId="157" xr:uid="{00000000-0005-0000-0000-0000CD000000}"/>
    <cellStyle name="Title 2" xfId="158" xr:uid="{00000000-0005-0000-0000-0000CE000000}"/>
    <cellStyle name="Total 2" xfId="159" xr:uid="{00000000-0005-0000-0000-0000CF000000}"/>
    <cellStyle name="vnbo" xfId="160" xr:uid="{00000000-0005-0000-0000-0000D0000000}"/>
    <cellStyle name="vnhead1" xfId="161" xr:uid="{00000000-0005-0000-0000-0000D1000000}"/>
    <cellStyle name="vnhead2" xfId="162" xr:uid="{00000000-0005-0000-0000-0000D2000000}"/>
    <cellStyle name="vnhead3" xfId="163" xr:uid="{00000000-0005-0000-0000-0000D3000000}"/>
    <cellStyle name="vnhead3 2" xfId="164" xr:uid="{00000000-0005-0000-0000-0000D4000000}"/>
    <cellStyle name="vnhead3 3" xfId="165" xr:uid="{00000000-0005-0000-0000-0000D5000000}"/>
    <cellStyle name="vnhead3_Template PL_2009_R3" xfId="166" xr:uid="{00000000-0005-0000-0000-0000D6000000}"/>
    <cellStyle name="vnhead4" xfId="167" xr:uid="{00000000-0005-0000-0000-0000D7000000}"/>
    <cellStyle name="vntxt1" xfId="168" xr:uid="{00000000-0005-0000-0000-0000D8000000}"/>
    <cellStyle name="vntxt2" xfId="169" xr:uid="{00000000-0005-0000-0000-0000D9000000}"/>
    <cellStyle name="Warning Text 2" xfId="170" xr:uid="{00000000-0005-0000-0000-0000DA000000}"/>
    <cellStyle name="뒤에 오는 하이퍼링크_ZEUS Master Spec V 1.1" xfId="171" xr:uid="{00000000-0005-0000-0000-0000DB000000}"/>
    <cellStyle name="똿뗦먛귟 [0.00]_PRODUCT DETAIL Q1" xfId="172" xr:uid="{00000000-0005-0000-0000-0000DC000000}"/>
    <cellStyle name="똿뗦먛귟_PRODUCT DETAIL Q1" xfId="173" xr:uid="{00000000-0005-0000-0000-0000DD000000}"/>
    <cellStyle name="믅됞 [0.00]_PRODUCT DETAIL Q1" xfId="174" xr:uid="{00000000-0005-0000-0000-0000DE000000}"/>
    <cellStyle name="믅됞_PRODUCT DETAIL Q1" xfId="175" xr:uid="{00000000-0005-0000-0000-0000DF000000}"/>
    <cellStyle name="백분율_95" xfId="176" xr:uid="{00000000-0005-0000-0000-0000E0000000}"/>
    <cellStyle name="뷭?_BOOKSHIP" xfId="177" xr:uid="{00000000-0005-0000-0000-0000E1000000}"/>
    <cellStyle name="스타일 1" xfId="178" xr:uid="{00000000-0005-0000-0000-0000E2000000}"/>
    <cellStyle name="콤마 [0]_  종  합  " xfId="179" xr:uid="{00000000-0005-0000-0000-0000E3000000}"/>
    <cellStyle name="콤마_  종  합  " xfId="180" xr:uid="{00000000-0005-0000-0000-0000E4000000}"/>
    <cellStyle name="통화 [0]_1202" xfId="181" xr:uid="{00000000-0005-0000-0000-0000E5000000}"/>
    <cellStyle name="통화_1202" xfId="182" xr:uid="{00000000-0005-0000-0000-0000E6000000}"/>
    <cellStyle name="표준_(정보부문)월별인원계획" xfId="183" xr:uid="{00000000-0005-0000-0000-0000E7000000}"/>
    <cellStyle name="一般_Book1" xfId="184" xr:uid="{00000000-0005-0000-0000-0000E8000000}"/>
    <cellStyle name="千分位[0]_Book1" xfId="185" xr:uid="{00000000-0005-0000-0000-0000E9000000}"/>
    <cellStyle name="千分位_Book1" xfId="186" xr:uid="{00000000-0005-0000-0000-0000EA000000}"/>
    <cellStyle name="常规_河北联通165三期-2 20030127" xfId="187" xr:uid="{00000000-0005-0000-0000-0000EB000000}"/>
    <cellStyle name="標準_Akia(F）-8" xfId="188" xr:uid="{00000000-0005-0000-0000-0000EC000000}"/>
    <cellStyle name="貨幣 [0]_Book1" xfId="189" xr:uid="{00000000-0005-0000-0000-0000ED000000}"/>
    <cellStyle name="貨幣_Book1" xfId="190" xr:uid="{00000000-0005-0000-0000-0000EE00000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sitechnology-my.sharepoint.com/D:/192.168.9.11/isacom/Hung/BAOHANH/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rojects\T2B_TCT\WIP\Contract\BCKT_2016T5\C\K\Documents%20and%20Settings\PKH\Desktop\HUONG\KKTHUE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Projects\T2B_TCT\WIP\Contract\BCKT_2016T5\C\K\Documents%20and%20Settings\PKH\Desktop\TTCP-L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HUONG/KKTHUE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TTCP-L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Projects\T2B_TCT\WIP\Contract\BCKT_2016T5\C\K\ShareDoc\DOCUMENT\DAUTHAU\Dungquat\GOI3\DUNGQUAT-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fsitechnology-my.sharepoint.com/D:/A:/Phuong1/DOCUMENT/DAUTHAU/Dungquat/GOI3/DUNGQUAT-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fsitechnology-my.sharepoint.com/E176B66F/BC%20TKKT%20TDT%20"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091C860\Du%20toan%20TKTCTDT%20P-MOIT%20draft%2013-4-20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sitechnology-my.sharepoint.com/D:/D:/Working/DA%20V26/V26%20Final%20ngay%20021006/DutoanKP-V26-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Projects\T2B_TCT\WIP\Contract\BCKT_2016T5\C\Volumes\Data\Working\9.%20ST\Hop%20Dong\Hop%20dong%20012014-ETS\V13\INSU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fsitechnology-my.sharepoint.com/D:/Lich/bao%20gia/Nam%202002/Bao%20gia/Bao%20gia/BAOGIA/Kd_Bgc/10-2K1_bgc_ndducV1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fsitechnology-my.sharepoint.com/D:/D:/Program%20Files/pc_conf/Templates/offer.xlt"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fsitechnology-my.sharepoint.com/F:/Users/admin/Downloads/DuPMtoan%20du%20an_DienLu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Projects\T2B_TCT\WIP\Contract\BCKT_2016T5\C\Volumes\Data\Working\9.%20ST\Hop%20Dong\Hop%20dong%20012014-ETS\V13\PIPE-03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Projects\T2B_TCT\WIP\Contract\BCKT_2016T5\C\K\ShareDoc\Dung%20Quat\Goi3\PNT-P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1AB18CA7\Du%20toan%20TKTCTDT%20P-MOIT%20draft%2013-4-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fsitechnology-my.sharepoint.com/D:/D:/Working/DA%20V26/V26%20Final%20ngay%20021006/DutoanKP-V26-V1-GD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Projects\T2B_TCT\WIP\Contract\BCKT_2016T5\C\K\ShareDoc\Dung%20Quat\Nhom%20GC\New%20Folder\My%20Documents\3533\96Q\96q2588\PAN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fsitechnology-my.sharepoint.com/D:/D:/Users/Admin/AppData/Local/Temp/Rar$DI00.403/Dutoan_So%20GTVT%20Ha%20Noi_05%20201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fsitechnology-my.sharepoint.com/D:/Duy/d/HAIPHONG/TRUSO/CHINHLY/CTCLCH~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Projects\T2B_TCT\WIP\Contract\BCKT_2016T5\C\K\ShareDoc\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fsitechnology-my.sharepoint.com/D:/svpdc/vss/Documents/Van%20ban%20phap%20quy/Mau%20du%20toan%20xay%20dung.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M%2067"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Tung/Dang-lam/Qtrung-Caicui/TKKT/Khoiluong_TKKT(new).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owner/Desktop/D&#7921;%20to&#225;n%20chi%20ti&#7871;t%20th&#7849;m%20tra%20HN-H&#272;%20Cty%20TVD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fsitechnology-my.sharepoint.com/D:/192.168.9.11/isacom/Hung/BAOHANH/WINDOWS/TEMP/IBASE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fsitechnology-my.sharepoint.com/D:/A:/Phuong1/CS3408/Standard/RP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fsitechnology-my.sharepoint.com/D:/192.168.131.77/htht/temp/Working/MPS-Other%20Prjs/V26/BC%20NCKT/KP_TTDT%20V0.23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fsitechnology-my.sharepoint.com/D:/Svpdc/VSS/temp/Du%20Toan%20Kinh%20Phi%20tp%20Vinh%20gui.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06D68E9C\TKKT-TDT-cap%20DKKD-So%20KH&amp;DT-v1_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91B1CEBC\TKKT-TDT-cap%20DKKD-So%20KH&amp;DT-v1_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fsitechnology-my.sharepoint.com/D:/A:/My%20Document/Takhoa/TAKHOA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fsitechnology-my.sharepoint.com/D:/192.168.131.77/htht/temp/sst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fsitechnology-my.sharepoint.com/D:/server/luu%20file/DOCUME~1/ngzupt/LOCALS~1/Temp/unicod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fsitechnology-my.sharepoint.com/D:/D:/Cong%20viec/Dropbox/Ban%20Do%20So/Copy%20of%20Du%20toan%20phi%20chuan%20bi%20dau%20tu%20So%20GTVTHN%20gui%20phe%20duyet%20v1.4%2013-10-2012%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192.168.50.1:2000/DOCUME~1/pqminh/LOCALS~1/Temp/Du%20tru%20kinh%20phi%20v4.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O REV.2(ARMOR)"/>
    </sheetNames>
    <sheetDataSet>
      <sheetData sheetId="0"/>
      <sheetData sheetId="1"/>
      <sheetData sheetId="2"/>
      <sheetData sheetId="3"/>
      <sheetData sheetId="4"/>
      <sheetData sheetId="5"/>
      <sheetData sheetId="6"/>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L__INTER"/>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1"/>
      <sheetName val="Bia"/>
      <sheetName val="Mucluc"/>
      <sheetName val="Tong hopKP"/>
      <sheetName val="TongHop theo Don vi &amp; Giai doan"/>
      <sheetName val="TS Cau hinh-GD1"/>
      <sheetName val="Cauhinh_Dongiachuan"/>
      <sheetName val="Tong hopKP-GD1"/>
      <sheetName val="Thietbi-GD1"/>
      <sheetName val="PPM Hethong-GD1"/>
      <sheetName val="PM Ung dung-GD1"/>
      <sheetName val="TrKhai-GD1"/>
      <sheetName val="CongngheDacthu-GD1"/>
      <sheetName val="TS CauhinhWAN"/>
      <sheetName val="Don gia PM112"/>
      <sheetName val="CPKhac"/>
      <sheetName val="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0"/>
      <sheetName val="RFP003E"/>
      <sheetName val="TOTAL"/>
      <sheetName val="Pivot(Silicate)"/>
      <sheetName val="Pivot(RockWool)"/>
      <sheetName val="Pivot(Form Glass)"/>
      <sheetName val="Pivot(Urethan)"/>
      <sheetName val="Pivot(Glass Wool)"/>
      <sheetName val="ROCK WOOL"/>
      <sheetName val="SILICATE"/>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Q1-02"/>
      <sheetName val="Q2-02"/>
      <sheetName val="Q3-02"/>
      <sheetName val="Outlets"/>
      <sheetName val="PGs"/>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C45"/>
      <sheetName val="C47A"/>
      <sheetName val="C47B"/>
      <sheetName val="C46"/>
      <sheetName val="DsachYT"/>
      <sheetName val="00"/>
      <sheetName val="Bhxhoi"/>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H QT"/>
      <sheetName val="KE QT"/>
      <sheetName val="T6"/>
      <sheetName val="Mau"/>
      <sheetName val="KH LDTL"/>
      <sheetName val="SILICAT_x0003_"/>
      <sheetName val="XL4Test5"/>
      <sheetName val="LUONG CHO HUU"/>
      <sheetName val="thu BHXH,YT"/>
      <sheetName val="Phan bo"/>
      <sheetName val="MTL$-INTER"/>
      <sheetName val="1-12"/>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P-KH"/>
      <sheetName val="Xuatkho"/>
      <sheetName val="PT"/>
      <sheetName val="Pivot(Silica|e)"/>
      <sheetName val="Summary"/>
      <sheetName val="Design &amp; Applications"/>
      <sheetName val="Building Summary"/>
      <sheetName val="Building"/>
      <sheetName val="External Works"/>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BLDG"/>
      <sheetName val="Macro1"/>
      <sheetName val="Macro2"/>
      <sheetName val="Macro3"/>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Chiet tinh dz22"/>
      <sheetName val="Pivot(RckWool)"/>
      <sheetName val="gvl"/>
      <sheetName val="???????-BLDG"/>
      <sheetName val="Pi6ot(Urethan)"/>
      <sheetName val="S¶_x001d_et2"/>
      <sheetName val="ROCK WO_x0003__x0000_"/>
      <sheetName val="vi_du_n"/>
      <sheetName val="vi_du"/>
      <sheetName val="Bieu 2"/>
      <sheetName val="biªu 3"/>
      <sheetName val="bieu1 CTy"/>
      <sheetName val="b2 cty"/>
      <sheetName val="b 3 cty"/>
      <sheetName val="bieu 7"/>
      <sheetName val="bieu 9"/>
      <sheetName val="b14"/>
      <sheetName val="Sheet12"/>
      <sheetName val="Q2-00"/>
      <sheetName val="TH VL, NC, DDHT Thanhphuoc"/>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뜃맟뭁돽띿맟?-BLDG"/>
      <sheetName val="CAT_5"/>
      <sheetName val="현장관리비"/>
      <sheetName val="실행내역"/>
      <sheetName val="#REF"/>
      <sheetName val="적용환율"/>
      <sheetName val="合成単価作成表-BLDG"/>
      <sheetName val="DU TRU LUONG 06 TH@NG"/>
      <sheetName val="AN CA DH 10"/>
      <sheetName val="TAM UNG LNC TH 08"/>
      <sheetName val="Leong thoi gian th 10"/>
      <sheetName val="Luong thoa gian th 11"/>
      <sheetName val="at lns th 10"/>
      <sheetName val="tam ung DNS th 11"/>
      <sheetName val="XL4Test4"/>
      <sheetName val="NEW-PANEL"/>
      <sheetName val="TH T19"/>
      <sheetName val="_x0000__x0000__x0000__x0000__x0000__x0000_"/>
      <sheetName val="Sheev6"/>
      <sheetName val="Nhap fon gia VL dia phuong"/>
      <sheetName val="Dieu chinh"/>
      <sheetName val="So -03"/>
      <sheetName val="SoLD"/>
      <sheetName val="So-02"/>
      <sheetName val="Luong moÿÿngay cong khao sat"/>
      <sheetName val="INSUL"/>
      <sheetName val="PACK"/>
      <sheetName val="INV"/>
      <sheetName val="TK-XUAT"/>
      <sheetName val="TK-NHAP"/>
      <sheetName val="DT 1"/>
      <sheetName val="DT 2"/>
      <sheetName val="DT 3"/>
      <sheetName val="DM"/>
      <sheetName val="SP"/>
      <sheetName val="NPL"/>
      <sheetName val="N"/>
      <sheetName val="X"/>
      <sheetName val="Piwot(Silicate)"/>
      <sheetName val="thong tin cty"/>
      <sheetName val="TK-in"/>
      <sheetName val="TKTH"/>
      <sheetName val="BR"/>
      <sheetName val="MV"/>
      <sheetName val="mvtt"/>
      <sheetName val="HDKT"/>
      <sheetName val="Linh tinh"/>
      <sheetName val="nk"/>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refreshError="1"/>
      <sheetData sheetId="326"/>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G "/>
      <sheetName val="OLYMPIA"/>
      <sheetName val="X_MEDIA"/>
      <sheetName val="POWERCOM"/>
      <sheetName val="LEADER"/>
      <sheetName val="SOLOMON"/>
      <sheetName val="DATA"/>
      <sheetName val="PROJECT"/>
      <sheetName val="SPUTNIK"/>
      <sheetName val="tra-vat-lieu"/>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chiet tinh"/>
      <sheetName val="MList"/>
      <sheetName val="Trinh BC"/>
      <sheetName val="DK"/>
      <sheetName val="Luu"/>
      <sheetName val="Tra"/>
      <sheetName val="To phu"/>
      <sheetName val="Data-PT"/>
      <sheetName val="Nhan"/>
      <sheetName val="New"/>
      <sheetName val="Ma linh kien"/>
      <sheetName val="Nhan (2)"/>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 val="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ongHopThietBi"/>
      <sheetName val="TuVanKhaoSatLapBCNCKT"/>
      <sheetName val="Thiet bi"/>
      <sheetName val="Licence"/>
      <sheetName val="Daotao"/>
      <sheetName val="Nhap du lieu"/>
      <sheetName val="DVC 3"/>
      <sheetName val="CPTK-pm"/>
      <sheetName val="DVC-CDTHSD"/>
      <sheetName val="DVC-USECASE"/>
      <sheetName val="Actor"/>
      <sheetName val="DUSECASE"/>
      <sheetName val="TFW"/>
      <sheetName val="EFW"/>
      <sheetName val="Luong"/>
      <sheetName val="Tong Chi phi phan mem"/>
      <sheetName val="Sheet5"/>
      <sheetName val="Sheet1"/>
      <sheetName val="Tien d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ICATE"/>
      <sheetName val="PIPE-03E"/>
      <sheetName val="Sheet1"/>
      <sheetName val="Sheet2"/>
      <sheetName val="Sheet3"/>
      <sheetName val="XL4Poppy"/>
      <sheetName val="MD"/>
      <sheetName val="ND"/>
      <sheetName val="CONG"/>
      <sheetName val="DGCT"/>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i tiet - Dv lap"/>
      <sheetName val="TH KHTC"/>
      <sheetName val="000"/>
      <sheetName val="00000000"/>
      <sheetName val="Dong Dau"/>
      <sheetName val="Dong Dau (2)"/>
      <sheetName val="Sau dong"/>
      <sheetName val="Ma xa"/>
      <sheetName val="My dinh"/>
      <sheetName val="Tong cong"/>
      <sheetName val="VL"/>
      <sheetName val="CTXD"/>
      <sheetName val=".."/>
      <sheetName val="CTDN"/>
      <sheetName val="san vuon"/>
      <sheetName val="khu phu tro"/>
      <sheetName val="TH"/>
      <sheetName val="BC_KKTSCD"/>
      <sheetName val="Chitiet"/>
      <sheetName val="Sheet2 (2)"/>
      <sheetName val="Mau_BC_KKTSCD"/>
      <sheetName val="KH 2003 (moi max)"/>
      <sheetName val="Chart2"/>
      <sheetName val="Chart1"/>
      <sheetName val="Phu luc"/>
      <sheetName val="Gia trÞ"/>
      <sheetName val="XXXXXXXX"/>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Interim payment"/>
      <sheetName val="Letter"/>
      <sheetName val="Bid Sum"/>
      <sheetName val="Item B"/>
      <sheetName val="Dg A"/>
      <sheetName val="Dg B&amp;C"/>
      <sheetName val="Rates&amp;Prices"/>
      <sheetName val="Material at site"/>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Gia VL"/>
      <sheetName val="Bang gia ca may"/>
      <sheetName val="Bang luong CB"/>
      <sheetName val="Bang P.tich CT"/>
      <sheetName val="D.toan chi tiet"/>
      <sheetName val="Bang TH Dtoan"/>
      <sheetName val="1"/>
      <sheetName val="be tong"/>
      <sheetName val="Thep"/>
      <sheetName val="Tong hop thep"/>
      <sheetName val="KH12"/>
      <sheetName val="CN12"/>
      <sheetName val="HD12"/>
      <sheetName val="KH1"/>
      <sheetName val="Thuyet minh"/>
      <sheetName val="CQ-HQ"/>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dutoan1"/>
      <sheetName val="Anhtoan"/>
      <sheetName val="dutoan2"/>
      <sheetName val="vat tu"/>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Tonghop"/>
      <sheetName val="TM"/>
      <sheetName val="Bia"/>
      <sheetName val="BU-gian"/>
      <sheetName val="Bu-Ha"/>
      <sheetName val="PTVT"/>
      <sheetName val="Gia DAN"/>
      <sheetName val="Dan"/>
      <sheetName val="Cuoc"/>
      <sheetName val="Bugia"/>
      <sheetName val="KL57"/>
      <sheetName val="CHIT"/>
      <sheetName val="THXH"/>
      <sheetName val="BHXH"/>
      <sheetName val="PTCT"/>
      <sheetName val="CDghino"/>
      <sheetName val="TH (T1-6)"/>
      <sheetName val="ThueTB"/>
      <sheetName val="SCD5"/>
      <sheetName val=" NL"/>
      <sheetName val="CPVL-CPM"/>
      <sheetName val="PTVL"/>
      <sheetName val="CD1"/>
      <sheetName val=" NL (2)"/>
      <sheetName val="CDTHCT"/>
      <sheetName val="CDTHCT (3)"/>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T1(T1)04"/>
      <sheetName val="DTHH"/>
      <sheetName val="Bang1"/>
      <sheetName val="TAI TRONG"/>
      <sheetName val="NOI LUC"/>
      <sheetName val="TINH DUYET THTT CHINH"/>
      <sheetName val="TDUYET THTT PHU"/>
      <sheetName val="TINH DAO DONG VA DO VONG"/>
      <sheetName val="TINH NEO"/>
      <sheetName val="Quang Tri"/>
      <sheetName val="TTHue"/>
      <sheetName val="Da Nang"/>
      <sheetName val="Quang Nam"/>
      <sheetName val="Quang Ngai"/>
      <sheetName val="TH DH-QN"/>
      <sheetName val="KP HD"/>
      <sheetName val="DB HD"/>
      <sheetName val="TSCD"/>
      <sheetName val="C.TIEU"/>
      <sheetName val="CPNLTT"/>
      <sheetName val="T.Luong"/>
      <sheetName val="CPSX"/>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aodo"/>
      <sheetName val="Dat"/>
      <sheetName val="KL-CTTK"/>
      <sheetName val="BTH"/>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KM"/>
      <sheetName val="KHOANMUC"/>
      <sheetName val="CPQL"/>
      <sheetName val="SANLUONG"/>
      <sheetName val="SSCP-SL"/>
      <sheetName val="KQKD"/>
      <sheetName val="CDSL (2)"/>
      <sheetName val="CT xa"/>
      <sheetName val="TLGC"/>
      <sheetName val="BL"/>
      <sheetName val="Q1-02"/>
      <sheetName val="Q2-02"/>
      <sheetName val="Q3-02"/>
      <sheetName val="sent to"/>
      <sheetName val="Quyet toan"/>
      <sheetName val="Thu hoi"/>
      <sheetName val="Lai vay"/>
      <sheetName val="Tien vay"/>
      <sheetName val="Cong no"/>
      <sheetName val="Cop pha"/>
      <sheetName val="20000000"/>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cong Q2"/>
      <sheetName val="T.U luong Q1"/>
      <sheetName val="T.U luong Q2"/>
      <sheetName val="T.U luong Q3"/>
      <sheetName val="CDTHU CHI T1"/>
      <sheetName val="THUCHI 2"/>
      <sheetName val="THU CHI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Cau hinh-GD2"/>
      <sheetName val="Tong hopKP-GD2"/>
      <sheetName val="Thietbi-GD2"/>
      <sheetName val="PPM Hethong-GD2"/>
      <sheetName val="PM Ung dung-GD2"/>
      <sheetName val="TrKhai-GD2"/>
      <sheetName val="CongngheDacthu-GD2"/>
    </sheetNames>
    <sheetDataSet>
      <sheetData sheetId="0"/>
      <sheetData sheetId="1">
        <row r="2">
          <cell r="D2">
            <v>16050</v>
          </cell>
        </row>
      </sheetData>
      <sheetData sheetId="2"/>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PANEL"/>
      <sheetName val="\ShareDoc\Dung Quat\Nhom GC\New"/>
      <sheetName val="PANEL.XLS"/>
      <sheetName val="\K\ShareDoc\Dung Quat\Nhom GC\N"/>
    </sheetNames>
    <definedNames>
      <definedName name="DataFilter"/>
      <definedName name="DataSort"/>
      <definedName name="GoBack" sheetId="0"/>
    </defined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hinh"/>
      <sheetName val="Bia1"/>
      <sheetName val="B1 TDT_DA"/>
      <sheetName val="B2 Thiet bi &amp; PM He thong"/>
      <sheetName val="B3 Xay dung PM"/>
      <sheetName val="B4 Ha Tang phuc vu"/>
      <sheetName val="B5 Duongtruyen"/>
      <sheetName val="B6 CĐDL"/>
      <sheetName val="B7 Trien khai"/>
      <sheetName val="B8 Chiphituvan HN"/>
    </sheetNames>
    <sheetDataSet>
      <sheetData sheetId="0">
        <row r="2">
          <cell r="C2">
            <v>2</v>
          </cell>
        </row>
      </sheetData>
      <sheetData sheetId="1" refreshError="1"/>
      <sheetData sheetId="2" refreshError="1"/>
      <sheetData sheetId="3"/>
      <sheetData sheetId="4"/>
      <sheetData sheetId="5"/>
      <sheetData sheetId="6"/>
      <sheetData sheetId="7">
        <row r="23">
          <cell r="I23">
            <v>1600</v>
          </cell>
        </row>
      </sheetData>
      <sheetData sheetId="8"/>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 AM DT"/>
      <sheetName val="C,PHI"/>
      <sheetName val="catnen"/>
    </sheet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IBASE"/>
      <sheetName val="NEW-PANEL"/>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hoi luong"/>
      <sheetName val="Bang phan tich"/>
      <sheetName val="TH vat tu"/>
      <sheetName val="Bang tinh gia VL"/>
      <sheetName val="TH Kinh phi"/>
      <sheetName val="TH thiet bi"/>
      <sheetName val="TH may TC"/>
      <sheetName val="TH Nhan cong"/>
      <sheetName val="DM Chi phi"/>
    </sheetNames>
    <sheetDataSet>
      <sheetData sheetId="0"/>
      <sheetData sheetId="1"/>
      <sheetData sheetId="2"/>
      <sheetData sheetId="3"/>
      <sheetData sheetId="4">
        <row r="42">
          <cell r="G42">
            <v>0</v>
          </cell>
        </row>
      </sheetData>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67"/>
      <sheetName val="XL4Poppy"/>
      <sheetName val="T.GIANG"/>
      <sheetName val="TTDZ22"/>
      <sheetName val="THCT"/>
      <sheetName val="THDZ0,4"/>
      <sheetName val="TH DZ35"/>
      <sheetName val="THTram"/>
      <sheetName val="DG vat tu"/>
      <sheetName val="Chung"/>
      <sheetName val="Sheet1"/>
      <sheetName val="HG"/>
      <sheetName val="Weather"/>
      <sheetName val="Nghỉ lễ"/>
      <sheetName val="Sheet2"/>
      <sheetName val="6호기"/>
      <sheetName val="NHAP DU LIEU"/>
      <sheetName val="UP"/>
      <sheetName val="T.So_chung"/>
      <sheetName val="INDOICHIEU"/>
      <sheetName val="149-2"/>
      <sheetName val="HE SO"/>
      <sheetName val="Main"/>
      <sheetName val="khung ten TD"/>
      <sheetName val="ChiTietDZ"/>
      <sheetName val="VuaBT"/>
      <sheetName val="#REF"/>
      <sheetName val="ESTI."/>
      <sheetName val="DI-ES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 hoach nhan su_17-9-2007"/>
      <sheetName val="tonghop"/>
      <sheetName val="Nhâncông"/>
      <sheetName val="maytinh"/>
      <sheetName val="Luongtoithieu"/>
      <sheetName val="Sheet1"/>
      <sheetName val="00000000"/>
      <sheetName val="00000001"/>
      <sheetName val="xxxxxxxx"/>
      <sheetName val="10000000"/>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ESTI_"/>
      <sheetName val="DI_ESTI"/>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o doi thay doi phien ban"/>
      <sheetName val="Notes"/>
      <sheetName val="Price_Prf"/>
      <sheetName val="ConfigDetail"/>
      <sheetName val="CauHinhTongThe"/>
      <sheetName val="CAQuanHuyen"/>
      <sheetName val="CATinh"/>
      <sheetName val="V26"/>
      <sheetName val="C16"/>
      <sheetName val="C27"/>
      <sheetName val="Tonghop theo Phan he"/>
      <sheetName val="Tham so"/>
      <sheetName val="KP Dao tao"/>
      <sheetName val="Kinh phi Tong hop"/>
      <sheetName val="TH theo hang muc"/>
      <sheetName val="PM Ung dung"/>
      <sheetName val="Ora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pLy"/>
      <sheetName val="TongHop"/>
      <sheetName val="ThietBi"/>
      <sheetName val="XayDungMang"/>
      <sheetName val="KinhPhiXayDungMang"/>
      <sheetName val="DaoTao"/>
      <sheetName val="QLDuAn"/>
    </sheetNames>
    <sheetDataSet>
      <sheetData sheetId="0"/>
      <sheetData sheetId="1"/>
      <sheetData sheetId="2" refreshError="1">
        <row r="26">
          <cell r="J26">
            <v>434182000</v>
          </cell>
        </row>
      </sheetData>
      <sheetData sheetId="3"/>
      <sheetData sheetId="4"/>
      <sheetData sheetId="5"/>
      <sheetData sheetId="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TDT kinh phi"/>
      <sheetName val="2. Cai dat-tich hop"/>
      <sheetName val="3.T-bi tin hoc"/>
      <sheetName val="4.Dieu tra-KS"/>
      <sheetName val="5.PM sx"/>
      <sheetName val="6.Chi phi khac"/>
      <sheetName val="7.Dao tao"/>
      <sheetName val="8.Trien khai ung dung"/>
      <sheetName val="9.Nhap DL"/>
      <sheetName val="10.Bao tri"/>
      <sheetName val="11.Tong du toan sau tham"/>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TDT kinh phi"/>
      <sheetName val="2. Cai dat-tich hop"/>
      <sheetName val="3.T-bi tin hoc"/>
      <sheetName val="4.Dieu tra-KS"/>
      <sheetName val="5.PM sx"/>
      <sheetName val="6.Chi phi khac"/>
      <sheetName val="7.Dao tao"/>
      <sheetName val="8.Trien khai ung dung"/>
      <sheetName val="9.Nhap DL"/>
      <sheetName val="10.Bao tri"/>
      <sheetName val="11.Tong du toan sau tham"/>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
      <sheetName val="DG"/>
      <sheetName val="THop"/>
      <sheetName val="TDT"/>
      <sheetName val="Kluong"/>
      <sheetName val="H.so"/>
      <sheetName val="Tvan"/>
    </sheetNames>
    <sheetDataSet>
      <sheetData sheetId="0"/>
      <sheetData sheetId="1"/>
      <sheetData sheetId="2"/>
      <sheetData sheetId="3">
        <row r="88">
          <cell r="D88">
            <v>118135008251.60049</v>
          </cell>
        </row>
      </sheetData>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PM-Tong hop"/>
      <sheetName val="TB-Tong hop"/>
      <sheetName val="PM-Nhan cong"/>
      <sheetName val="PM-TrienKhai"/>
      <sheetName val="PM-Dao tao"/>
      <sheetName val="TB-MayTinh"/>
      <sheetName val="TB-Vatlieuxaylap"/>
      <sheetName val="TB-TrienKhai"/>
      <sheetName val="TB-Dao tao"/>
      <sheetName val="CPKhac-TongHop"/>
      <sheetName val="CPKhac-DaoTaoNcNgoai"/>
      <sheetName val="CPKhac-VanHanh"/>
      <sheetName val="All-Tong hop"/>
      <sheetName val="Tham so"/>
      <sheetName val="0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D5">
            <v>0.1</v>
          </cell>
        </row>
      </sheetData>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J2">
            <v>15890</v>
          </cell>
        </row>
      </sheetData>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cp chuan bi dau tu"/>
      <sheetName val="Chi phi khao sat"/>
      <sheetName val="Chi phi tu van &amp; tham tra"/>
      <sheetName val="Chi phi qlda va tu van"/>
      <sheetName val="Chi phi thiet bi"/>
      <sheetName val="Le phi tham dinh du an"/>
      <sheetName val="PTH"/>
    </sheetNames>
    <sheetDataSet>
      <sheetData sheetId="0"/>
      <sheetData sheetId="1"/>
      <sheetData sheetId="2"/>
      <sheetData sheetId="3"/>
      <sheetData sheetId="4"/>
      <sheetData sheetId="5"/>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toan HTTT"/>
      <sheetName val="Define"/>
    </sheetNames>
    <sheetDataSet>
      <sheetData sheetId="0"/>
      <sheetData sheetId="1">
        <row r="4">
          <cell r="B4">
            <v>0.05</v>
          </cell>
        </row>
        <row r="6">
          <cell r="B6">
            <v>0.1</v>
          </cell>
        </row>
        <row r="8">
          <cell r="B8">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opLeftCell="A10" workbookViewId="0">
      <selection activeCell="C6" sqref="C6"/>
    </sheetView>
  </sheetViews>
  <sheetFormatPr defaultColWidth="8.7109375" defaultRowHeight="15"/>
  <cols>
    <col min="1" max="1" width="9.28515625" style="70"/>
    <col min="2" max="2" width="37.42578125" customWidth="1"/>
    <col min="3" max="4" width="14.42578125" customWidth="1"/>
    <col min="5" max="5" width="14.42578125" bestFit="1" customWidth="1"/>
    <col min="6" max="6" width="16" bestFit="1" customWidth="1"/>
    <col min="7" max="7" width="13.42578125" bestFit="1" customWidth="1"/>
    <col min="8" max="8" width="19.42578125" bestFit="1" customWidth="1"/>
    <col min="9" max="9" width="17.42578125" bestFit="1" customWidth="1"/>
    <col min="10" max="10" width="13.28515625" bestFit="1" customWidth="1"/>
    <col min="11" max="11" width="18.42578125" bestFit="1" customWidth="1"/>
  </cols>
  <sheetData>
    <row r="1" spans="1:9" s="70" customFormat="1" ht="37.5">
      <c r="A1" s="72" t="s">
        <v>0</v>
      </c>
      <c r="B1" s="72" t="s">
        <v>1</v>
      </c>
      <c r="C1" s="72" t="s">
        <v>2</v>
      </c>
      <c r="D1" s="72" t="s">
        <v>3</v>
      </c>
      <c r="E1" s="72" t="s">
        <v>4</v>
      </c>
      <c r="F1" s="72" t="s">
        <v>5</v>
      </c>
      <c r="G1" s="72" t="s">
        <v>6</v>
      </c>
      <c r="H1" s="72" t="s">
        <v>7</v>
      </c>
      <c r="I1" s="72" t="s">
        <v>8</v>
      </c>
    </row>
    <row r="2" spans="1:9" ht="22.5" customHeight="1">
      <c r="A2" s="73">
        <v>1</v>
      </c>
      <c r="B2" s="74" t="s">
        <v>9</v>
      </c>
      <c r="C2" s="73">
        <v>59</v>
      </c>
      <c r="D2" s="73">
        <v>516</v>
      </c>
      <c r="E2" s="73">
        <v>4091</v>
      </c>
      <c r="F2" s="73" t="s">
        <v>10</v>
      </c>
      <c r="G2" s="84">
        <f t="shared" ref="G2:G9" si="0">C2*4000</f>
        <v>236000</v>
      </c>
      <c r="H2" s="75">
        <f t="shared" ref="H2:H9" si="1">E2*9</f>
        <v>36819</v>
      </c>
      <c r="I2" s="75">
        <f t="shared" ref="I2:I9" si="2">ROUND(G2/8*18,0)</f>
        <v>531000</v>
      </c>
    </row>
    <row r="3" spans="1:9" ht="18.75">
      <c r="A3" s="73">
        <v>2</v>
      </c>
      <c r="B3" s="74" t="s">
        <v>11</v>
      </c>
      <c r="C3" s="73">
        <v>2</v>
      </c>
      <c r="D3" s="73">
        <v>16</v>
      </c>
      <c r="E3" s="73">
        <v>81</v>
      </c>
      <c r="F3" s="73" t="s">
        <v>10</v>
      </c>
      <c r="G3" s="84">
        <f t="shared" si="0"/>
        <v>8000</v>
      </c>
      <c r="H3" s="75">
        <f t="shared" si="1"/>
        <v>729</v>
      </c>
      <c r="I3" s="75">
        <f t="shared" si="2"/>
        <v>18000</v>
      </c>
    </row>
    <row r="4" spans="1:9" ht="18.75">
      <c r="A4" s="73">
        <v>3</v>
      </c>
      <c r="B4" s="74" t="s">
        <v>12</v>
      </c>
      <c r="C4" s="73">
        <v>53.5</v>
      </c>
      <c r="D4" s="73">
        <v>428</v>
      </c>
      <c r="E4" s="73">
        <v>4370</v>
      </c>
      <c r="F4" s="73" t="s">
        <v>13</v>
      </c>
      <c r="G4" s="84">
        <f t="shared" si="0"/>
        <v>214000</v>
      </c>
      <c r="H4" s="75">
        <f t="shared" si="1"/>
        <v>39330</v>
      </c>
      <c r="I4" s="75">
        <f t="shared" si="2"/>
        <v>481500</v>
      </c>
    </row>
    <row r="5" spans="1:9" ht="18.75">
      <c r="A5" s="73">
        <v>4</v>
      </c>
      <c r="B5" s="74" t="s">
        <v>14</v>
      </c>
      <c r="C5" s="73">
        <v>1</v>
      </c>
      <c r="D5" s="73">
        <v>7</v>
      </c>
      <c r="E5" s="73">
        <v>96</v>
      </c>
      <c r="F5" s="73" t="s">
        <v>15</v>
      </c>
      <c r="G5" s="84">
        <f t="shared" si="0"/>
        <v>4000</v>
      </c>
      <c r="H5" s="75">
        <f t="shared" si="1"/>
        <v>864</v>
      </c>
      <c r="I5" s="75">
        <f t="shared" si="2"/>
        <v>9000</v>
      </c>
    </row>
    <row r="6" spans="1:9" ht="18.75">
      <c r="A6" s="73">
        <v>5</v>
      </c>
      <c r="B6" s="74" t="s">
        <v>16</v>
      </c>
      <c r="C6" s="73">
        <v>148</v>
      </c>
      <c r="D6" s="73">
        <v>1183</v>
      </c>
      <c r="E6" s="73">
        <v>4130</v>
      </c>
      <c r="F6" s="73" t="s">
        <v>17</v>
      </c>
      <c r="G6" s="84">
        <f t="shared" si="0"/>
        <v>592000</v>
      </c>
      <c r="H6" s="75">
        <f t="shared" si="1"/>
        <v>37170</v>
      </c>
      <c r="I6" s="75">
        <f t="shared" si="2"/>
        <v>1332000</v>
      </c>
    </row>
    <row r="7" spans="1:9" ht="18.75">
      <c r="A7" s="73">
        <v>6</v>
      </c>
      <c r="B7" s="74" t="s">
        <v>18</v>
      </c>
      <c r="C7" s="73">
        <v>1.5</v>
      </c>
      <c r="D7" s="73">
        <v>12</v>
      </c>
      <c r="E7" s="73">
        <v>87</v>
      </c>
      <c r="F7" s="73" t="s">
        <v>17</v>
      </c>
      <c r="G7" s="84">
        <f t="shared" si="0"/>
        <v>6000</v>
      </c>
      <c r="H7" s="75">
        <f t="shared" si="1"/>
        <v>783</v>
      </c>
      <c r="I7" s="75">
        <f t="shared" si="2"/>
        <v>13500</v>
      </c>
    </row>
    <row r="8" spans="1:9" ht="18.75">
      <c r="A8" s="73">
        <v>7</v>
      </c>
      <c r="B8" s="74" t="s">
        <v>19</v>
      </c>
      <c r="C8" s="73">
        <v>2.1</v>
      </c>
      <c r="D8" s="73">
        <v>17</v>
      </c>
      <c r="E8" s="73">
        <v>126</v>
      </c>
      <c r="F8" s="73" t="s">
        <v>17</v>
      </c>
      <c r="G8" s="84">
        <f t="shared" si="0"/>
        <v>8400</v>
      </c>
      <c r="H8" s="75">
        <f t="shared" si="1"/>
        <v>1134</v>
      </c>
      <c r="I8" s="75">
        <f t="shared" si="2"/>
        <v>18900</v>
      </c>
    </row>
    <row r="9" spans="1:9" ht="18.75">
      <c r="A9" s="73">
        <v>8</v>
      </c>
      <c r="B9" s="74" t="s">
        <v>20</v>
      </c>
      <c r="C9" s="73">
        <v>21.6</v>
      </c>
      <c r="D9" s="73">
        <v>190</v>
      </c>
      <c r="E9" s="73">
        <v>1022</v>
      </c>
      <c r="F9" s="73" t="s">
        <v>21</v>
      </c>
      <c r="G9" s="75">
        <f t="shared" si="0"/>
        <v>86400</v>
      </c>
      <c r="H9" s="75">
        <f t="shared" si="1"/>
        <v>9198</v>
      </c>
      <c r="I9" s="75">
        <f t="shared" si="2"/>
        <v>194400</v>
      </c>
    </row>
    <row r="10" spans="1:9" ht="18.75">
      <c r="A10" s="73">
        <v>9</v>
      </c>
      <c r="B10" s="74" t="s">
        <v>22</v>
      </c>
      <c r="C10" s="73">
        <v>21.1</v>
      </c>
      <c r="D10" s="73">
        <v>190</v>
      </c>
      <c r="E10" s="73">
        <v>4511</v>
      </c>
      <c r="F10" s="73" t="s">
        <v>23</v>
      </c>
      <c r="G10" s="75">
        <v>81520</v>
      </c>
      <c r="H10" s="75">
        <v>40599</v>
      </c>
      <c r="I10" s="75">
        <v>189900</v>
      </c>
    </row>
    <row r="11" spans="1:9" ht="18.75">
      <c r="A11" s="73">
        <v>10</v>
      </c>
      <c r="B11" s="74" t="s">
        <v>24</v>
      </c>
      <c r="C11" s="73">
        <v>16</v>
      </c>
      <c r="D11" s="73">
        <v>132</v>
      </c>
      <c r="E11" s="73">
        <v>1044</v>
      </c>
      <c r="F11" s="73" t="s">
        <v>25</v>
      </c>
      <c r="G11" s="75">
        <f t="shared" ref="G11:G16" si="3">C11*4000</f>
        <v>64000</v>
      </c>
      <c r="H11" s="75">
        <f t="shared" ref="H11:H16" si="4">E11*9</f>
        <v>9396</v>
      </c>
      <c r="I11" s="75">
        <f t="shared" ref="I11:I16" si="5">ROUND(G11/8*18,0)</f>
        <v>144000</v>
      </c>
    </row>
    <row r="12" spans="1:9" ht="18.75">
      <c r="A12" s="73">
        <v>11</v>
      </c>
      <c r="B12" s="74" t="s">
        <v>26</v>
      </c>
      <c r="C12" s="73">
        <v>0.2</v>
      </c>
      <c r="D12" s="73">
        <v>2</v>
      </c>
      <c r="E12" s="73">
        <v>18</v>
      </c>
      <c r="F12" s="73" t="s">
        <v>15</v>
      </c>
      <c r="G12" s="75">
        <f t="shared" si="3"/>
        <v>800</v>
      </c>
      <c r="H12" s="75">
        <f t="shared" si="4"/>
        <v>162</v>
      </c>
      <c r="I12" s="75">
        <f t="shared" si="5"/>
        <v>1800</v>
      </c>
    </row>
    <row r="13" spans="1:9" ht="18.75">
      <c r="A13" s="73">
        <v>12</v>
      </c>
      <c r="B13" s="74" t="s">
        <v>27</v>
      </c>
      <c r="C13" s="73">
        <v>0.2</v>
      </c>
      <c r="D13" s="73">
        <v>2</v>
      </c>
      <c r="E13" s="73">
        <v>10</v>
      </c>
      <c r="F13" s="73" t="s">
        <v>21</v>
      </c>
      <c r="G13" s="75">
        <f t="shared" si="3"/>
        <v>800</v>
      </c>
      <c r="H13" s="75">
        <f t="shared" si="4"/>
        <v>90</v>
      </c>
      <c r="I13" s="75">
        <f t="shared" si="5"/>
        <v>1800</v>
      </c>
    </row>
    <row r="14" spans="1:9" ht="37.5">
      <c r="A14" s="73">
        <v>13</v>
      </c>
      <c r="B14" s="74" t="s">
        <v>28</v>
      </c>
      <c r="C14" s="73">
        <v>1</v>
      </c>
      <c r="D14" s="73">
        <v>9</v>
      </c>
      <c r="E14" s="73">
        <v>45</v>
      </c>
      <c r="F14" s="73" t="s">
        <v>23</v>
      </c>
      <c r="G14" s="75">
        <f t="shared" si="3"/>
        <v>4000</v>
      </c>
      <c r="H14" s="75">
        <f t="shared" si="4"/>
        <v>405</v>
      </c>
      <c r="I14" s="75">
        <f t="shared" si="5"/>
        <v>9000</v>
      </c>
    </row>
    <row r="15" spans="1:9" ht="37.5">
      <c r="A15" s="73">
        <v>14</v>
      </c>
      <c r="B15" s="74" t="s">
        <v>29</v>
      </c>
      <c r="C15" s="73">
        <v>3.5</v>
      </c>
      <c r="D15" s="73">
        <v>32</v>
      </c>
      <c r="E15" s="73">
        <v>318</v>
      </c>
      <c r="F15" s="73" t="s">
        <v>30</v>
      </c>
      <c r="G15" s="75">
        <f t="shared" si="3"/>
        <v>14000</v>
      </c>
      <c r="H15" s="75">
        <f t="shared" si="4"/>
        <v>2862</v>
      </c>
      <c r="I15" s="75">
        <f t="shared" si="5"/>
        <v>31500</v>
      </c>
    </row>
    <row r="16" spans="1:9" ht="18.75">
      <c r="A16" s="73">
        <v>15</v>
      </c>
      <c r="B16" s="74" t="s">
        <v>31</v>
      </c>
      <c r="C16" s="73">
        <v>5</v>
      </c>
      <c r="D16" s="73">
        <v>39</v>
      </c>
      <c r="E16" s="73">
        <v>216</v>
      </c>
      <c r="F16" s="73" t="s">
        <v>21</v>
      </c>
      <c r="G16" s="75">
        <f t="shared" si="3"/>
        <v>20000</v>
      </c>
      <c r="H16" s="75">
        <f t="shared" si="4"/>
        <v>1944</v>
      </c>
      <c r="I16" s="75">
        <f t="shared" si="5"/>
        <v>45000</v>
      </c>
    </row>
    <row r="17" spans="1:10" ht="18.75">
      <c r="A17" s="73"/>
      <c r="B17" s="74" t="s">
        <v>32</v>
      </c>
      <c r="C17" s="87">
        <f t="shared" ref="C17:E17" si="6">SUM(C2:C16)</f>
        <v>335.70000000000005</v>
      </c>
      <c r="D17" s="87">
        <f t="shared" si="6"/>
        <v>2775</v>
      </c>
      <c r="E17" s="87">
        <f t="shared" si="6"/>
        <v>20165</v>
      </c>
      <c r="F17" s="73"/>
      <c r="G17" s="87">
        <f>SUM(G2:G16)</f>
        <v>1339920</v>
      </c>
      <c r="H17" s="87">
        <f t="shared" ref="H17:I17" si="7">SUM(H2:H16)</f>
        <v>181485</v>
      </c>
      <c r="I17" s="87">
        <f t="shared" si="7"/>
        <v>3021300</v>
      </c>
      <c r="J17" s="84">
        <f>H17+I17</f>
        <v>3202785</v>
      </c>
    </row>
    <row r="18" spans="1:10" ht="37.5">
      <c r="A18" s="73">
        <v>16</v>
      </c>
      <c r="B18" s="74" t="s">
        <v>33</v>
      </c>
      <c r="C18" s="73">
        <v>30.5</v>
      </c>
      <c r="D18" s="73">
        <v>284</v>
      </c>
      <c r="E18" s="73">
        <v>1454</v>
      </c>
      <c r="F18" s="73" t="s">
        <v>34</v>
      </c>
      <c r="G18" s="75">
        <f t="shared" ref="G18" si="8">C18*4000</f>
        <v>122000</v>
      </c>
      <c r="H18" s="75">
        <f t="shared" ref="H18" si="9">E18*9</f>
        <v>13086</v>
      </c>
      <c r="I18" s="75">
        <f t="shared" ref="I18" si="10">ROUND(G18/8*18,0)</f>
        <v>274500</v>
      </c>
    </row>
    <row r="19" spans="1:10" ht="18.75">
      <c r="A19" s="73">
        <v>17</v>
      </c>
      <c r="B19" s="74" t="s">
        <v>35</v>
      </c>
      <c r="C19" s="73">
        <v>2</v>
      </c>
      <c r="D19" s="73">
        <v>14</v>
      </c>
      <c r="E19" s="73">
        <v>133</v>
      </c>
      <c r="F19" s="73" t="s">
        <v>17</v>
      </c>
      <c r="G19" s="75">
        <f>C19*4000</f>
        <v>8000</v>
      </c>
      <c r="H19" s="75">
        <f>E19*9</f>
        <v>1197</v>
      </c>
      <c r="I19" s="75">
        <f>ROUND(G19/8*18,0)</f>
        <v>18000</v>
      </c>
    </row>
    <row r="20" spans="1:10" ht="18.75">
      <c r="A20" s="73">
        <v>18</v>
      </c>
      <c r="B20" s="74" t="s">
        <v>36</v>
      </c>
      <c r="C20" s="73">
        <v>1</v>
      </c>
      <c r="D20" s="73">
        <v>7</v>
      </c>
      <c r="E20" s="73">
        <v>17</v>
      </c>
      <c r="F20" s="73" t="s">
        <v>15</v>
      </c>
      <c r="G20" s="75">
        <f>C20*4000</f>
        <v>4000</v>
      </c>
      <c r="H20" s="75">
        <f>E20*9</f>
        <v>153</v>
      </c>
      <c r="I20" s="75">
        <f>ROUND(G20/8*18,0)</f>
        <v>9000</v>
      </c>
    </row>
    <row r="21" spans="1:10" ht="18.75">
      <c r="A21" s="73">
        <v>19</v>
      </c>
      <c r="B21" s="74" t="s">
        <v>37</v>
      </c>
      <c r="C21" s="73">
        <v>0.3</v>
      </c>
      <c r="D21" s="73">
        <v>3</v>
      </c>
      <c r="E21" s="73">
        <v>16</v>
      </c>
      <c r="F21" s="73" t="s">
        <v>38</v>
      </c>
      <c r="G21" s="75">
        <f t="shared" ref="G21" si="11">C21*4000</f>
        <v>1200</v>
      </c>
      <c r="H21" s="75">
        <f t="shared" ref="H21" si="12">E21*9</f>
        <v>144</v>
      </c>
      <c r="I21" s="75">
        <f t="shared" ref="I21" si="13">ROUND(G21/8*18,0)</f>
        <v>2700</v>
      </c>
    </row>
    <row r="22" spans="1:10" ht="18.75">
      <c r="A22" s="73">
        <v>20</v>
      </c>
      <c r="B22" s="74" t="s">
        <v>39</v>
      </c>
      <c r="C22" s="73">
        <v>146</v>
      </c>
      <c r="D22" s="73">
        <v>1165</v>
      </c>
      <c r="E22" s="73">
        <v>2915</v>
      </c>
      <c r="F22" s="73" t="s">
        <v>40</v>
      </c>
      <c r="G22" s="75">
        <f>C22*4000</f>
        <v>584000</v>
      </c>
      <c r="H22" s="75">
        <f>E22*9</f>
        <v>26235</v>
      </c>
      <c r="I22" s="75">
        <f>ROUND(G22/8*18,0)</f>
        <v>1314000</v>
      </c>
    </row>
    <row r="23" spans="1:10" ht="18.75">
      <c r="A23" s="372" t="s">
        <v>41</v>
      </c>
      <c r="B23" s="373"/>
      <c r="C23" s="80">
        <f>SUM(C2:C20)</f>
        <v>704.90000000000009</v>
      </c>
      <c r="D23" s="80">
        <f>SUM(D2:D20)</f>
        <v>5855</v>
      </c>
      <c r="E23" s="80">
        <f>SUM(E2:E20)</f>
        <v>41934</v>
      </c>
      <c r="F23" s="81"/>
      <c r="G23" s="80">
        <f>SUM(G17:G22)</f>
        <v>2059120</v>
      </c>
      <c r="H23" s="80">
        <f t="shared" ref="H23:I23" si="14">SUM(H17:H22)</f>
        <v>222300</v>
      </c>
      <c r="I23" s="80">
        <f t="shared" si="14"/>
        <v>4639500</v>
      </c>
      <c r="J23" s="85">
        <f>H23+I23</f>
        <v>4861800</v>
      </c>
    </row>
    <row r="24" spans="1:10" ht="18.75" hidden="1">
      <c r="A24" s="76"/>
      <c r="B24" s="77"/>
      <c r="C24" s="78"/>
      <c r="D24" s="77"/>
      <c r="E24" s="77"/>
      <c r="F24" s="77"/>
      <c r="G24" s="79"/>
      <c r="H24" s="75">
        <f>G23*2850</f>
        <v>5868492000</v>
      </c>
      <c r="I24" s="78">
        <f>I23+H23</f>
        <v>4861800</v>
      </c>
    </row>
    <row r="25" spans="1:10" hidden="1">
      <c r="A25" s="76"/>
      <c r="B25" s="77"/>
      <c r="C25" s="77"/>
      <c r="D25" s="77"/>
      <c r="E25" s="77"/>
      <c r="F25" s="77"/>
      <c r="G25" s="77"/>
      <c r="H25" s="78">
        <f>(H23+I23)*350</f>
        <v>1701630000</v>
      </c>
      <c r="I25" s="77"/>
    </row>
    <row r="26" spans="1:10" hidden="1">
      <c r="A26" s="76"/>
      <c r="B26" s="77"/>
      <c r="C26" s="77"/>
      <c r="D26" s="77"/>
      <c r="E26" s="77"/>
      <c r="F26" s="77"/>
      <c r="G26" s="77" t="s">
        <v>42</v>
      </c>
      <c r="H26" s="78">
        <v>800000000</v>
      </c>
      <c r="I26" s="77"/>
    </row>
    <row r="27" spans="1:10" hidden="1">
      <c r="A27" s="76"/>
      <c r="B27" s="77"/>
      <c r="C27" s="77"/>
      <c r="D27" s="77"/>
      <c r="E27" s="77"/>
      <c r="F27" s="77"/>
      <c r="G27" s="77" t="s">
        <v>43</v>
      </c>
      <c r="H27" s="78">
        <v>850000000</v>
      </c>
      <c r="I27" s="77"/>
    </row>
    <row r="28" spans="1:10" hidden="1">
      <c r="A28" s="76"/>
      <c r="B28" s="77"/>
      <c r="C28" s="77"/>
      <c r="D28" s="77"/>
      <c r="E28" s="77"/>
      <c r="F28" s="77"/>
      <c r="G28" s="77"/>
      <c r="H28" s="78">
        <f>SUM(H24:H27)</f>
        <v>9220122000</v>
      </c>
      <c r="I28" s="77"/>
    </row>
    <row r="29" spans="1:10" hidden="1"/>
    <row r="30" spans="1:10" hidden="1">
      <c r="E30" s="71">
        <f>0.405%*6000000000</f>
        <v>24300000.000000004</v>
      </c>
    </row>
    <row r="32" spans="1:10">
      <c r="I32" s="86" t="e">
        <f>#REF!</f>
        <v>#REF!</v>
      </c>
    </row>
  </sheetData>
  <mergeCells count="1">
    <mergeCell ref="A23:B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J30"/>
  <sheetViews>
    <sheetView topLeftCell="A4" zoomScale="80" zoomScaleNormal="80" workbookViewId="0">
      <selection activeCell="I13" sqref="I13"/>
    </sheetView>
  </sheetViews>
  <sheetFormatPr defaultColWidth="9.28515625" defaultRowHeight="16.5"/>
  <cols>
    <col min="1" max="1" width="5.42578125" style="8" customWidth="1"/>
    <col min="2" max="2" width="34" style="1" customWidth="1"/>
    <col min="3" max="3" width="20.42578125" style="9" bestFit="1" customWidth="1"/>
    <col min="4" max="4" width="18.28515625" style="9" bestFit="1" customWidth="1"/>
    <col min="5" max="5" width="19.42578125" style="9" bestFit="1" customWidth="1"/>
    <col min="6" max="6" width="18.42578125" style="9" customWidth="1"/>
    <col min="7" max="7" width="28.42578125" style="1" customWidth="1"/>
    <col min="8" max="8" width="18.42578125" style="1" customWidth="1"/>
    <col min="9" max="9" width="28.28515625" style="1" customWidth="1"/>
    <col min="10" max="11" width="9.28515625" style="1"/>
    <col min="12" max="12" width="14" style="1" bestFit="1" customWidth="1"/>
    <col min="13" max="13" width="15.7109375" style="1" bestFit="1" customWidth="1"/>
    <col min="14" max="16384" width="9.28515625" style="1"/>
  </cols>
  <sheetData>
    <row r="1" spans="1:10" ht="16.5" customHeight="1">
      <c r="A1" s="374" t="s">
        <v>44</v>
      </c>
      <c r="B1" s="375"/>
      <c r="C1" s="375"/>
      <c r="D1" s="375"/>
      <c r="E1" s="375"/>
      <c r="F1" s="375"/>
      <c r="G1" s="375"/>
      <c r="H1" s="1" t="s">
        <v>45</v>
      </c>
      <c r="I1" s="111" t="s">
        <v>46</v>
      </c>
      <c r="J1" s="117" t="str">
        <f>IF(I1="Thiết kế 2 bước","1",IF(I1="Thiết kế 1 bước","2",IF(I1="Đề cương","3",IF(I1="Thuê dịch vụ vốn đầu tư","4","5"))))</f>
        <v>3</v>
      </c>
    </row>
    <row r="2" spans="1:10">
      <c r="G2" s="88" t="s">
        <v>47</v>
      </c>
    </row>
    <row r="3" spans="1:10" ht="33">
      <c r="A3" s="2" t="s">
        <v>48</v>
      </c>
      <c r="B3" s="2" t="s">
        <v>49</v>
      </c>
      <c r="C3" s="3" t="s">
        <v>50</v>
      </c>
      <c r="D3" s="3" t="s">
        <v>51</v>
      </c>
      <c r="E3" s="3" t="s">
        <v>52</v>
      </c>
      <c r="F3" s="3" t="s">
        <v>53</v>
      </c>
      <c r="G3" s="2" t="s">
        <v>54</v>
      </c>
    </row>
    <row r="4" spans="1:10" s="5" customFormat="1">
      <c r="A4" s="2" t="s">
        <v>55</v>
      </c>
      <c r="B4" s="4" t="s">
        <v>56</v>
      </c>
      <c r="C4" s="112" t="e">
        <f>SUBTOTAL(9,C5:C7)</f>
        <v>#REF!</v>
      </c>
      <c r="D4" s="112">
        <f>SUBTOTAL(9,D5:D7)</f>
        <v>0</v>
      </c>
      <c r="E4" s="112" t="e">
        <f>SUBTOTAL(9,E5:E7)</f>
        <v>#REF!</v>
      </c>
      <c r="F4" s="112" t="e">
        <f>F5</f>
        <v>#REF!</v>
      </c>
      <c r="G4" s="4"/>
    </row>
    <row r="5" spans="1:10" s="5" customFormat="1" ht="34.5">
      <c r="A5" s="109"/>
      <c r="B5" s="110" t="s">
        <v>57</v>
      </c>
      <c r="C5" s="115" t="e">
        <f>SUBTOTAL(9,C6:C7)</f>
        <v>#REF!</v>
      </c>
      <c r="D5" s="115">
        <f>SUBTOTAL(9,D6:D7)</f>
        <v>0</v>
      </c>
      <c r="E5" s="115" t="e">
        <f>SUBTOTAL(9,E6:E7)</f>
        <v>#REF!</v>
      </c>
      <c r="F5" s="131" t="e">
        <f>F6+F7+F8</f>
        <v>#REF!</v>
      </c>
      <c r="G5" s="7"/>
    </row>
    <row r="6" spans="1:10" s="5" customFormat="1" ht="33">
      <c r="A6" s="89">
        <v>1</v>
      </c>
      <c r="B6" s="90" t="s">
        <v>58</v>
      </c>
      <c r="C6" s="116" t="e">
        <f>#REF!</f>
        <v>#REF!</v>
      </c>
      <c r="D6" s="113">
        <v>0</v>
      </c>
      <c r="E6" s="114" t="e">
        <f>C6+D6</f>
        <v>#REF!</v>
      </c>
      <c r="F6" s="113" t="e">
        <f t="shared" ref="F6:F17" si="0">ROUND(E6,-3)</f>
        <v>#REF!</v>
      </c>
      <c r="G6" s="7" t="s">
        <v>59</v>
      </c>
    </row>
    <row r="7" spans="1:10" s="5" customFormat="1">
      <c r="A7" s="89">
        <v>2</v>
      </c>
      <c r="B7" s="90" t="s">
        <v>60</v>
      </c>
      <c r="C7" s="222"/>
      <c r="D7" s="114">
        <f>C7*0.1</f>
        <v>0</v>
      </c>
      <c r="E7" s="114">
        <f>C7+D7</f>
        <v>0</v>
      </c>
      <c r="F7" s="113">
        <f t="shared" si="0"/>
        <v>0</v>
      </c>
      <c r="G7" s="7"/>
    </row>
    <row r="8" spans="1:10" s="5" customFormat="1">
      <c r="A8" s="89">
        <v>3</v>
      </c>
      <c r="B8" s="90" t="s">
        <v>61</v>
      </c>
      <c r="C8" s="222"/>
      <c r="D8" s="114">
        <f>C8*0.1</f>
        <v>0</v>
      </c>
      <c r="E8" s="114">
        <f>C8+D8</f>
        <v>0</v>
      </c>
      <c r="F8" s="113">
        <f t="shared" si="0"/>
        <v>0</v>
      </c>
      <c r="G8" s="7"/>
    </row>
    <row r="9" spans="1:10" s="5" customFormat="1">
      <c r="A9" s="2" t="s">
        <v>62</v>
      </c>
      <c r="B9" s="4" t="str">
        <f>IF(OR(J1="1",J1="2",J1="4"),"Chi phí tư vấn đầu tư","Chi phí tư vấn")</f>
        <v>Chi phí tư vấn</v>
      </c>
      <c r="C9" s="112" t="e">
        <f>SUBTOTAL(9,C10:C13)</f>
        <v>#REF!</v>
      </c>
      <c r="D9" s="112" t="e">
        <f>SUBTOTAL(9,D10:D13)</f>
        <v>#REF!</v>
      </c>
      <c r="E9" s="112" t="e">
        <f>SUBTOTAL(9,E10:E14)</f>
        <v>#REF!</v>
      </c>
      <c r="F9" s="112" t="e">
        <f t="shared" si="0"/>
        <v>#REF!</v>
      </c>
      <c r="G9" s="4"/>
    </row>
    <row r="10" spans="1:10" s="5" customFormat="1" ht="39.75" customHeight="1">
      <c r="A10" s="6">
        <v>1</v>
      </c>
      <c r="B10" s="7" t="str">
        <f>IF(J1="1","Chi phí lập báo cáo nghiên cứu khả thi",IF(J1="2","Chi phí lập báo cáo kinh tế kỹ thuật",IF(J1="3","Chi phí lập đề cương dự toán chi tiết",IF(J1="4","Chi phí lập báo cáo nghiên cứu khả thi thuê dịch vụ CNTT","Chi phí lập kế hoạch thuê dịch vụ"))))</f>
        <v>Chi phí lập đề cương dự toán chi tiết</v>
      </c>
      <c r="C10" s="114" t="e">
        <f>'Ty le tv'!B21</f>
        <v>#REF!</v>
      </c>
      <c r="D10" s="114" t="e">
        <f>C10/10</f>
        <v>#REF!</v>
      </c>
      <c r="E10" s="114" t="e">
        <f>D10+C10</f>
        <v>#REF!</v>
      </c>
      <c r="F10" s="113" t="e">
        <f t="shared" si="0"/>
        <v>#REF!</v>
      </c>
      <c r="G10" s="376" t="s">
        <v>63</v>
      </c>
      <c r="H10" s="210"/>
    </row>
    <row r="11" spans="1:10" s="5" customFormat="1" ht="33">
      <c r="A11" s="6">
        <v>2</v>
      </c>
      <c r="B11" s="7" t="str">
        <f>IF(J1="1","Chi phí thẩm tra tính hiệu quả và tính khả thi của dự án",IF(J1="2","Chi phí thẩm tra báo cáo kinh tế kỹ thuật",IF(J1="3","Chi phí thẩm tra đề cương và dự toán chi tiết",IF(J1="4","Chi phí thẩm tra dự án thuê dịch vụ CNTT","Chi phí thẩm tra kế hoạch thuê dịch vụ CNTT"))))</f>
        <v>Chi phí thẩm tra đề cương và dự toán chi tiết</v>
      </c>
      <c r="C11" s="114" t="e">
        <f>'Ty le tv'!B30</f>
        <v>#REF!</v>
      </c>
      <c r="D11" s="114" t="e">
        <f>C11/10</f>
        <v>#REF!</v>
      </c>
      <c r="E11" s="114" t="e">
        <f>D11+C11</f>
        <v>#REF!</v>
      </c>
      <c r="F11" s="113" t="e">
        <f t="shared" si="0"/>
        <v>#REF!</v>
      </c>
      <c r="G11" s="377"/>
    </row>
    <row r="12" spans="1:10" s="5" customFormat="1" ht="33">
      <c r="A12" s="6">
        <v>3</v>
      </c>
      <c r="B12" s="7" t="s">
        <v>64</v>
      </c>
      <c r="C12" s="114" t="e">
        <f>'Ty le tv'!B41</f>
        <v>#REF!</v>
      </c>
      <c r="D12" s="114" t="e">
        <f>C12/10</f>
        <v>#REF!</v>
      </c>
      <c r="E12" s="114" t="e">
        <f>D12+C12</f>
        <v>#REF!</v>
      </c>
      <c r="F12" s="113" t="e">
        <f t="shared" si="0"/>
        <v>#REF!</v>
      </c>
      <c r="G12" s="378"/>
    </row>
    <row r="13" spans="1:10" s="5" customFormat="1" ht="49.5">
      <c r="A13" s="6">
        <v>4</v>
      </c>
      <c r="B13" s="7" t="s">
        <v>65</v>
      </c>
      <c r="C13" s="113" t="e">
        <f>'Ty le tv'!B47+'Ty le tv'!B48</f>
        <v>#REF!</v>
      </c>
      <c r="D13" s="113" t="e">
        <f>C13*0.1</f>
        <v>#REF!</v>
      </c>
      <c r="E13" s="113" t="e">
        <f t="shared" ref="E13:E14" si="1">C13+D13</f>
        <v>#REF!</v>
      </c>
      <c r="F13" s="113" t="e">
        <f t="shared" si="0"/>
        <v>#REF!</v>
      </c>
      <c r="G13" s="97" t="s">
        <v>66</v>
      </c>
    </row>
    <row r="14" spans="1:10" s="5" customFormat="1" ht="33">
      <c r="A14" s="6">
        <v>5</v>
      </c>
      <c r="B14" s="7" t="s">
        <v>67</v>
      </c>
      <c r="C14" s="113" t="e">
        <f>'Ty le tv'!B46</f>
        <v>#REF!</v>
      </c>
      <c r="D14" s="113" t="e">
        <f>C14*0.1</f>
        <v>#REF!</v>
      </c>
      <c r="E14" s="113" t="e">
        <f t="shared" si="1"/>
        <v>#REF!</v>
      </c>
      <c r="F14" s="113" t="e">
        <f t="shared" si="0"/>
        <v>#REF!</v>
      </c>
      <c r="G14" s="97" t="s">
        <v>63</v>
      </c>
    </row>
    <row r="15" spans="1:10" s="5" customFormat="1">
      <c r="A15" s="2" t="s">
        <v>68</v>
      </c>
      <c r="B15" s="4" t="s">
        <v>69</v>
      </c>
      <c r="C15" s="112" t="e">
        <f>SUBTOTAL(9,C16:C17)</f>
        <v>#REF!</v>
      </c>
      <c r="D15" s="112" t="e">
        <f>SUBTOTAL(9,D16:D17)</f>
        <v>#REF!</v>
      </c>
      <c r="E15" s="112" t="e">
        <f>SUBTOTAL(9,E16:E17)</f>
        <v>#REF!</v>
      </c>
      <c r="F15" s="112" t="e">
        <f t="shared" ref="F15" si="2">ROUND(E15,-3)</f>
        <v>#REF!</v>
      </c>
      <c r="G15" s="91"/>
    </row>
    <row r="16" spans="1:10" s="5" customFormat="1" ht="33">
      <c r="A16" s="6">
        <v>1</v>
      </c>
      <c r="B16" s="7" t="s">
        <v>70</v>
      </c>
      <c r="C16" s="113" t="e">
        <f>E4*0.55%</f>
        <v>#REF!</v>
      </c>
      <c r="D16" s="113" t="e">
        <f>C16*0.1</f>
        <v>#REF!</v>
      </c>
      <c r="E16" s="113" t="e">
        <f>D16+C16</f>
        <v>#REF!</v>
      </c>
      <c r="F16" s="113" t="e">
        <f t="shared" si="0"/>
        <v>#REF!</v>
      </c>
      <c r="G16" s="97" t="s">
        <v>71</v>
      </c>
    </row>
    <row r="17" spans="1:7" s="5" customFormat="1" ht="33">
      <c r="A17" s="6">
        <v>2</v>
      </c>
      <c r="B17" s="7" t="s">
        <v>72</v>
      </c>
      <c r="C17" s="113" t="e">
        <f>'CP Kiểm thử'!D8</f>
        <v>#REF!</v>
      </c>
      <c r="D17" s="113" t="e">
        <f>C17*0.1</f>
        <v>#REF!</v>
      </c>
      <c r="E17" s="113" t="e">
        <f>D17+C17</f>
        <v>#REF!</v>
      </c>
      <c r="F17" s="113" t="e">
        <f t="shared" si="0"/>
        <v>#REF!</v>
      </c>
      <c r="G17" s="97" t="s">
        <v>73</v>
      </c>
    </row>
    <row r="18" spans="1:7">
      <c r="A18" s="2"/>
      <c r="B18" s="4" t="s">
        <v>74</v>
      </c>
      <c r="C18" s="112" t="e">
        <f>SUBTOTAL(9,C4:C17)</f>
        <v>#REF!</v>
      </c>
      <c r="D18" s="112" t="e">
        <f>SUBTOTAL(9,D4:D17)</f>
        <v>#REF!</v>
      </c>
      <c r="E18" s="112" t="e">
        <f>SUBTOTAL(9,E4:E17)</f>
        <v>#REF!</v>
      </c>
      <c r="F18" s="112" t="e">
        <f>F4+F9+F15</f>
        <v>#REF!</v>
      </c>
      <c r="G18" s="2"/>
    </row>
    <row r="30" spans="1:7" s="5" customFormat="1" collapsed="1"/>
  </sheetData>
  <mergeCells count="2">
    <mergeCell ref="A1:G1"/>
    <mergeCell ref="G10:G12"/>
  </mergeCells>
  <dataValidations count="1">
    <dataValidation type="list" allowBlank="1" showInputMessage="1" showErrorMessage="1" sqref="I1" xr:uid="{00000000-0002-0000-0100-000000000000}">
      <formula1>"Thiết kế 2 bước,Thiết kế 1 bước,Đề cương,Thuê dịch vụ vốn đầu tư,Thuê dịch vụ vốn sự nghiệp"</formula1>
    </dataValidation>
  </dataValidations>
  <pageMargins left="0.45" right="0.45" top="0.5" bottom="0.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8"/>
  <sheetViews>
    <sheetView workbookViewId="0">
      <selection activeCell="F7" sqref="F7"/>
    </sheetView>
  </sheetViews>
  <sheetFormatPr defaultColWidth="9.28515625" defaultRowHeight="15"/>
  <cols>
    <col min="1" max="1" width="48" style="13" bestFit="1" customWidth="1"/>
    <col min="2" max="2" width="15.42578125" style="67" bestFit="1" customWidth="1"/>
    <col min="3" max="3" width="13.42578125" style="67" customWidth="1"/>
    <col min="4" max="4" width="18.7109375" style="13" customWidth="1"/>
    <col min="5" max="6" width="10.28515625" style="13" bestFit="1" customWidth="1"/>
    <col min="7" max="7" width="15" style="14" bestFit="1" customWidth="1"/>
    <col min="8" max="9" width="16" style="13" bestFit="1" customWidth="1"/>
    <col min="10" max="10" width="5.42578125" style="83" customWidth="1"/>
    <col min="11" max="11" width="39.42578125" style="13" customWidth="1"/>
    <col min="12" max="12" width="15.42578125" style="13" bestFit="1" customWidth="1"/>
    <col min="13" max="14" width="16.42578125" style="13" customWidth="1"/>
    <col min="15" max="16" width="17.7109375" style="13" bestFit="1" customWidth="1"/>
    <col min="17" max="17" width="19.42578125" style="13" bestFit="1" customWidth="1"/>
    <col min="18" max="18" width="20.7109375" style="13" bestFit="1" customWidth="1"/>
    <col min="19" max="19" width="17.7109375" style="13" bestFit="1" customWidth="1"/>
    <col min="20" max="20" width="20.7109375" style="13" bestFit="1" customWidth="1"/>
    <col min="21" max="21" width="19.42578125" style="13" bestFit="1" customWidth="1"/>
    <col min="22" max="16384" width="9.28515625" style="13"/>
  </cols>
  <sheetData>
    <row r="1" spans="1:21">
      <c r="A1" s="108" t="s">
        <v>75</v>
      </c>
      <c r="B1" s="379" t="s">
        <v>76</v>
      </c>
      <c r="C1" s="379"/>
      <c r="D1" s="12" t="e">
        <f>TDT!E4+TDT!E9</f>
        <v>#REF!</v>
      </c>
      <c r="E1"/>
      <c r="F1"/>
      <c r="G1"/>
      <c r="H1"/>
      <c r="I1"/>
    </row>
    <row r="2" spans="1:21">
      <c r="A2" s="108" t="s">
        <v>77</v>
      </c>
      <c r="B2" s="381" t="s">
        <v>78</v>
      </c>
      <c r="C2" s="382"/>
      <c r="D2" s="12">
        <v>0</v>
      </c>
      <c r="E2"/>
      <c r="F2"/>
      <c r="G2"/>
      <c r="H2"/>
      <c r="I2"/>
    </row>
    <row r="3" spans="1:21">
      <c r="A3" s="92" t="s">
        <v>79</v>
      </c>
      <c r="B3" s="380" t="s">
        <v>80</v>
      </c>
      <c r="C3" s="380"/>
      <c r="D3" s="12" t="e">
        <f>TDT!E4</f>
        <v>#REF!</v>
      </c>
      <c r="E3"/>
      <c r="F3"/>
      <c r="G3"/>
      <c r="H3"/>
      <c r="I3"/>
    </row>
    <row r="4" spans="1:21">
      <c r="A4" s="92" t="s">
        <v>81</v>
      </c>
      <c r="B4" s="383" t="s">
        <v>82</v>
      </c>
      <c r="C4" s="384"/>
      <c r="D4" s="12">
        <v>0</v>
      </c>
      <c r="E4"/>
      <c r="F4"/>
      <c r="G4"/>
      <c r="H4"/>
      <c r="I4"/>
    </row>
    <row r="5" spans="1:21">
      <c r="A5" s="92" t="s">
        <v>83</v>
      </c>
      <c r="B5" s="380" t="s">
        <v>84</v>
      </c>
      <c r="C5" s="380"/>
      <c r="D5" s="93">
        <v>0</v>
      </c>
      <c r="E5"/>
      <c r="F5"/>
      <c r="G5"/>
      <c r="H5"/>
      <c r="I5"/>
    </row>
    <row r="6" spans="1:21">
      <c r="A6" s="92" t="s">
        <v>85</v>
      </c>
      <c r="B6" s="380" t="s">
        <v>86</v>
      </c>
      <c r="C6" s="380"/>
      <c r="D6" s="12" t="e">
        <f>TDT!C5</f>
        <v>#REF!</v>
      </c>
      <c r="E6"/>
      <c r="F6"/>
      <c r="G6"/>
      <c r="H6"/>
      <c r="I6"/>
    </row>
    <row r="7" spans="1:21">
      <c r="A7" s="92" t="s">
        <v>87</v>
      </c>
      <c r="B7" s="380" t="s">
        <v>88</v>
      </c>
      <c r="C7" s="380"/>
      <c r="D7" s="12" t="e">
        <f>TDT!C6</f>
        <v>#REF!</v>
      </c>
      <c r="E7"/>
      <c r="F7"/>
      <c r="G7"/>
      <c r="H7"/>
      <c r="I7"/>
    </row>
    <row r="9" spans="1:21" s="16" customFormat="1" ht="14.25">
      <c r="A9" s="385" t="s">
        <v>89</v>
      </c>
      <c r="B9" s="385"/>
      <c r="C9" s="385"/>
      <c r="D9" s="385"/>
      <c r="E9" s="385"/>
      <c r="F9" s="385"/>
      <c r="G9" s="385"/>
      <c r="H9" s="385"/>
      <c r="I9" s="385"/>
      <c r="J9" s="82"/>
      <c r="K9" s="386" t="s">
        <v>90</v>
      </c>
      <c r="L9" s="387"/>
      <c r="M9" s="387"/>
      <c r="N9" s="387"/>
      <c r="O9" s="387"/>
    </row>
    <row r="11" spans="1:21" ht="28.5">
      <c r="A11" s="17"/>
      <c r="B11" s="94" t="s">
        <v>91</v>
      </c>
      <c r="C11" s="94" t="s">
        <v>92</v>
      </c>
      <c r="D11" s="19" t="s">
        <v>93</v>
      </c>
      <c r="E11" s="19" t="s">
        <v>94</v>
      </c>
      <c r="F11" s="19" t="s">
        <v>95</v>
      </c>
      <c r="G11" s="95" t="s">
        <v>96</v>
      </c>
      <c r="H11" s="19" t="s">
        <v>97</v>
      </c>
      <c r="I11" s="19" t="s">
        <v>98</v>
      </c>
      <c r="K11" s="19" t="s">
        <v>99</v>
      </c>
      <c r="L11" s="388" t="s">
        <v>100</v>
      </c>
      <c r="M11" s="389"/>
      <c r="N11" s="389"/>
      <c r="O11" s="389"/>
      <c r="P11" s="389"/>
      <c r="Q11" s="389"/>
      <c r="R11" s="389"/>
      <c r="S11" s="389"/>
      <c r="T11" s="389"/>
      <c r="U11" s="390"/>
    </row>
    <row r="12" spans="1:21">
      <c r="A12" s="21" t="s">
        <v>101</v>
      </c>
      <c r="B12" s="22" t="e">
        <f>SUM(B13:B14)*C12</f>
        <v>#REF!</v>
      </c>
      <c r="C12" s="98">
        <f>C54*C55*C56</f>
        <v>1</v>
      </c>
      <c r="D12" s="21"/>
      <c r="E12" s="21"/>
      <c r="F12" s="21"/>
      <c r="G12" s="23"/>
      <c r="H12" s="21"/>
      <c r="I12" s="21"/>
      <c r="J12" s="83">
        <v>1</v>
      </c>
      <c r="K12" s="24" t="s">
        <v>102</v>
      </c>
      <c r="L12" s="105">
        <v>7000000000</v>
      </c>
      <c r="M12" s="105">
        <v>15000000000</v>
      </c>
      <c r="N12" s="105">
        <v>20000000000</v>
      </c>
      <c r="O12" s="105">
        <v>30000000000</v>
      </c>
      <c r="P12" s="105">
        <v>50000000000</v>
      </c>
      <c r="Q12" s="105">
        <v>100000000000</v>
      </c>
      <c r="R12" s="105">
        <v>150000000000</v>
      </c>
      <c r="S12" s="105">
        <v>200000000000</v>
      </c>
      <c r="T12" s="105">
        <v>500000000000</v>
      </c>
      <c r="U12" s="105">
        <v>1000000000000</v>
      </c>
    </row>
    <row r="13" spans="1:21">
      <c r="A13" s="26" t="s">
        <v>103</v>
      </c>
      <c r="B13" s="27">
        <f>D13*I13/100</f>
        <v>0</v>
      </c>
      <c r="C13" s="99"/>
      <c r="D13" s="28">
        <f>F13-(F13-E13)*(I13-H13)/(G13-H13)</f>
        <v>2.6440000000000001</v>
      </c>
      <c r="E13" s="28">
        <f>IF(G13=0,L13,HLOOKUP(G13,dinhmuc,$J13,TRUE))</f>
        <v>2.6440000000000001</v>
      </c>
      <c r="F13" s="28">
        <f>IF(H13=0,M13,HLOOKUP(H13,dinhmuc,$J13,TRUE))</f>
        <v>2.6440000000000001</v>
      </c>
      <c r="G13" s="29">
        <f>IF(I13&lt;$L$12,0,INDEX(budget,MATCH(I13,budget,1)))</f>
        <v>0</v>
      </c>
      <c r="H13" s="27">
        <f>IF(I13&lt;$L$12,$L$12,INDEX(budget,MATCH(I13,budget,1)+1))</f>
        <v>7000000000</v>
      </c>
      <c r="I13" s="27">
        <f>$D$5</f>
        <v>0</v>
      </c>
      <c r="J13" s="83">
        <v>2</v>
      </c>
      <c r="K13" s="26" t="s">
        <v>104</v>
      </c>
      <c r="L13" s="28">
        <v>2.6440000000000001</v>
      </c>
      <c r="M13" s="28">
        <v>2.1840000000000002</v>
      </c>
      <c r="N13" s="28">
        <v>1.913</v>
      </c>
      <c r="O13" s="28">
        <v>1.7470000000000001</v>
      </c>
      <c r="P13" s="30">
        <v>1.3240000000000001</v>
      </c>
      <c r="Q13" s="28">
        <v>1.0449999999999999</v>
      </c>
      <c r="R13" s="28">
        <v>1.0069999999999999</v>
      </c>
      <c r="S13" s="28">
        <v>0.97499999999999998</v>
      </c>
      <c r="T13" s="28">
        <v>0.84099999999999997</v>
      </c>
      <c r="U13" s="28">
        <v>0.69599999999999995</v>
      </c>
    </row>
    <row r="14" spans="1:21">
      <c r="A14" s="26" t="s">
        <v>105</v>
      </c>
      <c r="B14" s="27" t="e">
        <f>D14*I14/100</f>
        <v>#REF!</v>
      </c>
      <c r="C14" s="99"/>
      <c r="D14" s="28" t="e">
        <f>F14-(F14-E14)*(I14-H14)/(G14-H14)</f>
        <v>#REF!</v>
      </c>
      <c r="E14" s="28" t="e">
        <f>IF(G14=0,L14,HLOOKUP(G14,dinhmuc,$J14,TRUE))</f>
        <v>#REF!</v>
      </c>
      <c r="F14" s="28" t="e">
        <f>IF(H14=0,M14,HLOOKUP(H14,dinhmuc,$J14,TRUE))</f>
        <v>#REF!</v>
      </c>
      <c r="G14" s="29" t="e">
        <f>IF(I14&lt;$L$12,0,INDEX(budget,MATCH(I14,budget,1)))</f>
        <v>#REF!</v>
      </c>
      <c r="H14" s="27" t="e">
        <f>IF(I14&lt;$L$12,$L$12,INDEX(budget,MATCH(I14,budget,1)+1))</f>
        <v>#REF!</v>
      </c>
      <c r="I14" s="27" t="e">
        <f>$D$6</f>
        <v>#REF!</v>
      </c>
      <c r="J14" s="83">
        <v>3</v>
      </c>
      <c r="K14" s="26" t="s">
        <v>106</v>
      </c>
      <c r="L14" s="28">
        <v>2.8090000000000002</v>
      </c>
      <c r="M14" s="28">
        <v>2.133</v>
      </c>
      <c r="N14" s="28">
        <v>1.964</v>
      </c>
      <c r="O14" s="28">
        <v>1.782</v>
      </c>
      <c r="P14" s="30">
        <v>1.71</v>
      </c>
      <c r="Q14" s="28">
        <v>1.3460000000000001</v>
      </c>
      <c r="R14" s="28">
        <v>1.2869999999999999</v>
      </c>
      <c r="S14" s="28">
        <v>1.248</v>
      </c>
      <c r="T14" s="28"/>
      <c r="U14" s="28"/>
    </row>
    <row r="15" spans="1:21" ht="42.75">
      <c r="A15" s="21" t="s">
        <v>107</v>
      </c>
      <c r="B15" s="22" t="e">
        <f>SUM(B16:B17)*C15</f>
        <v>#REF!</v>
      </c>
      <c r="C15" s="98">
        <f>C54*C55*C56</f>
        <v>1</v>
      </c>
      <c r="D15" s="21"/>
      <c r="E15" s="21"/>
      <c r="F15" s="21"/>
      <c r="G15" s="23"/>
      <c r="H15" s="21"/>
      <c r="I15" s="21"/>
      <c r="J15" s="83">
        <v>4</v>
      </c>
      <c r="K15" s="24" t="s">
        <v>108</v>
      </c>
      <c r="L15" s="21"/>
      <c r="M15" s="21"/>
      <c r="N15" s="21"/>
      <c r="O15" s="21"/>
      <c r="P15" s="21"/>
      <c r="Q15" s="21"/>
      <c r="R15" s="21"/>
      <c r="S15" s="21"/>
      <c r="T15" s="21"/>
      <c r="U15" s="21"/>
    </row>
    <row r="16" spans="1:21">
      <c r="A16" s="26" t="s">
        <v>103</v>
      </c>
      <c r="B16" s="27">
        <f>D16*I16/100*C16</f>
        <v>0</v>
      </c>
      <c r="C16" s="99">
        <v>0.84</v>
      </c>
      <c r="D16" s="28">
        <f>F16-(F16-E16)*(I16-H16)/(G16-H16)</f>
        <v>2.6440000000000001</v>
      </c>
      <c r="E16" s="28">
        <f>IF(G16=0,L16,HLOOKUP(G16,dinhmuc,$J16,TRUE))</f>
        <v>2.6440000000000001</v>
      </c>
      <c r="F16" s="28">
        <f>IF(H16=0,M16,HLOOKUP(H16,dinhmuc,$J16,TRUE))</f>
        <v>2.6440000000000001</v>
      </c>
      <c r="G16" s="29">
        <f>IF(I16&lt;$L$12,0,INDEX(budget,MATCH(I16,budget,1)))</f>
        <v>0</v>
      </c>
      <c r="H16" s="27">
        <f>IF(I16&lt;$L$12,$L$12,INDEX(budget,MATCH(I16,budget,1)+1))</f>
        <v>7000000000</v>
      </c>
      <c r="I16" s="27">
        <f>$D$5</f>
        <v>0</v>
      </c>
      <c r="J16" s="83">
        <v>5</v>
      </c>
      <c r="K16" s="26" t="s">
        <v>104</v>
      </c>
      <c r="L16" s="28">
        <v>2.6440000000000001</v>
      </c>
      <c r="M16" s="28">
        <v>2.1840000000000002</v>
      </c>
      <c r="N16" s="28"/>
      <c r="O16" s="28"/>
      <c r="P16" s="30"/>
      <c r="Q16" s="28"/>
      <c r="R16" s="28"/>
      <c r="S16" s="28"/>
      <c r="T16" s="28"/>
      <c r="U16" s="28"/>
    </row>
    <row r="17" spans="1:21">
      <c r="A17" s="26" t="s">
        <v>105</v>
      </c>
      <c r="B17" s="27" t="e">
        <f>D17*I17/100</f>
        <v>#REF!</v>
      </c>
      <c r="C17" s="99"/>
      <c r="D17" s="28" t="e">
        <f>F17-(F17-E17)*(I17-H17)/(G17-H17)</f>
        <v>#REF!</v>
      </c>
      <c r="E17" s="28" t="e">
        <f>IF(G17=0,L17,HLOOKUP(G17,dinhmuc,$J17,TRUE))</f>
        <v>#REF!</v>
      </c>
      <c r="F17" s="28" t="e">
        <f>IF(H17=0,M17,HLOOKUP(H17,dinhmuc,$J17,TRUE))</f>
        <v>#REF!</v>
      </c>
      <c r="G17" s="29" t="e">
        <f>IF(I17&lt;$L$12,0,INDEX(budget,MATCH(I17,budget,1)))</f>
        <v>#REF!</v>
      </c>
      <c r="H17" s="27" t="e">
        <f>IF(I17&lt;$L$12,$L$12,INDEX(budget,MATCH(I17,budget,1)+1))</f>
        <v>#REF!</v>
      </c>
      <c r="I17" s="27" t="e">
        <f>$D$6</f>
        <v>#REF!</v>
      </c>
      <c r="J17" s="83">
        <v>6</v>
      </c>
      <c r="K17" s="26" t="s">
        <v>106</v>
      </c>
      <c r="L17" s="28">
        <v>1.855</v>
      </c>
      <c r="M17" s="28">
        <v>1.532</v>
      </c>
      <c r="N17" s="28"/>
      <c r="O17" s="28"/>
      <c r="P17" s="30"/>
      <c r="Q17" s="28"/>
      <c r="R17" s="28"/>
      <c r="S17" s="28"/>
      <c r="T17" s="28"/>
      <c r="U17" s="28"/>
    </row>
    <row r="18" spans="1:21" ht="28.5">
      <c r="A18" s="21" t="s">
        <v>109</v>
      </c>
      <c r="B18" s="22" t="e">
        <f>IF(SUM(B19:B20)*C18&lt;10000000,10000000,SUM(B19:B20)*C18)</f>
        <v>#REF!</v>
      </c>
      <c r="C18" s="98">
        <f>C59*C60*C61*C62</f>
        <v>1</v>
      </c>
      <c r="D18" s="31"/>
      <c r="E18" s="31"/>
      <c r="F18" s="31"/>
      <c r="G18" s="32"/>
      <c r="H18" s="22"/>
      <c r="I18" s="22"/>
      <c r="J18" s="83">
        <v>7</v>
      </c>
      <c r="K18" s="21" t="s">
        <v>110</v>
      </c>
      <c r="L18" s="21"/>
      <c r="M18" s="21"/>
      <c r="N18" s="21"/>
      <c r="O18" s="21"/>
      <c r="P18" s="21"/>
      <c r="Q18" s="21"/>
      <c r="R18" s="21"/>
      <c r="S18" s="21"/>
      <c r="T18" s="21"/>
      <c r="U18" s="21"/>
    </row>
    <row r="19" spans="1:21">
      <c r="A19" s="26" t="s">
        <v>103</v>
      </c>
      <c r="B19" s="27">
        <f>D19*I19/100</f>
        <v>0</v>
      </c>
      <c r="C19" s="99"/>
      <c r="D19" s="28">
        <f>F19-(F19-E19)*(I19-H19)/(G19-H19)</f>
        <v>0.99199999999999999</v>
      </c>
      <c r="E19" s="28">
        <f>IF(G19=0,L19,HLOOKUP(G19,dinhmuc,$J19,TRUE))</f>
        <v>0.99199999999999999</v>
      </c>
      <c r="F19" s="28">
        <f>IF(H19=0,M19,HLOOKUP(H19,dinhmuc,$J19,TRUE))</f>
        <v>0.99199999999999999</v>
      </c>
      <c r="G19" s="29">
        <f>IF(I19&lt;$L$12,0,INDEX(budget,MATCH(I19,budget,1)))</f>
        <v>0</v>
      </c>
      <c r="H19" s="27">
        <f>IF(I19&lt;$L$12,$L$12,INDEX(budget,MATCH(I19,budget,1)+1))</f>
        <v>7000000000</v>
      </c>
      <c r="I19" s="27">
        <f>$D$5</f>
        <v>0</v>
      </c>
      <c r="J19" s="83">
        <v>8</v>
      </c>
      <c r="K19" s="26" t="s">
        <v>104</v>
      </c>
      <c r="L19" s="28">
        <v>0.99199999999999999</v>
      </c>
      <c r="M19" s="28">
        <v>0.73899999999999999</v>
      </c>
      <c r="N19" s="28">
        <v>0.65200000000000002</v>
      </c>
      <c r="O19" s="28">
        <v>0.53300000000000003</v>
      </c>
      <c r="P19" s="30">
        <v>0.42</v>
      </c>
      <c r="Q19" s="28">
        <v>0.31</v>
      </c>
      <c r="R19" s="28">
        <v>0.253</v>
      </c>
      <c r="S19" s="28">
        <v>0.20499999999999999</v>
      </c>
      <c r="T19" s="28">
        <v>0.16400000000000001</v>
      </c>
      <c r="U19" s="28">
        <v>0.14399999999999999</v>
      </c>
    </row>
    <row r="20" spans="1:21">
      <c r="A20" s="33" t="s">
        <v>105</v>
      </c>
      <c r="B20" s="27" t="e">
        <f>D20*I20/100</f>
        <v>#REF!</v>
      </c>
      <c r="C20" s="99"/>
      <c r="D20" s="28" t="e">
        <f>F20-(F20-E20)*(I20-H20)/(G20-H20)</f>
        <v>#REF!</v>
      </c>
      <c r="E20" s="28" t="e">
        <f>IF(G20=0,L20,HLOOKUP(G20,dinhmuc,$J20,TRUE))</f>
        <v>#REF!</v>
      </c>
      <c r="F20" s="28" t="e">
        <f>IF(H20=0,M20,HLOOKUP(H20,dinhmuc,$J20,TRUE))</f>
        <v>#REF!</v>
      </c>
      <c r="G20" s="29" t="e">
        <f>IF(I20&lt;$L$12,0,INDEX(budget,MATCH(I20,budget,1)))</f>
        <v>#REF!</v>
      </c>
      <c r="H20" s="27" t="e">
        <f>IF(I20&lt;$L$12,$L$12,INDEX(budget,MATCH(I20,budget,1)+1))</f>
        <v>#REF!</v>
      </c>
      <c r="I20" s="27" t="e">
        <f>$D$6</f>
        <v>#REF!</v>
      </c>
      <c r="J20" s="83">
        <v>9</v>
      </c>
      <c r="K20" s="26" t="s">
        <v>106</v>
      </c>
      <c r="L20" s="28">
        <v>0.99199999999999999</v>
      </c>
      <c r="M20" s="28">
        <v>0.90600000000000003</v>
      </c>
      <c r="N20" s="28">
        <v>0.81200000000000006</v>
      </c>
      <c r="O20" s="28">
        <v>0.76300000000000001</v>
      </c>
      <c r="P20" s="30">
        <v>0.64800000000000002</v>
      </c>
      <c r="Q20" s="28">
        <v>0.48499999999999999</v>
      </c>
      <c r="R20" s="28">
        <v>0.437</v>
      </c>
      <c r="S20" s="28">
        <v>0.38100000000000001</v>
      </c>
      <c r="T20" s="28"/>
      <c r="U20" s="28"/>
    </row>
    <row r="21" spans="1:21" ht="28.5">
      <c r="A21" s="21" t="s">
        <v>111</v>
      </c>
      <c r="B21" s="22" t="e">
        <f>IF(SUM(B22:B23)*C21&lt;10000000,10000000,SUM(B22:B23)*C21)</f>
        <v>#REF!</v>
      </c>
      <c r="C21" s="98">
        <f>C59*C60*C61*C62</f>
        <v>1</v>
      </c>
      <c r="D21" s="31"/>
      <c r="E21" s="31"/>
      <c r="F21" s="31"/>
      <c r="G21" s="32"/>
      <c r="H21" s="22"/>
      <c r="I21" s="22"/>
      <c r="J21" s="83">
        <v>10</v>
      </c>
      <c r="K21" s="21" t="s">
        <v>112</v>
      </c>
      <c r="L21" s="21"/>
      <c r="M21" s="21"/>
      <c r="N21" s="21"/>
      <c r="O21" s="21"/>
      <c r="P21" s="21"/>
      <c r="Q21" s="21"/>
      <c r="R21" s="21"/>
      <c r="S21" s="21"/>
      <c r="T21" s="21"/>
      <c r="U21" s="21"/>
    </row>
    <row r="22" spans="1:21">
      <c r="A22" s="26" t="s">
        <v>103</v>
      </c>
      <c r="B22" s="27">
        <f>D22*I22/100*1.65</f>
        <v>0</v>
      </c>
      <c r="C22" s="99">
        <v>1.65</v>
      </c>
      <c r="D22" s="28">
        <f>F22-(F22-E22)*(I22-H22)/(G22-H22)</f>
        <v>0.99199999999999999</v>
      </c>
      <c r="E22" s="28">
        <f>IF(G22=0,L22,HLOOKUP(G22,dinhmuc,$J22,TRUE))</f>
        <v>0.99199999999999999</v>
      </c>
      <c r="F22" s="28">
        <f>IF(H22=0,M22,HLOOKUP(H22,dinhmuc,$J22,TRUE))</f>
        <v>0.99199999999999999</v>
      </c>
      <c r="G22" s="29">
        <f>IF(I22&lt;$L$12,0,INDEX(budget,MATCH(I22,budget,1)))</f>
        <v>0</v>
      </c>
      <c r="H22" s="27">
        <f>IF(I22&lt;$L$12,$L$12,INDEX(budget,MATCH(I22,budget,1)+1))</f>
        <v>7000000000</v>
      </c>
      <c r="I22" s="27">
        <f>$D$5</f>
        <v>0</v>
      </c>
      <c r="J22" s="83">
        <v>11</v>
      </c>
      <c r="K22" s="26" t="s">
        <v>104</v>
      </c>
      <c r="L22" s="28">
        <v>0.99199999999999999</v>
      </c>
      <c r="M22" s="28">
        <v>0.73899999999999999</v>
      </c>
      <c r="N22" s="28"/>
      <c r="O22" s="28"/>
      <c r="P22" s="30"/>
      <c r="Q22" s="28"/>
      <c r="R22" s="28"/>
      <c r="S22" s="28"/>
      <c r="T22" s="28"/>
      <c r="U22" s="28"/>
    </row>
    <row r="23" spans="1:21">
      <c r="A23" s="33" t="s">
        <v>105</v>
      </c>
      <c r="B23" s="27" t="e">
        <f>D23*I23/100</f>
        <v>#REF!</v>
      </c>
      <c r="C23" s="99"/>
      <c r="D23" s="28" t="e">
        <f>F23-(F23-E23)*(I23-H23)/(G23-H23)</f>
        <v>#REF!</v>
      </c>
      <c r="E23" s="28" t="e">
        <f>IF(G23=0,L23,HLOOKUP(G23,dinhmuc,$J23,TRUE))</f>
        <v>#REF!</v>
      </c>
      <c r="F23" s="28" t="e">
        <f>IF(H23=0,M23,HLOOKUP(H23,dinhmuc,$J23,TRUE))</f>
        <v>#REF!</v>
      </c>
      <c r="G23" s="29" t="e">
        <f>IF(I23&lt;$L$12,0,INDEX(budget,MATCH(I23,budget,1)))</f>
        <v>#REF!</v>
      </c>
      <c r="H23" s="27" t="e">
        <f>IF(I23&lt;$L$12,$L$12,INDEX(budget,MATCH(I23,budget,1)+1))</f>
        <v>#REF!</v>
      </c>
      <c r="I23" s="27" t="e">
        <f>$D$6</f>
        <v>#REF!</v>
      </c>
      <c r="J23" s="83">
        <v>12</v>
      </c>
      <c r="K23" s="26" t="s">
        <v>106</v>
      </c>
      <c r="L23" s="28">
        <v>3.64</v>
      </c>
      <c r="M23" s="28">
        <v>3.24</v>
      </c>
      <c r="N23" s="28"/>
      <c r="O23" s="28"/>
      <c r="P23" s="30"/>
      <c r="Q23" s="28"/>
      <c r="R23" s="28"/>
      <c r="S23" s="28"/>
      <c r="T23" s="28"/>
      <c r="U23" s="28"/>
    </row>
    <row r="24" spans="1:21" ht="28.5">
      <c r="A24" s="35" t="s">
        <v>113</v>
      </c>
      <c r="B24" s="22" t="e">
        <f>SUM(B25:B26)*C24</f>
        <v>#REF!</v>
      </c>
      <c r="C24" s="100">
        <f>C65*C66*C67*C68*C69*C70*C71</f>
        <v>1</v>
      </c>
      <c r="D24" s="36"/>
      <c r="E24" s="36"/>
      <c r="F24" s="36"/>
      <c r="G24" s="37"/>
      <c r="H24" s="38"/>
      <c r="I24" s="38"/>
      <c r="J24" s="83">
        <v>13</v>
      </c>
      <c r="K24" s="21" t="s">
        <v>114</v>
      </c>
      <c r="L24" s="21"/>
      <c r="M24" s="21"/>
      <c r="N24" s="21"/>
      <c r="O24" s="21"/>
      <c r="P24" s="21"/>
      <c r="Q24" s="21"/>
      <c r="R24" s="21"/>
      <c r="S24" s="21"/>
      <c r="T24" s="21"/>
      <c r="U24" s="21"/>
    </row>
    <row r="25" spans="1:21">
      <c r="A25" s="26" t="s">
        <v>103</v>
      </c>
      <c r="B25" s="27">
        <f>D25*I25/100</f>
        <v>0</v>
      </c>
      <c r="C25" s="99"/>
      <c r="D25" s="28">
        <f>F25-(F25-E25)*(I25-H25)/(G25-H25)</f>
        <v>1.4990000000000001</v>
      </c>
      <c r="E25" s="28">
        <f>IF(G25=0,L25,HLOOKUP(G25,dinhmuc,$J25,TRUE))</f>
        <v>1.4990000000000001</v>
      </c>
      <c r="F25" s="28">
        <f>IF(H25=0,M25,HLOOKUP(H25,dinhmuc,$J25,TRUE))</f>
        <v>1.4990000000000001</v>
      </c>
      <c r="G25" s="29">
        <f>IF(I25&lt;$L$12,0,INDEX(budget,MATCH(I25,budget,1)))</f>
        <v>0</v>
      </c>
      <c r="H25" s="27">
        <f>IF(I25&lt;$L$12,$L$12,INDEX(budget,MATCH(I25,budget,1)+1))</f>
        <v>7000000000</v>
      </c>
      <c r="I25" s="27">
        <f>$D$5</f>
        <v>0</v>
      </c>
      <c r="J25" s="83">
        <v>14</v>
      </c>
      <c r="K25" s="26" t="s">
        <v>104</v>
      </c>
      <c r="L25" s="28">
        <v>1.4990000000000001</v>
      </c>
      <c r="M25" s="28">
        <v>1.198</v>
      </c>
      <c r="N25" s="28">
        <v>0.99099999999999999</v>
      </c>
      <c r="O25" s="28">
        <v>0.82</v>
      </c>
      <c r="P25" s="30">
        <v>0.64600000000000002</v>
      </c>
      <c r="Q25" s="28">
        <v>0.52200000000000002</v>
      </c>
      <c r="R25" s="28">
        <v>0.46100000000000002</v>
      </c>
      <c r="S25" s="28">
        <v>0.41099999999999998</v>
      </c>
      <c r="T25" s="28">
        <v>0.32100000000000001</v>
      </c>
      <c r="U25" s="28">
        <v>0.24</v>
      </c>
    </row>
    <row r="26" spans="1:21">
      <c r="A26" s="26" t="s">
        <v>105</v>
      </c>
      <c r="B26" s="27" t="e">
        <f>D26*I26/100</f>
        <v>#REF!</v>
      </c>
      <c r="C26" s="99"/>
      <c r="D26" s="28" t="e">
        <f>F26-(F26-E26)*(I26-H26)/(G26-H26)</f>
        <v>#REF!</v>
      </c>
      <c r="E26" s="28" t="e">
        <f>IF(G26=0,L26,HLOOKUP(G26,dinhmuc,$J26,TRUE))</f>
        <v>#REF!</v>
      </c>
      <c r="F26" s="28" t="e">
        <f>IF(H26=0,M26,HLOOKUP(H26,dinhmuc,$J26,TRUE))</f>
        <v>#REF!</v>
      </c>
      <c r="G26" s="29" t="e">
        <f>IF(I26&lt;$L$12,0,INDEX(budget,MATCH(I26,budget,1)))</f>
        <v>#REF!</v>
      </c>
      <c r="H26" s="27" t="e">
        <f>IF(I26&lt;$L$12,$L$12,INDEX(budget,MATCH(I26,budget,1)+1))</f>
        <v>#REF!</v>
      </c>
      <c r="I26" s="27" t="e">
        <f>$D$7</f>
        <v>#REF!</v>
      </c>
      <c r="J26" s="83">
        <v>15</v>
      </c>
      <c r="K26" s="33" t="s">
        <v>106</v>
      </c>
      <c r="L26" s="34">
        <v>3.3759999999999999</v>
      </c>
      <c r="M26" s="34">
        <v>3.1549999999999998</v>
      </c>
      <c r="N26" s="34">
        <v>3.0230000000000001</v>
      </c>
      <c r="O26" s="34">
        <v>2.847</v>
      </c>
      <c r="P26" s="40">
        <v>2.5059999999999998</v>
      </c>
      <c r="Q26" s="34">
        <v>2.2109999999999999</v>
      </c>
      <c r="R26" s="34">
        <v>2.0910000000000002</v>
      </c>
      <c r="S26" s="34">
        <v>1.9750000000000001</v>
      </c>
      <c r="T26" s="34"/>
      <c r="U26" s="34"/>
    </row>
    <row r="27" spans="1:21" ht="28.5">
      <c r="A27" s="35" t="s">
        <v>115</v>
      </c>
      <c r="B27" s="22" t="e">
        <f>IF(SUM(B28:B29)&lt;2000000,2000000,SUM(B28:B29))</f>
        <v>#REF!</v>
      </c>
      <c r="C27" s="100"/>
      <c r="D27" s="36"/>
      <c r="E27" s="36"/>
      <c r="F27" s="36"/>
      <c r="G27" s="37"/>
      <c r="H27" s="38"/>
      <c r="I27" s="38"/>
      <c r="J27" s="83">
        <v>16</v>
      </c>
      <c r="K27" s="35" t="s">
        <v>116</v>
      </c>
      <c r="L27" s="41"/>
      <c r="M27" s="41"/>
      <c r="N27" s="41"/>
      <c r="O27" s="41"/>
      <c r="P27" s="41"/>
      <c r="Q27" s="41"/>
      <c r="R27" s="41"/>
      <c r="S27" s="41"/>
      <c r="T27" s="41"/>
      <c r="U27" s="42"/>
    </row>
    <row r="28" spans="1:21">
      <c r="A28" s="26" t="s">
        <v>103</v>
      </c>
      <c r="B28" s="27">
        <f>D28*I28/100</f>
        <v>0</v>
      </c>
      <c r="C28" s="99"/>
      <c r="D28" s="28">
        <f>F28-(F28-E28)*(I28-H28)/(G28-H28)</f>
        <v>0.105</v>
      </c>
      <c r="E28" s="28">
        <f>IF(G28=0,L28,HLOOKUP(G28,dinhmuc,$J28,TRUE))</f>
        <v>0.105</v>
      </c>
      <c r="F28" s="28">
        <f>IF(H28=0,M28,HLOOKUP(H28,dinhmuc,$J28,TRUE))</f>
        <v>0.105</v>
      </c>
      <c r="G28" s="29">
        <f>IF(I28&lt;$L$12,0,INDEX(budget,MATCH(I28,budget,1)))</f>
        <v>0</v>
      </c>
      <c r="H28" s="27">
        <f>IF(I28&lt;$L$12,$L$12,INDEX(budget,MATCH(I28,budget,1)+1))</f>
        <v>7000000000</v>
      </c>
      <c r="I28" s="27">
        <f>$D$5</f>
        <v>0</v>
      </c>
      <c r="J28" s="83">
        <v>17</v>
      </c>
      <c r="K28" s="26" t="s">
        <v>104</v>
      </c>
      <c r="L28" s="39">
        <v>0.105</v>
      </c>
      <c r="M28" s="39">
        <v>7.3999999999999996E-2</v>
      </c>
      <c r="N28" s="39">
        <v>6.6000000000000003E-2</v>
      </c>
      <c r="O28" s="39">
        <v>5.8999999999999997E-2</v>
      </c>
      <c r="P28" s="43">
        <v>4.7E-2</v>
      </c>
      <c r="Q28" s="39">
        <v>3.5000000000000003E-2</v>
      </c>
      <c r="R28" s="39">
        <v>0.03</v>
      </c>
      <c r="S28" s="39">
        <v>2.5999999999999999E-2</v>
      </c>
      <c r="T28" s="39">
        <v>1.52E-2</v>
      </c>
      <c r="U28" s="39">
        <v>1.4200000000000001E-2</v>
      </c>
    </row>
    <row r="29" spans="1:21">
      <c r="A29" s="26" t="s">
        <v>105</v>
      </c>
      <c r="B29" s="27" t="e">
        <f>D29*I29/100</f>
        <v>#REF!</v>
      </c>
      <c r="C29" s="99"/>
      <c r="D29" s="28" t="e">
        <f>F29-(F29-E29)*(I29-H29)/(G29-H29)</f>
        <v>#REF!</v>
      </c>
      <c r="E29" s="28" t="e">
        <f>IF(G29=0,L29,HLOOKUP(G29,dinhmuc,$J29,TRUE))</f>
        <v>#REF!</v>
      </c>
      <c r="F29" s="28" t="e">
        <f>IF(H29=0,M29,HLOOKUP(H29,dinhmuc,$J29,TRUE))</f>
        <v>#REF!</v>
      </c>
      <c r="G29" s="29" t="e">
        <f>IF(I29&lt;$L$12,0,INDEX(budget,MATCH(I29,budget,1)))</f>
        <v>#REF!</v>
      </c>
      <c r="H29" s="27" t="e">
        <f>IF(I29&lt;$L$12,$L$12,INDEX(budget,MATCH(I29,budget,1)+1))</f>
        <v>#REF!</v>
      </c>
      <c r="I29" s="27" t="e">
        <f>$D$6</f>
        <v>#REF!</v>
      </c>
      <c r="J29" s="83">
        <v>18</v>
      </c>
      <c r="K29" s="26" t="s">
        <v>106</v>
      </c>
      <c r="L29" s="39">
        <v>0.126</v>
      </c>
      <c r="M29" s="39">
        <v>8.7999999999999995E-2</v>
      </c>
      <c r="N29" s="39">
        <v>8.5000000000000006E-2</v>
      </c>
      <c r="O29" s="39">
        <v>7.6999999999999999E-2</v>
      </c>
      <c r="P29" s="43">
        <v>6.5000000000000002E-2</v>
      </c>
      <c r="Q29" s="39">
        <v>5.0999999999999997E-2</v>
      </c>
      <c r="R29" s="39">
        <v>4.2000000000000003E-2</v>
      </c>
      <c r="S29" s="39">
        <v>3.5999999999999997E-2</v>
      </c>
      <c r="T29" s="39" t="s">
        <v>117</v>
      </c>
      <c r="U29" s="39"/>
    </row>
    <row r="30" spans="1:21" ht="28.5">
      <c r="A30" s="35" t="s">
        <v>118</v>
      </c>
      <c r="B30" s="22" t="e">
        <f>IF(SUM(B31:B32)&lt;2000000,2000000,SUM(B31:B32))</f>
        <v>#REF!</v>
      </c>
      <c r="C30" s="100"/>
      <c r="D30" s="36"/>
      <c r="E30" s="36"/>
      <c r="F30" s="36"/>
      <c r="G30" s="37"/>
      <c r="H30" s="38"/>
      <c r="I30" s="38"/>
      <c r="J30" s="83">
        <v>19</v>
      </c>
      <c r="K30" s="35"/>
      <c r="L30" s="41"/>
      <c r="M30" s="41"/>
      <c r="N30" s="41"/>
      <c r="O30" s="41"/>
      <c r="P30" s="41"/>
      <c r="Q30" s="41"/>
      <c r="R30" s="41"/>
      <c r="S30" s="41"/>
      <c r="T30" s="41"/>
      <c r="U30" s="42"/>
    </row>
    <row r="31" spans="1:21">
      <c r="A31" s="26" t="s">
        <v>103</v>
      </c>
      <c r="B31" s="27">
        <f>B34*70%+B37*70%+B28*40%</f>
        <v>0</v>
      </c>
      <c r="C31" s="99"/>
      <c r="D31" s="28"/>
      <c r="E31" s="28"/>
      <c r="F31" s="28"/>
      <c r="G31" s="29"/>
      <c r="H31" s="27"/>
      <c r="I31" s="27"/>
      <c r="J31" s="83">
        <v>20</v>
      </c>
      <c r="K31" s="26"/>
      <c r="L31" s="39"/>
      <c r="M31" s="39"/>
      <c r="N31" s="39"/>
      <c r="O31" s="39"/>
      <c r="P31" s="43"/>
      <c r="Q31" s="39"/>
      <c r="R31" s="39"/>
      <c r="S31" s="39"/>
      <c r="T31" s="39"/>
      <c r="U31" s="39"/>
    </row>
    <row r="32" spans="1:21">
      <c r="A32" s="26" t="s">
        <v>105</v>
      </c>
      <c r="B32" s="27" t="e">
        <f>B35*70%+B38*70%+B29*40%</f>
        <v>#REF!</v>
      </c>
      <c r="C32" s="99"/>
      <c r="D32" s="28"/>
      <c r="E32" s="28"/>
      <c r="F32" s="28"/>
      <c r="G32" s="29"/>
      <c r="H32" s="27"/>
      <c r="I32" s="27"/>
      <c r="J32" s="83">
        <v>21</v>
      </c>
      <c r="K32" s="26"/>
      <c r="L32" s="39"/>
      <c r="M32" s="39"/>
      <c r="N32" s="39"/>
      <c r="O32" s="39"/>
      <c r="P32" s="43"/>
      <c r="Q32" s="39"/>
      <c r="R32" s="39"/>
      <c r="S32" s="39"/>
      <c r="T32" s="39"/>
      <c r="U32" s="39"/>
    </row>
    <row r="33" spans="1:21" ht="42.75">
      <c r="A33" s="21" t="s">
        <v>119</v>
      </c>
      <c r="B33" s="22" t="e">
        <f>IF(SUM(B34:B35)&lt;2000000,2000000,SUM(B34:B35))</f>
        <v>#REF!</v>
      </c>
      <c r="C33" s="98"/>
      <c r="D33" s="31"/>
      <c r="E33" s="31"/>
      <c r="F33" s="31"/>
      <c r="G33" s="32"/>
      <c r="H33" s="22"/>
      <c r="I33" s="22"/>
      <c r="J33" s="83">
        <v>22</v>
      </c>
      <c r="K33" s="35" t="s">
        <v>120</v>
      </c>
      <c r="L33" s="41"/>
      <c r="M33" s="41"/>
      <c r="N33" s="41"/>
      <c r="O33" s="41"/>
      <c r="P33" s="41"/>
      <c r="Q33" s="41"/>
      <c r="R33" s="41"/>
      <c r="S33" s="41"/>
      <c r="T33" s="41"/>
      <c r="U33" s="42"/>
    </row>
    <row r="34" spans="1:21">
      <c r="A34" s="26" t="s">
        <v>103</v>
      </c>
      <c r="B34" s="27">
        <f>D34*I34/100</f>
        <v>0</v>
      </c>
      <c r="C34" s="99"/>
      <c r="D34" s="28">
        <f>F34-(F34-E34)*(I34-H34)/(G34-H34)</f>
        <v>8.6999999999999994E-2</v>
      </c>
      <c r="E34" s="28">
        <f>IF(G34=0,L34,HLOOKUP(G34,dinhmuc,$J34,TRUE))</f>
        <v>8.6999999999999994E-2</v>
      </c>
      <c r="F34" s="28">
        <f>IF(H34=0,M34,HLOOKUP(H34,dinhmuc,$J34,TRUE))</f>
        <v>8.6999999999999994E-2</v>
      </c>
      <c r="G34" s="29">
        <f>IF(I34&lt;$L$12,0,INDEX(budget,MATCH(I34,budget,1)))</f>
        <v>0</v>
      </c>
      <c r="H34" s="27">
        <f>IF(I34&lt;$L$12,$L$12,INDEX(budget,MATCH(I34,budget,1)+1))</f>
        <v>7000000000</v>
      </c>
      <c r="I34" s="27">
        <f>$D$5</f>
        <v>0</v>
      </c>
      <c r="J34" s="83">
        <v>23</v>
      </c>
      <c r="K34" s="26" t="s">
        <v>104</v>
      </c>
      <c r="L34" s="39">
        <v>8.6999999999999994E-2</v>
      </c>
      <c r="M34" s="39">
        <v>6.0999999999999999E-2</v>
      </c>
      <c r="N34" s="39">
        <v>5.3999999999999999E-2</v>
      </c>
      <c r="O34" s="39">
        <v>4.2999999999999997E-2</v>
      </c>
      <c r="P34" s="39">
        <v>0.03</v>
      </c>
      <c r="Q34" s="39">
        <v>2.1999999999999999E-2</v>
      </c>
      <c r="R34" s="39">
        <v>1.9E-2</v>
      </c>
      <c r="S34" s="39">
        <v>1.6E-2</v>
      </c>
      <c r="T34" s="39">
        <v>1.0999999999999999E-2</v>
      </c>
      <c r="U34" s="39">
        <v>8.0000000000000002E-3</v>
      </c>
    </row>
    <row r="35" spans="1:21">
      <c r="A35" s="26" t="s">
        <v>105</v>
      </c>
      <c r="B35" s="27" t="e">
        <f>D35*I35/100</f>
        <v>#REF!</v>
      </c>
      <c r="C35" s="99"/>
      <c r="D35" s="28" t="e">
        <f>F35-(F35-E35)*(I35-H35)/(G35-H35)</f>
        <v>#REF!</v>
      </c>
      <c r="E35" s="28" t="e">
        <f>IF(G35=0,L35,HLOOKUP(G35,dinhmuc,$J35,TRUE))</f>
        <v>#REF!</v>
      </c>
      <c r="F35" s="28" t="e">
        <f>IF(H35=0,M35,HLOOKUP(H35,dinhmuc,$J35,TRUE))</f>
        <v>#REF!</v>
      </c>
      <c r="G35" s="29" t="e">
        <f>IF(I35&lt;$L$12,0,INDEX(budget,MATCH(I35,budget,1)))</f>
        <v>#REF!</v>
      </c>
      <c r="H35" s="27" t="e">
        <f>IF(I35&lt;$L$12,$L$12,INDEX(budget,MATCH(I35,budget,1)+1))</f>
        <v>#REF!</v>
      </c>
      <c r="I35" s="27" t="e">
        <f>$D$7</f>
        <v>#REF!</v>
      </c>
      <c r="J35" s="83">
        <v>24</v>
      </c>
      <c r="K35" s="26" t="s">
        <v>106</v>
      </c>
      <c r="L35" s="39">
        <v>9.5000000000000001E-2</v>
      </c>
      <c r="M35" s="39">
        <v>6.6000000000000003E-2</v>
      </c>
      <c r="N35" s="39">
        <v>5.8999999999999997E-2</v>
      </c>
      <c r="O35" s="39">
        <v>4.7E-2</v>
      </c>
      <c r="P35" s="39">
        <v>3.2000000000000001E-2</v>
      </c>
      <c r="Q35" s="39">
        <v>2.4E-2</v>
      </c>
      <c r="R35" s="39">
        <v>0.02</v>
      </c>
      <c r="S35" s="39">
        <v>1.7000000000000001E-2</v>
      </c>
      <c r="T35" s="39"/>
      <c r="U35" s="39"/>
    </row>
    <row r="36" spans="1:21" ht="28.5">
      <c r="A36" s="21" t="s">
        <v>121</v>
      </c>
      <c r="B36" s="22" t="e">
        <f>IF(SUM(B37:B38)&lt;2000000,2000000,SUM(B37:B38))</f>
        <v>#REF!</v>
      </c>
      <c r="C36" s="98"/>
      <c r="D36" s="31"/>
      <c r="E36" s="31"/>
      <c r="F36" s="31"/>
      <c r="G36" s="32"/>
      <c r="H36" s="22"/>
      <c r="I36" s="22"/>
      <c r="J36" s="83">
        <v>25</v>
      </c>
      <c r="K36" s="21" t="s">
        <v>122</v>
      </c>
      <c r="L36" s="21"/>
      <c r="M36" s="21"/>
      <c r="N36" s="21"/>
      <c r="O36" s="21"/>
      <c r="P36" s="21"/>
      <c r="Q36" s="21"/>
      <c r="R36" s="21"/>
      <c r="S36" s="21"/>
      <c r="T36" s="21"/>
      <c r="U36" s="21"/>
    </row>
    <row r="37" spans="1:21">
      <c r="A37" s="26" t="s">
        <v>103</v>
      </c>
      <c r="B37" s="27">
        <f>D37*I37/100</f>
        <v>0</v>
      </c>
      <c r="C37" s="99"/>
      <c r="D37" s="39">
        <f>F37-(F37-E37)*(I37-H37)/(G37-H37)</f>
        <v>7.8E-2</v>
      </c>
      <c r="E37" s="28">
        <f>IF(G37=0,L37,HLOOKUP(G37,dinhmuc,$J37,TRUE))</f>
        <v>7.8E-2</v>
      </c>
      <c r="F37" s="28">
        <f>IF(H37=0,M37,HLOOKUP(H37,dinhmuc,$J37,TRUE))</f>
        <v>7.8E-2</v>
      </c>
      <c r="G37" s="29">
        <f>IF(I37&lt;$L$12,0,INDEX(budget,MATCH(I37,budget,1)))</f>
        <v>0</v>
      </c>
      <c r="H37" s="27">
        <f>IF(I37&lt;$L$12,$L$12,INDEX(budget,MATCH(I37,budget,1)+1))</f>
        <v>7000000000</v>
      </c>
      <c r="I37" s="27">
        <f>$D$5</f>
        <v>0</v>
      </c>
      <c r="J37" s="83">
        <v>26</v>
      </c>
      <c r="K37" s="26" t="s">
        <v>104</v>
      </c>
      <c r="L37" s="39">
        <v>7.8E-2</v>
      </c>
      <c r="M37" s="39">
        <v>0.05</v>
      </c>
      <c r="N37" s="39">
        <v>4.3999999999999997E-2</v>
      </c>
      <c r="O37" s="39">
        <v>3.4000000000000002E-2</v>
      </c>
      <c r="P37" s="39">
        <v>2.5999999999999999E-2</v>
      </c>
      <c r="Q37" s="39">
        <v>1.7999999999999999E-2</v>
      </c>
      <c r="R37" s="39">
        <v>1.4999999999999999E-2</v>
      </c>
      <c r="S37" s="39">
        <v>1.2999999999999999E-2</v>
      </c>
      <c r="T37" s="39">
        <v>0.01</v>
      </c>
      <c r="U37" s="39">
        <v>7.0000000000000001E-3</v>
      </c>
    </row>
    <row r="38" spans="1:21">
      <c r="A38" s="26" t="s">
        <v>105</v>
      </c>
      <c r="B38" s="27" t="e">
        <f>D38*I38/100</f>
        <v>#REF!</v>
      </c>
      <c r="C38" s="99"/>
      <c r="D38" s="39" t="e">
        <f>F38-(F38-E38)*(I38-H38)/(G38-H38)</f>
        <v>#REF!</v>
      </c>
      <c r="E38" s="28" t="e">
        <f>IF(G38=0,L38,HLOOKUP(G38,dinhmuc,$J38,TRUE))</f>
        <v>#REF!</v>
      </c>
      <c r="F38" s="28" t="e">
        <f>IF(H38=0,M38,HLOOKUP(H38,dinhmuc,$J38,TRUE))</f>
        <v>#REF!</v>
      </c>
      <c r="G38" s="29" t="e">
        <f>IF(I38&lt;$L$12,0,INDEX(budget,MATCH(I38,budget,1)))</f>
        <v>#REF!</v>
      </c>
      <c r="H38" s="27" t="e">
        <f>IF(I38&lt;$L$12,$L$12,INDEX(budget,MATCH(I38,budget,1)+1))</f>
        <v>#REF!</v>
      </c>
      <c r="I38" s="27" t="e">
        <f>$D$7</f>
        <v>#REF!</v>
      </c>
      <c r="J38" s="83">
        <v>27</v>
      </c>
      <c r="K38" s="26" t="s">
        <v>106</v>
      </c>
      <c r="L38" s="39">
        <v>8.5000000000000006E-2</v>
      </c>
      <c r="M38" s="39">
        <v>5.3999999999999999E-2</v>
      </c>
      <c r="N38" s="39">
        <v>4.8000000000000001E-2</v>
      </c>
      <c r="O38" s="39">
        <v>3.6999999999999998E-2</v>
      </c>
      <c r="P38" s="39">
        <v>2.8000000000000001E-2</v>
      </c>
      <c r="Q38" s="39">
        <v>1.9E-2</v>
      </c>
      <c r="R38" s="39">
        <v>1.6E-2</v>
      </c>
      <c r="S38" s="39">
        <v>1.4E-2</v>
      </c>
      <c r="T38" s="39"/>
      <c r="U38" s="39"/>
    </row>
    <row r="39" spans="1:21" ht="28.5">
      <c r="A39" s="21" t="s">
        <v>123</v>
      </c>
      <c r="B39" s="45">
        <f>IF(B40&lt;5000000,5000000,B40)</f>
        <v>5000000</v>
      </c>
      <c r="C39" s="101"/>
      <c r="D39" s="46"/>
      <c r="E39" s="46"/>
      <c r="F39" s="46"/>
      <c r="G39" s="32"/>
      <c r="H39" s="45"/>
      <c r="I39" s="45"/>
      <c r="J39" s="83">
        <v>28</v>
      </c>
      <c r="K39" s="21" t="s">
        <v>124</v>
      </c>
      <c r="L39" s="21"/>
      <c r="M39" s="21"/>
      <c r="N39" s="21"/>
      <c r="O39" s="21"/>
      <c r="P39" s="21"/>
      <c r="Q39" s="21"/>
      <c r="R39" s="21"/>
      <c r="S39" s="21"/>
      <c r="T39" s="21"/>
      <c r="U39" s="21"/>
    </row>
    <row r="40" spans="1:21">
      <c r="A40" s="26" t="s">
        <v>103</v>
      </c>
      <c r="B40" s="27">
        <f>D40*I40/100</f>
        <v>0</v>
      </c>
      <c r="C40" s="99"/>
      <c r="D40" s="39">
        <f>F40-(F40-E40)*(I40-H40)/(G40-H40)</f>
        <v>0.36199999999999999</v>
      </c>
      <c r="E40" s="28">
        <f>IF(G40=0,L40,HLOOKUP(G40,dinhmuc,$J40,TRUE))</f>
        <v>0.36199999999999999</v>
      </c>
      <c r="F40" s="28">
        <f>IF(H40=0,M40,HLOOKUP(H40,dinhmuc,$J40,TRUE))</f>
        <v>0.36199999999999999</v>
      </c>
      <c r="G40" s="29">
        <f>IF(I40&lt;$L$12,0,INDEX(budget,MATCH(I40,budget,1)))</f>
        <v>0</v>
      </c>
      <c r="H40" s="27">
        <f>IF(I40&lt;$L$12,$L$12,INDEX(budget,MATCH(I40,budget,1)+1))</f>
        <v>7000000000</v>
      </c>
      <c r="I40" s="27">
        <f>D4</f>
        <v>0</v>
      </c>
      <c r="J40" s="83">
        <v>29</v>
      </c>
      <c r="K40" s="26" t="s">
        <v>104</v>
      </c>
      <c r="L40" s="39">
        <v>0.36199999999999999</v>
      </c>
      <c r="M40" s="39">
        <v>0.33900000000000002</v>
      </c>
      <c r="N40" s="39">
        <v>0.30499999999999999</v>
      </c>
      <c r="O40" s="39">
        <v>0.255</v>
      </c>
      <c r="P40" s="39">
        <v>0.16400000000000001</v>
      </c>
      <c r="Q40" s="39">
        <v>9.9000000000000005E-2</v>
      </c>
      <c r="R40" s="39">
        <v>7.9000000000000001E-2</v>
      </c>
      <c r="S40" s="39">
        <v>6.3E-2</v>
      </c>
      <c r="T40" s="39">
        <v>4.7E-2</v>
      </c>
      <c r="U40" s="39">
        <v>2.8000000000000001E-2</v>
      </c>
    </row>
    <row r="41" spans="1:21" ht="28.5">
      <c r="A41" s="35" t="s">
        <v>125</v>
      </c>
      <c r="B41" s="22" t="e">
        <f>IF(SUM(B42:B43)&lt;5000000,5000000,SUM(B42:B43))</f>
        <v>#REF!</v>
      </c>
      <c r="C41" s="100"/>
      <c r="D41" s="36"/>
      <c r="E41" s="36"/>
      <c r="F41" s="36"/>
      <c r="G41" s="37"/>
      <c r="H41" s="38"/>
      <c r="I41" s="38"/>
      <c r="J41" s="83">
        <v>30</v>
      </c>
      <c r="K41" s="21" t="s">
        <v>126</v>
      </c>
      <c r="L41" s="21"/>
      <c r="M41" s="21"/>
      <c r="N41" s="21"/>
      <c r="O41" s="21"/>
      <c r="P41" s="21"/>
      <c r="Q41" s="21"/>
      <c r="R41" s="21"/>
      <c r="S41" s="21"/>
      <c r="T41" s="21"/>
      <c r="U41" s="21"/>
    </row>
    <row r="42" spans="1:21">
      <c r="A42" s="26" t="s">
        <v>103</v>
      </c>
      <c r="B42" s="27">
        <f>D42*I42/100</f>
        <v>0</v>
      </c>
      <c r="C42" s="99"/>
      <c r="D42" s="39">
        <f>F42-(F42-E42)*(I42-H42)/(G42-H42)</f>
        <v>0.28299999999999997</v>
      </c>
      <c r="E42" s="28">
        <f>IF(G42=0,L42,HLOOKUP(G42,dinhmuc,$J42,TRUE))</f>
        <v>0.28299999999999997</v>
      </c>
      <c r="F42" s="28">
        <f>IF(H42=0,M42,HLOOKUP(H42,dinhmuc,$J42,TRUE))</f>
        <v>0.28299999999999997</v>
      </c>
      <c r="G42" s="29">
        <f>IF(I42&lt;$L$12,0,INDEX(budget,MATCH(I42,budget,1)))</f>
        <v>0</v>
      </c>
      <c r="H42" s="27">
        <f>IF(I42&lt;$L$12,$L$12,INDEX(budget,MATCH(I42,budget,1)+1))</f>
        <v>7000000000</v>
      </c>
      <c r="I42" s="27">
        <f>$D$5</f>
        <v>0</v>
      </c>
      <c r="J42" s="83">
        <v>31</v>
      </c>
      <c r="K42" s="26" t="s">
        <v>104</v>
      </c>
      <c r="L42" s="39">
        <v>0.28299999999999997</v>
      </c>
      <c r="M42" s="39">
        <v>0.22800000000000001</v>
      </c>
      <c r="N42" s="39">
        <v>0.20599999999999999</v>
      </c>
      <c r="O42" s="39">
        <v>0.17199999999999999</v>
      </c>
      <c r="P42" s="39">
        <v>0.12</v>
      </c>
      <c r="Q42" s="39">
        <v>7.8E-2</v>
      </c>
      <c r="R42" s="39">
        <v>7.1999999999999995E-2</v>
      </c>
      <c r="S42" s="39">
        <v>6.4000000000000001E-2</v>
      </c>
      <c r="T42" s="39">
        <v>5.2999999999999999E-2</v>
      </c>
      <c r="U42" s="39">
        <v>4.1000000000000002E-2</v>
      </c>
    </row>
    <row r="43" spans="1:21">
      <c r="A43" s="33" t="s">
        <v>105</v>
      </c>
      <c r="B43" s="27" t="e">
        <f>D43*I43/100</f>
        <v>#REF!</v>
      </c>
      <c r="C43" s="99"/>
      <c r="D43" s="39" t="e">
        <f>F43-(F43-E43)*(I43-H43)/(G43-H43)</f>
        <v>#REF!</v>
      </c>
      <c r="E43" s="28" t="e">
        <f>IF(G43=0,L43,HLOOKUP(G43,dinhmuc,$J43,TRUE))</f>
        <v>#REF!</v>
      </c>
      <c r="F43" s="28" t="e">
        <f>IF(H43=0,M43,HLOOKUP(H43,dinhmuc,$J43,TRUE))</f>
        <v>#REF!</v>
      </c>
      <c r="G43" s="29" t="e">
        <f>IF(I43&lt;$L$12,0,INDEX(budget,MATCH(I43,budget,1)))</f>
        <v>#REF!</v>
      </c>
      <c r="H43" s="27" t="e">
        <f>IF(I43&lt;$L$12,$L$12,INDEX(budget,MATCH(I43,budget,1)+1))</f>
        <v>#REF!</v>
      </c>
      <c r="I43" s="27" t="e">
        <f>$D$6</f>
        <v>#REF!</v>
      </c>
      <c r="J43" s="83">
        <v>32</v>
      </c>
      <c r="K43" s="33" t="s">
        <v>106</v>
      </c>
      <c r="L43" s="48">
        <v>0.40500000000000003</v>
      </c>
      <c r="M43" s="48">
        <v>0.33600000000000002</v>
      </c>
      <c r="N43" s="48">
        <v>0.311</v>
      </c>
      <c r="O43" s="48">
        <v>0.26500000000000001</v>
      </c>
      <c r="P43" s="48">
        <v>0.182</v>
      </c>
      <c r="Q43" s="48">
        <v>0.11899999999999999</v>
      </c>
      <c r="R43" s="48">
        <v>0.109</v>
      </c>
      <c r="S43" s="48">
        <v>0.10199999999999999</v>
      </c>
      <c r="T43" s="48"/>
      <c r="U43" s="48"/>
    </row>
    <row r="44" spans="1:21">
      <c r="A44" s="24" t="s">
        <v>127</v>
      </c>
      <c r="B44" s="49" t="e">
        <f>IF(SUM(B45:B46)*C44&lt;10000000,10000000,SUM(B45:B46)*C44)</f>
        <v>#REF!</v>
      </c>
      <c r="C44" s="102">
        <f>C74</f>
        <v>1</v>
      </c>
      <c r="D44" s="50"/>
      <c r="E44" s="50"/>
      <c r="F44" s="50"/>
      <c r="G44" s="51"/>
      <c r="H44" s="49"/>
      <c r="I44" s="49"/>
      <c r="J44" s="83">
        <v>33</v>
      </c>
      <c r="K44" s="52" t="s">
        <v>128</v>
      </c>
      <c r="L44" s="53"/>
      <c r="M44" s="53"/>
      <c r="N44" s="53"/>
      <c r="O44" s="53"/>
      <c r="P44" s="53"/>
      <c r="Q44" s="53"/>
      <c r="R44" s="53"/>
      <c r="S44" s="53"/>
      <c r="T44" s="53"/>
      <c r="U44" s="54"/>
    </row>
    <row r="45" spans="1:21">
      <c r="A45" s="26" t="s">
        <v>103</v>
      </c>
      <c r="B45" s="27">
        <f>D45*I45/100</f>
        <v>0</v>
      </c>
      <c r="C45" s="99"/>
      <c r="D45" s="28">
        <f>F45-(F45-E45)*(I45-H45)/(G45-H45)</f>
        <v>0.71799999999999997</v>
      </c>
      <c r="E45" s="28">
        <f>IF(G45=0,L45,HLOOKUP(G45,dinhmuc,$J45,TRUE))</f>
        <v>0.71799999999999997</v>
      </c>
      <c r="F45" s="28">
        <f>IF(H45=0,M45,HLOOKUP(H45,dinhmuc,$J45,TRUE))</f>
        <v>0.71799999999999997</v>
      </c>
      <c r="G45" s="29">
        <f>IF(I45&lt;$L$12,0,INDEX(budget,MATCH(I45,budget,1)))</f>
        <v>0</v>
      </c>
      <c r="H45" s="27">
        <f>IF(I45&lt;$L$12,$L$12,INDEX(budget,MATCH(I45,budget,1)+1))</f>
        <v>7000000000</v>
      </c>
      <c r="I45" s="27">
        <f>$D$5</f>
        <v>0</v>
      </c>
      <c r="J45" s="83">
        <v>34</v>
      </c>
      <c r="K45" s="26" t="s">
        <v>104</v>
      </c>
      <c r="L45" s="39">
        <v>0.71799999999999997</v>
      </c>
      <c r="M45" s="39">
        <v>0.60199999999999998</v>
      </c>
      <c r="N45" s="39">
        <v>0.58299999999999996</v>
      </c>
      <c r="O45" s="39">
        <v>0.52329999999999999</v>
      </c>
      <c r="P45" s="39">
        <v>0.46800000000000003</v>
      </c>
      <c r="Q45" s="39">
        <v>0.311</v>
      </c>
      <c r="R45" s="39">
        <v>0.27800000000000002</v>
      </c>
      <c r="S45" s="39">
        <v>0.25</v>
      </c>
      <c r="T45" s="39">
        <v>0.217</v>
      </c>
      <c r="U45" s="39">
        <v>0.14299999999999999</v>
      </c>
    </row>
    <row r="46" spans="1:21">
      <c r="A46" s="142" t="s">
        <v>105</v>
      </c>
      <c r="B46" s="143" t="e">
        <f>D46*I46/100</f>
        <v>#REF!</v>
      </c>
      <c r="C46" s="99"/>
      <c r="D46" s="28" t="e">
        <f>F46-(F46-E46)*(I46-H46)/(G46-H46)</f>
        <v>#REF!</v>
      </c>
      <c r="E46" s="28" t="e">
        <f>IF(G46=0,L46,HLOOKUP(G46,dinhmuc,$J46,TRUE))</f>
        <v>#REF!</v>
      </c>
      <c r="F46" s="28" t="e">
        <f>IF(H46=0,M46,HLOOKUP(H46,dinhmuc,$J46,TRUE))</f>
        <v>#REF!</v>
      </c>
      <c r="G46" s="29" t="e">
        <f>IF(I46&lt;$L$12,0,INDEX(budget,MATCH(I46,budget,1)))</f>
        <v>#REF!</v>
      </c>
      <c r="H46" s="27" t="e">
        <f>IF(I46&lt;$L$12,$L$12,INDEX(budget,MATCH(I46,budget,1)+1))</f>
        <v>#REF!</v>
      </c>
      <c r="I46" s="27" t="e">
        <f>$D$6</f>
        <v>#REF!</v>
      </c>
      <c r="J46" s="83">
        <v>35</v>
      </c>
      <c r="K46" s="26" t="s">
        <v>106</v>
      </c>
      <c r="L46" s="39">
        <v>2.0630000000000002</v>
      </c>
      <c r="M46" s="39">
        <v>1.931</v>
      </c>
      <c r="N46" s="39">
        <v>1.833</v>
      </c>
      <c r="O46" s="39">
        <v>1.736</v>
      </c>
      <c r="P46" s="39">
        <v>1.595</v>
      </c>
      <c r="Q46" s="39">
        <v>1.22</v>
      </c>
      <c r="R46" s="39">
        <v>1.091</v>
      </c>
      <c r="S46" s="39">
        <v>0.95599999999999996</v>
      </c>
      <c r="T46" s="39"/>
      <c r="U46" s="39"/>
    </row>
    <row r="47" spans="1:21">
      <c r="A47" s="123" t="s">
        <v>129</v>
      </c>
      <c r="B47" s="124" t="e">
        <f>MAX(I47*D47/100,1000000)</f>
        <v>#REF!</v>
      </c>
      <c r="C47" s="103"/>
      <c r="D47" s="107">
        <v>0.05</v>
      </c>
      <c r="E47" s="57"/>
      <c r="F47" s="57"/>
      <c r="G47" s="58"/>
      <c r="H47" s="55"/>
      <c r="I47" s="55" t="e">
        <f>$D$3</f>
        <v>#REF!</v>
      </c>
      <c r="K47" s="387" t="s">
        <v>130</v>
      </c>
      <c r="L47" s="387"/>
      <c r="M47" s="387"/>
      <c r="N47" s="387"/>
      <c r="O47" s="387"/>
    </row>
    <row r="48" spans="1:21">
      <c r="A48" s="123" t="s">
        <v>131</v>
      </c>
      <c r="B48" s="124" t="e">
        <f>MAX(I48*D48/100,1000000)</f>
        <v>#REF!</v>
      </c>
      <c r="C48" s="103"/>
      <c r="D48" s="107">
        <v>0.05</v>
      </c>
      <c r="E48" s="57"/>
      <c r="F48" s="57"/>
      <c r="G48" s="58"/>
      <c r="H48" s="55"/>
      <c r="I48" s="55" t="e">
        <f>$D$3</f>
        <v>#REF!</v>
      </c>
      <c r="J48" s="83">
        <v>1</v>
      </c>
      <c r="K48" s="60" t="s">
        <v>132</v>
      </c>
      <c r="L48" s="61">
        <v>5000000000</v>
      </c>
      <c r="M48" s="61">
        <v>10000000000</v>
      </c>
      <c r="N48" s="61">
        <v>50000000000</v>
      </c>
      <c r="O48" s="61">
        <v>100000000000</v>
      </c>
      <c r="P48" s="61">
        <v>500000000000</v>
      </c>
      <c r="Q48" s="61">
        <v>1000000000000</v>
      </c>
      <c r="R48" s="61">
        <v>10000000000000</v>
      </c>
      <c r="S48" s="96"/>
      <c r="T48" s="96"/>
    </row>
    <row r="49" spans="1:18">
      <c r="A49" s="121" t="s">
        <v>133</v>
      </c>
      <c r="B49" s="122" t="e">
        <f>IF(I49*D49/100*C49&lt;500000,500000,I49*D49/100*C49)</f>
        <v>#REF!</v>
      </c>
      <c r="C49" s="104">
        <f>C77*C78</f>
        <v>0.35</v>
      </c>
      <c r="D49" s="64" t="e">
        <f>F49-(F49-E49)*(I49-H49)/(G49-H49)</f>
        <v>#REF!</v>
      </c>
      <c r="E49" s="28" t="e">
        <f>IF(G49=0,L49,HLOOKUP(G49,pdqt,$J49,TRUE))</f>
        <v>#REF!</v>
      </c>
      <c r="F49" s="28" t="e">
        <f>IF(H49=0,M49,HLOOKUP(H49,pdqt,$J49,TRUE))</f>
        <v>#REF!</v>
      </c>
      <c r="G49" s="29" t="e">
        <f>IF(I49&lt;$L$48,0,INDEX(budget2,MATCH(I49,budget2,1)))</f>
        <v>#REF!</v>
      </c>
      <c r="H49" s="29" t="e">
        <f>IF(I49&lt;$L$48,$L$48,INDEX(budget2,MATCH(I49,budget2,1)+1))</f>
        <v>#REF!</v>
      </c>
      <c r="I49" s="106" t="e">
        <f>$D$1</f>
        <v>#REF!</v>
      </c>
      <c r="J49" s="83">
        <v>2</v>
      </c>
      <c r="K49" s="26" t="s">
        <v>134</v>
      </c>
      <c r="L49" s="66">
        <v>0.56999999999999995</v>
      </c>
      <c r="M49" s="66">
        <v>0.39</v>
      </c>
      <c r="N49" s="66">
        <v>0.28499999999999998</v>
      </c>
      <c r="O49" s="66">
        <v>0.22500000000000001</v>
      </c>
      <c r="P49" s="66">
        <v>0.13500000000000001</v>
      </c>
      <c r="Q49" s="66">
        <v>0.09</v>
      </c>
      <c r="R49" s="66">
        <v>4.8000000000000001E-2</v>
      </c>
    </row>
    <row r="50" spans="1:18">
      <c r="A50" s="121" t="s">
        <v>135</v>
      </c>
      <c r="B50" s="122" t="e">
        <f>IF(I50*D50/100*C50&lt;1000000,1000000,I50*D50/100*C50)</f>
        <v>#REF!</v>
      </c>
      <c r="C50" s="104">
        <f>C77</f>
        <v>0.7</v>
      </c>
      <c r="D50" s="64" t="e">
        <f>F50-(F50-E50)*(I50-H50)/(G50-H50)</f>
        <v>#REF!</v>
      </c>
      <c r="E50" s="28" t="e">
        <f>IF(G50=0,L50,HLOOKUP(G50,pdqt,$J50,TRUE))</f>
        <v>#REF!</v>
      </c>
      <c r="F50" s="28" t="e">
        <f>IF(H50=0,M50,HLOOKUP(H50,pdqt,$J50,TRUE))</f>
        <v>#REF!</v>
      </c>
      <c r="G50" s="29" t="e">
        <f>IF(I50&lt;$L$48,0,INDEX(budget2,MATCH(I50,budget2,1)))</f>
        <v>#REF!</v>
      </c>
      <c r="H50" s="29" t="e">
        <f>IF(I50&lt;$L$48,$L$48,INDEX(budget2,MATCH(I50,budget2,1)+1))</f>
        <v>#REF!</v>
      </c>
      <c r="I50" s="106" t="e">
        <f>$D$1</f>
        <v>#REF!</v>
      </c>
      <c r="J50" s="83">
        <v>3</v>
      </c>
      <c r="K50" s="26" t="s">
        <v>136</v>
      </c>
      <c r="L50" s="66">
        <v>0.96</v>
      </c>
      <c r="M50" s="66">
        <v>0.64500000000000002</v>
      </c>
      <c r="N50" s="66">
        <v>0.45</v>
      </c>
      <c r="O50" s="66">
        <v>0.34499999999999997</v>
      </c>
      <c r="P50" s="66">
        <v>0.19500000000000001</v>
      </c>
      <c r="Q50" s="66">
        <v>0.219</v>
      </c>
      <c r="R50" s="66">
        <v>6.9000000000000006E-2</v>
      </c>
    </row>
    <row r="51" spans="1:18">
      <c r="A51" s="391"/>
      <c r="B51" s="391"/>
      <c r="C51" s="391"/>
      <c r="D51" s="391"/>
      <c r="E51" s="391"/>
      <c r="F51" s="391"/>
      <c r="G51" s="391"/>
      <c r="H51" s="391"/>
      <c r="I51" s="391"/>
    </row>
    <row r="52" spans="1:18">
      <c r="H52" s="68"/>
    </row>
    <row r="53" spans="1:18">
      <c r="A53" s="118" t="s">
        <v>137</v>
      </c>
      <c r="B53" s="119"/>
      <c r="C53" s="119"/>
    </row>
    <row r="54" spans="1:18">
      <c r="A54" s="108" t="s">
        <v>138</v>
      </c>
      <c r="B54" s="17">
        <v>0</v>
      </c>
      <c r="C54" s="125">
        <f>IF(B54=0,1,1.35)</f>
        <v>1</v>
      </c>
      <c r="E54" s="69"/>
    </row>
    <row r="55" spans="1:18" ht="30">
      <c r="A55" s="108" t="s">
        <v>139</v>
      </c>
      <c r="B55" s="17">
        <v>0</v>
      </c>
      <c r="C55" s="125">
        <f>IF(B55=0,1,1.25)</f>
        <v>1</v>
      </c>
    </row>
    <row r="56" spans="1:18" ht="75">
      <c r="A56" s="108" t="s">
        <v>140</v>
      </c>
      <c r="B56" s="17">
        <v>0</v>
      </c>
      <c r="C56" s="125">
        <f>IF(B56=0,1,0.8)</f>
        <v>1</v>
      </c>
    </row>
    <row r="58" spans="1:18">
      <c r="A58" s="118" t="s">
        <v>141</v>
      </c>
      <c r="B58" s="120"/>
      <c r="C58" s="120"/>
    </row>
    <row r="59" spans="1:18" ht="30">
      <c r="A59" s="108" t="s">
        <v>142</v>
      </c>
      <c r="B59" s="17">
        <v>0</v>
      </c>
      <c r="C59" s="125">
        <f>IF(B59=0,1,1.2)</f>
        <v>1</v>
      </c>
    </row>
    <row r="60" spans="1:18" ht="30">
      <c r="A60" s="108" t="s">
        <v>143</v>
      </c>
      <c r="B60" s="17">
        <v>0</v>
      </c>
      <c r="C60" s="125">
        <f>IF(B60=0,1,0.75)</f>
        <v>1</v>
      </c>
    </row>
    <row r="61" spans="1:18" ht="30">
      <c r="A61" s="108" t="s">
        <v>139</v>
      </c>
      <c r="B61" s="17">
        <v>0</v>
      </c>
      <c r="C61" s="125">
        <f>IF(B61=0,1,1.3)</f>
        <v>1</v>
      </c>
    </row>
    <row r="62" spans="1:18" ht="75">
      <c r="A62" s="108" t="s">
        <v>140</v>
      </c>
      <c r="B62" s="17">
        <v>0</v>
      </c>
      <c r="C62" s="125">
        <f>IF(B62=0,1,0.7)</f>
        <v>1</v>
      </c>
    </row>
    <row r="64" spans="1:18">
      <c r="A64" s="118" t="s">
        <v>144</v>
      </c>
      <c r="B64" s="119"/>
      <c r="C64" s="119"/>
    </row>
    <row r="65" spans="1:3" ht="30">
      <c r="A65" s="108" t="s">
        <v>145</v>
      </c>
      <c r="B65" s="17">
        <v>0</v>
      </c>
      <c r="C65" s="125">
        <f>IF(B65=0,1,1.15)</f>
        <v>1</v>
      </c>
    </row>
    <row r="66" spans="1:3" ht="45">
      <c r="A66" s="108" t="s">
        <v>146</v>
      </c>
      <c r="B66" s="17">
        <v>0</v>
      </c>
      <c r="C66" s="125">
        <f>IF(B66=0,1,1.2)</f>
        <v>1</v>
      </c>
    </row>
    <row r="67" spans="1:3" ht="30">
      <c r="A67" s="108" t="s">
        <v>147</v>
      </c>
      <c r="B67" s="17">
        <v>0</v>
      </c>
      <c r="C67" s="125">
        <f>IF(B67=0,1,0.36)</f>
        <v>1</v>
      </c>
    </row>
    <row r="68" spans="1:3" ht="30">
      <c r="A68" s="108" t="s">
        <v>148</v>
      </c>
      <c r="B68" s="17">
        <v>0</v>
      </c>
      <c r="C68" s="125">
        <f>IF(B68=0,1,0.18)</f>
        <v>1</v>
      </c>
    </row>
    <row r="69" spans="1:3" ht="30">
      <c r="A69" s="108" t="s">
        <v>149</v>
      </c>
      <c r="B69" s="17">
        <v>0</v>
      </c>
      <c r="C69" s="125">
        <f>IF(B69=0,1,0.36)</f>
        <v>1</v>
      </c>
    </row>
    <row r="70" spans="1:3" ht="30">
      <c r="A70" s="108" t="s">
        <v>150</v>
      </c>
      <c r="B70" s="17">
        <v>0</v>
      </c>
      <c r="C70" s="125">
        <f>IF(B70=0,1,0.18)</f>
        <v>1</v>
      </c>
    </row>
    <row r="71" spans="1:3" ht="75">
      <c r="A71" s="108" t="s">
        <v>140</v>
      </c>
      <c r="B71" s="17">
        <v>0</v>
      </c>
      <c r="C71" s="125">
        <f>IF(B71=0,1,0.67)</f>
        <v>1</v>
      </c>
    </row>
    <row r="73" spans="1:3">
      <c r="A73" s="118" t="s">
        <v>151</v>
      </c>
      <c r="B73" s="119"/>
      <c r="C73" s="119"/>
    </row>
    <row r="74" spans="1:3" ht="75">
      <c r="A74" s="108" t="s">
        <v>140</v>
      </c>
      <c r="B74" s="17">
        <v>0</v>
      </c>
      <c r="C74" s="125">
        <f>IF(B74=0,1,0.67)</f>
        <v>1</v>
      </c>
    </row>
    <row r="76" spans="1:3">
      <c r="A76" s="118" t="s">
        <v>152</v>
      </c>
      <c r="B76" s="119"/>
      <c r="C76" s="119"/>
    </row>
    <row r="77" spans="1:3" ht="30">
      <c r="A77" s="108" t="s">
        <v>153</v>
      </c>
      <c r="B77" s="17">
        <v>1</v>
      </c>
      <c r="C77" s="125">
        <f>IF(B77=0,1,0.7)</f>
        <v>0.7</v>
      </c>
    </row>
    <row r="78" spans="1:3">
      <c r="A78" s="108" t="s">
        <v>154</v>
      </c>
      <c r="B78" s="17">
        <v>1</v>
      </c>
      <c r="C78" s="125">
        <f>IF(B78=0,1,0.5)</f>
        <v>0.5</v>
      </c>
    </row>
  </sheetData>
  <sheetProtection formatCells="0" formatColumns="0" formatRows="0" insertColumns="0" insertRows="0" insertHyperlinks="0" deleteColumns="0" deleteRows="0" sort="0" autoFilter="0" pivotTables="0"/>
  <mergeCells count="12">
    <mergeCell ref="A9:I9"/>
    <mergeCell ref="K9:O9"/>
    <mergeCell ref="L11:U11"/>
    <mergeCell ref="K47:O47"/>
    <mergeCell ref="A51:I51"/>
    <mergeCell ref="B1:C1"/>
    <mergeCell ref="B3:C3"/>
    <mergeCell ref="B5:C5"/>
    <mergeCell ref="B6:C6"/>
    <mergeCell ref="B7:C7"/>
    <mergeCell ref="B2:C2"/>
    <mergeCell ref="B4:C4"/>
  </mergeCells>
  <dataValidations count="1">
    <dataValidation type="list" allowBlank="1" showInputMessage="1" showErrorMessage="1" sqref="B65:B71 B54:B56 B59:B62 B74 B77:B78" xr:uid="{00000000-0002-0000-0200-000000000000}">
      <formula1>"0,1"</formula1>
    </dataValidation>
  </dataValidations>
  <pageMargins left="0.46" right="0.7" top="0.71" bottom="0.75" header="0.3" footer="0.3"/>
  <pageSetup paperSize="9" scale="6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election activeCell="E17" sqref="E17"/>
    </sheetView>
  </sheetViews>
  <sheetFormatPr defaultColWidth="8.7109375" defaultRowHeight="15"/>
  <cols>
    <col min="1" max="1" width="4.28515625" customWidth="1"/>
    <col min="2" max="2" width="28.7109375" customWidth="1"/>
    <col min="3" max="3" width="17.42578125" customWidth="1"/>
    <col min="4" max="4" width="14.42578125" customWidth="1"/>
  </cols>
  <sheetData>
    <row r="1" spans="1:5" ht="18.75">
      <c r="A1" s="392" t="s">
        <v>164</v>
      </c>
      <c r="B1" s="393"/>
      <c r="C1" s="393"/>
      <c r="D1" s="393"/>
      <c r="E1" s="393"/>
    </row>
    <row r="2" spans="1:5">
      <c r="A2" s="132"/>
      <c r="B2" s="132"/>
      <c r="C2" s="132"/>
      <c r="D2" s="132"/>
      <c r="E2" s="132"/>
    </row>
    <row r="3" spans="1:5" ht="15.75">
      <c r="A3" s="133" t="s">
        <v>48</v>
      </c>
      <c r="B3" s="133" t="s">
        <v>165</v>
      </c>
      <c r="C3" s="133" t="s">
        <v>166</v>
      </c>
      <c r="D3" s="133" t="s">
        <v>155</v>
      </c>
      <c r="E3" s="133" t="s">
        <v>167</v>
      </c>
    </row>
    <row r="4" spans="1:5" ht="15.75">
      <c r="A4" s="134">
        <v>1</v>
      </c>
      <c r="B4" s="135" t="s">
        <v>168</v>
      </c>
      <c r="C4" s="136" t="s">
        <v>169</v>
      </c>
      <c r="D4" s="137" t="e">
        <f>#REF!*#REF!</f>
        <v>#REF!</v>
      </c>
      <c r="E4" s="134" t="s">
        <v>170</v>
      </c>
    </row>
    <row r="5" spans="1:5" ht="15.75">
      <c r="A5" s="134">
        <v>2</v>
      </c>
      <c r="B5" s="135" t="s">
        <v>158</v>
      </c>
      <c r="C5" s="134" t="s">
        <v>171</v>
      </c>
      <c r="D5" s="137" t="e">
        <f>D4*65%</f>
        <v>#REF!</v>
      </c>
      <c r="E5" s="134" t="s">
        <v>159</v>
      </c>
    </row>
    <row r="6" spans="1:5" ht="15.75">
      <c r="A6" s="134">
        <v>3</v>
      </c>
      <c r="B6" s="135" t="s">
        <v>160</v>
      </c>
      <c r="C6" s="134" t="s">
        <v>172</v>
      </c>
      <c r="D6" s="137" t="e">
        <f>(D4+D5)*6%</f>
        <v>#REF!</v>
      </c>
      <c r="E6" s="134" t="s">
        <v>161</v>
      </c>
    </row>
    <row r="7" spans="1:5" ht="15.75">
      <c r="A7" s="134">
        <v>4</v>
      </c>
      <c r="B7" s="135" t="s">
        <v>72</v>
      </c>
      <c r="C7" s="134" t="s">
        <v>163</v>
      </c>
      <c r="D7" s="137" t="e">
        <f>SUM(D4:D6)</f>
        <v>#REF!</v>
      </c>
      <c r="E7" s="134" t="s">
        <v>173</v>
      </c>
    </row>
    <row r="8" spans="1:5" ht="15.75">
      <c r="A8" s="138"/>
      <c r="B8" s="139" t="s">
        <v>41</v>
      </c>
      <c r="C8" s="139" t="s">
        <v>173</v>
      </c>
      <c r="D8" s="140" t="e">
        <f>ROUND(D7,-3)</f>
        <v>#REF!</v>
      </c>
      <c r="E8" s="141"/>
    </row>
  </sheetData>
  <mergeCells count="1">
    <mergeCell ref="A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E1557"/>
  <sheetViews>
    <sheetView tabSelected="1" zoomScale="85" zoomScaleNormal="85" workbookViewId="0">
      <pane ySplit="1" topLeftCell="A3" activePane="bottomLeft" state="frozen"/>
      <selection activeCell="I14" sqref="I14"/>
      <selection pane="bottomLeft" activeCell="I24" sqref="I24"/>
    </sheetView>
  </sheetViews>
  <sheetFormatPr defaultColWidth="14.42578125" defaultRowHeight="16.5" outlineLevelRow="1"/>
  <cols>
    <col min="1" max="1" width="11.28515625" style="268" bestFit="1" customWidth="1"/>
    <col min="2" max="2" width="22.140625" style="277" customWidth="1"/>
    <col min="3" max="3" width="18.85546875" style="277" customWidth="1"/>
    <col min="4" max="4" width="19.5703125" style="225" customWidth="1"/>
    <col min="5" max="5" width="71.7109375" style="344" customWidth="1"/>
    <col min="6" max="9" width="8.42578125" style="225" customWidth="1"/>
    <col min="10" max="16384" width="14.42578125" style="225"/>
  </cols>
  <sheetData>
    <row r="1" spans="1:5" ht="33">
      <c r="A1" s="226" t="s">
        <v>0</v>
      </c>
      <c r="B1" s="295" t="s">
        <v>251</v>
      </c>
      <c r="C1" s="226" t="s">
        <v>252</v>
      </c>
      <c r="D1" s="226" t="s">
        <v>253</v>
      </c>
      <c r="E1" s="226" t="s">
        <v>254</v>
      </c>
    </row>
    <row r="2" spans="1:5">
      <c r="A2" s="227" t="s">
        <v>55</v>
      </c>
      <c r="B2" s="296" t="s">
        <v>175</v>
      </c>
      <c r="C2" s="273"/>
      <c r="D2" s="229"/>
      <c r="E2" s="229"/>
    </row>
    <row r="3" spans="1:5" ht="49.5">
      <c r="A3" s="280">
        <f>IF(AND(B3&lt;&gt;"",C3&lt;&gt;""),MAX($A$1:A2)+1,"")</f>
        <v>1</v>
      </c>
      <c r="B3" s="238" t="s">
        <v>1109</v>
      </c>
      <c r="C3" s="275" t="s">
        <v>255</v>
      </c>
      <c r="D3" s="230"/>
      <c r="E3" s="336"/>
    </row>
    <row r="4" spans="1:5" ht="66">
      <c r="A4" s="231" t="str">
        <f>IF(AND(B4&lt;&gt;"",C4&lt;&gt;""),MAX($A1:A$5)+1,"")</f>
        <v/>
      </c>
      <c r="B4" s="260"/>
      <c r="C4" s="275"/>
      <c r="D4" s="230"/>
      <c r="E4" s="336" t="s">
        <v>1110</v>
      </c>
    </row>
    <row r="5" spans="1:5" ht="49.5">
      <c r="A5" s="231" t="str">
        <f>IF(AND(B5&lt;&gt;"",C5&lt;&gt;""),MAX($A2:A$5)+1,"")</f>
        <v/>
      </c>
      <c r="B5" s="260"/>
      <c r="C5" s="275"/>
      <c r="D5" s="232"/>
      <c r="E5" s="336" t="s">
        <v>1143</v>
      </c>
    </row>
    <row r="6" spans="1:5" ht="49.5">
      <c r="A6" s="231" t="str">
        <f>IF(AND(B6&lt;&gt;"",C6&lt;&gt;""),MAX($A3:A$5)+1,"")</f>
        <v/>
      </c>
      <c r="B6" s="260"/>
      <c r="C6" s="275"/>
      <c r="D6" s="232"/>
      <c r="E6" s="336" t="s">
        <v>1144</v>
      </c>
    </row>
    <row r="7" spans="1:5" ht="66">
      <c r="A7" s="231" t="str">
        <f>IF(AND(B7&lt;&gt;"",C7&lt;&gt;""),MAX($A$5:A5)+1,"")</f>
        <v/>
      </c>
      <c r="B7" s="260"/>
      <c r="C7" s="275"/>
      <c r="D7" s="232"/>
      <c r="E7" s="336" t="s">
        <v>1161</v>
      </c>
    </row>
    <row r="8" spans="1:5" ht="49.5">
      <c r="A8" s="231"/>
      <c r="B8" s="260"/>
      <c r="C8" s="275"/>
      <c r="D8" s="232"/>
      <c r="E8" s="336" t="s">
        <v>1162</v>
      </c>
    </row>
    <row r="9" spans="1:5" ht="49.5">
      <c r="A9" s="231"/>
      <c r="B9" s="260"/>
      <c r="C9" s="275"/>
      <c r="D9" s="232"/>
      <c r="E9" s="336" t="s">
        <v>1111</v>
      </c>
    </row>
    <row r="10" spans="1:5" ht="49.5">
      <c r="A10" s="231"/>
      <c r="B10" s="260"/>
      <c r="C10" s="275"/>
      <c r="D10" s="232"/>
      <c r="E10" s="336" t="s">
        <v>1112</v>
      </c>
    </row>
    <row r="11" spans="1:5" ht="49.5">
      <c r="A11" s="231"/>
      <c r="B11" s="260"/>
      <c r="C11" s="275"/>
      <c r="D11" s="232"/>
      <c r="E11" s="336" t="s">
        <v>1113</v>
      </c>
    </row>
    <row r="12" spans="1:5" ht="33">
      <c r="A12" s="280">
        <f>IF(AND(B12&lt;&gt;"",C12&lt;&gt;""),MAX($A$1:A10)+1,"")</f>
        <v>2</v>
      </c>
      <c r="B12" s="238" t="s">
        <v>256</v>
      </c>
      <c r="C12" s="275" t="s">
        <v>255</v>
      </c>
      <c r="D12" s="230"/>
      <c r="E12" s="246"/>
    </row>
    <row r="13" spans="1:5" ht="49.5">
      <c r="A13" s="280" t="str">
        <f>IF(AND(B13&lt;&gt;"",C13&lt;&gt;""),MAX($A$1:A11)+1,"")</f>
        <v/>
      </c>
      <c r="B13" s="297"/>
      <c r="C13" s="354"/>
      <c r="D13" s="232"/>
      <c r="E13" s="336" t="s">
        <v>1114</v>
      </c>
    </row>
    <row r="14" spans="1:5" ht="33">
      <c r="A14" s="280" t="str">
        <f>IF(AND(B14&lt;&gt;"",C14&lt;&gt;""),MAX($A$1:A12)+1,"")</f>
        <v/>
      </c>
      <c r="B14" s="260"/>
      <c r="C14" s="275"/>
      <c r="D14" s="232"/>
      <c r="E14" s="336" t="s">
        <v>1145</v>
      </c>
    </row>
    <row r="15" spans="1:5" ht="49.5">
      <c r="A15" s="280" t="str">
        <f>IF(AND(B15&lt;&gt;"",C15&lt;&gt;""),MAX($A$1:A13)+1,"")</f>
        <v/>
      </c>
      <c r="B15" s="260"/>
      <c r="C15" s="275"/>
      <c r="D15" s="232"/>
      <c r="E15" s="336" t="s">
        <v>1146</v>
      </c>
    </row>
    <row r="16" spans="1:5" ht="49.5">
      <c r="A16" s="280" t="str">
        <f>IF(AND(B16&lt;&gt;"",C16&lt;&gt;""),MAX($A$1:A14)+1,"")</f>
        <v/>
      </c>
      <c r="B16" s="260"/>
      <c r="C16" s="275"/>
      <c r="D16" s="230"/>
      <c r="E16" s="336" t="s">
        <v>1164</v>
      </c>
    </row>
    <row r="17" spans="1:5" ht="49.5">
      <c r="A17" s="280" t="str">
        <f>IF(AND(B17&lt;&gt;"",C17&lt;&gt;""),MAX($A$1:A15)+1,"")</f>
        <v/>
      </c>
      <c r="B17" s="260"/>
      <c r="C17" s="275"/>
      <c r="D17" s="230"/>
      <c r="E17" s="336" t="s">
        <v>1174</v>
      </c>
    </row>
    <row r="18" spans="1:5" ht="33">
      <c r="A18" s="280" t="str">
        <f>IF(AND(B18&lt;&gt;"",C18&lt;&gt;""),MAX($A$1:A16)+1,"")</f>
        <v/>
      </c>
      <c r="B18" s="260"/>
      <c r="C18" s="275"/>
      <c r="D18" s="230"/>
      <c r="E18" s="336" t="s">
        <v>386</v>
      </c>
    </row>
    <row r="19" spans="1:5" ht="33">
      <c r="A19" s="280" t="str">
        <f>IF(AND(B19&lt;&gt;"",C19&lt;&gt;""),MAX($A$1:A17)+1,"")</f>
        <v/>
      </c>
      <c r="B19" s="260"/>
      <c r="C19" s="275"/>
      <c r="D19" s="230"/>
      <c r="E19" s="336" t="s">
        <v>387</v>
      </c>
    </row>
    <row r="20" spans="1:5" ht="33">
      <c r="A20" s="280" t="str">
        <f>IF(AND(B20&lt;&gt;"",C20&lt;&gt;""),MAX($A$1:A18)+1,"")</f>
        <v/>
      </c>
      <c r="B20" s="260"/>
      <c r="C20" s="275"/>
      <c r="D20" s="230"/>
      <c r="E20" s="336" t="s">
        <v>388</v>
      </c>
    </row>
    <row r="21" spans="1:5" ht="33">
      <c r="A21" s="280">
        <f>IF(AND(B21&lt;&gt;"",C21&lt;&gt;""),MAX($A$1:A19)+1,"")</f>
        <v>3</v>
      </c>
      <c r="B21" s="238" t="s">
        <v>1115</v>
      </c>
      <c r="C21" s="275" t="s">
        <v>255</v>
      </c>
      <c r="D21" s="232"/>
      <c r="E21" s="147"/>
    </row>
    <row r="22" spans="1:5" ht="49.5">
      <c r="A22" s="280" t="str">
        <f>IF(AND(B22&lt;&gt;"",C22&lt;&gt;""),MAX($A$1:A20)+1,"")</f>
        <v/>
      </c>
      <c r="B22" s="260"/>
      <c r="C22" s="275"/>
      <c r="D22" s="232"/>
      <c r="E22" s="336" t="s">
        <v>1116</v>
      </c>
    </row>
    <row r="23" spans="1:5" ht="33">
      <c r="A23" s="280" t="str">
        <f>IF(AND(B23&lt;&gt;"",C23&lt;&gt;""),MAX($A$1:A21)+1,"")</f>
        <v/>
      </c>
      <c r="B23" s="260"/>
      <c r="C23" s="275"/>
      <c r="D23" s="232"/>
      <c r="E23" s="336" t="s">
        <v>1147</v>
      </c>
    </row>
    <row r="24" spans="1:5" ht="49.5">
      <c r="A24" s="280" t="str">
        <f>IF(AND(B24&lt;&gt;"",C24&lt;&gt;""),MAX($A$1:A22)+1,"")</f>
        <v/>
      </c>
      <c r="B24" s="260"/>
      <c r="C24" s="275"/>
      <c r="D24" s="232"/>
      <c r="E24" s="336" t="s">
        <v>1148</v>
      </c>
    </row>
    <row r="25" spans="1:5" ht="49.5">
      <c r="A25" s="280" t="str">
        <f>IF(AND(B25&lt;&gt;"",C25&lt;&gt;""),MAX($A$1:A23)+1,"")</f>
        <v/>
      </c>
      <c r="B25" s="260"/>
      <c r="C25" s="275"/>
      <c r="D25" s="232"/>
      <c r="E25" s="336" t="s">
        <v>1165</v>
      </c>
    </row>
    <row r="26" spans="1:5" ht="49.5">
      <c r="A26" s="280" t="str">
        <f>IF(AND(B26&lt;&gt;"",C26&lt;&gt;""),MAX($A$1:A24)+1,"")</f>
        <v/>
      </c>
      <c r="B26" s="260"/>
      <c r="C26" s="275"/>
      <c r="D26" s="232"/>
      <c r="E26" s="336" t="s">
        <v>1175</v>
      </c>
    </row>
    <row r="27" spans="1:5" ht="33">
      <c r="A27" s="280" t="str">
        <f>IF(AND(B27&lt;&gt;"",C27&lt;&gt;""),MAX($A$1:A25)+1,"")</f>
        <v/>
      </c>
      <c r="B27" s="260"/>
      <c r="C27" s="275"/>
      <c r="D27" s="232"/>
      <c r="E27" s="336" t="s">
        <v>1117</v>
      </c>
    </row>
    <row r="28" spans="1:5" ht="33">
      <c r="A28" s="280" t="str">
        <f>IF(AND(B28&lt;&gt;"",C28&lt;&gt;""),MAX($A$1:A26)+1,"")</f>
        <v/>
      </c>
      <c r="B28" s="260"/>
      <c r="C28" s="275"/>
      <c r="D28" s="232"/>
      <c r="E28" s="336" t="s">
        <v>1118</v>
      </c>
    </row>
    <row r="29" spans="1:5" ht="33">
      <c r="A29" s="280" t="str">
        <f>IF(AND(B29&lt;&gt;"",C29&lt;&gt;""),MAX($A$1:A27)+1,"")</f>
        <v/>
      </c>
      <c r="B29" s="260"/>
      <c r="C29" s="275"/>
      <c r="D29" s="232"/>
      <c r="E29" s="336" t="s">
        <v>1119</v>
      </c>
    </row>
    <row r="30" spans="1:5" ht="33">
      <c r="A30" s="280">
        <f>IF(AND(B30&lt;&gt;"",C30&lt;&gt;""),MAX($A$1:A28)+1,"")</f>
        <v>4</v>
      </c>
      <c r="B30" s="238" t="s">
        <v>1120</v>
      </c>
      <c r="C30" s="275" t="s">
        <v>255</v>
      </c>
      <c r="D30" s="232"/>
      <c r="E30" s="147"/>
    </row>
    <row r="31" spans="1:5" ht="66">
      <c r="A31" s="280" t="str">
        <f>IF(AND(B31&lt;&gt;"",C31&lt;&gt;""),MAX($A$1:A29)+1,"")</f>
        <v/>
      </c>
      <c r="B31" s="260"/>
      <c r="C31" s="275"/>
      <c r="D31" s="232"/>
      <c r="E31" s="336" t="s">
        <v>1121</v>
      </c>
    </row>
    <row r="32" spans="1:5" ht="49.5">
      <c r="A32" s="280" t="str">
        <f>IF(AND(B32&lt;&gt;"",C32&lt;&gt;""),MAX($A$1:A30)+1,"")</f>
        <v/>
      </c>
      <c r="B32" s="260"/>
      <c r="C32" s="275"/>
      <c r="D32" s="233"/>
      <c r="E32" s="336" t="s">
        <v>1149</v>
      </c>
    </row>
    <row r="33" spans="1:5" ht="49.5">
      <c r="A33" s="280" t="str">
        <f>IF(AND(B33&lt;&gt;"",C33&lt;&gt;""),MAX($A$1:A31)+1,"")</f>
        <v/>
      </c>
      <c r="B33" s="260"/>
      <c r="C33" s="275"/>
      <c r="D33" s="235"/>
      <c r="E33" s="336" t="s">
        <v>1150</v>
      </c>
    </row>
    <row r="34" spans="1:5" ht="66">
      <c r="A34" s="280" t="str">
        <f>IF(AND(B34&lt;&gt;"",C34&lt;&gt;""),MAX($A$1:A32)+1,"")</f>
        <v/>
      </c>
      <c r="B34" s="260"/>
      <c r="C34" s="275"/>
      <c r="D34" s="232"/>
      <c r="E34" s="336" t="s">
        <v>1166</v>
      </c>
    </row>
    <row r="35" spans="1:5" ht="49.5">
      <c r="A35" s="280" t="str">
        <f>IF(AND(B35&lt;&gt;"",C35&lt;&gt;""),MAX($A$1:A33)+1,"")</f>
        <v/>
      </c>
      <c r="B35" s="260"/>
      <c r="C35" s="275"/>
      <c r="D35" s="232"/>
      <c r="E35" s="336" t="s">
        <v>1176</v>
      </c>
    </row>
    <row r="36" spans="1:5" ht="33">
      <c r="A36" s="280">
        <f>IF(AND(B36&lt;&gt;"",C36&lt;&gt;""),MAX($A$1:A35)+1,"")</f>
        <v>5</v>
      </c>
      <c r="B36" s="238" t="s">
        <v>1122</v>
      </c>
      <c r="C36" s="275" t="s">
        <v>255</v>
      </c>
      <c r="D36" s="232"/>
      <c r="E36" s="147"/>
    </row>
    <row r="37" spans="1:5" ht="66">
      <c r="A37" s="280" t="str">
        <f>IF(AND(B37&lt;&gt;"",C37&lt;&gt;""),MAX($A$1:A35)+1,"")</f>
        <v/>
      </c>
      <c r="B37" s="260"/>
      <c r="C37" s="275"/>
      <c r="D37" s="232"/>
      <c r="E37" s="336" t="s">
        <v>1123</v>
      </c>
    </row>
    <row r="38" spans="1:5" ht="49.5">
      <c r="A38" s="280" t="str">
        <f>IF(AND(B38&lt;&gt;"",C38&lt;&gt;""),MAX($A$1:A36)+1,"")</f>
        <v/>
      </c>
      <c r="B38" s="260"/>
      <c r="C38" s="275"/>
      <c r="D38" s="235"/>
      <c r="E38" s="336" t="s">
        <v>1151</v>
      </c>
    </row>
    <row r="39" spans="1:5" ht="49.5">
      <c r="A39" s="280" t="str">
        <f>IF(AND(B39&lt;&gt;"",C39&lt;&gt;""),MAX($A$1:A37)+1,"")</f>
        <v/>
      </c>
      <c r="B39" s="260"/>
      <c r="C39" s="275"/>
      <c r="D39" s="232"/>
      <c r="E39" s="336" t="s">
        <v>1152</v>
      </c>
    </row>
    <row r="40" spans="1:5" ht="66">
      <c r="A40" s="280" t="str">
        <f>IF(AND(B40&lt;&gt;"",C40&lt;&gt;""),MAX($A$1:A38)+1,"")</f>
        <v/>
      </c>
      <c r="B40" s="260"/>
      <c r="C40" s="275"/>
      <c r="D40" s="232"/>
      <c r="E40" s="336" t="s">
        <v>1167</v>
      </c>
    </row>
    <row r="41" spans="1:5" ht="49.5">
      <c r="A41" s="280" t="str">
        <f>IF(AND(B41&lt;&gt;"",C41&lt;&gt;""),MAX($A$1:A39)+1,"")</f>
        <v/>
      </c>
      <c r="B41" s="260"/>
      <c r="C41" s="275"/>
      <c r="D41" s="232"/>
      <c r="E41" s="336" t="s">
        <v>1177</v>
      </c>
    </row>
    <row r="42" spans="1:5" ht="49.5">
      <c r="A42" s="280" t="str">
        <f>IF(AND(B42&lt;&gt;"",C42&lt;&gt;""),MAX($A$1:A40)+1,"")</f>
        <v/>
      </c>
      <c r="B42" s="260"/>
      <c r="C42" s="275"/>
      <c r="D42" s="232"/>
      <c r="E42" s="336" t="s">
        <v>1124</v>
      </c>
    </row>
    <row r="43" spans="1:5" ht="49.5">
      <c r="A43" s="280" t="str">
        <f>IF(AND(B43&lt;&gt;"",C43&lt;&gt;""),MAX($A$1:A41)+1,"")</f>
        <v/>
      </c>
      <c r="B43" s="260"/>
      <c r="C43" s="275"/>
      <c r="D43" s="232"/>
      <c r="E43" s="336" t="s">
        <v>1125</v>
      </c>
    </row>
    <row r="44" spans="1:5" ht="49.5">
      <c r="A44" s="280" t="str">
        <f>IF(AND(B44&lt;&gt;"",C44&lt;&gt;""),MAX($A$1:A42)+1,"")</f>
        <v/>
      </c>
      <c r="B44" s="260"/>
      <c r="C44" s="275"/>
      <c r="D44" s="232"/>
      <c r="E44" s="336" t="s">
        <v>1126</v>
      </c>
    </row>
    <row r="45" spans="1:5" ht="33">
      <c r="A45" s="280">
        <f>IF(AND(B45&lt;&gt;"",C45&lt;&gt;""),MAX($A$1:A43)+1,"")</f>
        <v>6</v>
      </c>
      <c r="B45" s="236" t="s">
        <v>1127</v>
      </c>
      <c r="C45" s="276" t="s">
        <v>255</v>
      </c>
      <c r="D45" s="237"/>
      <c r="E45" s="285"/>
    </row>
    <row r="46" spans="1:5" ht="66">
      <c r="A46" s="280" t="str">
        <f>IF(AND(B46&lt;&gt;"",C46&lt;&gt;""),MAX($A$1:A44)+1,"")</f>
        <v/>
      </c>
      <c r="B46" s="260"/>
      <c r="C46" s="275"/>
      <c r="D46" s="235"/>
      <c r="E46" s="336" t="s">
        <v>1128</v>
      </c>
    </row>
    <row r="47" spans="1:5" ht="33">
      <c r="A47" s="280" t="str">
        <f>IF(AND(B47&lt;&gt;"",C47&lt;&gt;""),MAX($A$1:A45)+1,"")</f>
        <v/>
      </c>
      <c r="B47" s="297"/>
      <c r="C47" s="275"/>
      <c r="D47" s="232"/>
      <c r="E47" s="336" t="s">
        <v>1153</v>
      </c>
    </row>
    <row r="48" spans="1:5" ht="49.5">
      <c r="A48" s="280" t="str">
        <f>IF(AND(B48&lt;&gt;"",C48&lt;&gt;""),MAX($A$1:A46)+1,"")</f>
        <v/>
      </c>
      <c r="B48" s="260"/>
      <c r="C48" s="275"/>
      <c r="D48" s="232"/>
      <c r="E48" s="336" t="s">
        <v>1154</v>
      </c>
    </row>
    <row r="49" spans="1:5" ht="49.5">
      <c r="A49" s="280" t="str">
        <f>IF(AND(B49&lt;&gt;"",C49&lt;&gt;""),MAX($A$1:A47)+1,"")</f>
        <v/>
      </c>
      <c r="B49" s="260"/>
      <c r="C49" s="275"/>
      <c r="D49" s="235"/>
      <c r="E49" s="336" t="s">
        <v>1168</v>
      </c>
    </row>
    <row r="50" spans="1:5" ht="49.5">
      <c r="A50" s="280" t="str">
        <f>IF(AND(B50&lt;&gt;"",C50&lt;&gt;""),MAX($A$1:A48)+1,"")</f>
        <v/>
      </c>
      <c r="B50" s="260"/>
      <c r="C50" s="275"/>
      <c r="D50" s="235"/>
      <c r="E50" s="336" t="s">
        <v>1178</v>
      </c>
    </row>
    <row r="51" spans="1:5" ht="33">
      <c r="A51" s="280">
        <f>IF(AND(B51&lt;&gt;"",C51&lt;&gt;""),MAX($A$1:A49)+1,"")</f>
        <v>7</v>
      </c>
      <c r="B51" s="236" t="s">
        <v>1129</v>
      </c>
      <c r="C51" s="276" t="s">
        <v>255</v>
      </c>
      <c r="D51" s="237"/>
      <c r="E51" s="285"/>
    </row>
    <row r="52" spans="1:5" ht="66">
      <c r="A52" s="280" t="str">
        <f>IF(AND(B52&lt;&gt;"",C52&lt;&gt;""),MAX($A$1:A50)+1,"")</f>
        <v/>
      </c>
      <c r="B52" s="260"/>
      <c r="C52" s="275"/>
      <c r="D52" s="235"/>
      <c r="E52" s="336" t="s">
        <v>1130</v>
      </c>
    </row>
    <row r="53" spans="1:5" ht="33">
      <c r="A53" s="280" t="str">
        <f>IF(AND(B53&lt;&gt;"",C53&lt;&gt;""),MAX($A$1:A51)+1,"")</f>
        <v/>
      </c>
      <c r="B53" s="297"/>
      <c r="C53" s="275"/>
      <c r="D53" s="232"/>
      <c r="E53" s="336" t="s">
        <v>1155</v>
      </c>
    </row>
    <row r="54" spans="1:5" ht="49.5">
      <c r="A54" s="280" t="str">
        <f>IF(AND(B54&lt;&gt;"",C54&lt;&gt;""),MAX($A$1:A52)+1,"")</f>
        <v/>
      </c>
      <c r="B54" s="260"/>
      <c r="C54" s="275"/>
      <c r="D54" s="232"/>
      <c r="E54" s="336" t="s">
        <v>1156</v>
      </c>
    </row>
    <row r="55" spans="1:5" ht="49.5">
      <c r="A55" s="280" t="str">
        <f>IF(AND(B55&lt;&gt;"",C55&lt;&gt;""),MAX($A$1:A53)+1,"")</f>
        <v/>
      </c>
      <c r="B55" s="260"/>
      <c r="C55" s="275"/>
      <c r="D55" s="235"/>
      <c r="E55" s="336" t="s">
        <v>1169</v>
      </c>
    </row>
    <row r="56" spans="1:5" ht="49.5">
      <c r="A56" s="280" t="str">
        <f>IF(AND(B56&lt;&gt;"",C56&lt;&gt;""),MAX($A$1:A54)+1,"")</f>
        <v/>
      </c>
      <c r="B56" s="260"/>
      <c r="C56" s="275"/>
      <c r="D56" s="235"/>
      <c r="E56" s="336" t="s">
        <v>1179</v>
      </c>
    </row>
    <row r="57" spans="1:5" ht="33">
      <c r="A57" s="280">
        <f>IF(AND(B57&lt;&gt;"",C57&lt;&gt;""),MAX($A$1:A55)+1,"")</f>
        <v>8</v>
      </c>
      <c r="B57" s="236" t="s">
        <v>1131</v>
      </c>
      <c r="C57" s="276" t="s">
        <v>255</v>
      </c>
      <c r="D57" s="237"/>
      <c r="E57" s="285"/>
    </row>
    <row r="58" spans="1:5" ht="66">
      <c r="A58" s="280" t="str">
        <f>IF(AND(B58&lt;&gt;"",C58&lt;&gt;""),MAX($A$1:A56)+1,"")</f>
        <v/>
      </c>
      <c r="B58" s="260"/>
      <c r="C58" s="275"/>
      <c r="D58" s="235"/>
      <c r="E58" s="336" t="s">
        <v>1132</v>
      </c>
    </row>
    <row r="59" spans="1:5" ht="49.5">
      <c r="A59" s="280" t="str">
        <f>IF(AND(B59&lt;&gt;"",C59&lt;&gt;""),MAX($A$1:A57)+1,"")</f>
        <v/>
      </c>
      <c r="B59" s="297"/>
      <c r="C59" s="275"/>
      <c r="D59" s="232"/>
      <c r="E59" s="336" t="s">
        <v>1157</v>
      </c>
    </row>
    <row r="60" spans="1:5" ht="49.5">
      <c r="A60" s="280" t="str">
        <f>IF(AND(B60&lt;&gt;"",C60&lt;&gt;""),MAX($A$1:A58)+1,"")</f>
        <v/>
      </c>
      <c r="B60" s="260"/>
      <c r="C60" s="275"/>
      <c r="D60" s="232"/>
      <c r="E60" s="336" t="s">
        <v>1158</v>
      </c>
    </row>
    <row r="61" spans="1:5" ht="66">
      <c r="A61" s="280" t="str">
        <f>IF(AND(B61&lt;&gt;"",C61&lt;&gt;""),MAX($A$1:A59)+1,"")</f>
        <v/>
      </c>
      <c r="B61" s="260"/>
      <c r="C61" s="275"/>
      <c r="D61" s="235"/>
      <c r="E61" s="336" t="s">
        <v>1170</v>
      </c>
    </row>
    <row r="62" spans="1:5" ht="49.5">
      <c r="A62" s="280" t="str">
        <f>IF(AND(B62&lt;&gt;"",C62&lt;&gt;""),MAX($A$1:A60)+1,"")</f>
        <v/>
      </c>
      <c r="B62" s="260"/>
      <c r="C62" s="275"/>
      <c r="D62" s="235"/>
      <c r="E62" s="336" t="s">
        <v>1180</v>
      </c>
    </row>
    <row r="63" spans="1:5" ht="33">
      <c r="A63" s="280">
        <f>IF(AND(B63&lt;&gt;"",C63&lt;&gt;""),MAX($A$1:A61)+1,"")</f>
        <v>9</v>
      </c>
      <c r="B63" s="236" t="s">
        <v>1133</v>
      </c>
      <c r="C63" s="276" t="s">
        <v>255</v>
      </c>
      <c r="D63" s="237"/>
      <c r="E63" s="285"/>
    </row>
    <row r="64" spans="1:5" ht="66">
      <c r="A64" s="280" t="str">
        <f>IF(AND(B64&lt;&gt;"",C64&lt;&gt;""),MAX($A$1:A50)+1,"")</f>
        <v/>
      </c>
      <c r="B64" s="260"/>
      <c r="C64" s="275"/>
      <c r="D64" s="232"/>
      <c r="E64" s="336" t="s">
        <v>1134</v>
      </c>
    </row>
    <row r="65" spans="1:5" ht="33">
      <c r="A65" s="280" t="str">
        <f>IF(AND(B65&lt;&gt;"",C65&lt;&gt;""),MAX($A$1:A63)+1,"")</f>
        <v/>
      </c>
      <c r="B65" s="260"/>
      <c r="C65" s="275"/>
      <c r="D65" s="232"/>
      <c r="E65" s="336" t="s">
        <v>1159</v>
      </c>
    </row>
    <row r="66" spans="1:5" ht="49.5">
      <c r="A66" s="280" t="str">
        <f>IF(AND(B66&lt;&gt;"",C66&lt;&gt;""),MAX($A$1:A64)+1,"")</f>
        <v/>
      </c>
      <c r="B66" s="260"/>
      <c r="C66" s="275"/>
      <c r="D66" s="233"/>
      <c r="E66" s="336" t="s">
        <v>1160</v>
      </c>
    </row>
    <row r="67" spans="1:5" ht="49.5">
      <c r="A67" s="280" t="str">
        <f>IF(AND(B67&lt;&gt;"",C67&lt;&gt;""),MAX($A$1:A65)+1,"")</f>
        <v/>
      </c>
      <c r="B67" s="297"/>
      <c r="C67" s="275"/>
      <c r="D67" s="232"/>
      <c r="E67" s="336" t="s">
        <v>1171</v>
      </c>
    </row>
    <row r="68" spans="1:5" ht="49.5">
      <c r="A68" s="280" t="str">
        <f>IF(AND(B68&lt;&gt;"",C68&lt;&gt;""),MAX($A$1:A66)+1,"")</f>
        <v/>
      </c>
      <c r="B68" s="297"/>
      <c r="C68" s="275"/>
      <c r="D68" s="232"/>
      <c r="E68" s="336" t="s">
        <v>1181</v>
      </c>
    </row>
    <row r="69" spans="1:5" ht="33">
      <c r="A69" s="280"/>
      <c r="B69" s="297"/>
      <c r="C69" s="275"/>
      <c r="D69" s="232"/>
      <c r="E69" s="336" t="s">
        <v>1135</v>
      </c>
    </row>
    <row r="70" spans="1:5" ht="33">
      <c r="A70" s="280"/>
      <c r="B70" s="297"/>
      <c r="C70" s="275"/>
      <c r="D70" s="232"/>
      <c r="E70" s="336" t="s">
        <v>1136</v>
      </c>
    </row>
    <row r="71" spans="1:5" ht="49.5">
      <c r="A71" s="280"/>
      <c r="B71" s="297"/>
      <c r="C71" s="275"/>
      <c r="D71" s="232"/>
      <c r="E71" s="336" t="s">
        <v>1137</v>
      </c>
    </row>
    <row r="72" spans="1:5" ht="49.5">
      <c r="A72" s="280">
        <f>IF(AND(B72&lt;&gt;"",C72&lt;&gt;""),MAX($A$1:A68)+1,"")</f>
        <v>10</v>
      </c>
      <c r="B72" s="238" t="s">
        <v>257</v>
      </c>
      <c r="C72" s="276" t="s">
        <v>255</v>
      </c>
      <c r="D72" s="237"/>
      <c r="E72" s="285"/>
    </row>
    <row r="73" spans="1:5" ht="33">
      <c r="A73" s="280" t="str">
        <f>IF(AND(B73&lt;&gt;"",C73&lt;&gt;""),MAX($A$1:A68)+1,"")</f>
        <v/>
      </c>
      <c r="B73" s="260"/>
      <c r="C73" s="275"/>
      <c r="D73" s="232"/>
      <c r="E73" s="336" t="s">
        <v>1009</v>
      </c>
    </row>
    <row r="74" spans="1:5" ht="33">
      <c r="A74" s="280" t="str">
        <f>IF(AND(B74&lt;&gt;"",C74&lt;&gt;""),MAX($A$1:A72)+1,"")</f>
        <v/>
      </c>
      <c r="B74" s="260"/>
      <c r="C74" s="275"/>
      <c r="D74" s="233"/>
      <c r="E74" s="336" t="s">
        <v>1010</v>
      </c>
    </row>
    <row r="75" spans="1:5" ht="66">
      <c r="A75" s="280" t="str">
        <f>IF(AND(B75&lt;&gt;"",C75&lt;&gt;""),MAX($A$1:A73)+1,"")</f>
        <v/>
      </c>
      <c r="B75" s="260"/>
      <c r="C75" s="275"/>
      <c r="D75" s="235"/>
      <c r="E75" s="336" t="s">
        <v>1011</v>
      </c>
    </row>
    <row r="76" spans="1:5" ht="66">
      <c r="A76" s="280" t="str">
        <f>IF(AND(B76&lt;&gt;"",C76&lt;&gt;""),MAX($A$1:A74)+1,"")</f>
        <v/>
      </c>
      <c r="B76" s="297"/>
      <c r="C76" s="275"/>
      <c r="D76" s="232"/>
      <c r="E76" s="336" t="s">
        <v>1012</v>
      </c>
    </row>
    <row r="77" spans="1:5" ht="49.5">
      <c r="A77" s="280" t="str">
        <f>IF(AND(B77&lt;&gt;"",C77&lt;&gt;""),MAX($A$1:A75)+1,"")</f>
        <v/>
      </c>
      <c r="B77" s="260"/>
      <c r="C77" s="275"/>
      <c r="D77" s="232"/>
      <c r="E77" s="336" t="s">
        <v>1014</v>
      </c>
    </row>
    <row r="78" spans="1:5" ht="66">
      <c r="A78" s="280"/>
      <c r="B78" s="260"/>
      <c r="C78" s="275"/>
      <c r="D78" s="232"/>
      <c r="E78" s="336" t="s">
        <v>1015</v>
      </c>
    </row>
    <row r="79" spans="1:5" ht="66">
      <c r="A79" s="280"/>
      <c r="B79" s="260"/>
      <c r="C79" s="275"/>
      <c r="D79" s="232"/>
      <c r="E79" s="336" t="s">
        <v>1016</v>
      </c>
    </row>
    <row r="80" spans="1:5" ht="49.5">
      <c r="A80" s="280"/>
      <c r="B80" s="260"/>
      <c r="C80" s="275"/>
      <c r="D80" s="232"/>
      <c r="E80" s="336" t="s">
        <v>1184</v>
      </c>
    </row>
    <row r="81" spans="1:5" ht="66">
      <c r="A81" s="280"/>
      <c r="B81" s="260"/>
      <c r="C81" s="275"/>
      <c r="D81" s="232"/>
      <c r="E81" s="336" t="s">
        <v>1017</v>
      </c>
    </row>
    <row r="82" spans="1:5" ht="33">
      <c r="A82" s="280"/>
      <c r="B82" s="260"/>
      <c r="C82" s="275"/>
      <c r="D82" s="232"/>
      <c r="E82" s="336" t="s">
        <v>1013</v>
      </c>
    </row>
    <row r="83" spans="1:5" ht="33">
      <c r="A83" s="280">
        <f>IF(AND(B83&lt;&gt;"",C83&lt;&gt;""),MAX($A$1:A77)+1,"")</f>
        <v>11</v>
      </c>
      <c r="B83" s="238" t="s">
        <v>258</v>
      </c>
      <c r="C83" s="276" t="s">
        <v>255</v>
      </c>
      <c r="D83" s="235"/>
      <c r="E83" s="337"/>
    </row>
    <row r="84" spans="1:5" ht="33">
      <c r="A84" s="280" t="str">
        <f>IF(AND(B84&lt;&gt;"",C84&lt;&gt;""),MAX($A$1:A77)+1,"")</f>
        <v/>
      </c>
      <c r="B84" s="297"/>
      <c r="C84" s="275"/>
      <c r="D84" s="232"/>
      <c r="E84" s="336" t="s">
        <v>1018</v>
      </c>
    </row>
    <row r="85" spans="1:5" ht="33">
      <c r="A85" s="280" t="str">
        <f>IF(AND(B85&lt;&gt;"",C85&lt;&gt;""),MAX($A$1:A83)+1,"")</f>
        <v/>
      </c>
      <c r="B85" s="260"/>
      <c r="C85" s="275"/>
      <c r="D85" s="232"/>
      <c r="E85" s="336" t="s">
        <v>1019</v>
      </c>
    </row>
    <row r="86" spans="1:5" ht="49.5">
      <c r="A86" s="280" t="str">
        <f>IF(AND(B86&lt;&gt;"",C86&lt;&gt;""),MAX($A$1:A84)+1,"")</f>
        <v/>
      </c>
      <c r="B86" s="260"/>
      <c r="C86" s="275"/>
      <c r="D86" s="232"/>
      <c r="E86" s="336" t="s">
        <v>1020</v>
      </c>
    </row>
    <row r="87" spans="1:5" ht="49.5">
      <c r="A87" s="280" t="str">
        <f>IF(AND(B87&lt;&gt;"",C87&lt;&gt;""),MAX($A$1:A85)+1,"")</f>
        <v/>
      </c>
      <c r="B87" s="260"/>
      <c r="C87" s="275"/>
      <c r="D87" s="233"/>
      <c r="E87" s="336" t="s">
        <v>1021</v>
      </c>
    </row>
    <row r="88" spans="1:5" ht="33">
      <c r="A88" s="280" t="str">
        <f>IF(AND(B88&lt;&gt;"",C88&lt;&gt;""),MAX($A$1:A86)+1,"")</f>
        <v/>
      </c>
      <c r="B88" s="260"/>
      <c r="C88" s="275"/>
      <c r="D88" s="235"/>
      <c r="E88" s="336" t="s">
        <v>1022</v>
      </c>
    </row>
    <row r="89" spans="1:5" ht="181.5">
      <c r="A89" s="280">
        <f>IF(AND(B89&lt;&gt;"",C89&lt;&gt;""),MAX($A$1:A88)+1,"")</f>
        <v>12</v>
      </c>
      <c r="B89" s="238" t="s">
        <v>712</v>
      </c>
      <c r="C89" s="275" t="s">
        <v>966</v>
      </c>
      <c r="D89" s="233"/>
      <c r="E89" s="147"/>
    </row>
    <row r="90" spans="1:5" ht="82.5">
      <c r="A90" s="280" t="str">
        <f>IF(AND(B90&lt;&gt;"",C90&lt;&gt;""),MAX($A$1:A88)+1,"")</f>
        <v/>
      </c>
      <c r="B90" s="260"/>
      <c r="C90" s="275"/>
      <c r="D90" s="233"/>
      <c r="E90" s="336" t="s">
        <v>1185</v>
      </c>
    </row>
    <row r="91" spans="1:5" ht="82.5">
      <c r="A91" s="280" t="str">
        <f>IF(AND(B91&lt;&gt;"",C91&lt;&gt;""),MAX($A$1:A89)+1,"")</f>
        <v/>
      </c>
      <c r="B91" s="240"/>
      <c r="C91" s="275"/>
      <c r="D91" s="241"/>
      <c r="E91" s="336" t="s">
        <v>967</v>
      </c>
    </row>
    <row r="92" spans="1:5" ht="82.5">
      <c r="A92" s="280" t="str">
        <f>IF(AND(B92&lt;&gt;"",C92&lt;&gt;""),MAX($A$1:A90)+1,"")</f>
        <v/>
      </c>
      <c r="B92" s="240"/>
      <c r="C92" s="275"/>
      <c r="D92" s="241"/>
      <c r="E92" s="336" t="s">
        <v>968</v>
      </c>
    </row>
    <row r="93" spans="1:5" ht="33">
      <c r="A93" s="280">
        <f>IF(AND(B93&lt;&gt;"",C93&lt;&gt;""),MAX($A$1:A91)+1,"")</f>
        <v>13</v>
      </c>
      <c r="B93" s="238" t="s">
        <v>1056</v>
      </c>
      <c r="C93" s="276" t="s">
        <v>255</v>
      </c>
      <c r="D93" s="247"/>
      <c r="E93" s="247"/>
    </row>
    <row r="94" spans="1:5" ht="33">
      <c r="A94" s="280" t="str">
        <f>IF(AND(B94&lt;&gt;"",C94&lt;&gt;""),MAX($A$1:A92)+1,"")</f>
        <v/>
      </c>
      <c r="B94" s="240"/>
      <c r="C94" s="275"/>
      <c r="D94" s="243"/>
      <c r="E94" s="336" t="s">
        <v>960</v>
      </c>
    </row>
    <row r="95" spans="1:5" ht="33">
      <c r="A95" s="280" t="str">
        <f>IF(AND(B95&lt;&gt;"",C95&lt;&gt;""),MAX($A$1:A93)+1,"")</f>
        <v/>
      </c>
      <c r="B95" s="244"/>
      <c r="C95" s="241"/>
      <c r="D95" s="241"/>
      <c r="E95" s="336" t="s">
        <v>963</v>
      </c>
    </row>
    <row r="96" spans="1:5" ht="49.5">
      <c r="A96" s="280" t="str">
        <f>IF(AND(B96&lt;&gt;"",C96&lt;&gt;""),MAX($A$1:A94)+1,"")</f>
        <v/>
      </c>
      <c r="B96" s="242"/>
      <c r="C96" s="241"/>
      <c r="D96" s="241"/>
      <c r="E96" s="336" t="s">
        <v>1105</v>
      </c>
    </row>
    <row r="97" spans="1:5" ht="33">
      <c r="A97" s="280" t="str">
        <f>IF(AND(B97&lt;&gt;"",C97&lt;&gt;""),MAX($A$1:A95)+1,"")</f>
        <v/>
      </c>
      <c r="B97" s="242"/>
      <c r="C97" s="241"/>
      <c r="D97" s="241"/>
      <c r="E97" s="336" t="s">
        <v>961</v>
      </c>
    </row>
    <row r="98" spans="1:5" ht="33">
      <c r="A98" s="280" t="str">
        <f>IF(AND(B98&lt;&gt;"",C98&lt;&gt;""),MAX($A$1:A96)+1,"")</f>
        <v/>
      </c>
      <c r="B98" s="242"/>
      <c r="C98" s="241"/>
      <c r="D98" s="241"/>
      <c r="E98" s="336" t="s">
        <v>962</v>
      </c>
    </row>
    <row r="99" spans="1:5" ht="33">
      <c r="A99" s="280" t="str">
        <f>IF(AND(B99&lt;&gt;"",C99&lt;&gt;""),MAX($A$1:A97)+1,"")</f>
        <v/>
      </c>
      <c r="B99" s="242"/>
      <c r="C99" s="241"/>
      <c r="D99" s="241"/>
      <c r="E99" s="336" t="s">
        <v>1058</v>
      </c>
    </row>
    <row r="100" spans="1:5" ht="33">
      <c r="A100" s="280" t="str">
        <f>IF(AND(B100&lt;&gt;"",C100&lt;&gt;""),MAX($A$1:A98)+1,"")</f>
        <v/>
      </c>
      <c r="B100" s="240"/>
      <c r="C100" s="275"/>
      <c r="D100" s="243"/>
      <c r="E100" s="336" t="s">
        <v>1075</v>
      </c>
    </row>
    <row r="101" spans="1:5" ht="33">
      <c r="A101" s="280">
        <f>IF(AND(B101&lt;&gt;"",C101&lt;&gt;""),MAX($A$1:A99)+1,"")</f>
        <v>14</v>
      </c>
      <c r="B101" s="240" t="s">
        <v>1057</v>
      </c>
      <c r="C101" s="276" t="s">
        <v>255</v>
      </c>
      <c r="D101" s="243"/>
      <c r="E101" s="336"/>
    </row>
    <row r="102" spans="1:5" ht="33">
      <c r="A102" s="280"/>
      <c r="B102" s="240"/>
      <c r="C102" s="275"/>
      <c r="D102" s="243"/>
      <c r="E102" s="336" t="s">
        <v>1076</v>
      </c>
    </row>
    <row r="103" spans="1:5" ht="33">
      <c r="A103" s="280"/>
      <c r="B103" s="240"/>
      <c r="C103" s="275"/>
      <c r="D103" s="243"/>
      <c r="E103" s="336" t="s">
        <v>1059</v>
      </c>
    </row>
    <row r="104" spans="1:5" ht="33">
      <c r="A104" s="280"/>
      <c r="B104" s="240"/>
      <c r="C104" s="275"/>
      <c r="D104" s="243"/>
      <c r="E104" s="336" t="s">
        <v>1060</v>
      </c>
    </row>
    <row r="105" spans="1:5" ht="181.5">
      <c r="A105" s="280">
        <f>IF(AND(B105&lt;&gt;"",C105&lt;&gt;""),MAX($A$1:A103)+1,"")</f>
        <v>15</v>
      </c>
      <c r="B105" s="238" t="s">
        <v>259</v>
      </c>
      <c r="C105" s="275" t="s">
        <v>966</v>
      </c>
      <c r="D105" s="237"/>
      <c r="E105" s="285"/>
    </row>
    <row r="106" spans="1:5" ht="66">
      <c r="A106" s="280" t="str">
        <f>IF(AND(B106&lt;&gt;"",C106&lt;&gt;""),MAX($A$1:A92)+1,"")</f>
        <v/>
      </c>
      <c r="B106" s="242"/>
      <c r="C106" s="241"/>
      <c r="D106" s="241"/>
      <c r="E106" s="336" t="s">
        <v>969</v>
      </c>
    </row>
    <row r="107" spans="1:5" ht="66">
      <c r="A107" s="280" t="str">
        <f>IF(AND(B107&lt;&gt;"",C107&lt;&gt;""),MAX($A$1:A100)+1,"")</f>
        <v/>
      </c>
      <c r="B107" s="242"/>
      <c r="C107" s="241"/>
      <c r="D107" s="241"/>
      <c r="E107" s="336" t="s">
        <v>970</v>
      </c>
    </row>
    <row r="108" spans="1:5" ht="66">
      <c r="A108" s="280" t="str">
        <f>IF(AND(B108&lt;&gt;"",C108&lt;&gt;""),MAX($A$1:A105)+1,"")</f>
        <v/>
      </c>
      <c r="B108" s="242"/>
      <c r="C108" s="241"/>
      <c r="D108" s="241"/>
      <c r="E108" s="336" t="s">
        <v>1186</v>
      </c>
    </row>
    <row r="109" spans="1:5" ht="49.5">
      <c r="A109" s="280">
        <f>IF(AND(B109&lt;&gt;"",C109&lt;&gt;""),MAX($A$1:A108)+1,"")</f>
        <v>16</v>
      </c>
      <c r="B109" s="238" t="s">
        <v>260</v>
      </c>
      <c r="C109" s="276" t="s">
        <v>255</v>
      </c>
      <c r="D109" s="247"/>
      <c r="E109" s="247"/>
    </row>
    <row r="110" spans="1:5" ht="33">
      <c r="A110" s="280" t="str">
        <f>IF(AND(B110&lt;&gt;"",C110&lt;&gt;""),MAX($A$1:A108)+1,"")</f>
        <v/>
      </c>
      <c r="B110" s="240"/>
      <c r="C110" s="275"/>
      <c r="D110" s="243"/>
      <c r="E110" s="336" t="s">
        <v>389</v>
      </c>
    </row>
    <row r="111" spans="1:5" ht="33">
      <c r="A111" s="280"/>
      <c r="B111" s="240"/>
      <c r="C111" s="275"/>
      <c r="D111" s="243"/>
      <c r="E111" s="336" t="s">
        <v>964</v>
      </c>
    </row>
    <row r="112" spans="1:5" ht="33">
      <c r="A112" s="280" t="str">
        <f>IF(AND(B112&lt;&gt;"",C112&lt;&gt;""),MAX($A$1:A109)+1,"")</f>
        <v/>
      </c>
      <c r="B112" s="244"/>
      <c r="C112" s="241"/>
      <c r="D112" s="241"/>
      <c r="E112" s="336" t="s">
        <v>1077</v>
      </c>
    </row>
    <row r="113" spans="1:5" ht="33">
      <c r="A113" s="280" t="str">
        <f>IF(AND(B113&lt;&gt;"",C113&lt;&gt;""),MAX($A$1:A110)+1,"")</f>
        <v/>
      </c>
      <c r="B113" s="242"/>
      <c r="C113" s="241"/>
      <c r="D113" s="241"/>
      <c r="E113" s="336" t="s">
        <v>1104</v>
      </c>
    </row>
    <row r="114" spans="1:5" ht="33">
      <c r="A114" s="280" t="str">
        <f>IF(AND(B114&lt;&gt;"",C114&lt;&gt;""),MAX($A$1:A112)+1,"")</f>
        <v/>
      </c>
      <c r="B114" s="242"/>
      <c r="C114" s="241"/>
      <c r="D114" s="241"/>
      <c r="E114" s="336" t="s">
        <v>390</v>
      </c>
    </row>
    <row r="115" spans="1:5" ht="33">
      <c r="A115" s="280" t="str">
        <f>IF(AND(B115&lt;&gt;"",C115&lt;&gt;""),MAX($A$1:A113)+1,"")</f>
        <v/>
      </c>
      <c r="B115" s="242"/>
      <c r="C115" s="241"/>
      <c r="D115" s="241"/>
      <c r="E115" s="336" t="s">
        <v>391</v>
      </c>
    </row>
    <row r="116" spans="1:5" ht="33">
      <c r="A116" s="280" t="str">
        <f>IF(AND(B116&lt;&gt;"",C116&lt;&gt;""),MAX($A$1:A114)+1,"")</f>
        <v/>
      </c>
      <c r="B116" s="242"/>
      <c r="C116" s="241"/>
      <c r="D116" s="241"/>
      <c r="E116" s="336" t="s">
        <v>965</v>
      </c>
    </row>
    <row r="117" spans="1:5" ht="214.5">
      <c r="A117" s="280">
        <f>IF(AND(B117&lt;&gt;"",C117&lt;&gt;""),MAX($A$1:A116)+1,"")</f>
        <v>17</v>
      </c>
      <c r="B117" s="298" t="s">
        <v>261</v>
      </c>
      <c r="C117" s="275" t="s">
        <v>971</v>
      </c>
      <c r="D117" s="241"/>
      <c r="E117" s="336"/>
    </row>
    <row r="118" spans="1:5" ht="82.5">
      <c r="A118" s="280" t="str">
        <f>IF(AND(B118&lt;&gt;"",C118&lt;&gt;""),MAX($A$1:A116)+1,"")</f>
        <v/>
      </c>
      <c r="B118" s="242"/>
      <c r="C118" s="241"/>
      <c r="D118" s="241"/>
      <c r="E118" s="336" t="s">
        <v>972</v>
      </c>
    </row>
    <row r="119" spans="1:5" ht="82.5">
      <c r="A119" s="280" t="str">
        <f>IF(AND(B119&lt;&gt;"",C119&lt;&gt;""),MAX($A$1:A117)+1,"")</f>
        <v/>
      </c>
      <c r="B119" s="242"/>
      <c r="C119" s="241"/>
      <c r="D119" s="241"/>
      <c r="E119" s="336" t="s">
        <v>1187</v>
      </c>
    </row>
    <row r="120" spans="1:5" ht="82.5">
      <c r="A120" s="280" t="str">
        <f>IF(AND(B120&lt;&gt;"",C120&lt;&gt;""),MAX($A$1:A118)+1,"")</f>
        <v/>
      </c>
      <c r="B120" s="242"/>
      <c r="C120" s="241"/>
      <c r="D120" s="241"/>
      <c r="E120" s="336" t="s">
        <v>973</v>
      </c>
    </row>
    <row r="121" spans="1:5" ht="82.5">
      <c r="A121" s="280" t="str">
        <f>IF(AND(B121&lt;&gt;"",C121&lt;&gt;""),MAX($A$1:A119)+1,"")</f>
        <v/>
      </c>
      <c r="B121" s="240"/>
      <c r="C121" s="275"/>
      <c r="D121" s="243"/>
      <c r="E121" s="336" t="s">
        <v>1188</v>
      </c>
    </row>
    <row r="122" spans="1:5" ht="66">
      <c r="A122" s="280">
        <f>IF(AND(B122&lt;&gt;"",C122&lt;&gt;""),MAX($A$1:A120)+1,"")</f>
        <v>18</v>
      </c>
      <c r="B122" s="261" t="s">
        <v>262</v>
      </c>
      <c r="C122" s="276" t="s">
        <v>255</v>
      </c>
      <c r="D122" s="243"/>
      <c r="E122" s="247"/>
    </row>
    <row r="123" spans="1:5" ht="66">
      <c r="A123" s="280" t="str">
        <f>IF(AND(B123&lt;&gt;"",C123&lt;&gt;""),MAX($A$1:A121)+1,"")</f>
        <v/>
      </c>
      <c r="B123" s="242"/>
      <c r="C123" s="241"/>
      <c r="D123" s="241"/>
      <c r="E123" s="336" t="s">
        <v>1078</v>
      </c>
    </row>
    <row r="124" spans="1:5" ht="66">
      <c r="A124" s="280" t="str">
        <f>IF(AND(B124&lt;&gt;"",C124&lt;&gt;""),MAX($A$1:A122)+1,"")</f>
        <v/>
      </c>
      <c r="B124" s="242"/>
      <c r="C124" s="241"/>
      <c r="D124" s="241"/>
      <c r="E124" s="336" t="s">
        <v>1024</v>
      </c>
    </row>
    <row r="125" spans="1:5" ht="82.5">
      <c r="A125" s="280" t="str">
        <f>IF(AND(B125&lt;&gt;"",C125&lt;&gt;""),MAX($A$1:A123)+1,"")</f>
        <v/>
      </c>
      <c r="B125" s="242"/>
      <c r="C125" s="241"/>
      <c r="D125" s="241"/>
      <c r="E125" s="336" t="s">
        <v>1025</v>
      </c>
    </row>
    <row r="126" spans="1:5" ht="66">
      <c r="A126" s="280" t="str">
        <f>IF(AND(B126&lt;&gt;"",C126&lt;&gt;""),MAX($A$1:A124)+1,"")</f>
        <v/>
      </c>
      <c r="B126" s="298"/>
      <c r="C126" s="275"/>
      <c r="D126" s="230"/>
      <c r="E126" s="336" t="s">
        <v>1026</v>
      </c>
    </row>
    <row r="127" spans="1:5" ht="66">
      <c r="A127" s="280" t="str">
        <f>IF(AND(B127&lt;&gt;"",C127&lt;&gt;""),MAX($A$1:A125)+1,"")</f>
        <v/>
      </c>
      <c r="B127" s="298"/>
      <c r="C127" s="275"/>
      <c r="D127" s="230"/>
      <c r="E127" s="336" t="s">
        <v>1658</v>
      </c>
    </row>
    <row r="128" spans="1:5" ht="66">
      <c r="A128" s="280" t="str">
        <f>IF(AND(B128&lt;&gt;"",C128&lt;&gt;""),MAX($A$1:A126)+1,"")</f>
        <v/>
      </c>
      <c r="B128" s="297"/>
      <c r="C128" s="275"/>
      <c r="D128" s="232"/>
      <c r="E128" s="336" t="s">
        <v>1659</v>
      </c>
    </row>
    <row r="129" spans="1:5" ht="49.5">
      <c r="A129" s="280">
        <f>IF(AND(B129&lt;&gt;"",C129&lt;&gt;""),MAX($A$1:A127)+1,"")</f>
        <v>19</v>
      </c>
      <c r="B129" s="261" t="s">
        <v>263</v>
      </c>
      <c r="C129" s="276" t="s">
        <v>255</v>
      </c>
      <c r="D129" s="237"/>
      <c r="E129" s="285"/>
    </row>
    <row r="130" spans="1:5" ht="66">
      <c r="A130" s="280" t="str">
        <f>IF(AND(B130&lt;&gt;"",C130&lt;&gt;""),MAX($A$1:A128)+1,"")</f>
        <v/>
      </c>
      <c r="B130" s="260"/>
      <c r="C130" s="275"/>
      <c r="D130" s="233"/>
      <c r="E130" s="336" t="s">
        <v>1079</v>
      </c>
    </row>
    <row r="131" spans="1:5" ht="66">
      <c r="A131" s="280" t="str">
        <f>IF(AND(B131&lt;&gt;"",C131&lt;&gt;""),MAX($A$1:A129)+1,"")</f>
        <v/>
      </c>
      <c r="B131" s="260"/>
      <c r="C131" s="275"/>
      <c r="D131" s="233"/>
      <c r="E131" s="336" t="s">
        <v>1027</v>
      </c>
    </row>
    <row r="132" spans="1:5" ht="82.5">
      <c r="A132" s="280" t="str">
        <f>IF(AND(B132&lt;&gt;"",C132&lt;&gt;""),MAX($A$1:A130)+1,"")</f>
        <v/>
      </c>
      <c r="B132" s="260"/>
      <c r="C132" s="275"/>
      <c r="D132" s="233"/>
      <c r="E132" s="336" t="s">
        <v>1028</v>
      </c>
    </row>
    <row r="133" spans="1:5" ht="66">
      <c r="A133" s="280" t="str">
        <f>IF(AND(B133&lt;&gt;"",C133&lt;&gt;""),MAX($A$1:A131)+1,"")</f>
        <v/>
      </c>
      <c r="B133" s="260"/>
      <c r="C133" s="275"/>
      <c r="D133" s="233"/>
      <c r="E133" s="336" t="s">
        <v>1029</v>
      </c>
    </row>
    <row r="134" spans="1:5" ht="66">
      <c r="A134" s="280" t="str">
        <f>IF(AND(B134&lt;&gt;"",C134&lt;&gt;""),MAX($A$1:A132)+1,"")</f>
        <v/>
      </c>
      <c r="B134" s="260"/>
      <c r="C134" s="275"/>
      <c r="D134" s="233"/>
      <c r="E134" s="336" t="s">
        <v>1660</v>
      </c>
    </row>
    <row r="135" spans="1:5" ht="82.5">
      <c r="A135" s="280" t="str">
        <f>IF(AND(B135&lt;&gt;"",C135&lt;&gt;""),MAX($A$1:A133)+1,"")</f>
        <v/>
      </c>
      <c r="B135" s="260"/>
      <c r="C135" s="275"/>
      <c r="D135" s="233"/>
      <c r="E135" s="336" t="s">
        <v>1661</v>
      </c>
    </row>
    <row r="136" spans="1:5" ht="49.5">
      <c r="A136" s="280" t="str">
        <f>IF(AND(B136&lt;&gt;"",C136&lt;&gt;""),MAX($A$1:A134)+1,"")</f>
        <v/>
      </c>
      <c r="B136" s="260"/>
      <c r="C136" s="275"/>
      <c r="D136" s="233"/>
      <c r="E136" s="336" t="s">
        <v>679</v>
      </c>
    </row>
    <row r="137" spans="1:5" ht="49.5">
      <c r="A137" s="280" t="str">
        <f>IF(AND(B137&lt;&gt;"",C137&lt;&gt;""),MAX($A$1:A135)+1,"")</f>
        <v/>
      </c>
      <c r="B137" s="260"/>
      <c r="C137" s="275"/>
      <c r="D137" s="233"/>
      <c r="E137" s="336" t="s">
        <v>680</v>
      </c>
    </row>
    <row r="138" spans="1:5" ht="66">
      <c r="A138" s="280">
        <f>IF(AND(B138&lt;&gt;"",C138&lt;&gt;""),MAX($A$1:A136)+1,"")</f>
        <v>20</v>
      </c>
      <c r="B138" s="269" t="s">
        <v>264</v>
      </c>
      <c r="C138" s="276" t="s">
        <v>265</v>
      </c>
      <c r="D138" s="245"/>
      <c r="E138" s="285"/>
    </row>
    <row r="139" spans="1:5" ht="66">
      <c r="A139" s="280" t="str">
        <f>IF(AND(B139&lt;&gt;"",C139&lt;&gt;""),MAX($A$1:A137)+1,"")</f>
        <v/>
      </c>
      <c r="B139" s="299"/>
      <c r="C139" s="275"/>
      <c r="D139" s="233"/>
      <c r="E139" s="336" t="s">
        <v>1080</v>
      </c>
    </row>
    <row r="140" spans="1:5" ht="82.5">
      <c r="A140" s="280" t="str">
        <f>IF(AND(B140&lt;&gt;"",C140&lt;&gt;""),MAX($A$1:A138)+1,"")</f>
        <v/>
      </c>
      <c r="B140" s="297"/>
      <c r="C140" s="275"/>
      <c r="D140" s="232"/>
      <c r="E140" s="336" t="s">
        <v>1030</v>
      </c>
    </row>
    <row r="141" spans="1:5" ht="82.5">
      <c r="A141" s="280" t="str">
        <f>IF(AND(B141&lt;&gt;"",C141&lt;&gt;""),MAX($A$1:A139)+1,"")</f>
        <v/>
      </c>
      <c r="B141" s="260"/>
      <c r="C141" s="275"/>
      <c r="D141" s="232"/>
      <c r="E141" s="336" t="s">
        <v>1031</v>
      </c>
    </row>
    <row r="142" spans="1:5" ht="82.5">
      <c r="A142" s="280" t="str">
        <f>IF(AND(B142&lt;&gt;"",C142&lt;&gt;""),MAX($A$1:A140)+1,"")</f>
        <v/>
      </c>
      <c r="B142" s="260"/>
      <c r="C142" s="275"/>
      <c r="D142" s="232"/>
      <c r="E142" s="336" t="s">
        <v>1032</v>
      </c>
    </row>
    <row r="143" spans="1:5" ht="82.5">
      <c r="A143" s="280" t="str">
        <f>IF(AND(B143&lt;&gt;"",C143&lt;&gt;""),MAX($A$1:A141)+1,"")</f>
        <v/>
      </c>
      <c r="B143" s="260"/>
      <c r="C143" s="275"/>
      <c r="D143" s="232"/>
      <c r="E143" s="336" t="s">
        <v>1662</v>
      </c>
    </row>
    <row r="144" spans="1:5" ht="82.5">
      <c r="A144" s="280" t="str">
        <f>IF(AND(B144&lt;&gt;"",C144&lt;&gt;""),MAX($A$1:A142)+1,"")</f>
        <v/>
      </c>
      <c r="B144" s="260"/>
      <c r="C144" s="275"/>
      <c r="D144" s="232"/>
      <c r="E144" s="336" t="s">
        <v>1663</v>
      </c>
    </row>
    <row r="145" spans="1:5" ht="82.5">
      <c r="A145" s="280" t="str">
        <f>IF(AND(B145&lt;&gt;"",C145&lt;&gt;""),MAX($A$1:A143)+1,"")</f>
        <v/>
      </c>
      <c r="B145" s="260"/>
      <c r="C145" s="275"/>
      <c r="D145" s="233"/>
      <c r="E145" s="336" t="s">
        <v>1664</v>
      </c>
    </row>
    <row r="146" spans="1:5" ht="33">
      <c r="A146" s="280" t="str">
        <f>IF(AND(B146&lt;&gt;"",C146&lt;&gt;""),MAX($A$1:A144)+1,"")</f>
        <v/>
      </c>
      <c r="B146" s="260"/>
      <c r="C146" s="275"/>
      <c r="D146" s="233"/>
      <c r="E146" s="338" t="s">
        <v>1189</v>
      </c>
    </row>
    <row r="147" spans="1:5" ht="33">
      <c r="A147" s="280" t="str">
        <f>IF(AND(B147&lt;&gt;"",C147&lt;&gt;""),MAX($A$1:A145)+1,"")</f>
        <v/>
      </c>
      <c r="B147" s="260"/>
      <c r="C147" s="275"/>
      <c r="D147" s="233"/>
      <c r="E147" s="147" t="s">
        <v>665</v>
      </c>
    </row>
    <row r="148" spans="1:5" ht="33">
      <c r="A148" s="280" t="str">
        <f>IF(AND(B148&lt;&gt;"",C148&lt;&gt;""),MAX($A$1:A146)+1,"")</f>
        <v/>
      </c>
      <c r="B148" s="260"/>
      <c r="C148" s="275"/>
      <c r="D148" s="233"/>
      <c r="E148" s="339" t="s">
        <v>1190</v>
      </c>
    </row>
    <row r="149" spans="1:5" ht="33">
      <c r="A149" s="280" t="str">
        <f>IF(AND(B149&lt;&gt;"",C149&lt;&gt;""),MAX($A$1:A147)+1,"")</f>
        <v/>
      </c>
      <c r="B149" s="260"/>
      <c r="C149" s="275"/>
      <c r="D149" s="233"/>
      <c r="E149" s="338" t="s">
        <v>1191</v>
      </c>
    </row>
    <row r="150" spans="1:5" ht="82.5">
      <c r="A150" s="280">
        <f>IF(AND(B150&lt;&gt;"",C150&lt;&gt;""),MAX($A$1:A148)+1,"")</f>
        <v>21</v>
      </c>
      <c r="B150" s="260" t="s">
        <v>958</v>
      </c>
      <c r="C150" s="275" t="s">
        <v>255</v>
      </c>
      <c r="D150" s="233"/>
      <c r="E150" s="338"/>
    </row>
    <row r="151" spans="1:5" ht="49.5">
      <c r="A151" s="280"/>
      <c r="B151" s="260"/>
      <c r="C151" s="275"/>
      <c r="D151" s="233"/>
      <c r="E151" s="336" t="s">
        <v>1192</v>
      </c>
    </row>
    <row r="152" spans="1:5" ht="66">
      <c r="A152" s="280" t="str">
        <f>IF(AND(B152&lt;&gt;"",C152&lt;&gt;""),MAX($A$1:A149)+1,"")</f>
        <v/>
      </c>
      <c r="B152" s="260"/>
      <c r="C152" s="275"/>
      <c r="D152" s="233"/>
      <c r="E152" s="336" t="s">
        <v>1193</v>
      </c>
    </row>
    <row r="153" spans="1:5" ht="33">
      <c r="A153" s="280"/>
      <c r="B153" s="260"/>
      <c r="C153" s="275"/>
      <c r="D153" s="233"/>
      <c r="E153" s="336" t="s">
        <v>1194</v>
      </c>
    </row>
    <row r="154" spans="1:5" ht="66">
      <c r="A154" s="280" t="str">
        <f>IF(AND(B154&lt;&gt;"",C154&lt;&gt;""),MAX($A$1:A150)+1,"")</f>
        <v/>
      </c>
      <c r="B154" s="260"/>
      <c r="C154" s="275"/>
      <c r="D154" s="233"/>
      <c r="E154" s="336" t="s">
        <v>1195</v>
      </c>
    </row>
    <row r="155" spans="1:5" ht="66">
      <c r="A155" s="280" t="str">
        <f>IF(AND(B155&lt;&gt;"",C155&lt;&gt;""),MAX($A$1:A152)+1,"")</f>
        <v/>
      </c>
      <c r="B155" s="260"/>
      <c r="C155" s="275"/>
      <c r="D155" s="233"/>
      <c r="E155" s="336" t="s">
        <v>1196</v>
      </c>
    </row>
    <row r="156" spans="1:5" ht="82.5">
      <c r="A156" s="280" t="str">
        <f>IF(AND(B156&lt;&gt;"",C156&lt;&gt;""),MAX($A$1:A154)+1,"")</f>
        <v/>
      </c>
      <c r="B156" s="260"/>
      <c r="C156" s="275"/>
      <c r="D156" s="233"/>
      <c r="E156" s="336" t="s">
        <v>1033</v>
      </c>
    </row>
    <row r="157" spans="1:5" ht="49.5">
      <c r="A157" s="280"/>
      <c r="B157" s="260"/>
      <c r="C157" s="275"/>
      <c r="D157" s="233"/>
      <c r="E157" s="336" t="s">
        <v>1023</v>
      </c>
    </row>
    <row r="158" spans="1:5" ht="66">
      <c r="A158" s="280">
        <f>IF(AND(B158&lt;&gt;"",C158&lt;&gt;""),MAX($A$1:A155)+1,"")</f>
        <v>22</v>
      </c>
      <c r="B158" s="270" t="s">
        <v>266</v>
      </c>
      <c r="C158" s="276" t="s">
        <v>255</v>
      </c>
      <c r="D158" s="245"/>
      <c r="E158" s="336"/>
    </row>
    <row r="159" spans="1:5" ht="66">
      <c r="A159" s="280" t="str">
        <f>IF(AND(B159&lt;&gt;"",C159&lt;&gt;""),MAX($A$1:A154)+1,"")</f>
        <v/>
      </c>
      <c r="B159" s="260"/>
      <c r="C159" s="275"/>
      <c r="D159" s="233"/>
      <c r="E159" s="336" t="s">
        <v>1081</v>
      </c>
    </row>
    <row r="160" spans="1:5" ht="49.5">
      <c r="A160" s="280"/>
      <c r="B160" s="316"/>
      <c r="C160" s="276"/>
      <c r="D160" s="245"/>
      <c r="E160" s="336" t="s">
        <v>959</v>
      </c>
    </row>
    <row r="161" spans="1:5" ht="66">
      <c r="A161" s="280" t="str">
        <f>IF(AND(B161&lt;&gt;"",C161&lt;&gt;""),MAX($A$1:A158)+1,"")</f>
        <v/>
      </c>
      <c r="B161" s="299"/>
      <c r="C161" s="275"/>
      <c r="D161" s="233"/>
      <c r="E161" s="336" t="s">
        <v>1197</v>
      </c>
    </row>
    <row r="162" spans="1:5" ht="82.5">
      <c r="A162" s="280" t="str">
        <f>IF(AND(B162&lt;&gt;"",C162&lt;&gt;""),MAX($A$1:A160)+1,"")</f>
        <v/>
      </c>
      <c r="B162" s="240"/>
      <c r="C162" s="275"/>
      <c r="D162" s="232"/>
      <c r="E162" s="336" t="s">
        <v>1198</v>
      </c>
    </row>
    <row r="163" spans="1:5" ht="82.5">
      <c r="A163" s="280" t="str">
        <f>IF(AND(B163&lt;&gt;"",C163&lt;&gt;""),MAX($A$1:A161)+1,"")</f>
        <v/>
      </c>
      <c r="B163" s="240"/>
      <c r="C163" s="275"/>
      <c r="D163" s="232"/>
      <c r="E163" s="336" t="s">
        <v>1199</v>
      </c>
    </row>
    <row r="164" spans="1:5" ht="66">
      <c r="A164" s="280">
        <f>IF(AND(B164&lt;&gt;"",C164&lt;&gt;""),MAX($A$1:A162)+1,"")</f>
        <v>23</v>
      </c>
      <c r="B164" s="242" t="s">
        <v>267</v>
      </c>
      <c r="C164" s="275" t="s">
        <v>382</v>
      </c>
      <c r="D164" s="245"/>
      <c r="E164" s="285"/>
    </row>
    <row r="165" spans="1:5" ht="33">
      <c r="A165" s="280" t="str">
        <f>IF(AND(B165&lt;&gt;"",C165&lt;&gt;""),MAX($A$1:A163)+1,"")</f>
        <v/>
      </c>
      <c r="B165" s="240"/>
      <c r="C165" s="275"/>
      <c r="D165" s="233"/>
      <c r="E165" s="336" t="s">
        <v>1064</v>
      </c>
    </row>
    <row r="166" spans="1:5" ht="33">
      <c r="A166" s="280" t="str">
        <f>IF(AND(B166&lt;&gt;"",C166&lt;&gt;""),MAX($A$1:A164)+1,"")</f>
        <v/>
      </c>
      <c r="B166" s="240"/>
      <c r="C166" s="275"/>
      <c r="D166" s="233"/>
      <c r="E166" s="336" t="s">
        <v>1065</v>
      </c>
    </row>
    <row r="167" spans="1:5" ht="33">
      <c r="A167" s="280" t="str">
        <f>IF(AND(B167&lt;&gt;"",C167&lt;&gt;""),MAX($A$1:A165)+1,"")</f>
        <v/>
      </c>
      <c r="B167" s="299"/>
      <c r="C167" s="275"/>
      <c r="D167" s="233"/>
      <c r="E167" s="336" t="s">
        <v>1066</v>
      </c>
    </row>
    <row r="168" spans="1:5" ht="33">
      <c r="A168" s="280" t="str">
        <f>IF(AND(B168&lt;&gt;"",C168&lt;&gt;""),MAX($A$1:A166)+1,"")</f>
        <v/>
      </c>
      <c r="B168" s="297"/>
      <c r="C168" s="275"/>
      <c r="D168" s="232"/>
      <c r="E168" s="336" t="s">
        <v>1067</v>
      </c>
    </row>
    <row r="169" spans="1:5" ht="33">
      <c r="A169" s="280" t="str">
        <f>IF(AND(B169&lt;&gt;"",C169&lt;&gt;""),MAX($A$1:A167)+1,"")</f>
        <v/>
      </c>
      <c r="B169" s="260"/>
      <c r="C169" s="275"/>
      <c r="D169" s="232"/>
      <c r="E169" s="336" t="s">
        <v>1068</v>
      </c>
    </row>
    <row r="170" spans="1:5" ht="33">
      <c r="A170" s="280" t="str">
        <f>IF(AND(B170&lt;&gt;"",C170&lt;&gt;""),MAX($A$1:A168)+1,"")</f>
        <v/>
      </c>
      <c r="B170" s="260"/>
      <c r="C170" s="275"/>
      <c r="D170" s="232"/>
      <c r="E170" s="336" t="s">
        <v>1200</v>
      </c>
    </row>
    <row r="171" spans="1:5" ht="49.5">
      <c r="A171" s="228" t="s">
        <v>62</v>
      </c>
      <c r="B171" s="300" t="s">
        <v>268</v>
      </c>
      <c r="C171" s="273"/>
      <c r="D171" s="229"/>
      <c r="E171" s="229"/>
    </row>
    <row r="172" spans="1:5" ht="66">
      <c r="A172" s="280">
        <f>IF(AND(B172&lt;&gt;"",C172&lt;&gt;""),MAX($A$1:A170)+1,"")</f>
        <v>24</v>
      </c>
      <c r="B172" s="247" t="s">
        <v>269</v>
      </c>
      <c r="C172" s="275" t="s">
        <v>974</v>
      </c>
      <c r="D172" s="237"/>
      <c r="E172" s="285"/>
    </row>
    <row r="173" spans="1:5" ht="49.5">
      <c r="A173" s="280" t="str">
        <f>IF(AND(B173&lt;&gt;"",C173&lt;&gt;""),MAX($A$1:A171)+1,"")</f>
        <v/>
      </c>
      <c r="B173" s="260"/>
      <c r="C173" s="275"/>
      <c r="D173" s="232"/>
      <c r="E173" s="336" t="s">
        <v>1216</v>
      </c>
    </row>
    <row r="174" spans="1:5" ht="33">
      <c r="A174" s="280" t="str">
        <f>IF(AND(B174&lt;&gt;"",C174&lt;&gt;""),MAX($A$1:A172)+1,"")</f>
        <v/>
      </c>
      <c r="B174" s="260"/>
      <c r="C174" s="275"/>
      <c r="D174" s="232"/>
      <c r="E174" s="336" t="s">
        <v>1054</v>
      </c>
    </row>
    <row r="175" spans="1:5" ht="49.5">
      <c r="A175" s="280" t="str">
        <f>IF(AND(B175&lt;&gt;"",C175&lt;&gt;""),MAX($A$1:A173)+1,"")</f>
        <v/>
      </c>
      <c r="B175" s="260"/>
      <c r="C175" s="275"/>
      <c r="D175" s="233"/>
      <c r="E175" s="336" t="s">
        <v>1182</v>
      </c>
    </row>
    <row r="176" spans="1:5" ht="49.5">
      <c r="A176" s="280" t="str">
        <f>IF(AND(B176&lt;&gt;"",C176&lt;&gt;""),MAX($A$1:A174)+1,"")</f>
        <v/>
      </c>
      <c r="B176" s="260"/>
      <c r="C176" s="275"/>
      <c r="D176" s="233"/>
      <c r="E176" s="336" t="s">
        <v>1172</v>
      </c>
    </row>
    <row r="177" spans="1:5" ht="66">
      <c r="A177" s="231">
        <f>IF(AND(B177&lt;&gt;"",C177&lt;&gt;""),MAX($A$5:A176)+1,"")</f>
        <v>25</v>
      </c>
      <c r="B177" s="247" t="s">
        <v>778</v>
      </c>
      <c r="C177" s="275" t="s">
        <v>974</v>
      </c>
      <c r="D177" s="237"/>
      <c r="E177" s="285"/>
    </row>
    <row r="178" spans="1:5" ht="49.5">
      <c r="A178" s="231" t="str">
        <f>IF(AND(B178&lt;&gt;"",C178&lt;&gt;""),MAX($A$5:A176)+1,"")</f>
        <v/>
      </c>
      <c r="B178" s="260"/>
      <c r="C178" s="275"/>
      <c r="D178" s="232"/>
      <c r="E178" s="336" t="s">
        <v>1215</v>
      </c>
    </row>
    <row r="179" spans="1:5" ht="33">
      <c r="A179" s="231" t="str">
        <f>IF(AND(B179&lt;&gt;"",C179&lt;&gt;""),MAX($A$5:A177)+1,"")</f>
        <v/>
      </c>
      <c r="B179" s="260"/>
      <c r="C179" s="275"/>
      <c r="D179" s="232"/>
      <c r="E179" s="336" t="s">
        <v>1055</v>
      </c>
    </row>
    <row r="180" spans="1:5" ht="49.5">
      <c r="A180" s="231" t="str">
        <f>IF(AND(B180&lt;&gt;"",C180&lt;&gt;""),MAX($A$5:A178)+1,"")</f>
        <v/>
      </c>
      <c r="B180" s="260"/>
      <c r="C180" s="275"/>
      <c r="D180" s="233"/>
      <c r="E180" s="336" t="s">
        <v>1183</v>
      </c>
    </row>
    <row r="181" spans="1:5" ht="49.5">
      <c r="A181" s="231" t="str">
        <f>IF(AND(B181&lt;&gt;"",C181&lt;&gt;""),MAX($A$5:A179)+1,"")</f>
        <v/>
      </c>
      <c r="B181" s="260"/>
      <c r="C181" s="275"/>
      <c r="D181" s="233"/>
      <c r="E181" s="336" t="s">
        <v>1173</v>
      </c>
    </row>
    <row r="182" spans="1:5" ht="49.5">
      <c r="A182" s="231">
        <f>IF(AND(B182&lt;&gt;"",C182&lt;&gt;""),MAX($A$5:A181)+1,"")</f>
        <v>26</v>
      </c>
      <c r="B182" s="247" t="s">
        <v>719</v>
      </c>
      <c r="C182" s="275" t="s">
        <v>975</v>
      </c>
      <c r="D182" s="230"/>
      <c r="E182" s="246"/>
    </row>
    <row r="183" spans="1:5" ht="49.5">
      <c r="A183" s="280" t="str">
        <f>IF(AND(B183&lt;&gt;"",C183&lt;&gt;""),MAX($A$1:A176)+1,"")</f>
        <v/>
      </c>
      <c r="B183" s="301"/>
      <c r="C183" s="275"/>
      <c r="D183" s="232"/>
      <c r="E183" s="336" t="s">
        <v>1214</v>
      </c>
    </row>
    <row r="184" spans="1:5" ht="66">
      <c r="A184" s="280" t="str">
        <f>IF(AND(B184&lt;&gt;"",C184&lt;&gt;""),MAX($A$1:A182)+1,"")</f>
        <v/>
      </c>
      <c r="B184" s="299"/>
      <c r="C184" s="275"/>
      <c r="D184" s="232"/>
      <c r="E184" s="336" t="s">
        <v>1201</v>
      </c>
    </row>
    <row r="185" spans="1:5" ht="82.5">
      <c r="A185" s="280" t="str">
        <f>IF(AND(B185&lt;&gt;"",C185&lt;&gt;""),MAX($A$1:A183)+1,"")</f>
        <v/>
      </c>
      <c r="B185" s="299"/>
      <c r="C185" s="275"/>
      <c r="D185" s="232"/>
      <c r="E185" s="336" t="s">
        <v>1202</v>
      </c>
    </row>
    <row r="186" spans="1:5" ht="66">
      <c r="A186" s="280" t="str">
        <f>IF(AND(B186&lt;&gt;"",C186&lt;&gt;""),MAX($A$1:A184)+1,"")</f>
        <v/>
      </c>
      <c r="B186" s="299"/>
      <c r="C186" s="275"/>
      <c r="D186" s="232"/>
      <c r="E186" s="336" t="s">
        <v>1203</v>
      </c>
    </row>
    <row r="187" spans="1:5" ht="66">
      <c r="A187" s="280" t="str">
        <f>IF(AND(B187&lt;&gt;"",C187&lt;&gt;""),MAX($A$1:A185)+1,"")</f>
        <v/>
      </c>
      <c r="B187" s="299"/>
      <c r="C187" s="275"/>
      <c r="D187" s="232"/>
      <c r="E187" s="336" t="s">
        <v>1204</v>
      </c>
    </row>
    <row r="188" spans="1:5" ht="66">
      <c r="A188" s="280" t="str">
        <f>IF(AND(B188&lt;&gt;"",C188&lt;&gt;""),MAX($A$1:A186)+1,"")</f>
        <v/>
      </c>
      <c r="B188" s="299"/>
      <c r="C188" s="275"/>
      <c r="D188" s="232"/>
      <c r="E188" s="336" t="s">
        <v>1205</v>
      </c>
    </row>
    <row r="189" spans="1:5" ht="66">
      <c r="A189" s="280" t="str">
        <f>IF(AND(B189&lt;&gt;"",C189&lt;&gt;""),MAX($A$1:A187)+1,"")</f>
        <v/>
      </c>
      <c r="B189" s="299"/>
      <c r="C189" s="275"/>
      <c r="D189" s="232"/>
      <c r="E189" s="336" t="s">
        <v>1206</v>
      </c>
    </row>
    <row r="190" spans="1:5" ht="66">
      <c r="A190" s="280" t="str">
        <f>IF(AND(B190&lt;&gt;"",C190&lt;&gt;""),MAX($A$1:A188)+1,"")</f>
        <v/>
      </c>
      <c r="B190" s="299"/>
      <c r="C190" s="275"/>
      <c r="D190" s="232"/>
      <c r="E190" s="336" t="s">
        <v>1207</v>
      </c>
    </row>
    <row r="191" spans="1:5" ht="99">
      <c r="A191" s="280">
        <f>IF(AND(B191&lt;&gt;"",C191&lt;&gt;""),MAX($A$1:A189)+1,"")</f>
        <v>27</v>
      </c>
      <c r="B191" s="299" t="s">
        <v>715</v>
      </c>
      <c r="C191" s="275" t="s">
        <v>717</v>
      </c>
      <c r="D191" s="230"/>
      <c r="E191" s="336"/>
    </row>
    <row r="192" spans="1:5" ht="49.5">
      <c r="A192" s="280" t="str">
        <f>IF(AND(B192&lt;&gt;"",C192&lt;&gt;""),MAX($A$1:A190)+1,"")</f>
        <v/>
      </c>
      <c r="B192" s="299"/>
      <c r="C192" s="275"/>
      <c r="D192" s="232"/>
      <c r="E192" s="336" t="s">
        <v>1213</v>
      </c>
    </row>
    <row r="193" spans="1:5" ht="66">
      <c r="A193" s="280" t="str">
        <f>IF(AND(B193&lt;&gt;"",C193&lt;&gt;""),MAX($A$1:A191)+1,"")</f>
        <v/>
      </c>
      <c r="B193" s="299"/>
      <c r="C193" s="275"/>
      <c r="D193" s="232"/>
      <c r="E193" s="336" t="s">
        <v>1034</v>
      </c>
    </row>
    <row r="194" spans="1:5" ht="82.5">
      <c r="A194" s="280" t="str">
        <f>IF(AND(B194&lt;&gt;"",C194&lt;&gt;""),MAX($A$1:A192)+1,"")</f>
        <v/>
      </c>
      <c r="B194" s="299"/>
      <c r="C194" s="275"/>
      <c r="D194" s="232"/>
      <c r="E194" s="336" t="s">
        <v>1035</v>
      </c>
    </row>
    <row r="195" spans="1:5" ht="66">
      <c r="A195" s="280" t="str">
        <f>IF(AND(B195&lt;&gt;"",C195&lt;&gt;""),MAX($A$1:A193)+1,"")</f>
        <v/>
      </c>
      <c r="B195" s="299"/>
      <c r="C195" s="275"/>
      <c r="D195" s="232"/>
      <c r="E195" s="336" t="s">
        <v>1208</v>
      </c>
    </row>
    <row r="196" spans="1:5" ht="66">
      <c r="A196" s="280" t="str">
        <f>IF(AND(B196&lt;&gt;"",C196&lt;&gt;""),MAX($A$1:A194)+1,"")</f>
        <v/>
      </c>
      <c r="B196" s="299"/>
      <c r="C196" s="275"/>
      <c r="D196" s="232"/>
      <c r="E196" s="336" t="s">
        <v>1209</v>
      </c>
    </row>
    <row r="197" spans="1:5" ht="66">
      <c r="A197" s="280" t="str">
        <f>IF(AND(B197&lt;&gt;"",C197&lt;&gt;""),MAX($A$1:A195)+1,"")</f>
        <v/>
      </c>
      <c r="B197" s="299"/>
      <c r="C197" s="275"/>
      <c r="D197" s="232"/>
      <c r="E197" s="336" t="s">
        <v>1210</v>
      </c>
    </row>
    <row r="198" spans="1:5" ht="49.5">
      <c r="A198" s="280" t="str">
        <f>IF(AND(B198&lt;&gt;"",C198&lt;&gt;""),MAX($A$1:A196)+1,"")</f>
        <v/>
      </c>
      <c r="B198" s="299"/>
      <c r="C198" s="275"/>
      <c r="D198" s="232"/>
      <c r="E198" s="336" t="s">
        <v>1211</v>
      </c>
    </row>
    <row r="199" spans="1:5" ht="49.5">
      <c r="A199" s="280" t="str">
        <f>IF(AND(B199&lt;&gt;"",C199&lt;&gt;""),MAX($A$1:A197)+1,"")</f>
        <v/>
      </c>
      <c r="B199" s="299"/>
      <c r="C199" s="275"/>
      <c r="D199" s="232"/>
      <c r="E199" s="336" t="s">
        <v>1212</v>
      </c>
    </row>
    <row r="200" spans="1:5" ht="82.5">
      <c r="A200" s="280">
        <f>IF(AND(B200&lt;&gt;"",C200&lt;&gt;""),MAX($A$1:A198)+1,"")</f>
        <v>28</v>
      </c>
      <c r="B200" s="299" t="s">
        <v>718</v>
      </c>
      <c r="C200" s="275" t="s">
        <v>976</v>
      </c>
      <c r="D200" s="232"/>
      <c r="E200" s="336"/>
    </row>
    <row r="201" spans="1:5" ht="49.5">
      <c r="A201" s="280" t="str">
        <f>IF(AND(B201&lt;&gt;"",C201&lt;&gt;""),MAX($A$1:A199)+1,"")</f>
        <v/>
      </c>
      <c r="B201" s="299"/>
      <c r="C201" s="275"/>
      <c r="D201" s="232"/>
      <c r="E201" s="336" t="s">
        <v>1220</v>
      </c>
    </row>
    <row r="202" spans="1:5" ht="66">
      <c r="A202" s="280" t="str">
        <f>IF(AND(B202&lt;&gt;"",C202&lt;&gt;""),MAX($A$1:A200)+1,"")</f>
        <v/>
      </c>
      <c r="B202" s="299"/>
      <c r="C202" s="275"/>
      <c r="D202" s="232"/>
      <c r="E202" s="336" t="s">
        <v>1217</v>
      </c>
    </row>
    <row r="203" spans="1:5" ht="82.5">
      <c r="A203" s="280" t="str">
        <f>IF(AND(B203&lt;&gt;"",C203&lt;&gt;""),MAX($A$1:A201)+1,"")</f>
        <v/>
      </c>
      <c r="B203" s="299"/>
      <c r="C203" s="275"/>
      <c r="D203" s="232"/>
      <c r="E203" s="336" t="s">
        <v>1218</v>
      </c>
    </row>
    <row r="204" spans="1:5" ht="66">
      <c r="A204" s="280" t="str">
        <f>IF(AND(B204&lt;&gt;"",C204&lt;&gt;""),MAX($A$1:A202)+1,"")</f>
        <v/>
      </c>
      <c r="B204" s="299"/>
      <c r="C204" s="275"/>
      <c r="D204" s="232"/>
      <c r="E204" s="336" t="s">
        <v>1219</v>
      </c>
    </row>
    <row r="205" spans="1:5" ht="66">
      <c r="A205" s="280" t="str">
        <f>IF(AND(B205&lt;&gt;"",C205&lt;&gt;""),MAX($A$1:A203)+1,"")</f>
        <v/>
      </c>
      <c r="B205" s="299"/>
      <c r="C205" s="275"/>
      <c r="D205" s="232"/>
      <c r="E205" s="336" t="s">
        <v>1221</v>
      </c>
    </row>
    <row r="206" spans="1:5" ht="66">
      <c r="A206" s="280" t="str">
        <f>IF(AND(B206&lt;&gt;"",C206&lt;&gt;""),MAX($A$1:A204)+1,"")</f>
        <v/>
      </c>
      <c r="B206" s="299"/>
      <c r="C206" s="275"/>
      <c r="D206" s="232"/>
      <c r="E206" s="336" t="s">
        <v>1222</v>
      </c>
    </row>
    <row r="207" spans="1:5" ht="49.5">
      <c r="A207" s="280" t="str">
        <f>IF(AND(B207&lt;&gt;"",C207&lt;&gt;""),MAX($A$1:A205)+1,"")</f>
        <v/>
      </c>
      <c r="B207" s="299"/>
      <c r="C207" s="275"/>
      <c r="D207" s="232"/>
      <c r="E207" s="336" t="s">
        <v>1223</v>
      </c>
    </row>
    <row r="208" spans="1:5" ht="49.5">
      <c r="A208" s="280" t="str">
        <f>IF(AND(B208&lt;&gt;"",C208&lt;&gt;""),MAX($A$1:A206)+1,"")</f>
        <v/>
      </c>
      <c r="B208" s="299"/>
      <c r="C208" s="275"/>
      <c r="D208" s="232"/>
      <c r="E208" s="336" t="s">
        <v>1224</v>
      </c>
    </row>
    <row r="209" spans="1:5" ht="66">
      <c r="A209" s="280">
        <f>IF(AND(B209&lt;&gt;"",C209&lt;&gt;""),MAX($A$1:A207)+1,"")</f>
        <v>29</v>
      </c>
      <c r="B209" s="299" t="s">
        <v>720</v>
      </c>
      <c r="C209" s="275" t="s">
        <v>716</v>
      </c>
      <c r="D209" s="232"/>
      <c r="E209" s="336"/>
    </row>
    <row r="210" spans="1:5" ht="66">
      <c r="A210" s="280" t="str">
        <f>IF(AND(B210&lt;&gt;"",C210&lt;&gt;""),MAX($A$1:A208)+1,"")</f>
        <v/>
      </c>
      <c r="B210" s="299"/>
      <c r="C210" s="275"/>
      <c r="D210" s="232"/>
      <c r="E210" s="336" t="s">
        <v>1225</v>
      </c>
    </row>
    <row r="211" spans="1:5" ht="66">
      <c r="A211" s="280" t="str">
        <f>IF(AND(B211&lt;&gt;"",C211&lt;&gt;""),MAX($A$1:A209)+1,"")</f>
        <v/>
      </c>
      <c r="B211" s="299"/>
      <c r="C211" s="275"/>
      <c r="D211" s="232"/>
      <c r="E211" s="336" t="s">
        <v>1226</v>
      </c>
    </row>
    <row r="212" spans="1:5" ht="49.5">
      <c r="A212" s="280" t="str">
        <f>IF(AND(B212&lt;&gt;"",C212&lt;&gt;""),MAX($A$1:A210)+1,"")</f>
        <v/>
      </c>
      <c r="B212" s="299"/>
      <c r="C212" s="275"/>
      <c r="D212" s="232"/>
      <c r="E212" s="336" t="s">
        <v>1227</v>
      </c>
    </row>
    <row r="213" spans="1:5" ht="49.5">
      <c r="A213" s="280" t="str">
        <f>IF(AND(B213&lt;&gt;"",C213&lt;&gt;""),MAX($A$1:A211)+1,"")</f>
        <v/>
      </c>
      <c r="B213" s="299"/>
      <c r="C213" s="275"/>
      <c r="D213" s="232"/>
      <c r="E213" s="336" t="s">
        <v>1228</v>
      </c>
    </row>
    <row r="214" spans="1:5" ht="66">
      <c r="A214" s="280">
        <f>IF(AND(B214&lt;&gt;"",C214&lt;&gt;""),MAX($A$1:A212)+1,"")</f>
        <v>30</v>
      </c>
      <c r="B214" s="299" t="s">
        <v>721</v>
      </c>
      <c r="C214" s="275" t="s">
        <v>974</v>
      </c>
      <c r="D214" s="232"/>
      <c r="E214" s="336"/>
    </row>
    <row r="215" spans="1:5" ht="33">
      <c r="A215" s="280" t="str">
        <f>IF(AND(B215&lt;&gt;"",C215&lt;&gt;""),MAX($A$1:A213)+1,"")</f>
        <v/>
      </c>
      <c r="B215" s="299"/>
      <c r="C215" s="275"/>
      <c r="D215" s="232"/>
      <c r="E215" s="336" t="s">
        <v>977</v>
      </c>
    </row>
    <row r="216" spans="1:5" ht="33">
      <c r="A216" s="280" t="str">
        <f>IF(AND(B216&lt;&gt;"",C216&lt;&gt;""),MAX($A$1:A214)+1,"")</f>
        <v/>
      </c>
      <c r="B216" s="299"/>
      <c r="C216" s="275"/>
      <c r="D216" s="232"/>
      <c r="E216" s="336" t="s">
        <v>1106</v>
      </c>
    </row>
    <row r="217" spans="1:5" ht="49.5">
      <c r="A217" s="280" t="str">
        <f>IF(AND(B217&lt;&gt;"",C217&lt;&gt;""),MAX($A$1:A215)+1,"")</f>
        <v/>
      </c>
      <c r="B217" s="299"/>
      <c r="C217" s="275"/>
      <c r="D217" s="232"/>
      <c r="E217" s="336" t="s">
        <v>978</v>
      </c>
    </row>
    <row r="218" spans="1:5" ht="33">
      <c r="A218" s="280" t="str">
        <f>IF(AND(B218&lt;&gt;"",C218&lt;&gt;""),MAX($A$1:A216)+1,"")</f>
        <v/>
      </c>
      <c r="B218" s="299"/>
      <c r="C218" s="275"/>
      <c r="D218" s="232"/>
      <c r="E218" s="336" t="s">
        <v>1229</v>
      </c>
    </row>
    <row r="219" spans="1:5" ht="49.5">
      <c r="A219" s="280" t="str">
        <f>IF(AND(B219&lt;&gt;"",C219&lt;&gt;""),MAX($A$1:A217)+1,"")</f>
        <v/>
      </c>
      <c r="B219" s="299"/>
      <c r="C219" s="275"/>
      <c r="D219" s="232"/>
      <c r="E219" s="336" t="s">
        <v>1230</v>
      </c>
    </row>
    <row r="220" spans="1:5" ht="33">
      <c r="A220" s="280" t="str">
        <f>IF(AND(B220&lt;&gt;"",C220&lt;&gt;""),MAX($A$1:A218)+1,"")</f>
        <v/>
      </c>
      <c r="B220" s="299"/>
      <c r="C220" s="275"/>
      <c r="D220" s="232"/>
      <c r="E220" s="336" t="s">
        <v>1231</v>
      </c>
    </row>
    <row r="221" spans="1:5" ht="33">
      <c r="A221" s="280" t="str">
        <f>IF(AND(B221&lt;&gt;"",C221&lt;&gt;""),MAX($A$1:A219)+1,"")</f>
        <v/>
      </c>
      <c r="B221" s="299"/>
      <c r="C221" s="275"/>
      <c r="D221" s="232"/>
      <c r="E221" s="336" t="s">
        <v>979</v>
      </c>
    </row>
    <row r="222" spans="1:5" ht="33">
      <c r="A222" s="280" t="str">
        <f>IF(AND(B222&lt;&gt;"",C222&lt;&gt;""),MAX($A$1:A220)+1,"")</f>
        <v/>
      </c>
      <c r="B222" s="299"/>
      <c r="C222" s="275"/>
      <c r="D222" s="232"/>
      <c r="E222" s="336" t="s">
        <v>980</v>
      </c>
    </row>
    <row r="223" spans="1:5" ht="99">
      <c r="A223" s="280">
        <f>IF(AND(B223&lt;&gt;"",C223&lt;&gt;""),MAX($A$1:A221)+1,"")</f>
        <v>31</v>
      </c>
      <c r="B223" s="299" t="s">
        <v>722</v>
      </c>
      <c r="C223" s="275" t="s">
        <v>974</v>
      </c>
      <c r="D223" s="232"/>
      <c r="E223" s="336"/>
    </row>
    <row r="224" spans="1:5" ht="49.5">
      <c r="A224" s="280" t="str">
        <f>IF(AND(B224&lt;&gt;"",C224&lt;&gt;""),MAX($A$1:A222)+1,"")</f>
        <v/>
      </c>
      <c r="B224" s="299"/>
      <c r="C224" s="275"/>
      <c r="D224" s="232"/>
      <c r="E224" s="336" t="s">
        <v>1233</v>
      </c>
    </row>
    <row r="225" spans="1:5" ht="49.5">
      <c r="A225" s="280" t="str">
        <f>IF(AND(B225&lt;&gt;"",C225&lt;&gt;""),MAX($A$1:A223)+1,"")</f>
        <v/>
      </c>
      <c r="B225" s="299"/>
      <c r="C225" s="275"/>
      <c r="D225" s="232"/>
      <c r="E225" s="336" t="s">
        <v>1234</v>
      </c>
    </row>
    <row r="226" spans="1:5" ht="33">
      <c r="A226" s="280" t="str">
        <f>IF(AND(B226&lt;&gt;"",C226&lt;&gt;""),MAX($A$1:A224)+1,"")</f>
        <v/>
      </c>
      <c r="B226" s="299"/>
      <c r="C226" s="275"/>
      <c r="D226" s="232"/>
      <c r="E226" s="336" t="s">
        <v>1232</v>
      </c>
    </row>
    <row r="227" spans="1:5" ht="33">
      <c r="A227" s="280" t="str">
        <f>IF(AND(B227&lt;&gt;"",C227&lt;&gt;""),MAX($A$1:A225)+1,"")</f>
        <v/>
      </c>
      <c r="B227" s="299"/>
      <c r="C227" s="275"/>
      <c r="D227" s="232"/>
      <c r="E227" s="336" t="s">
        <v>981</v>
      </c>
    </row>
    <row r="228" spans="1:5" ht="49.5">
      <c r="A228" s="280" t="str">
        <f>IF(AND(B228&lt;&gt;"",C228&lt;&gt;""),MAX($A$1:A226)+1,"")</f>
        <v/>
      </c>
      <c r="B228" s="299"/>
      <c r="C228" s="275"/>
      <c r="D228" s="232"/>
      <c r="E228" s="336" t="s">
        <v>1235</v>
      </c>
    </row>
    <row r="229" spans="1:5" ht="49.5">
      <c r="A229" s="280" t="str">
        <f>IF(AND(B229&lt;&gt;"",C229&lt;&gt;""),MAX($A$1:A227)+1,"")</f>
        <v/>
      </c>
      <c r="B229" s="299"/>
      <c r="C229" s="275"/>
      <c r="D229" s="232"/>
      <c r="E229" s="336" t="s">
        <v>1236</v>
      </c>
    </row>
    <row r="230" spans="1:5" ht="49.5">
      <c r="A230" s="280" t="str">
        <f>IF(AND(B230&lt;&gt;"",C230&lt;&gt;""),MAX($A$1:A228)+1,"")</f>
        <v/>
      </c>
      <c r="B230" s="299"/>
      <c r="C230" s="275"/>
      <c r="D230" s="232"/>
      <c r="E230" s="336" t="s">
        <v>1237</v>
      </c>
    </row>
    <row r="231" spans="1:5" ht="49.5">
      <c r="A231" s="280" t="str">
        <f>IF(AND(B231&lt;&gt;"",C231&lt;&gt;""),MAX($A$1:A229)+1,"")</f>
        <v/>
      </c>
      <c r="B231" s="299"/>
      <c r="C231" s="275"/>
      <c r="D231" s="232"/>
      <c r="E231" s="336" t="s">
        <v>1238</v>
      </c>
    </row>
    <row r="232" spans="1:5" ht="66">
      <c r="A232" s="280">
        <f>IF(AND(B232&lt;&gt;"",C232&lt;&gt;""),MAX($A$1:A230)+1,"")</f>
        <v>32</v>
      </c>
      <c r="B232" s="299" t="s">
        <v>904</v>
      </c>
      <c r="C232" s="275" t="s">
        <v>974</v>
      </c>
      <c r="D232" s="232"/>
      <c r="E232" s="336"/>
    </row>
    <row r="233" spans="1:5" ht="49.5">
      <c r="A233" s="280" t="str">
        <f>IF(AND(B233&lt;&gt;"",C233&lt;&gt;""),MAX($A$1:A231)+1,"")</f>
        <v/>
      </c>
      <c r="B233" s="299"/>
      <c r="C233" s="275"/>
      <c r="D233" s="232"/>
      <c r="E233" s="336" t="s">
        <v>1239</v>
      </c>
    </row>
    <row r="234" spans="1:5" ht="33">
      <c r="A234" s="280" t="str">
        <f>IF(AND(B234&lt;&gt;"",C234&lt;&gt;""),MAX($A$1:A232)+1,"")</f>
        <v/>
      </c>
      <c r="B234" s="299"/>
      <c r="C234" s="275"/>
      <c r="D234" s="232"/>
      <c r="E234" s="336" t="s">
        <v>1240</v>
      </c>
    </row>
    <row r="235" spans="1:5" ht="49.5">
      <c r="A235" s="280" t="str">
        <f>IF(AND(B235&lt;&gt;"",C235&lt;&gt;""),MAX($A$1:A233)+1,"")</f>
        <v/>
      </c>
      <c r="B235" s="299"/>
      <c r="C235" s="275"/>
      <c r="D235" s="232"/>
      <c r="E235" s="336" t="s">
        <v>1241</v>
      </c>
    </row>
    <row r="236" spans="1:5" ht="33">
      <c r="A236" s="280" t="str">
        <f>IF(AND(B236&lt;&gt;"",C236&lt;&gt;""),MAX($A$1:A234)+1,"")</f>
        <v/>
      </c>
      <c r="B236" s="299"/>
      <c r="C236" s="275"/>
      <c r="D236" s="232"/>
      <c r="E236" s="336" t="s">
        <v>1242</v>
      </c>
    </row>
    <row r="237" spans="1:5" ht="33">
      <c r="A237" s="280" t="str">
        <f>IF(AND(B237&lt;&gt;"",C237&lt;&gt;""),MAX($A$1:A235)+1,"")</f>
        <v/>
      </c>
      <c r="B237" s="299"/>
      <c r="C237" s="275"/>
      <c r="D237" s="232"/>
      <c r="E237" s="336" t="s">
        <v>1243</v>
      </c>
    </row>
    <row r="238" spans="1:5" ht="33">
      <c r="A238" s="280" t="str">
        <f>IF(AND(B238&lt;&gt;"",C238&lt;&gt;""),MAX($A$1:A236)+1,"")</f>
        <v/>
      </c>
      <c r="B238" s="299"/>
      <c r="C238" s="275"/>
      <c r="D238" s="232"/>
      <c r="E238" s="336" t="s">
        <v>1244</v>
      </c>
    </row>
    <row r="239" spans="1:5" ht="49.5">
      <c r="A239" s="280" t="str">
        <f>IF(AND(B239&lt;&gt;"",C239&lt;&gt;""),MAX($A$1:A237)+1,"")</f>
        <v/>
      </c>
      <c r="B239" s="299"/>
      <c r="C239" s="275"/>
      <c r="D239" s="232"/>
      <c r="E239" s="340" t="s">
        <v>982</v>
      </c>
    </row>
    <row r="240" spans="1:5" ht="33">
      <c r="A240" s="280" t="str">
        <f>IF(AND(B240&lt;&gt;"",C240&lt;&gt;""),MAX($A$1:A238)+1,"")</f>
        <v/>
      </c>
      <c r="B240" s="299"/>
      <c r="C240" s="275"/>
      <c r="D240" s="232"/>
      <c r="E240" s="336" t="s">
        <v>1245</v>
      </c>
    </row>
    <row r="241" spans="1:5" ht="82.5">
      <c r="A241" s="280">
        <f>IF(AND(B241&lt;&gt;"",C241&lt;&gt;""),MAX($A$1:A239)+1,"")</f>
        <v>33</v>
      </c>
      <c r="B241" s="299" t="s">
        <v>723</v>
      </c>
      <c r="C241" s="275" t="s">
        <v>974</v>
      </c>
      <c r="D241" s="232"/>
      <c r="E241" s="336"/>
    </row>
    <row r="242" spans="1:5" ht="49.5">
      <c r="A242" s="280" t="str">
        <f>IF(AND(B242&lt;&gt;"",C242&lt;&gt;""),MAX($A$1:A240)+1,"")</f>
        <v/>
      </c>
      <c r="B242" s="299"/>
      <c r="C242" s="275"/>
      <c r="D242" s="232"/>
      <c r="E242" s="340" t="s">
        <v>1246</v>
      </c>
    </row>
    <row r="243" spans="1:5" ht="49.5">
      <c r="A243" s="280" t="str">
        <f>IF(AND(B243&lt;&gt;"",C243&lt;&gt;""),MAX($A$1:A241)+1,"")</f>
        <v/>
      </c>
      <c r="B243" s="299"/>
      <c r="C243" s="275"/>
      <c r="D243" s="232"/>
      <c r="E243" s="340" t="s">
        <v>1657</v>
      </c>
    </row>
    <row r="244" spans="1:5" ht="49.5">
      <c r="A244" s="280" t="str">
        <f>IF(AND(B244&lt;&gt;"",C244&lt;&gt;""),MAX($A$1:A242)+1,"")</f>
        <v/>
      </c>
      <c r="B244" s="299"/>
      <c r="C244" s="275"/>
      <c r="D244" s="232"/>
      <c r="E244" s="340" t="s">
        <v>1247</v>
      </c>
    </row>
    <row r="245" spans="1:5" ht="49.5">
      <c r="A245" s="280" t="str">
        <f>IF(AND(B245&lt;&gt;"",C245&lt;&gt;""),MAX($A$1:A243)+1,"")</f>
        <v/>
      </c>
      <c r="B245" s="299"/>
      <c r="C245" s="275"/>
      <c r="D245" s="232"/>
      <c r="E245" s="340" t="s">
        <v>1248</v>
      </c>
    </row>
    <row r="246" spans="1:5" ht="49.5">
      <c r="A246" s="280" t="str">
        <f>IF(AND(B246&lt;&gt;"",C246&lt;&gt;""),MAX($A$1:A244)+1,"")</f>
        <v/>
      </c>
      <c r="B246" s="299"/>
      <c r="C246" s="275"/>
      <c r="D246" s="232"/>
      <c r="E246" s="340" t="s">
        <v>1249</v>
      </c>
    </row>
    <row r="247" spans="1:5" ht="33">
      <c r="A247" s="280" t="str">
        <f>IF(AND(B247&lt;&gt;"",C247&lt;&gt;""),MAX($A$1:A245)+1,"")</f>
        <v/>
      </c>
      <c r="B247" s="299"/>
      <c r="C247" s="275"/>
      <c r="D247" s="232"/>
      <c r="E247" s="340" t="s">
        <v>1250</v>
      </c>
    </row>
    <row r="248" spans="1:5" ht="49.5">
      <c r="A248" s="280">
        <f>IF(AND(B248&lt;&gt;"",C248&lt;&gt;""),MAX($A$1:A247)+1,"")</f>
        <v>34</v>
      </c>
      <c r="B248" s="248" t="s">
        <v>270</v>
      </c>
      <c r="C248" s="275" t="s">
        <v>974</v>
      </c>
      <c r="D248" s="245"/>
      <c r="E248" s="285"/>
    </row>
    <row r="249" spans="1:5" ht="33">
      <c r="A249" s="280" t="str">
        <f>IF(AND(B249&lt;&gt;"",C249&lt;&gt;""),MAX($A$1:A248)+1,"")</f>
        <v/>
      </c>
      <c r="B249" s="299"/>
      <c r="C249" s="275"/>
      <c r="D249" s="291"/>
      <c r="E249" s="336" t="s">
        <v>1251</v>
      </c>
    </row>
    <row r="250" spans="1:5" ht="33">
      <c r="A250" s="280" t="str">
        <f>IF(AND(B250&lt;&gt;"",C250&lt;&gt;""),MAX($A$1:A249)+1,"")</f>
        <v/>
      </c>
      <c r="B250" s="299"/>
      <c r="C250" s="275"/>
      <c r="D250" s="233"/>
      <c r="E250" s="336" t="s">
        <v>1252</v>
      </c>
    </row>
    <row r="251" spans="1:5" ht="33">
      <c r="A251" s="280" t="str">
        <f>IF(AND(B251&lt;&gt;"",C251&lt;&gt;""),MAX($A$1:A250)+1,"")</f>
        <v/>
      </c>
      <c r="B251" s="299"/>
      <c r="C251" s="275"/>
      <c r="D251" s="233"/>
      <c r="E251" s="336" t="s">
        <v>983</v>
      </c>
    </row>
    <row r="252" spans="1:5" ht="33">
      <c r="A252" s="280" t="str">
        <f>IF(AND(B252&lt;&gt;"",C252&lt;&gt;""),MAX($A$1:A251)+1,"")</f>
        <v/>
      </c>
      <c r="B252" s="299"/>
      <c r="C252" s="275"/>
      <c r="D252" s="233"/>
      <c r="E252" s="336" t="s">
        <v>1253</v>
      </c>
    </row>
    <row r="253" spans="1:5" ht="33">
      <c r="A253" s="280" t="str">
        <f>IF(AND(B253&lt;&gt;"",C253&lt;&gt;""),MAX($A$1:A252)+1,"")</f>
        <v/>
      </c>
      <c r="B253" s="299"/>
      <c r="C253" s="275"/>
      <c r="D253" s="233"/>
      <c r="E253" s="336" t="s">
        <v>984</v>
      </c>
    </row>
    <row r="254" spans="1:5" ht="33">
      <c r="A254" s="280" t="str">
        <f>IF(AND(B254&lt;&gt;"",C254&lt;&gt;""),MAX($A$1:A253)+1,"")</f>
        <v/>
      </c>
      <c r="B254" s="299"/>
      <c r="C254" s="275"/>
      <c r="D254" s="233"/>
      <c r="E254" s="336" t="s">
        <v>1254</v>
      </c>
    </row>
    <row r="255" spans="1:5" ht="33">
      <c r="A255" s="280" t="str">
        <f>IF(AND(B255&lt;&gt;"",C255&lt;&gt;""),MAX($A$1:A254)+1,"")</f>
        <v/>
      </c>
      <c r="B255" s="299"/>
      <c r="C255" s="275"/>
      <c r="D255" s="233"/>
      <c r="E255" s="336" t="s">
        <v>1255</v>
      </c>
    </row>
    <row r="256" spans="1:5" ht="33">
      <c r="A256" s="280" t="str">
        <f>IF(AND(B256&lt;&gt;"",C256&lt;&gt;""),MAX($A$1:A255)+1,"")</f>
        <v/>
      </c>
      <c r="B256" s="299"/>
      <c r="C256" s="275"/>
      <c r="D256" s="233"/>
      <c r="E256" s="336" t="s">
        <v>985</v>
      </c>
    </row>
    <row r="257" spans="1:5" ht="99">
      <c r="A257" s="280">
        <f>IF(AND(B257&lt;&gt;"",C257&lt;&gt;""),MAX($A$1:A256)+1,"")</f>
        <v>35</v>
      </c>
      <c r="B257" s="247" t="s">
        <v>271</v>
      </c>
      <c r="C257" s="275" t="s">
        <v>974</v>
      </c>
      <c r="D257" s="245"/>
      <c r="E257" s="285"/>
    </row>
    <row r="258" spans="1:5" ht="33">
      <c r="A258" s="280" t="str">
        <f>IF(AND(B258&lt;&gt;"",C258&lt;&gt;""),MAX($A$1:A257)+1,"")</f>
        <v/>
      </c>
      <c r="B258" s="299"/>
      <c r="C258" s="355"/>
      <c r="D258" s="249"/>
      <c r="E258" s="336" t="s">
        <v>1256</v>
      </c>
    </row>
    <row r="259" spans="1:5" ht="33">
      <c r="A259" s="280" t="str">
        <f>IF(AND(B259&lt;&gt;"",C259&lt;&gt;""),MAX($A$1:A258)+1,"")</f>
        <v/>
      </c>
      <c r="B259" s="301"/>
      <c r="C259" s="355"/>
      <c r="D259" s="250"/>
      <c r="E259" s="336" t="s">
        <v>1257</v>
      </c>
    </row>
    <row r="260" spans="1:5" ht="33">
      <c r="A260" s="280" t="str">
        <f>IF(AND(B260&lt;&gt;"",C260&lt;&gt;""),MAX($A$1:A259)+1,"")</f>
        <v/>
      </c>
      <c r="B260" s="299"/>
      <c r="C260" s="355"/>
      <c r="D260" s="250"/>
      <c r="E260" s="336" t="s">
        <v>1258</v>
      </c>
    </row>
    <row r="261" spans="1:5" ht="49.5">
      <c r="A261" s="280" t="str">
        <f>IF(AND(B261&lt;&gt;"",C261&lt;&gt;""),MAX($A$1:A260)+1,"")</f>
        <v/>
      </c>
      <c r="B261" s="299"/>
      <c r="C261" s="355"/>
      <c r="D261" s="250"/>
      <c r="E261" s="336" t="s">
        <v>1107</v>
      </c>
    </row>
    <row r="262" spans="1:5" ht="49.5">
      <c r="A262" s="280">
        <f>IF(AND(B262&lt;&gt;"",C262&lt;&gt;""),MAX($A$1:A261)+1,"")</f>
        <v>36</v>
      </c>
      <c r="B262" s="252" t="s">
        <v>905</v>
      </c>
      <c r="C262" s="275" t="s">
        <v>974</v>
      </c>
      <c r="D262" s="251"/>
      <c r="E262" s="285"/>
    </row>
    <row r="263" spans="1:5" ht="49.5">
      <c r="A263" s="280" t="str">
        <f>IF(AND(B263&lt;&gt;"",C263&lt;&gt;""),MAX($A$1:A262)+1,"")</f>
        <v/>
      </c>
      <c r="B263" s="299"/>
      <c r="C263" s="355"/>
      <c r="D263" s="239"/>
      <c r="E263" s="336" t="s">
        <v>1259</v>
      </c>
    </row>
    <row r="264" spans="1:5" ht="33">
      <c r="A264" s="280" t="str">
        <f>IF(AND(B264&lt;&gt;"",C264&lt;&gt;""),MAX($A$1:A263)+1,"")</f>
        <v/>
      </c>
      <c r="B264" s="260"/>
      <c r="C264" s="355"/>
      <c r="D264" s="250"/>
      <c r="E264" s="336" t="s">
        <v>1260</v>
      </c>
    </row>
    <row r="265" spans="1:5" ht="49.5">
      <c r="A265" s="280" t="str">
        <f>IF(AND(B265&lt;&gt;"",C265&lt;&gt;""),MAX($A$1:A264)+1,"")</f>
        <v/>
      </c>
      <c r="B265" s="260"/>
      <c r="C265" s="355"/>
      <c r="D265" s="250"/>
      <c r="E265" s="336" t="s">
        <v>986</v>
      </c>
    </row>
    <row r="266" spans="1:5" ht="33">
      <c r="A266" s="280" t="str">
        <f>IF(AND(B266&lt;&gt;"",C266&lt;&gt;""),MAX($A$1:A265)+1,"")</f>
        <v/>
      </c>
      <c r="B266" s="260"/>
      <c r="C266" s="355"/>
      <c r="D266" s="249"/>
      <c r="E266" s="336" t="s">
        <v>1261</v>
      </c>
    </row>
    <row r="267" spans="1:5" ht="33">
      <c r="A267" s="280" t="str">
        <f>IF(AND(B267&lt;&gt;"",C267&lt;&gt;""),MAX($A$1:A266)+1,"")</f>
        <v/>
      </c>
      <c r="B267" s="299"/>
      <c r="C267" s="355"/>
      <c r="D267" s="249"/>
      <c r="E267" s="336" t="s">
        <v>1262</v>
      </c>
    </row>
    <row r="268" spans="1:5" ht="33">
      <c r="A268" s="280" t="str">
        <f>IF(AND(B268&lt;&gt;"",C268&lt;&gt;""),MAX($A$1:A267)+1,"")</f>
        <v/>
      </c>
      <c r="B268" s="299"/>
      <c r="C268" s="355"/>
      <c r="D268" s="249"/>
      <c r="E268" s="336" t="s">
        <v>1263</v>
      </c>
    </row>
    <row r="269" spans="1:5" ht="33">
      <c r="A269" s="280" t="str">
        <f>IF(AND(B269&lt;&gt;"",C269&lt;&gt;""),MAX($A$1:A268)+1,"")</f>
        <v/>
      </c>
      <c r="B269" s="299"/>
      <c r="C269" s="355"/>
      <c r="D269" s="249"/>
      <c r="E269" s="340" t="s">
        <v>987</v>
      </c>
    </row>
    <row r="270" spans="1:5" ht="49.5">
      <c r="A270" s="280">
        <f>IF(AND(B270&lt;&gt;"",C270&lt;&gt;""),MAX($A$1:A269)+1,"")</f>
        <v>37</v>
      </c>
      <c r="B270" s="252" t="s">
        <v>272</v>
      </c>
      <c r="C270" s="275" t="s">
        <v>974</v>
      </c>
      <c r="D270" s="253"/>
      <c r="E270" s="245"/>
    </row>
    <row r="271" spans="1:5" ht="49.5">
      <c r="A271" s="280" t="str">
        <f>IF(AND(B271&lt;&gt;"",C271&lt;&gt;""),MAX($A$1:A270)+1,"")</f>
        <v/>
      </c>
      <c r="B271" s="301"/>
      <c r="C271" s="275"/>
      <c r="D271" s="232"/>
      <c r="E271" s="336" t="s">
        <v>1268</v>
      </c>
    </row>
    <row r="272" spans="1:5" ht="33">
      <c r="A272" s="280" t="str">
        <f>IF(AND(B272&lt;&gt;"",C272&lt;&gt;""),MAX($A$1:A271)+1,"")</f>
        <v/>
      </c>
      <c r="B272" s="299"/>
      <c r="C272" s="275"/>
      <c r="D272" s="232"/>
      <c r="E272" s="340" t="s">
        <v>1264</v>
      </c>
    </row>
    <row r="273" spans="1:5" ht="49.5">
      <c r="A273" s="280" t="str">
        <f>IF(AND(B273&lt;&gt;"",C273&lt;&gt;""),MAX($A$1:A272)+1,"")</f>
        <v/>
      </c>
      <c r="B273" s="299"/>
      <c r="C273" s="275"/>
      <c r="D273" s="232"/>
      <c r="E273" s="340" t="s">
        <v>1265</v>
      </c>
    </row>
    <row r="274" spans="1:5" ht="33">
      <c r="A274" s="280" t="str">
        <f>IF(AND(B274&lt;&gt;"",C274&lt;&gt;""),MAX($A$1:A273)+1,"")</f>
        <v/>
      </c>
      <c r="B274" s="299"/>
      <c r="C274" s="275"/>
      <c r="D274" s="232"/>
      <c r="E274" s="340" t="s">
        <v>1266</v>
      </c>
    </row>
    <row r="275" spans="1:5" ht="33">
      <c r="A275" s="280" t="str">
        <f>IF(AND(B275&lt;&gt;"",C275&lt;&gt;""),MAX($A$1:A274)+1,"")</f>
        <v/>
      </c>
      <c r="B275" s="299"/>
      <c r="C275" s="275"/>
      <c r="D275" s="233"/>
      <c r="E275" s="340" t="s">
        <v>1267</v>
      </c>
    </row>
    <row r="276" spans="1:5" ht="99">
      <c r="A276" s="280">
        <f>IF(AND(B276&lt;&gt;"",C276&lt;&gt;""),MAX($A$1:A275)+1,"")</f>
        <v>38</v>
      </c>
      <c r="B276" s="247" t="s">
        <v>273</v>
      </c>
      <c r="C276" s="356" t="s">
        <v>974</v>
      </c>
      <c r="D276" s="233"/>
      <c r="E276" s="147"/>
    </row>
    <row r="277" spans="1:5" ht="33">
      <c r="A277" s="280" t="str">
        <f>IF(AND(B277&lt;&gt;"",C277&lt;&gt;""),MAX($A$1:A276)+1,"")</f>
        <v/>
      </c>
      <c r="B277" s="299"/>
      <c r="C277" s="275"/>
      <c r="D277" s="233"/>
      <c r="E277" s="340" t="s">
        <v>1269</v>
      </c>
    </row>
    <row r="278" spans="1:5" ht="49.5">
      <c r="A278" s="280" t="str">
        <f>IF(AND(B278&lt;&gt;"",C278&lt;&gt;""),MAX($A$1:A277)+1,"")</f>
        <v/>
      </c>
      <c r="B278" s="299"/>
      <c r="C278" s="275"/>
      <c r="D278" s="233"/>
      <c r="E278" s="340" t="s">
        <v>1833</v>
      </c>
    </row>
    <row r="279" spans="1:5" ht="33">
      <c r="A279" s="280" t="str">
        <f>IF(AND(B279&lt;&gt;"",C279&lt;&gt;""),MAX($A$1:A278)+1,"")</f>
        <v/>
      </c>
      <c r="B279" s="299"/>
      <c r="C279" s="275"/>
      <c r="D279" s="233"/>
      <c r="E279" s="340" t="s">
        <v>1270</v>
      </c>
    </row>
    <row r="280" spans="1:5" ht="49.5">
      <c r="A280" s="280" t="str">
        <f>IF(AND(B280&lt;&gt;"",C280&lt;&gt;""),MAX($A$1:A279)+1,"")</f>
        <v/>
      </c>
      <c r="B280" s="301"/>
      <c r="C280" s="275"/>
      <c r="D280" s="232"/>
      <c r="E280" s="340" t="s">
        <v>1271</v>
      </c>
    </row>
    <row r="281" spans="1:5" ht="99">
      <c r="A281" s="280">
        <f>IF(AND(B281&lt;&gt;"",C281&lt;&gt;""),MAX($A$1:A280)+1,"")</f>
        <v>39</v>
      </c>
      <c r="B281" s="247" t="s">
        <v>1277</v>
      </c>
      <c r="C281" s="356" t="s">
        <v>974</v>
      </c>
      <c r="D281" s="237"/>
      <c r="E281" s="285"/>
    </row>
    <row r="282" spans="1:5" ht="33">
      <c r="A282" s="280"/>
      <c r="B282" s="238"/>
      <c r="C282" s="356"/>
      <c r="D282" s="237"/>
      <c r="E282" s="340" t="s">
        <v>1273</v>
      </c>
    </row>
    <row r="283" spans="1:5" ht="49.5">
      <c r="A283" s="280" t="str">
        <f>IF(AND(B283&lt;&gt;"",C283&lt;&gt;""),MAX($A$1:A281)+1,"")</f>
        <v/>
      </c>
      <c r="B283" s="260"/>
      <c r="C283" s="275"/>
      <c r="D283" s="232"/>
      <c r="E283" s="340" t="s">
        <v>1272</v>
      </c>
    </row>
    <row r="284" spans="1:5" ht="33">
      <c r="A284" s="280" t="str">
        <f>IF(AND(B284&lt;&gt;"",C284&lt;&gt;""),MAX($A$1:A283)+1,"")</f>
        <v/>
      </c>
      <c r="B284" s="260"/>
      <c r="C284" s="275"/>
      <c r="D284" s="233"/>
      <c r="E284" s="340" t="s">
        <v>1274</v>
      </c>
    </row>
    <row r="285" spans="1:5" ht="49.5">
      <c r="A285" s="280"/>
      <c r="B285" s="260"/>
      <c r="C285" s="275"/>
      <c r="D285" s="233"/>
      <c r="E285" s="340" t="s">
        <v>1280</v>
      </c>
    </row>
    <row r="286" spans="1:5" ht="33">
      <c r="A286" s="280" t="str">
        <f>IF(AND(B286&lt;&gt;"",C286&lt;&gt;""),MAX($A$1:A284)+1,"")</f>
        <v/>
      </c>
      <c r="B286" s="260"/>
      <c r="C286" s="275"/>
      <c r="D286" s="233"/>
      <c r="E286" s="340" t="s">
        <v>1275</v>
      </c>
    </row>
    <row r="287" spans="1:5" ht="66">
      <c r="A287" s="280">
        <f>IF(AND(B287&lt;&gt;"",C287&lt;&gt;""),MAX($A$1:A286)+1,"")</f>
        <v>40</v>
      </c>
      <c r="B287" s="247" t="s">
        <v>1278</v>
      </c>
      <c r="C287" s="356" t="s">
        <v>974</v>
      </c>
      <c r="D287" s="245"/>
      <c r="E287" s="285"/>
    </row>
    <row r="288" spans="1:5" ht="33">
      <c r="A288" s="280" t="str">
        <f>IF(AND(B288&lt;&gt;"",C288&lt;&gt;""),MAX($A$1:A287)+1,"")</f>
        <v/>
      </c>
      <c r="B288" s="260"/>
      <c r="C288" s="275"/>
      <c r="D288" s="233"/>
      <c r="E288" s="340" t="s">
        <v>1276</v>
      </c>
    </row>
    <row r="289" spans="1:5" ht="49.5">
      <c r="A289" s="280" t="str">
        <f>IF(AND(B289&lt;&gt;"",C289&lt;&gt;""),MAX($A$1:A288)+1,"")</f>
        <v/>
      </c>
      <c r="B289" s="260"/>
      <c r="C289" s="275"/>
      <c r="D289" s="233"/>
      <c r="E289" s="340" t="s">
        <v>1281</v>
      </c>
    </row>
    <row r="290" spans="1:5" ht="33">
      <c r="A290" s="280" t="str">
        <f>IF(AND(B290&lt;&gt;"",C290&lt;&gt;""),MAX($A$1:A289)+1,"")</f>
        <v/>
      </c>
      <c r="B290" s="297"/>
      <c r="C290" s="355"/>
      <c r="D290" s="250"/>
      <c r="E290" s="340" t="s">
        <v>1282</v>
      </c>
    </row>
    <row r="291" spans="1:5" ht="33">
      <c r="A291" s="280" t="str">
        <f>IF(AND(B291&lt;&gt;"",C291&lt;&gt;""),MAX($A$1:A290)+1,"")</f>
        <v/>
      </c>
      <c r="B291" s="260"/>
      <c r="C291" s="355"/>
      <c r="D291" s="250"/>
      <c r="E291" s="340" t="s">
        <v>1283</v>
      </c>
    </row>
    <row r="292" spans="1:5" ht="66">
      <c r="A292" s="280">
        <f>IF(AND(B292&lt;&gt;"",C292&lt;&gt;""),MAX($A$1:A291)+1,"")</f>
        <v>41</v>
      </c>
      <c r="B292" s="247" t="s">
        <v>1279</v>
      </c>
      <c r="C292" s="356" t="s">
        <v>974</v>
      </c>
      <c r="D292" s="251"/>
      <c r="E292" s="285"/>
    </row>
    <row r="293" spans="1:5" ht="33">
      <c r="A293" s="280" t="str">
        <f>IF(AND(B293&lt;&gt;"",C293&lt;&gt;""),MAX($A$1:A292)+1,"")</f>
        <v/>
      </c>
      <c r="B293" s="260"/>
      <c r="C293" s="355"/>
      <c r="D293" s="250"/>
      <c r="E293" s="340" t="s">
        <v>1284</v>
      </c>
    </row>
    <row r="294" spans="1:5" ht="33">
      <c r="A294" s="280" t="str">
        <f>IF(AND(B294&lt;&gt;"",C294&lt;&gt;""),MAX($A$1:A293)+1,"")</f>
        <v/>
      </c>
      <c r="B294" s="260"/>
      <c r="C294" s="355"/>
      <c r="D294" s="250"/>
      <c r="E294" s="340" t="s">
        <v>1285</v>
      </c>
    </row>
    <row r="295" spans="1:5" ht="33">
      <c r="A295" s="280" t="str">
        <f>IF(AND(B295&lt;&gt;"",C295&lt;&gt;""),MAX($A$1:A294)+1,"")</f>
        <v/>
      </c>
      <c r="B295" s="260"/>
      <c r="C295" s="355"/>
      <c r="D295" s="249"/>
      <c r="E295" s="340" t="s">
        <v>1286</v>
      </c>
    </row>
    <row r="296" spans="1:5" ht="33">
      <c r="A296" s="280" t="str">
        <f>IF(AND(B296&lt;&gt;"",C296&lt;&gt;""),MAX($A$1:A295)+1,"")</f>
        <v/>
      </c>
      <c r="B296" s="260"/>
      <c r="C296" s="355"/>
      <c r="D296" s="249"/>
      <c r="E296" s="340" t="s">
        <v>1287</v>
      </c>
    </row>
    <row r="297" spans="1:5" ht="49.5">
      <c r="A297" s="280">
        <f>IF(AND(B297&lt;&gt;"",C297&lt;&gt;""),MAX($A$1:A296)+1,"")</f>
        <v>42</v>
      </c>
      <c r="B297" s="247" t="s">
        <v>274</v>
      </c>
      <c r="C297" s="356" t="s">
        <v>974</v>
      </c>
      <c r="D297" s="253"/>
      <c r="E297" s="285"/>
    </row>
    <row r="298" spans="1:5" ht="49.5">
      <c r="A298" s="280" t="str">
        <f>IF(AND(B298&lt;&gt;"",C298&lt;&gt;""),MAX($A$1:A297)+1,"")</f>
        <v/>
      </c>
      <c r="B298" s="299"/>
      <c r="C298" s="355"/>
      <c r="D298" s="249"/>
      <c r="E298" s="340" t="s">
        <v>1288</v>
      </c>
    </row>
    <row r="299" spans="1:5" ht="49.5">
      <c r="A299" s="280" t="str">
        <f>IF(AND(B299&lt;&gt;"",C299&lt;&gt;""),MAX($A$1:A298)+1,"")</f>
        <v/>
      </c>
      <c r="B299" s="260"/>
      <c r="C299" s="275"/>
      <c r="D299" s="232"/>
      <c r="E299" s="340" t="s">
        <v>1289</v>
      </c>
    </row>
    <row r="300" spans="1:5" ht="49.5">
      <c r="A300" s="280" t="str">
        <f>IF(AND(B300&lt;&gt;"",C300&lt;&gt;""),MAX($A$1:A299)+1,"")</f>
        <v/>
      </c>
      <c r="B300" s="260"/>
      <c r="C300" s="275"/>
      <c r="D300" s="232"/>
      <c r="E300" s="340" t="s">
        <v>1290</v>
      </c>
    </row>
    <row r="301" spans="1:5" ht="49.5">
      <c r="A301" s="280" t="str">
        <f>IF(AND(B301&lt;&gt;"",C301&lt;&gt;""),MAX($A$1:A300)+1,"")</f>
        <v/>
      </c>
      <c r="B301" s="260"/>
      <c r="C301" s="275"/>
      <c r="D301" s="232"/>
      <c r="E301" s="340" t="s">
        <v>1291</v>
      </c>
    </row>
    <row r="302" spans="1:5" ht="33">
      <c r="A302" s="280" t="str">
        <f>IF(AND(B302&lt;&gt;"",C302&lt;&gt;""),MAX($A$1:A301)+1,"")</f>
        <v/>
      </c>
      <c r="B302" s="260"/>
      <c r="C302" s="275"/>
      <c r="D302" s="232"/>
      <c r="E302" s="340" t="s">
        <v>1293</v>
      </c>
    </row>
    <row r="303" spans="1:5" ht="49.5">
      <c r="A303" s="280" t="str">
        <f>IF(AND(B303&lt;&gt;"",C303&lt;&gt;""),MAX($A$1:A302)+1,"")</f>
        <v/>
      </c>
      <c r="B303" s="260"/>
      <c r="C303" s="275"/>
      <c r="D303" s="232"/>
      <c r="E303" s="340" t="s">
        <v>1292</v>
      </c>
    </row>
    <row r="304" spans="1:5" ht="66">
      <c r="A304" s="280"/>
      <c r="B304" s="260"/>
      <c r="C304" s="275"/>
      <c r="D304" s="232"/>
      <c r="E304" s="340" t="s">
        <v>1294</v>
      </c>
    </row>
    <row r="305" spans="1:5" ht="49.5">
      <c r="A305" s="280">
        <f>IF(AND(B305&lt;&gt;"",C305&lt;&gt;""),MAX($A$1:A303)+1,"")</f>
        <v>43</v>
      </c>
      <c r="B305" s="260" t="s">
        <v>713</v>
      </c>
      <c r="C305" s="275" t="s">
        <v>974</v>
      </c>
      <c r="D305" s="232"/>
      <c r="E305" s="340"/>
    </row>
    <row r="306" spans="1:5" ht="49.5">
      <c r="A306" s="280" t="str">
        <f>IF(AND(B306&lt;&gt;"",C306&lt;&gt;""),MAX($A$1:A305)+1,"")</f>
        <v/>
      </c>
      <c r="B306" s="260"/>
      <c r="C306" s="275"/>
      <c r="D306" s="232"/>
      <c r="E306" s="340" t="s">
        <v>1295</v>
      </c>
    </row>
    <row r="307" spans="1:5" ht="33">
      <c r="A307" s="280" t="str">
        <f>IF(AND(B307&lt;&gt;"",C307&lt;&gt;""),MAX($A$1:A306)+1,"")</f>
        <v/>
      </c>
      <c r="B307" s="260"/>
      <c r="C307" s="275"/>
      <c r="D307" s="232"/>
      <c r="E307" s="340" t="s">
        <v>1296</v>
      </c>
    </row>
    <row r="308" spans="1:5" ht="49.5">
      <c r="A308" s="280" t="str">
        <f>IF(AND(B308&lt;&gt;"",C308&lt;&gt;""),MAX($A$1:A307)+1,"")</f>
        <v/>
      </c>
      <c r="B308" s="260"/>
      <c r="C308" s="275"/>
      <c r="D308" s="232"/>
      <c r="E308" s="340" t="s">
        <v>1297</v>
      </c>
    </row>
    <row r="309" spans="1:5" ht="33">
      <c r="A309" s="280" t="str">
        <f>IF(AND(B309&lt;&gt;"",C309&lt;&gt;""),MAX($A$1:A308)+1,"")</f>
        <v/>
      </c>
      <c r="B309" s="260"/>
      <c r="C309" s="275"/>
      <c r="D309" s="232"/>
      <c r="E309" s="340" t="s">
        <v>1298</v>
      </c>
    </row>
    <row r="310" spans="1:5" ht="33">
      <c r="A310" s="280" t="str">
        <f>IF(AND(B310&lt;&gt;"",C310&lt;&gt;""),MAX($A$1:A309)+1,"")</f>
        <v/>
      </c>
      <c r="B310" s="260"/>
      <c r="C310" s="275"/>
      <c r="D310" s="232"/>
      <c r="E310" s="340" t="s">
        <v>1299</v>
      </c>
    </row>
    <row r="311" spans="1:5" ht="33">
      <c r="A311" s="314" t="s">
        <v>68</v>
      </c>
      <c r="B311" s="300" t="s">
        <v>658</v>
      </c>
      <c r="C311" s="273"/>
      <c r="D311" s="229"/>
      <c r="E311" s="229"/>
    </row>
    <row r="312" spans="1:5" ht="49.5">
      <c r="A312" s="280">
        <f>IF(AND(B312&lt;&gt;"",C312&lt;&gt;""),MAX($A$1:A311)+1,"")</f>
        <v>44</v>
      </c>
      <c r="B312" s="247" t="s">
        <v>275</v>
      </c>
      <c r="C312" s="356" t="s">
        <v>974</v>
      </c>
      <c r="D312" s="237"/>
      <c r="E312" s="285"/>
    </row>
    <row r="313" spans="1:5" ht="33">
      <c r="A313" s="280" t="str">
        <f>IF(AND(B313&lt;&gt;"",C313&lt;&gt;""),MAX($A$1:A312)+1,"")</f>
        <v/>
      </c>
      <c r="B313" s="260"/>
      <c r="C313" s="275"/>
      <c r="D313" s="291"/>
      <c r="E313" s="340" t="s">
        <v>1300</v>
      </c>
    </row>
    <row r="314" spans="1:5" ht="33">
      <c r="A314" s="280" t="str">
        <f>IF(AND(B314&lt;&gt;"",C314&lt;&gt;""),MAX($A$1:A313)+1,"")</f>
        <v/>
      </c>
      <c r="B314" s="260"/>
      <c r="C314" s="275"/>
      <c r="D314" s="233"/>
      <c r="E314" s="340" t="s">
        <v>1301</v>
      </c>
    </row>
    <row r="315" spans="1:5" ht="33">
      <c r="A315" s="280" t="str">
        <f>IF(AND(B315&lt;&gt;"",C315&lt;&gt;""),MAX($A$1:A314)+1,"")</f>
        <v/>
      </c>
      <c r="B315" s="260"/>
      <c r="C315" s="275"/>
      <c r="D315" s="233"/>
      <c r="E315" s="340" t="s">
        <v>988</v>
      </c>
    </row>
    <row r="316" spans="1:5" ht="33">
      <c r="A316" s="280" t="str">
        <f>IF(AND(B316&lt;&gt;"",C316&lt;&gt;""),MAX($A$1:A315)+1,"")</f>
        <v/>
      </c>
      <c r="B316" s="299"/>
      <c r="C316" s="275"/>
      <c r="D316" s="233"/>
      <c r="E316" s="340" t="s">
        <v>1302</v>
      </c>
    </row>
    <row r="317" spans="1:5" ht="33">
      <c r="A317" s="280" t="str">
        <f>IF(AND(B317&lt;&gt;"",C317&lt;&gt;""),MAX($A$1:A316)+1,"")</f>
        <v/>
      </c>
      <c r="B317" s="297"/>
      <c r="C317" s="355"/>
      <c r="D317" s="250"/>
      <c r="E317" s="340" t="s">
        <v>989</v>
      </c>
    </row>
    <row r="318" spans="1:5" ht="66">
      <c r="A318" s="280">
        <f>IF(AND(B318&lt;&gt;"",C318&lt;&gt;""),MAX($A$1:A317)+1,"")</f>
        <v>45</v>
      </c>
      <c r="B318" s="247" t="s">
        <v>1303</v>
      </c>
      <c r="C318" s="356" t="s">
        <v>974</v>
      </c>
      <c r="D318" s="251"/>
      <c r="E318" s="285"/>
    </row>
    <row r="319" spans="1:5" ht="49.5">
      <c r="A319" s="280" t="str">
        <f>IF(AND(B319&lt;&gt;"",C319&lt;&gt;""),MAX($A$1:A318)+1,"")</f>
        <v/>
      </c>
      <c r="B319" s="260"/>
      <c r="C319" s="355"/>
      <c r="D319" s="250"/>
      <c r="E319" s="340" t="s">
        <v>1304</v>
      </c>
    </row>
    <row r="320" spans="1:5" ht="33">
      <c r="A320" s="280" t="str">
        <f>IF(AND(B320&lt;&gt;"",C320&lt;&gt;""),MAX($A$1:A319)+1,"")</f>
        <v/>
      </c>
      <c r="B320" s="260"/>
      <c r="C320" s="355"/>
      <c r="D320" s="250"/>
      <c r="E320" s="340" t="s">
        <v>990</v>
      </c>
    </row>
    <row r="321" spans="1:5" ht="33">
      <c r="A321" s="280" t="str">
        <f>IF(AND(B321&lt;&gt;"",C321&lt;&gt;""),MAX($A$1:A320)+1,"")</f>
        <v/>
      </c>
      <c r="B321" s="260"/>
      <c r="C321" s="355"/>
      <c r="D321" s="249"/>
      <c r="E321" s="340" t="s">
        <v>991</v>
      </c>
    </row>
    <row r="322" spans="1:5" ht="33">
      <c r="A322" s="280" t="str">
        <f>IF(AND(B322&lt;&gt;"",C322&lt;&gt;""),MAX($A$1:A321)+1,"")</f>
        <v/>
      </c>
      <c r="B322" s="260"/>
      <c r="C322" s="355"/>
      <c r="D322" s="249"/>
      <c r="E322" s="340" t="s">
        <v>992</v>
      </c>
    </row>
    <row r="323" spans="1:5" ht="49.5">
      <c r="A323" s="280">
        <f>IF(AND(B323&lt;&gt;"",C323&lt;&gt;""),MAX($A$1:A322)+1,"")</f>
        <v>46</v>
      </c>
      <c r="B323" s="247" t="s">
        <v>1305</v>
      </c>
      <c r="C323" s="356" t="s">
        <v>974</v>
      </c>
      <c r="D323" s="253"/>
      <c r="E323" s="245"/>
    </row>
    <row r="324" spans="1:5" ht="49.5">
      <c r="A324" s="280" t="str">
        <f>IF(AND(B324&lt;&gt;"",C324&lt;&gt;""),MAX($A$1:A323)+1,"")</f>
        <v/>
      </c>
      <c r="B324" s="301"/>
      <c r="C324" s="355"/>
      <c r="D324" s="250"/>
      <c r="E324" s="340" t="s">
        <v>1306</v>
      </c>
    </row>
    <row r="325" spans="1:5" ht="33">
      <c r="A325" s="280" t="str">
        <f>IF(AND(B325&lt;&gt;"",C325&lt;&gt;""),MAX($A$1:A324)+1,"")</f>
        <v/>
      </c>
      <c r="B325" s="299"/>
      <c r="C325" s="355"/>
      <c r="D325" s="250"/>
      <c r="E325" s="340" t="s">
        <v>1307</v>
      </c>
    </row>
    <row r="326" spans="1:5" ht="33">
      <c r="A326" s="280" t="str">
        <f>IF(AND(B326&lt;&gt;"",C326&lt;&gt;""),MAX($A$1:A325)+1,"")</f>
        <v/>
      </c>
      <c r="B326" s="299"/>
      <c r="C326" s="355"/>
      <c r="D326" s="250"/>
      <c r="E326" s="340" t="s">
        <v>993</v>
      </c>
    </row>
    <row r="327" spans="1:5" ht="33">
      <c r="A327" s="280" t="str">
        <f>IF(AND(B327&lt;&gt;"",C327&lt;&gt;""),MAX($A$1:A326)+1,"")</f>
        <v/>
      </c>
      <c r="B327" s="299"/>
      <c r="C327" s="355"/>
      <c r="D327" s="250"/>
      <c r="E327" s="340" t="s">
        <v>994</v>
      </c>
    </row>
    <row r="328" spans="1:5" ht="49.5">
      <c r="A328" s="280">
        <f>IF(AND(B328&lt;&gt;"",C328&lt;&gt;""),MAX($A$1:A327)+1,"")</f>
        <v>47</v>
      </c>
      <c r="B328" s="247" t="s">
        <v>1308</v>
      </c>
      <c r="C328" s="356" t="s">
        <v>974</v>
      </c>
      <c r="D328" s="253"/>
      <c r="E328" s="285"/>
    </row>
    <row r="329" spans="1:5" ht="49.5">
      <c r="A329" s="280" t="str">
        <f>IF(AND(B329&lt;&gt;"",C329&lt;&gt;""),MAX($A$1:A328)+1,"")</f>
        <v/>
      </c>
      <c r="B329" s="299"/>
      <c r="C329" s="355"/>
      <c r="D329" s="249"/>
      <c r="E329" s="340" t="s">
        <v>1309</v>
      </c>
    </row>
    <row r="330" spans="1:5" ht="33">
      <c r="A330" s="280" t="str">
        <f>IF(AND(B330&lt;&gt;"",C330&lt;&gt;""),MAX($A$1:A329)+1,"")</f>
        <v/>
      </c>
      <c r="B330" s="301"/>
      <c r="C330" s="355"/>
      <c r="D330" s="250"/>
      <c r="E330" s="340" t="s">
        <v>1310</v>
      </c>
    </row>
    <row r="331" spans="1:5" ht="33">
      <c r="A331" s="280" t="str">
        <f>IF(AND(B331&lt;&gt;"",C331&lt;&gt;""),MAX($A$1:A330)+1,"")</f>
        <v/>
      </c>
      <c r="B331" s="260"/>
      <c r="C331" s="355"/>
      <c r="D331" s="250"/>
      <c r="E331" s="340" t="s">
        <v>1311</v>
      </c>
    </row>
    <row r="332" spans="1:5" ht="33">
      <c r="A332" s="280" t="str">
        <f>IF(AND(B332&lt;&gt;"",C332&lt;&gt;""),MAX($A$1:A331)+1,"")</f>
        <v/>
      </c>
      <c r="B332" s="260"/>
      <c r="C332" s="355"/>
      <c r="D332" s="250"/>
      <c r="E332" s="340" t="s">
        <v>1312</v>
      </c>
    </row>
    <row r="333" spans="1:5" ht="66">
      <c r="A333" s="280">
        <f>IF(AND(B333&lt;&gt;"",C333&lt;&gt;""),MAX($A$1:A332)+1,"")</f>
        <v>48</v>
      </c>
      <c r="B333" s="247" t="s">
        <v>276</v>
      </c>
      <c r="C333" s="356" t="s">
        <v>974</v>
      </c>
      <c r="D333" s="251"/>
      <c r="E333" s="285"/>
    </row>
    <row r="334" spans="1:5" ht="33">
      <c r="A334" s="280" t="str">
        <f>IF(AND(B334&lt;&gt;"",C334&lt;&gt;""),MAX($A$1:A333)+1,"")</f>
        <v/>
      </c>
      <c r="B334" s="260"/>
      <c r="C334" s="355"/>
      <c r="D334" s="249"/>
      <c r="E334" s="340" t="s">
        <v>1358</v>
      </c>
    </row>
    <row r="335" spans="1:5" ht="33">
      <c r="A335" s="280" t="str">
        <f>IF(AND(B335&lt;&gt;"",C335&lt;&gt;""),MAX($A$1:A334)+1,"")</f>
        <v/>
      </c>
      <c r="B335" s="299"/>
      <c r="C335" s="355"/>
      <c r="D335" s="249"/>
      <c r="E335" s="340" t="s">
        <v>1316</v>
      </c>
    </row>
    <row r="336" spans="1:5" ht="33">
      <c r="A336" s="280" t="str">
        <f>IF(AND(B336&lt;&gt;"",C336&lt;&gt;""),MAX($A$1:A335)+1,"")</f>
        <v/>
      </c>
      <c r="B336" s="299"/>
      <c r="C336" s="355"/>
      <c r="D336" s="249"/>
      <c r="E336" s="340" t="s">
        <v>1323</v>
      </c>
    </row>
    <row r="337" spans="1:5" ht="49.5">
      <c r="A337" s="280" t="str">
        <f>IF(AND(B337&lt;&gt;"",C337&lt;&gt;""),MAX($A$1:A336)+1,"")</f>
        <v/>
      </c>
      <c r="B337" s="301"/>
      <c r="C337" s="355"/>
      <c r="D337" s="250"/>
      <c r="E337" s="340" t="s">
        <v>1324</v>
      </c>
    </row>
    <row r="338" spans="1:5" ht="66">
      <c r="A338" s="280">
        <f>IF(AND(B338&lt;&gt;"",C338&lt;&gt;""),MAX($A$1:A337)+1,"")</f>
        <v>49</v>
      </c>
      <c r="B338" s="247" t="s">
        <v>277</v>
      </c>
      <c r="C338" s="356" t="s">
        <v>974</v>
      </c>
      <c r="D338" s="251"/>
      <c r="E338" s="285"/>
    </row>
    <row r="339" spans="1:5" ht="33">
      <c r="A339" s="280" t="str">
        <f>IF(AND(B339&lt;&gt;"",C339&lt;&gt;""),MAX($A$1:A338)+1,"")</f>
        <v/>
      </c>
      <c r="B339" s="260"/>
      <c r="C339" s="355"/>
      <c r="D339" s="250"/>
      <c r="E339" s="340" t="s">
        <v>1359</v>
      </c>
    </row>
    <row r="340" spans="1:5" ht="33">
      <c r="A340" s="280" t="str">
        <f>IF(AND(B340&lt;&gt;"",C340&lt;&gt;""),MAX($A$1:A339)+1,"")</f>
        <v/>
      </c>
      <c r="B340" s="260"/>
      <c r="C340" s="355"/>
      <c r="D340" s="249"/>
      <c r="E340" s="340" t="s">
        <v>1315</v>
      </c>
    </row>
    <row r="341" spans="1:5" ht="33">
      <c r="A341" s="280" t="str">
        <f>IF(AND(B341&lt;&gt;"",C341&lt;&gt;""),MAX($A$1:A340)+1,"")</f>
        <v/>
      </c>
      <c r="B341" s="260"/>
      <c r="C341" s="355"/>
      <c r="D341" s="249"/>
      <c r="E341" s="340" t="s">
        <v>1322</v>
      </c>
    </row>
    <row r="342" spans="1:5" ht="49.5">
      <c r="A342" s="280" t="str">
        <f>IF(AND(B342&lt;&gt;"",C342&lt;&gt;""),MAX($A$1:A341)+1,"")</f>
        <v/>
      </c>
      <c r="B342" s="299"/>
      <c r="C342" s="355"/>
      <c r="D342" s="249"/>
      <c r="E342" s="340" t="s">
        <v>1321</v>
      </c>
    </row>
    <row r="343" spans="1:5" ht="82.5">
      <c r="A343" s="280">
        <f>IF(AND(B343&lt;&gt;"",C343&lt;&gt;""),MAX($A$1:A342)+1,"")</f>
        <v>50</v>
      </c>
      <c r="B343" s="247" t="s">
        <v>278</v>
      </c>
      <c r="C343" s="356" t="s">
        <v>974</v>
      </c>
      <c r="D343" s="253"/>
      <c r="E343" s="245"/>
    </row>
    <row r="344" spans="1:5" ht="33">
      <c r="A344" s="280" t="str">
        <f>IF(AND(B344&lt;&gt;"",C344&lt;&gt;""),MAX($A$1:A343)+1,"")</f>
        <v/>
      </c>
      <c r="B344" s="301"/>
      <c r="C344" s="355"/>
      <c r="D344" s="250"/>
      <c r="E344" s="340" t="s">
        <v>1360</v>
      </c>
    </row>
    <row r="345" spans="1:5" ht="33">
      <c r="A345" s="280" t="str">
        <f>IF(AND(B345&lt;&gt;"",C345&lt;&gt;""),MAX($A$1:A344)+1,"")</f>
        <v/>
      </c>
      <c r="B345" s="260"/>
      <c r="C345" s="355"/>
      <c r="D345" s="250"/>
      <c r="E345" s="340" t="s">
        <v>1314</v>
      </c>
    </row>
    <row r="346" spans="1:5" ht="49.5">
      <c r="A346" s="280" t="str">
        <f>IF(AND(B346&lt;&gt;"",C346&lt;&gt;""),MAX($A$1:A345)+1,"")</f>
        <v/>
      </c>
      <c r="B346" s="260"/>
      <c r="C346" s="355"/>
      <c r="D346" s="250"/>
      <c r="E346" s="340" t="s">
        <v>1319</v>
      </c>
    </row>
    <row r="347" spans="1:5" ht="49.5">
      <c r="A347" s="280" t="str">
        <f>IF(AND(B347&lt;&gt;"",C347&lt;&gt;""),MAX($A$1:A346)+1,"")</f>
        <v/>
      </c>
      <c r="B347" s="260"/>
      <c r="C347" s="355"/>
      <c r="D347" s="250"/>
      <c r="E347" s="340" t="s">
        <v>1320</v>
      </c>
    </row>
    <row r="348" spans="1:5" ht="82.5">
      <c r="A348" s="280">
        <f>IF(AND(B348&lt;&gt;"",C348&lt;&gt;""),MAX($A$1:A347)+1,"")</f>
        <v>51</v>
      </c>
      <c r="B348" s="247" t="s">
        <v>279</v>
      </c>
      <c r="C348" s="356" t="s">
        <v>974</v>
      </c>
      <c r="D348" s="253"/>
      <c r="E348" s="285"/>
    </row>
    <row r="349" spans="1:5" ht="33">
      <c r="A349" s="280" t="str">
        <f>IF(AND(B349&lt;&gt;"",C349&lt;&gt;""),MAX($A$1:A348)+1,"")</f>
        <v/>
      </c>
      <c r="B349" s="260"/>
      <c r="C349" s="355"/>
      <c r="D349" s="249"/>
      <c r="E349" s="340" t="s">
        <v>1361</v>
      </c>
    </row>
    <row r="350" spans="1:5" ht="33">
      <c r="A350" s="280" t="str">
        <f>IF(AND(B350&lt;&gt;"",C350&lt;&gt;""),MAX($A$1:A349)+1,"")</f>
        <v/>
      </c>
      <c r="B350" s="301"/>
      <c r="C350" s="355"/>
      <c r="D350" s="250"/>
      <c r="E350" s="340" t="s">
        <v>1313</v>
      </c>
    </row>
    <row r="351" spans="1:5" ht="49.5">
      <c r="A351" s="280" t="str">
        <f>IF(AND(B351&lt;&gt;"",C351&lt;&gt;""),MAX($A$1:A350)+1,"")</f>
        <v/>
      </c>
      <c r="B351" s="260"/>
      <c r="C351" s="355"/>
      <c r="D351" s="250"/>
      <c r="E351" s="340" t="s">
        <v>1317</v>
      </c>
    </row>
    <row r="352" spans="1:5" ht="49.5">
      <c r="A352" s="280" t="str">
        <f>IF(AND(B352&lt;&gt;"",C352&lt;&gt;""),MAX($A$1:A351)+1,"")</f>
        <v/>
      </c>
      <c r="B352" s="260"/>
      <c r="C352" s="355"/>
      <c r="D352" s="250"/>
      <c r="E352" s="340" t="s">
        <v>1318</v>
      </c>
    </row>
    <row r="353" spans="1:5" ht="148.5">
      <c r="A353" s="314" t="s">
        <v>156</v>
      </c>
      <c r="B353" s="300" t="s">
        <v>906</v>
      </c>
      <c r="C353" s="273"/>
      <c r="D353" s="229"/>
      <c r="E353" s="229"/>
    </row>
    <row r="354" spans="1:5" ht="99">
      <c r="A354" s="280">
        <f>IF(AND(B354&lt;&gt;"",C354&lt;&gt;""),MAX($A$1:A353)+1,"")</f>
        <v>52</v>
      </c>
      <c r="B354" s="247" t="s">
        <v>907</v>
      </c>
      <c r="C354" s="356" t="s">
        <v>280</v>
      </c>
      <c r="D354" s="251"/>
      <c r="E354" s="285"/>
    </row>
    <row r="355" spans="1:5" ht="49.5">
      <c r="A355" s="280" t="str">
        <f>IF(AND(B355&lt;&gt;"",C355&lt;&gt;""),MAX($A$1:A354)+1,"")</f>
        <v/>
      </c>
      <c r="B355" s="260"/>
      <c r="C355" s="355"/>
      <c r="D355" s="250"/>
      <c r="E355" s="340" t="s">
        <v>1325</v>
      </c>
    </row>
    <row r="356" spans="1:5" ht="49.5">
      <c r="A356" s="280" t="str">
        <f>IF(AND(B356&lt;&gt;"",C356&lt;&gt;""),MAX($A$1:A355)+1,"")</f>
        <v/>
      </c>
      <c r="B356" s="260"/>
      <c r="C356" s="355"/>
      <c r="D356" s="250"/>
      <c r="E356" s="340" t="s">
        <v>1326</v>
      </c>
    </row>
    <row r="357" spans="1:5" ht="99">
      <c r="A357" s="280">
        <f>IF(AND(B357&lt;&gt;"",C357&lt;&gt;""),MAX($A$1:A356)+1,"")</f>
        <v>53</v>
      </c>
      <c r="B357" s="247" t="s">
        <v>908</v>
      </c>
      <c r="C357" s="356" t="s">
        <v>280</v>
      </c>
      <c r="D357" s="253"/>
      <c r="E357" s="285"/>
    </row>
    <row r="358" spans="1:5" ht="49.5">
      <c r="A358" s="280" t="str">
        <f>IF(AND(B358&lt;&gt;"",C358&lt;&gt;""),MAX($A$1:A357)+1,"")</f>
        <v/>
      </c>
      <c r="B358" s="299"/>
      <c r="C358" s="355"/>
      <c r="D358" s="255"/>
      <c r="E358" s="340" t="s">
        <v>1327</v>
      </c>
    </row>
    <row r="359" spans="1:5" ht="33">
      <c r="A359" s="280" t="str">
        <f>IF(AND(B359&lt;&gt;"",C359&lt;&gt;""),MAX($A$1:A358)+1,"")</f>
        <v/>
      </c>
      <c r="B359" s="260"/>
      <c r="C359" s="355"/>
      <c r="D359" s="250"/>
      <c r="E359" s="340" t="s">
        <v>1328</v>
      </c>
    </row>
    <row r="360" spans="1:5" ht="33">
      <c r="A360" s="280" t="str">
        <f>IF(AND(B360&lt;&gt;"",C360&lt;&gt;""),MAX($A$1:A359)+1,"")</f>
        <v/>
      </c>
      <c r="B360" s="260"/>
      <c r="C360" s="355"/>
      <c r="D360" s="250"/>
      <c r="E360" s="340" t="s">
        <v>1329</v>
      </c>
    </row>
    <row r="361" spans="1:5" ht="49.5">
      <c r="A361" s="280" t="str">
        <f>IF(AND(B361&lt;&gt;"",C361&lt;&gt;""),MAX($A$1:A360)+1,"")</f>
        <v/>
      </c>
      <c r="B361" s="260"/>
      <c r="C361" s="355"/>
      <c r="D361" s="250"/>
      <c r="E361" s="340" t="s">
        <v>1330</v>
      </c>
    </row>
    <row r="362" spans="1:5" ht="33">
      <c r="A362" s="280" t="str">
        <f>IF(AND(B362&lt;&gt;"",C362&lt;&gt;""),MAX($A$1:A361)+1,"")</f>
        <v/>
      </c>
      <c r="B362" s="260"/>
      <c r="C362" s="355"/>
      <c r="D362" s="249"/>
      <c r="E362" s="340" t="s">
        <v>1331</v>
      </c>
    </row>
    <row r="363" spans="1:5" ht="99">
      <c r="A363" s="280">
        <f>IF(AND(B363&lt;&gt;"",C363&lt;&gt;""),MAX($A$1:A362)+1,"")</f>
        <v>54</v>
      </c>
      <c r="B363" s="247" t="s">
        <v>909</v>
      </c>
      <c r="C363" s="356" t="s">
        <v>280</v>
      </c>
      <c r="D363" s="253"/>
      <c r="E363" s="285"/>
    </row>
    <row r="364" spans="1:5" ht="49.5">
      <c r="A364" s="280" t="str">
        <f>IF(AND(B364&lt;&gt;"",C364&lt;&gt;""),MAX($A$1:A363)+1,"")</f>
        <v/>
      </c>
      <c r="B364" s="260"/>
      <c r="C364" s="355"/>
      <c r="D364" s="249"/>
      <c r="E364" s="340" t="s">
        <v>1332</v>
      </c>
    </row>
    <row r="365" spans="1:5" ht="49.5">
      <c r="A365" s="280" t="str">
        <f>IF(AND(B365&lt;&gt;"",C365&lt;&gt;""),MAX($A$1:A364)+1,"")</f>
        <v/>
      </c>
      <c r="B365" s="260"/>
      <c r="C365" s="355"/>
      <c r="D365" s="249"/>
      <c r="E365" s="340" t="s">
        <v>1333</v>
      </c>
    </row>
    <row r="366" spans="1:5" ht="33">
      <c r="A366" s="280" t="str">
        <f>IF(AND(B366&lt;&gt;"",C366&lt;&gt;""),MAX($A$1:A365)+1,"")</f>
        <v/>
      </c>
      <c r="B366" s="242"/>
      <c r="C366" s="241"/>
      <c r="D366" s="241"/>
      <c r="E366" s="336" t="s">
        <v>281</v>
      </c>
    </row>
    <row r="367" spans="1:5" ht="33">
      <c r="A367" s="280" t="str">
        <f>IF(AND(B367&lt;&gt;"",C367&lt;&gt;""),MAX($A$1:A366)+1,"")</f>
        <v/>
      </c>
      <c r="B367" s="242"/>
      <c r="C367" s="241"/>
      <c r="D367" s="241"/>
      <c r="E367" s="336" t="s">
        <v>282</v>
      </c>
    </row>
    <row r="368" spans="1:5" ht="33">
      <c r="A368" s="280" t="str">
        <f>IF(AND(B368&lt;&gt;"",C368&lt;&gt;""),MAX($A$1:A367)+1,"")</f>
        <v/>
      </c>
      <c r="B368" s="242"/>
      <c r="C368" s="241"/>
      <c r="D368" s="241"/>
      <c r="E368" s="336" t="s">
        <v>1334</v>
      </c>
    </row>
    <row r="369" spans="1:5" ht="115.5">
      <c r="A369" s="280">
        <f>IF(AND(B369&lt;&gt;"",C369&lt;&gt;""),MAX($A$1:A368)+1,"")</f>
        <v>55</v>
      </c>
      <c r="B369" s="261" t="s">
        <v>910</v>
      </c>
      <c r="C369" s="276" t="s">
        <v>280</v>
      </c>
      <c r="D369" s="243"/>
      <c r="E369" s="247"/>
    </row>
    <row r="370" spans="1:5" ht="49.5">
      <c r="A370" s="280" t="str">
        <f>IF(AND(B370&lt;&gt;"",C370&lt;&gt;""),MAX($A$1:A369)+1,"")</f>
        <v/>
      </c>
      <c r="B370" s="242"/>
      <c r="C370" s="241"/>
      <c r="D370" s="266"/>
      <c r="E370" s="336" t="s">
        <v>1335</v>
      </c>
    </row>
    <row r="371" spans="1:5" ht="49.5">
      <c r="A371" s="280" t="str">
        <f>IF(AND(B371&lt;&gt;"",C371&lt;&gt;""),MAX($A$1:A370)+1,"")</f>
        <v/>
      </c>
      <c r="B371" s="242"/>
      <c r="C371" s="241"/>
      <c r="D371" s="241"/>
      <c r="E371" s="336" t="s">
        <v>1337</v>
      </c>
    </row>
    <row r="372" spans="1:5" ht="33">
      <c r="A372" s="280" t="str">
        <f>IF(AND(B372&lt;&gt;"",C372&lt;&gt;""),MAX($A$1:A371)+1,"")</f>
        <v/>
      </c>
      <c r="B372" s="242"/>
      <c r="C372" s="241"/>
      <c r="D372" s="241"/>
      <c r="E372" s="336" t="s">
        <v>1336</v>
      </c>
    </row>
    <row r="373" spans="1:5" ht="33">
      <c r="A373" s="280" t="str">
        <f>IF(AND(B373&lt;&gt;"",C373&lt;&gt;""),MAX($A$1:A372)+1,"")</f>
        <v/>
      </c>
      <c r="B373" s="299"/>
      <c r="C373" s="275"/>
      <c r="D373" s="233"/>
      <c r="E373" s="336" t="s">
        <v>659</v>
      </c>
    </row>
    <row r="374" spans="1:5" ht="33">
      <c r="A374" s="280" t="str">
        <f>IF(AND(B374&lt;&gt;"",C374&lt;&gt;""),MAX($A$1:A373)+1,"")</f>
        <v/>
      </c>
      <c r="B374" s="260"/>
      <c r="C374" s="275"/>
      <c r="D374" s="232"/>
      <c r="E374" s="336" t="s">
        <v>283</v>
      </c>
    </row>
    <row r="375" spans="1:5" ht="33">
      <c r="A375" s="280" t="str">
        <f>IF(AND(B375&lt;&gt;"",C375&lt;&gt;""),MAX($A$1:A374)+1,"")</f>
        <v/>
      </c>
      <c r="B375" s="260"/>
      <c r="C375" s="275"/>
      <c r="D375" s="278"/>
      <c r="E375" s="336" t="s">
        <v>1062</v>
      </c>
    </row>
    <row r="376" spans="1:5" ht="33">
      <c r="A376" s="280" t="str">
        <f>IF(AND(B376&lt;&gt;"",C376&lt;&gt;""),MAX($A$1:A375)+1,"")</f>
        <v/>
      </c>
      <c r="B376" s="260"/>
      <c r="C376" s="275"/>
      <c r="D376" s="232"/>
      <c r="E376" s="336" t="s">
        <v>284</v>
      </c>
    </row>
    <row r="377" spans="1:5" ht="33">
      <c r="A377" s="280" t="str">
        <f>IF(AND(B377&lt;&gt;"",C377&lt;&gt;""),MAX($A$1:A376)+1,"")</f>
        <v/>
      </c>
      <c r="B377" s="260"/>
      <c r="C377" s="275"/>
      <c r="D377" s="233"/>
      <c r="E377" s="336" t="s">
        <v>285</v>
      </c>
    </row>
    <row r="378" spans="1:5" ht="49.5">
      <c r="A378" s="280" t="str">
        <f>IF(AND(B378&lt;&gt;"",C378&lt;&gt;""),MAX($A$1:A377)+1,"")</f>
        <v/>
      </c>
      <c r="B378" s="260"/>
      <c r="C378" s="275"/>
      <c r="D378" s="233"/>
      <c r="E378" s="336" t="s">
        <v>1338</v>
      </c>
    </row>
    <row r="379" spans="1:5" ht="99">
      <c r="A379" s="280">
        <f>IF(AND(B379&lt;&gt;"",C379&lt;&gt;""),MAX($A$1:A378)+1,"")</f>
        <v>56</v>
      </c>
      <c r="B379" s="261" t="s">
        <v>911</v>
      </c>
      <c r="C379" s="276" t="s">
        <v>280</v>
      </c>
      <c r="D379" s="245"/>
      <c r="E379" s="285"/>
    </row>
    <row r="380" spans="1:5" ht="49.5">
      <c r="A380" s="280" t="str">
        <f>IF(AND(B380&lt;&gt;"",C380&lt;&gt;""),MAX($A$1:A379)+1,"")</f>
        <v/>
      </c>
      <c r="B380" s="260"/>
      <c r="C380" s="275"/>
      <c r="D380" s="233"/>
      <c r="E380" s="336" t="s">
        <v>1339</v>
      </c>
    </row>
    <row r="381" spans="1:5" ht="33">
      <c r="A381" s="280" t="str">
        <f>IF(AND(B381&lt;&gt;"",C381&lt;&gt;""),MAX($A$1:A380)+1,"")</f>
        <v/>
      </c>
      <c r="B381" s="299"/>
      <c r="C381" s="275"/>
      <c r="D381" s="233"/>
      <c r="E381" s="336" t="s">
        <v>1340</v>
      </c>
    </row>
    <row r="382" spans="1:5" ht="33">
      <c r="A382" s="280" t="str">
        <f>IF(AND(B382&lt;&gt;"",C382&lt;&gt;""),MAX($A$1:A381)+1,"")</f>
        <v/>
      </c>
      <c r="B382" s="299"/>
      <c r="C382" s="275"/>
      <c r="D382" s="232"/>
      <c r="E382" s="336" t="s">
        <v>286</v>
      </c>
    </row>
    <row r="383" spans="1:5" ht="33">
      <c r="A383" s="280" t="str">
        <f>IF(AND(B383&lt;&gt;"",C383&lt;&gt;""),MAX($A$1:A382)+1,"")</f>
        <v/>
      </c>
      <c r="B383" s="299"/>
      <c r="C383" s="275"/>
      <c r="D383" s="278"/>
      <c r="E383" s="336" t="s">
        <v>1341</v>
      </c>
    </row>
    <row r="384" spans="1:5" ht="49.5">
      <c r="A384" s="280" t="str">
        <f>IF(AND(B384&lt;&gt;"",C384&lt;&gt;""),MAX($A$1:A383)+1,"")</f>
        <v/>
      </c>
      <c r="B384" s="299"/>
      <c r="C384" s="275"/>
      <c r="D384" s="233"/>
      <c r="E384" s="336" t="s">
        <v>1342</v>
      </c>
    </row>
    <row r="385" spans="1:5" ht="132">
      <c r="A385" s="280">
        <f>IF(AND(B385&lt;&gt;"",C385&lt;&gt;""),MAX($A$1:A384)+1,"")</f>
        <v>57</v>
      </c>
      <c r="B385" s="261" t="s">
        <v>912</v>
      </c>
      <c r="C385" s="276" t="s">
        <v>280</v>
      </c>
      <c r="D385" s="243"/>
      <c r="E385" s="341"/>
    </row>
    <row r="386" spans="1:5" ht="49.5">
      <c r="A386" s="280" t="str">
        <f>IF(AND(B386&lt;&gt;"",C386&lt;&gt;""),MAX($A$1:A385)+1,"")</f>
        <v/>
      </c>
      <c r="B386" s="242"/>
      <c r="C386" s="241"/>
      <c r="D386" s="241"/>
      <c r="E386" s="336" t="s">
        <v>1343</v>
      </c>
    </row>
    <row r="387" spans="1:5" ht="49.5">
      <c r="A387" s="280" t="str">
        <f>IF(AND(B387&lt;&gt;"",C387&lt;&gt;""),MAX($A$1:A386)+1,"")</f>
        <v/>
      </c>
      <c r="B387" s="299"/>
      <c r="C387" s="275"/>
      <c r="D387" s="232"/>
      <c r="E387" s="336" t="s">
        <v>1344</v>
      </c>
    </row>
    <row r="388" spans="1:5" ht="33">
      <c r="A388" s="280" t="str">
        <f>IF(AND(B388&lt;&gt;"",C388&lt;&gt;""),MAX($A$1:A387)+1,"")</f>
        <v/>
      </c>
      <c r="B388" s="299"/>
      <c r="C388" s="275"/>
      <c r="D388" s="232"/>
      <c r="E388" s="336" t="s">
        <v>287</v>
      </c>
    </row>
    <row r="389" spans="1:5" ht="33">
      <c r="A389" s="280" t="str">
        <f>IF(AND(B389&lt;&gt;"",C389&lt;&gt;""),MAX($A$1:A388)+1,"")</f>
        <v/>
      </c>
      <c r="B389" s="299"/>
      <c r="C389" s="275"/>
      <c r="D389" s="232"/>
      <c r="E389" s="336" t="s">
        <v>288</v>
      </c>
    </row>
    <row r="390" spans="1:5" ht="115.5">
      <c r="A390" s="280">
        <f>IF(AND(B390&lt;&gt;"",C390&lt;&gt;""),MAX($A$1:A389)+1,"")</f>
        <v>58</v>
      </c>
      <c r="B390" s="261" t="s">
        <v>913</v>
      </c>
      <c r="C390" s="276" t="s">
        <v>280</v>
      </c>
      <c r="D390" s="237"/>
      <c r="E390" s="285"/>
    </row>
    <row r="391" spans="1:5" ht="49.5">
      <c r="A391" s="280" t="str">
        <f>IF(AND(B391&lt;&gt;"",C391&lt;&gt;""),MAX($A$1:A390)+1,"")</f>
        <v/>
      </c>
      <c r="B391" s="260"/>
      <c r="C391" s="275"/>
      <c r="D391" s="232"/>
      <c r="E391" s="336" t="s">
        <v>1345</v>
      </c>
    </row>
    <row r="392" spans="1:5" ht="33">
      <c r="A392" s="280" t="str">
        <f>IF(AND(B392&lt;&gt;"",C392&lt;&gt;""),MAX($A$1:A391)+1,"")</f>
        <v/>
      </c>
      <c r="B392" s="260"/>
      <c r="C392" s="275"/>
      <c r="D392" s="232"/>
      <c r="E392" s="336" t="s">
        <v>289</v>
      </c>
    </row>
    <row r="393" spans="1:5" ht="33">
      <c r="A393" s="280" t="str">
        <f>IF(AND(B393&lt;&gt;"",C393&lt;&gt;""),MAX($A$1:A392)+1,"")</f>
        <v/>
      </c>
      <c r="B393" s="260"/>
      <c r="C393" s="275"/>
      <c r="D393" s="232"/>
      <c r="E393" s="336" t="s">
        <v>290</v>
      </c>
    </row>
    <row r="394" spans="1:5" ht="33">
      <c r="A394" s="280" t="str">
        <f>IF(AND(B394&lt;&gt;"",C394&lt;&gt;""),MAX($A$1:A393)+1,"")</f>
        <v/>
      </c>
      <c r="B394" s="260"/>
      <c r="C394" s="275"/>
      <c r="D394" s="233"/>
      <c r="E394" s="336" t="s">
        <v>291</v>
      </c>
    </row>
    <row r="395" spans="1:5" ht="115.5">
      <c r="A395" s="280">
        <f>IF(AND(B395&lt;&gt;"",C395&lt;&gt;""),MAX($A$1:A394)+1,"")</f>
        <v>59</v>
      </c>
      <c r="B395" s="247" t="s">
        <v>1348</v>
      </c>
      <c r="C395" s="276" t="s">
        <v>280</v>
      </c>
      <c r="D395" s="245"/>
      <c r="E395" s="245"/>
    </row>
    <row r="396" spans="1:5" ht="49.5">
      <c r="A396" s="280" t="str">
        <f>IF(AND(B396&lt;&gt;"",C396&lt;&gt;""),MAX($A$1:A395)+1,"")</f>
        <v/>
      </c>
      <c r="B396" s="260"/>
      <c r="C396" s="275"/>
      <c r="D396" s="232"/>
      <c r="E396" s="336" t="s">
        <v>1347</v>
      </c>
    </row>
    <row r="397" spans="1:5" ht="33">
      <c r="A397" s="280" t="str">
        <f>IF(AND(B397&lt;&gt;"",C397&lt;&gt;""),MAX($A$1:A396)+1,"")</f>
        <v/>
      </c>
      <c r="B397" s="260"/>
      <c r="C397" s="275"/>
      <c r="D397" s="233"/>
      <c r="E397" s="336" t="s">
        <v>1346</v>
      </c>
    </row>
    <row r="398" spans="1:5" ht="33">
      <c r="A398" s="280" t="str">
        <f>IF(AND(B398&lt;&gt;"",C398&lt;&gt;""),MAX($A$1:A397)+1,"")</f>
        <v/>
      </c>
      <c r="B398" s="260"/>
      <c r="C398" s="275"/>
      <c r="D398" s="233"/>
      <c r="E398" s="336" t="s">
        <v>292</v>
      </c>
    </row>
    <row r="399" spans="1:5" ht="49.5">
      <c r="A399" s="280" t="str">
        <f>IF(AND(B399&lt;&gt;"",C399&lt;&gt;""),MAX($A$1:A398)+1,"")</f>
        <v/>
      </c>
      <c r="B399" s="260"/>
      <c r="C399" s="275"/>
      <c r="D399" s="233"/>
      <c r="E399" s="336" t="s">
        <v>293</v>
      </c>
    </row>
    <row r="400" spans="1:5" ht="115.5">
      <c r="A400" s="280">
        <f>IF(AND(B400&lt;&gt;"",C400&lt;&gt;""),MAX($A$1:A399)+1,"")</f>
        <v>60</v>
      </c>
      <c r="B400" s="261" t="s">
        <v>1349</v>
      </c>
      <c r="C400" s="276" t="s">
        <v>280</v>
      </c>
      <c r="D400" s="237"/>
      <c r="E400" s="285"/>
    </row>
    <row r="401" spans="1:5" ht="49.5">
      <c r="A401" s="280" t="str">
        <f>IF(AND(B401&lt;&gt;"",C401&lt;&gt;""),MAX($A$1:A400)+1,"")</f>
        <v/>
      </c>
      <c r="B401" s="260"/>
      <c r="C401" s="275"/>
      <c r="D401" s="232"/>
      <c r="E401" s="336" t="s">
        <v>1350</v>
      </c>
    </row>
    <row r="402" spans="1:5" ht="33">
      <c r="A402" s="280" t="str">
        <f>IF(AND(B402&lt;&gt;"",C402&lt;&gt;""),MAX($A$1:A401)+1,"")</f>
        <v/>
      </c>
      <c r="B402" s="260"/>
      <c r="C402" s="275"/>
      <c r="D402" s="233"/>
      <c r="E402" s="336" t="s">
        <v>1351</v>
      </c>
    </row>
    <row r="403" spans="1:5" ht="33">
      <c r="A403" s="280" t="str">
        <f>IF(AND(B403&lt;&gt;"",C403&lt;&gt;""),MAX($A$1:A402)+1,"")</f>
        <v/>
      </c>
      <c r="B403" s="299"/>
      <c r="C403" s="355"/>
      <c r="D403" s="250"/>
      <c r="E403" s="336" t="s">
        <v>1352</v>
      </c>
    </row>
    <row r="404" spans="1:5" ht="49.5">
      <c r="A404" s="280" t="str">
        <f>IF(AND(B404&lt;&gt;"",C404&lt;&gt;""),MAX($A$1:A403)+1,"")</f>
        <v/>
      </c>
      <c r="B404" s="260"/>
      <c r="C404" s="355"/>
      <c r="D404" s="250"/>
      <c r="E404" s="336" t="s">
        <v>1353</v>
      </c>
    </row>
    <row r="405" spans="1:5" ht="99">
      <c r="A405" s="280">
        <f>IF(AND(B405&lt;&gt;"",C405&lt;&gt;""),MAX($A$1:A404)+1,"")</f>
        <v>61</v>
      </c>
      <c r="B405" s="261" t="s">
        <v>914</v>
      </c>
      <c r="C405" s="276" t="s">
        <v>280</v>
      </c>
      <c r="D405" s="251"/>
      <c r="E405" s="285"/>
    </row>
    <row r="406" spans="1:5" ht="33">
      <c r="A406" s="280" t="str">
        <f>IF(AND(B406&lt;&gt;"",C406&lt;&gt;""),MAX($A$1:A405)+1,"")</f>
        <v/>
      </c>
      <c r="B406" s="260"/>
      <c r="C406" s="355"/>
      <c r="D406" s="250"/>
      <c r="E406" s="336" t="s">
        <v>1354</v>
      </c>
    </row>
    <row r="407" spans="1:5" ht="33">
      <c r="A407" s="280" t="str">
        <f>IF(AND(B407&lt;&gt;"",C407&lt;&gt;""),MAX($A$1:A406)+1,"")</f>
        <v/>
      </c>
      <c r="B407" s="260"/>
      <c r="C407" s="355"/>
      <c r="D407" s="250"/>
      <c r="E407" s="336" t="s">
        <v>294</v>
      </c>
    </row>
    <row r="408" spans="1:5" ht="132">
      <c r="A408" s="280">
        <f>IF(AND(B408&lt;&gt;"",C408&lt;&gt;""),MAX($A$1:A407)+1,"")</f>
        <v>62</v>
      </c>
      <c r="B408" s="261" t="s">
        <v>915</v>
      </c>
      <c r="C408" s="276" t="s">
        <v>280</v>
      </c>
      <c r="D408" s="251"/>
      <c r="E408" s="285"/>
    </row>
    <row r="409" spans="1:5" ht="33">
      <c r="A409" s="280" t="str">
        <f>IF(AND(B409&lt;&gt;"",C409&lt;&gt;""),MAX($A$1:A408)+1,"")</f>
        <v/>
      </c>
      <c r="B409" s="260"/>
      <c r="C409" s="355"/>
      <c r="D409" s="249"/>
      <c r="E409" s="336" t="s">
        <v>1355</v>
      </c>
    </row>
    <row r="410" spans="1:5" ht="33">
      <c r="A410" s="280" t="str">
        <f>IF(AND(B410&lt;&gt;"",C410&lt;&gt;""),MAX($A$1:A409)+1,"")</f>
        <v/>
      </c>
      <c r="B410" s="260"/>
      <c r="C410" s="355"/>
      <c r="D410" s="249"/>
      <c r="E410" s="336" t="s">
        <v>1369</v>
      </c>
    </row>
    <row r="411" spans="1:5" ht="49.5">
      <c r="A411" s="280" t="str">
        <f>IF(AND(B411&lt;&gt;"",C411&lt;&gt;""),MAX($A$1:A410)+1,"")</f>
        <v/>
      </c>
      <c r="B411" s="299"/>
      <c r="C411" s="275"/>
      <c r="D411" s="232"/>
      <c r="E411" s="336" t="s">
        <v>1356</v>
      </c>
    </row>
    <row r="412" spans="1:5" ht="49.5">
      <c r="A412" s="280" t="str">
        <f>IF(AND(B412&lt;&gt;"",C412&lt;&gt;""),MAX($A$1:A411)+1,"")</f>
        <v/>
      </c>
      <c r="B412" s="299"/>
      <c r="C412" s="275"/>
      <c r="D412" s="232"/>
      <c r="E412" s="336" t="s">
        <v>1357</v>
      </c>
    </row>
    <row r="413" spans="1:5" ht="132">
      <c r="A413" s="280">
        <f>IF(AND(B413&lt;&gt;"",C413&lt;&gt;""),MAX($A$1:A412)+1,"")</f>
        <v>63</v>
      </c>
      <c r="B413" s="261" t="s">
        <v>916</v>
      </c>
      <c r="C413" s="276" t="s">
        <v>280</v>
      </c>
      <c r="D413" s="237"/>
      <c r="E413" s="285"/>
    </row>
    <row r="414" spans="1:5" ht="33">
      <c r="A414" s="280" t="str">
        <f>IF(AND(B414&lt;&gt;"",C414&lt;&gt;""),MAX($A$1:A413)+1,"")</f>
        <v/>
      </c>
      <c r="B414" s="260"/>
      <c r="C414" s="275"/>
      <c r="D414" s="232"/>
      <c r="E414" s="336" t="s">
        <v>1362</v>
      </c>
    </row>
    <row r="415" spans="1:5" ht="33">
      <c r="A415" s="280" t="str">
        <f>IF(AND(B415&lt;&gt;"",C415&lt;&gt;""),MAX($A$1:A414)+1,"")</f>
        <v/>
      </c>
      <c r="B415" s="260"/>
      <c r="C415" s="275"/>
      <c r="D415" s="233"/>
      <c r="E415" s="336" t="s">
        <v>1449</v>
      </c>
    </row>
    <row r="416" spans="1:5" ht="49.5">
      <c r="A416" s="280" t="str">
        <f>IF(AND(B416&lt;&gt;"",C416&lt;&gt;""),MAX($A$1:A415)+1,"")</f>
        <v/>
      </c>
      <c r="B416" s="260"/>
      <c r="C416" s="275"/>
      <c r="D416" s="233"/>
      <c r="E416" s="336" t="s">
        <v>1370</v>
      </c>
    </row>
    <row r="417" spans="1:5" ht="49.5">
      <c r="A417" s="280" t="str">
        <f>IF(AND(B417&lt;&gt;"",C417&lt;&gt;""),MAX($A$1:A416)+1,"")</f>
        <v/>
      </c>
      <c r="B417" s="299"/>
      <c r="C417" s="275"/>
      <c r="D417" s="233"/>
      <c r="E417" s="336" t="s">
        <v>1371</v>
      </c>
    </row>
    <row r="418" spans="1:5" ht="132">
      <c r="A418" s="280">
        <f>IF(AND(B418&lt;&gt;"",C418&lt;&gt;""),MAX($A$1:A417)+1,"")</f>
        <v>64</v>
      </c>
      <c r="B418" s="261" t="s">
        <v>917</v>
      </c>
      <c r="C418" s="276" t="s">
        <v>280</v>
      </c>
      <c r="D418" s="251"/>
      <c r="E418" s="285"/>
    </row>
    <row r="419" spans="1:5" ht="33">
      <c r="A419" s="280" t="str">
        <f>IF(AND(B419&lt;&gt;"",C419&lt;&gt;""),MAX($A$1:A418)+1,"")</f>
        <v/>
      </c>
      <c r="B419" s="260"/>
      <c r="C419" s="355"/>
      <c r="D419" s="250"/>
      <c r="E419" s="336" t="s">
        <v>1363</v>
      </c>
    </row>
    <row r="420" spans="1:5" ht="33">
      <c r="A420" s="280" t="str">
        <f>IF(AND(B420&lt;&gt;"",C420&lt;&gt;""),MAX($A$1:A419)+1,"")</f>
        <v/>
      </c>
      <c r="B420" s="260"/>
      <c r="C420" s="355"/>
      <c r="D420" s="249"/>
      <c r="E420" s="336" t="s">
        <v>1374</v>
      </c>
    </row>
    <row r="421" spans="1:5" ht="49.5">
      <c r="A421" s="280" t="str">
        <f>IF(AND(B421&lt;&gt;"",C421&lt;&gt;""),MAX($A$1:A420)+1,"")</f>
        <v/>
      </c>
      <c r="B421" s="260"/>
      <c r="C421" s="355"/>
      <c r="D421" s="249"/>
      <c r="E421" s="336" t="s">
        <v>1372</v>
      </c>
    </row>
    <row r="422" spans="1:5" ht="49.5">
      <c r="A422" s="280" t="str">
        <f>IF(AND(B422&lt;&gt;"",C422&lt;&gt;""),MAX($A$1:A421)+1,"")</f>
        <v/>
      </c>
      <c r="B422" s="299"/>
      <c r="C422" s="355"/>
      <c r="D422" s="249"/>
      <c r="E422" s="336" t="s">
        <v>1373</v>
      </c>
    </row>
    <row r="423" spans="1:5" ht="132">
      <c r="A423" s="280">
        <f>IF(AND(B423&lt;&gt;"",C423&lt;&gt;""),MAX($A$1:A422)+1,"")</f>
        <v>65</v>
      </c>
      <c r="B423" s="261" t="s">
        <v>918</v>
      </c>
      <c r="C423" s="276" t="s">
        <v>280</v>
      </c>
      <c r="D423" s="251"/>
      <c r="E423" s="285"/>
    </row>
    <row r="424" spans="1:5" ht="33">
      <c r="A424" s="280" t="str">
        <f>IF(AND(B424&lt;&gt;"",C424&lt;&gt;""),MAX($A$1:A423)+1,"")</f>
        <v/>
      </c>
      <c r="B424" s="299"/>
      <c r="C424" s="355"/>
      <c r="D424" s="250"/>
      <c r="E424" s="336" t="s">
        <v>1364</v>
      </c>
    </row>
    <row r="425" spans="1:5" ht="49.5">
      <c r="A425" s="280" t="str">
        <f>IF(AND(B425&lt;&gt;"",C425&lt;&gt;""),MAX($A$1:A424)+1,"")</f>
        <v/>
      </c>
      <c r="B425" s="260"/>
      <c r="C425" s="355"/>
      <c r="D425" s="250"/>
      <c r="E425" s="336" t="s">
        <v>1375</v>
      </c>
    </row>
    <row r="426" spans="1:5" ht="49.5">
      <c r="A426" s="280" t="str">
        <f>IF(AND(B426&lt;&gt;"",C426&lt;&gt;""),MAX($A$1:A425)+1,"")</f>
        <v/>
      </c>
      <c r="B426" s="260"/>
      <c r="C426" s="355"/>
      <c r="D426" s="249"/>
      <c r="E426" s="336" t="s">
        <v>1376</v>
      </c>
    </row>
    <row r="427" spans="1:5" ht="49.5">
      <c r="A427" s="280" t="str">
        <f>IF(AND(B427&lt;&gt;"",C427&lt;&gt;""),MAX($A$1:A426)+1,"")</f>
        <v/>
      </c>
      <c r="B427" s="299"/>
      <c r="C427" s="355"/>
      <c r="D427" s="249"/>
      <c r="E427" s="336" t="s">
        <v>1377</v>
      </c>
    </row>
    <row r="428" spans="1:5" ht="99">
      <c r="A428" s="280">
        <f>IF(AND(B428&lt;&gt;"",C428&lt;&gt;""),MAX($A$1:A427)+1,"")</f>
        <v>66</v>
      </c>
      <c r="B428" s="261" t="s">
        <v>919</v>
      </c>
      <c r="C428" s="276" t="s">
        <v>280</v>
      </c>
      <c r="D428" s="253"/>
      <c r="E428" s="285"/>
    </row>
    <row r="429" spans="1:5" ht="33">
      <c r="A429" s="280" t="str">
        <f>IF(AND(B429&lt;&gt;"",C429&lt;&gt;""),MAX($A$1:A428)+1,"")</f>
        <v/>
      </c>
      <c r="B429" s="299"/>
      <c r="C429" s="355"/>
      <c r="D429" s="249"/>
      <c r="E429" s="336" t="s">
        <v>1379</v>
      </c>
    </row>
    <row r="430" spans="1:5" ht="33">
      <c r="A430" s="280" t="str">
        <f>IF(AND(B430&lt;&gt;"",C430&lt;&gt;""),MAX($A$1:A429)+1,"")</f>
        <v/>
      </c>
      <c r="B430" s="299"/>
      <c r="C430" s="275"/>
      <c r="D430" s="232"/>
      <c r="E430" s="336" t="s">
        <v>1378</v>
      </c>
    </row>
    <row r="431" spans="1:5" ht="33">
      <c r="A431" s="280" t="str">
        <f>IF(AND(B431&lt;&gt;"",C431&lt;&gt;""),MAX($A$1:A430)+1,"")</f>
        <v/>
      </c>
      <c r="B431" s="299"/>
      <c r="C431" s="275"/>
      <c r="D431" s="232"/>
      <c r="E431" s="336" t="s">
        <v>295</v>
      </c>
    </row>
    <row r="432" spans="1:5" ht="33">
      <c r="A432" s="280" t="str">
        <f>IF(AND(B432&lt;&gt;"",C432&lt;&gt;""),MAX($A$1:A431)+1,"")</f>
        <v/>
      </c>
      <c r="B432" s="299"/>
      <c r="C432" s="275"/>
      <c r="D432" s="232"/>
      <c r="E432" s="336" t="s">
        <v>1380</v>
      </c>
    </row>
    <row r="433" spans="1:5" ht="148.5">
      <c r="A433" s="314" t="s">
        <v>157</v>
      </c>
      <c r="B433" s="300" t="s">
        <v>920</v>
      </c>
      <c r="C433" s="273"/>
      <c r="D433" s="229"/>
      <c r="E433" s="229"/>
    </row>
    <row r="434" spans="1:5" ht="115.5">
      <c r="A434" s="280">
        <f>IF(AND(B434&lt;&gt;"",C434&lt;&gt;""),MAX($A$1:A433)+1,"")</f>
        <v>67</v>
      </c>
      <c r="B434" s="261" t="s">
        <v>921</v>
      </c>
      <c r="C434" s="276" t="s">
        <v>384</v>
      </c>
      <c r="D434" s="237"/>
      <c r="E434" s="285"/>
    </row>
    <row r="435" spans="1:5" ht="66">
      <c r="A435" s="280" t="str">
        <f>IF(AND(B435&lt;&gt;"",C435&lt;&gt;""),MAX($A$1:A434)+1,"")</f>
        <v/>
      </c>
      <c r="B435" s="299"/>
      <c r="C435" s="275"/>
      <c r="D435" s="233"/>
      <c r="E435" s="336" t="s">
        <v>1381</v>
      </c>
    </row>
    <row r="436" spans="1:5" ht="49.5">
      <c r="A436" s="280" t="str">
        <f>IF(AND(B436&lt;&gt;"",C436&lt;&gt;""),MAX($A$1:A435)+1,"")</f>
        <v/>
      </c>
      <c r="B436" s="299"/>
      <c r="C436" s="275"/>
      <c r="D436" s="233"/>
      <c r="E436" s="336" t="s">
        <v>1085</v>
      </c>
    </row>
    <row r="437" spans="1:5" ht="115.5">
      <c r="A437" s="280">
        <f>IF(AND(B437&lt;&gt;"",C437&lt;&gt;""),MAX($A$1:A436)+1,"")</f>
        <v>68</v>
      </c>
      <c r="B437" s="261" t="s">
        <v>922</v>
      </c>
      <c r="C437" s="276" t="s">
        <v>384</v>
      </c>
      <c r="D437" s="245"/>
      <c r="E437" s="285"/>
    </row>
    <row r="438" spans="1:5" ht="49.5">
      <c r="A438" s="280" t="str">
        <f>IF(AND(B438&lt;&gt;"",C438&lt;&gt;""),MAX($A$1:A437)+1,"")</f>
        <v/>
      </c>
      <c r="B438" s="299"/>
      <c r="C438" s="275"/>
      <c r="D438" s="233"/>
      <c r="E438" s="336" t="s">
        <v>1382</v>
      </c>
    </row>
    <row r="439" spans="1:5" ht="33">
      <c r="A439" s="280" t="str">
        <f>IF(AND(B439&lt;&gt;"",C439&lt;&gt;""),MAX($A$1:A438)+1,"")</f>
        <v/>
      </c>
      <c r="B439" s="299"/>
      <c r="C439" s="275"/>
      <c r="D439" s="233"/>
      <c r="E439" s="336" t="s">
        <v>1086</v>
      </c>
    </row>
    <row r="440" spans="1:5" ht="33">
      <c r="A440" s="280" t="str">
        <f>IF(AND(B440&lt;&gt;"",C440&lt;&gt;""),MAX($A$1:A439)+1,"")</f>
        <v/>
      </c>
      <c r="B440" s="299"/>
      <c r="C440" s="275"/>
      <c r="D440" s="232"/>
      <c r="E440" s="336" t="s">
        <v>1383</v>
      </c>
    </row>
    <row r="441" spans="1:5" ht="49.5">
      <c r="A441" s="280" t="str">
        <f>IF(AND(B441&lt;&gt;"",C441&lt;&gt;""),MAX($A$1:A440)+1,"")</f>
        <v/>
      </c>
      <c r="B441" s="299"/>
      <c r="C441" s="275"/>
      <c r="D441" s="232"/>
      <c r="E441" s="336" t="s">
        <v>1384</v>
      </c>
    </row>
    <row r="442" spans="1:5" ht="33">
      <c r="A442" s="280" t="str">
        <f>IF(AND(B442&lt;&gt;"",C442&lt;&gt;""),MAX($A$1:A441)+1,"")</f>
        <v/>
      </c>
      <c r="B442" s="299"/>
      <c r="C442" s="275"/>
      <c r="D442" s="233"/>
      <c r="E442" s="336" t="s">
        <v>1385</v>
      </c>
    </row>
    <row r="443" spans="1:5" ht="115.5">
      <c r="A443" s="280">
        <f>IF(AND(B443&lt;&gt;"",C443&lt;&gt;""),MAX($A$1:A442)+1,"")</f>
        <v>69</v>
      </c>
      <c r="B443" s="261" t="s">
        <v>923</v>
      </c>
      <c r="C443" s="276" t="s">
        <v>384</v>
      </c>
      <c r="D443" s="245"/>
      <c r="E443" s="245"/>
    </row>
    <row r="444" spans="1:5" ht="49.5">
      <c r="A444" s="280" t="str">
        <f>IF(AND(B444&lt;&gt;"",C444&lt;&gt;""),MAX($A$1:A443)+1,"")</f>
        <v/>
      </c>
      <c r="B444" s="299"/>
      <c r="C444" s="275"/>
      <c r="D444" s="232"/>
      <c r="E444" s="336" t="s">
        <v>1386</v>
      </c>
    </row>
    <row r="445" spans="1:5" ht="49.5">
      <c r="A445" s="280" t="str">
        <f>IF(AND(B445&lt;&gt;"",C445&lt;&gt;""),MAX($A$1:A444)+1,"")</f>
        <v/>
      </c>
      <c r="B445" s="299"/>
      <c r="C445" s="275"/>
      <c r="D445" s="232"/>
      <c r="E445" s="336" t="s">
        <v>1087</v>
      </c>
    </row>
    <row r="446" spans="1:5" ht="33">
      <c r="A446" s="280" t="str">
        <f>IF(AND(B446&lt;&gt;"",C446&lt;&gt;""),MAX($A$1:A445)+1,"")</f>
        <v/>
      </c>
      <c r="B446" s="299"/>
      <c r="C446" s="275"/>
      <c r="D446" s="232"/>
      <c r="E446" s="336" t="s">
        <v>1088</v>
      </c>
    </row>
    <row r="447" spans="1:5" ht="33">
      <c r="A447" s="280" t="str">
        <f>IF(AND(B447&lt;&gt;"",C447&lt;&gt;""),MAX($A$1:A446)+1,"")</f>
        <v/>
      </c>
      <c r="B447" s="260"/>
      <c r="C447" s="275"/>
      <c r="D447" s="233"/>
      <c r="E447" s="336" t="s">
        <v>1089</v>
      </c>
    </row>
    <row r="448" spans="1:5" ht="33">
      <c r="A448" s="280" t="str">
        <f>IF(AND(B448&lt;&gt;"",C448&lt;&gt;""),MAX($A$1:A447)+1,"")</f>
        <v/>
      </c>
      <c r="B448" s="260"/>
      <c r="C448" s="275"/>
      <c r="D448" s="233"/>
      <c r="E448" s="336" t="s">
        <v>1387</v>
      </c>
    </row>
    <row r="449" spans="1:5" ht="115.5">
      <c r="A449" s="280">
        <f>IF(AND(B449&lt;&gt;"",C449&lt;&gt;""),MAX($A$1:A448)+1,"")</f>
        <v>70</v>
      </c>
      <c r="B449" s="261" t="s">
        <v>924</v>
      </c>
      <c r="C449" s="276" t="s">
        <v>384</v>
      </c>
      <c r="D449" s="245"/>
      <c r="E449" s="285"/>
    </row>
    <row r="450" spans="1:5" ht="49.5">
      <c r="A450" s="280" t="str">
        <f>IF(AND(B450&lt;&gt;"",C450&lt;&gt;""),MAX($A$1:A449)+1,"")</f>
        <v/>
      </c>
      <c r="B450" s="299"/>
      <c r="C450" s="275"/>
      <c r="D450" s="232"/>
      <c r="E450" s="336" t="s">
        <v>1090</v>
      </c>
    </row>
    <row r="451" spans="1:5" ht="49.5">
      <c r="A451" s="280" t="str">
        <f>IF(AND(B451&lt;&gt;"",C451&lt;&gt;""),MAX($A$1:A450)+1,"")</f>
        <v/>
      </c>
      <c r="B451" s="260"/>
      <c r="C451" s="275"/>
      <c r="D451" s="232"/>
      <c r="E451" s="336" t="s">
        <v>1388</v>
      </c>
    </row>
    <row r="452" spans="1:5" ht="33">
      <c r="A452" s="280" t="str">
        <f>IF(AND(B452&lt;&gt;"",C452&lt;&gt;""),MAX($A$1:A451)+1,"")</f>
        <v/>
      </c>
      <c r="B452" s="260"/>
      <c r="C452" s="275"/>
      <c r="D452" s="232"/>
      <c r="E452" s="336" t="s">
        <v>1091</v>
      </c>
    </row>
    <row r="453" spans="1:5" ht="33">
      <c r="A453" s="280" t="str">
        <f>IF(AND(B453&lt;&gt;"",C453&lt;&gt;""),MAX($A$1:A452)+1,"")</f>
        <v/>
      </c>
      <c r="B453" s="260"/>
      <c r="C453" s="275"/>
      <c r="D453" s="232"/>
      <c r="E453" s="336" t="s">
        <v>1389</v>
      </c>
    </row>
    <row r="454" spans="1:5" ht="49.5">
      <c r="A454" s="280" t="str">
        <f>IF(AND(B454&lt;&gt;"",C454&lt;&gt;""),MAX($A$1:A453)+1,"")</f>
        <v/>
      </c>
      <c r="B454" s="260"/>
      <c r="C454" s="275"/>
      <c r="D454" s="233"/>
      <c r="E454" s="336" t="s">
        <v>1390</v>
      </c>
    </row>
    <row r="455" spans="1:5" ht="132">
      <c r="A455" s="280">
        <f>IF(AND(B455&lt;&gt;"",C455&lt;&gt;""),MAX($A$1:A454)+1,"")</f>
        <v>71</v>
      </c>
      <c r="B455" s="261" t="s">
        <v>925</v>
      </c>
      <c r="C455" s="276" t="s">
        <v>384</v>
      </c>
      <c r="D455" s="245"/>
      <c r="E455" s="285"/>
    </row>
    <row r="456" spans="1:5" ht="49.5">
      <c r="A456" s="280" t="str">
        <f>IF(AND(B456&lt;&gt;"",C456&lt;&gt;""),MAX($A$1:A455)+1,"")</f>
        <v/>
      </c>
      <c r="B456" s="299"/>
      <c r="C456" s="275"/>
      <c r="D456" s="233"/>
      <c r="E456" s="336" t="s">
        <v>1092</v>
      </c>
    </row>
    <row r="457" spans="1:5" ht="33">
      <c r="A457" s="280" t="str">
        <f>IF(AND(B457&lt;&gt;"",C457&lt;&gt;""),MAX($A$1:A456)+1,"")</f>
        <v/>
      </c>
      <c r="B457" s="299"/>
      <c r="C457" s="275"/>
      <c r="D457" s="232"/>
      <c r="E457" s="336" t="s">
        <v>1093</v>
      </c>
    </row>
    <row r="458" spans="1:5" ht="33">
      <c r="A458" s="280" t="str">
        <f>IF(AND(B458&lt;&gt;"",C458&lt;&gt;""),MAX($A$1:A457)+1,"")</f>
        <v/>
      </c>
      <c r="B458" s="260"/>
      <c r="C458" s="275"/>
      <c r="D458" s="232"/>
      <c r="E458" s="336" t="s">
        <v>1094</v>
      </c>
    </row>
    <row r="459" spans="1:5" ht="33">
      <c r="A459" s="280" t="str">
        <f>IF(AND(B459&lt;&gt;"",C459&lt;&gt;""),MAX($A$1:A458)+1,"")</f>
        <v/>
      </c>
      <c r="B459" s="260"/>
      <c r="C459" s="275"/>
      <c r="D459" s="232"/>
      <c r="E459" s="336" t="s">
        <v>1095</v>
      </c>
    </row>
    <row r="460" spans="1:5" ht="132">
      <c r="A460" s="280">
        <f>IF(AND(B460&lt;&gt;"",C460&lt;&gt;""),MAX($A$1:A459)+1,"")</f>
        <v>72</v>
      </c>
      <c r="B460" s="261" t="s">
        <v>926</v>
      </c>
      <c r="C460" s="276" t="s">
        <v>384</v>
      </c>
      <c r="D460" s="237"/>
      <c r="E460" s="285"/>
    </row>
    <row r="461" spans="1:5" ht="49.5">
      <c r="A461" s="280" t="str">
        <f>IF(AND(B461&lt;&gt;"",C461&lt;&gt;""),MAX($A$1:A460)+1,"")</f>
        <v/>
      </c>
      <c r="B461" s="260"/>
      <c r="C461" s="275"/>
      <c r="D461" s="232"/>
      <c r="E461" s="336" t="s">
        <v>1096</v>
      </c>
    </row>
    <row r="462" spans="1:5" ht="33">
      <c r="A462" s="280" t="str">
        <f>IF(AND(B462&lt;&gt;"",C462&lt;&gt;""),MAX($A$1:A461)+1,"")</f>
        <v/>
      </c>
      <c r="B462" s="299"/>
      <c r="C462" s="275"/>
      <c r="D462" s="232"/>
      <c r="E462" s="336" t="s">
        <v>1097</v>
      </c>
    </row>
    <row r="463" spans="1:5" ht="33">
      <c r="A463" s="280" t="str">
        <f>IF(AND(B463&lt;&gt;"",C463&lt;&gt;""),MAX($A$1:A462)+1,"")</f>
        <v/>
      </c>
      <c r="B463" s="299"/>
      <c r="C463" s="275"/>
      <c r="D463" s="233"/>
      <c r="E463" s="336" t="s">
        <v>1098</v>
      </c>
    </row>
    <row r="464" spans="1:5" ht="33">
      <c r="A464" s="280" t="str">
        <f>IF(AND(B464&lt;&gt;"",C464&lt;&gt;""),MAX($A$1:A463)+1,"")</f>
        <v/>
      </c>
      <c r="B464" s="299"/>
      <c r="C464" s="275"/>
      <c r="D464" s="233"/>
      <c r="E464" s="336" t="s">
        <v>1099</v>
      </c>
    </row>
    <row r="465" spans="1:5" ht="115.5">
      <c r="A465" s="280">
        <f>IF(AND(B465&lt;&gt;"",C465&lt;&gt;""),MAX($A$1:A464)+1,"")</f>
        <v>73</v>
      </c>
      <c r="B465" s="261" t="s">
        <v>927</v>
      </c>
      <c r="C465" s="276" t="s">
        <v>384</v>
      </c>
      <c r="D465" s="237"/>
      <c r="E465" s="285"/>
    </row>
    <row r="466" spans="1:5" ht="49.5">
      <c r="A466" s="280" t="str">
        <f>IF(AND(B466&lt;&gt;"",C466&lt;&gt;""),MAX($A$1:A465)+1,"")</f>
        <v/>
      </c>
      <c r="B466" s="299"/>
      <c r="C466" s="275"/>
      <c r="D466" s="232"/>
      <c r="E466" s="336" t="s">
        <v>1100</v>
      </c>
    </row>
    <row r="467" spans="1:5" ht="33">
      <c r="A467" s="280" t="str">
        <f>IF(AND(B467&lt;&gt;"",C467&lt;&gt;""),MAX($A$1:A466)+1,"")</f>
        <v/>
      </c>
      <c r="B467" s="260"/>
      <c r="C467" s="275"/>
      <c r="D467" s="233"/>
      <c r="E467" s="336" t="s">
        <v>1101</v>
      </c>
    </row>
    <row r="468" spans="1:5" ht="33">
      <c r="A468" s="280" t="str">
        <f>IF(AND(B468&lt;&gt;"",C468&lt;&gt;""),MAX($A$1:A467)+1,"")</f>
        <v/>
      </c>
      <c r="B468" s="299"/>
      <c r="C468" s="357"/>
      <c r="D468" s="256"/>
      <c r="E468" s="336" t="s">
        <v>1102</v>
      </c>
    </row>
    <row r="469" spans="1:5" ht="49.5">
      <c r="A469" s="280" t="str">
        <f>IF(AND(B469&lt;&gt;"",C469&lt;&gt;""),MAX($A$1:A468)+1,"")</f>
        <v/>
      </c>
      <c r="B469" s="299"/>
      <c r="C469" s="357"/>
      <c r="D469" s="256"/>
      <c r="E469" s="336" t="s">
        <v>1103</v>
      </c>
    </row>
    <row r="470" spans="1:5" ht="115.5">
      <c r="A470" s="280">
        <f>IF(AND(B470&lt;&gt;"",C470&lt;&gt;""),MAX($A$1:A469)+1,"")</f>
        <v>74</v>
      </c>
      <c r="B470" s="261" t="s">
        <v>928</v>
      </c>
      <c r="C470" s="276" t="s">
        <v>384</v>
      </c>
      <c r="D470" s="237"/>
      <c r="E470" s="285"/>
    </row>
    <row r="471" spans="1:5" ht="49.5">
      <c r="A471" s="280" t="str">
        <f>IF(AND(B471&lt;&gt;"",C471&lt;&gt;""),MAX($A$1:A470)+1,"")</f>
        <v/>
      </c>
      <c r="B471" s="260"/>
      <c r="C471" s="275"/>
      <c r="D471" s="232"/>
      <c r="E471" s="336" t="s">
        <v>1391</v>
      </c>
    </row>
    <row r="472" spans="1:5" ht="33">
      <c r="A472" s="280" t="str">
        <f>IF(AND(B472&lt;&gt;"",C472&lt;&gt;""),MAX($A$1:A471)+1,"")</f>
        <v/>
      </c>
      <c r="B472" s="260"/>
      <c r="C472" s="275"/>
      <c r="D472" s="233"/>
      <c r="E472" s="336" t="s">
        <v>1392</v>
      </c>
    </row>
    <row r="473" spans="1:5" ht="33">
      <c r="A473" s="280" t="str">
        <f>IF(AND(B473&lt;&gt;"",C473&lt;&gt;""),MAX($A$1:A472)+1,"")</f>
        <v/>
      </c>
      <c r="B473" s="299"/>
      <c r="C473" s="275"/>
      <c r="D473" s="233"/>
      <c r="E473" s="336" t="s">
        <v>1393</v>
      </c>
    </row>
    <row r="474" spans="1:5" ht="49.5">
      <c r="A474" s="280" t="str">
        <f>IF(AND(B474&lt;&gt;"",C474&lt;&gt;""),MAX($A$1:A473)+1,"")</f>
        <v/>
      </c>
      <c r="B474" s="299"/>
      <c r="C474" s="275"/>
      <c r="D474" s="232"/>
      <c r="E474" s="336" t="s">
        <v>1394</v>
      </c>
    </row>
    <row r="475" spans="1:5" ht="115.5">
      <c r="A475" s="280">
        <f>IF(AND(B475&lt;&gt;"",C475&lt;&gt;""),MAX($A$1:A474)+1,"")</f>
        <v>75</v>
      </c>
      <c r="B475" s="261" t="s">
        <v>929</v>
      </c>
      <c r="C475" s="276" t="s">
        <v>384</v>
      </c>
      <c r="D475" s="245"/>
      <c r="E475" s="285"/>
    </row>
    <row r="476" spans="1:5" ht="33">
      <c r="A476" s="280" t="str">
        <f>IF(AND(B476&lt;&gt;"",C476&lt;&gt;""),MAX($A$1:A475)+1,"")</f>
        <v/>
      </c>
      <c r="B476" s="260"/>
      <c r="C476" s="275"/>
      <c r="D476" s="233"/>
      <c r="E476" s="336" t="s">
        <v>1395</v>
      </c>
    </row>
    <row r="477" spans="1:5" ht="33">
      <c r="A477" s="280" t="str">
        <f>IF(AND(B477&lt;&gt;"",C477&lt;&gt;""),MAX($A$1:A476)+1,"")</f>
        <v/>
      </c>
      <c r="B477" s="260"/>
      <c r="C477" s="275"/>
      <c r="D477" s="232"/>
      <c r="E477" s="336" t="s">
        <v>1445</v>
      </c>
    </row>
    <row r="478" spans="1:5" ht="148.5">
      <c r="A478" s="280">
        <f>IF(AND(B478&lt;&gt;"",C478&lt;&gt;""),MAX($A$1:A477)+1,"")</f>
        <v>76</v>
      </c>
      <c r="B478" s="261" t="s">
        <v>930</v>
      </c>
      <c r="C478" s="276" t="s">
        <v>384</v>
      </c>
      <c r="D478" s="237"/>
      <c r="E478" s="285"/>
    </row>
    <row r="479" spans="1:5" ht="33">
      <c r="A479" s="280" t="str">
        <f>IF(AND(B479&lt;&gt;"",C479&lt;&gt;""),MAX($A$1:A478)+1,"")</f>
        <v/>
      </c>
      <c r="B479" s="260"/>
      <c r="C479" s="275"/>
      <c r="D479" s="232"/>
      <c r="E479" s="336" t="s">
        <v>1365</v>
      </c>
    </row>
    <row r="480" spans="1:5" ht="49.5">
      <c r="A480" s="280" t="str">
        <f>IF(AND(B480&lt;&gt;"",C480&lt;&gt;""),MAX($A$1:A479)+1,"")</f>
        <v/>
      </c>
      <c r="B480" s="260"/>
      <c r="C480" s="275"/>
      <c r="D480" s="232"/>
      <c r="E480" s="336" t="s">
        <v>1397</v>
      </c>
    </row>
    <row r="481" spans="1:5" ht="49.5">
      <c r="A481" s="280" t="str">
        <f>IF(AND(B481&lt;&gt;"",C481&lt;&gt;""),MAX($A$1:A480)+1,"")</f>
        <v/>
      </c>
      <c r="B481" s="260"/>
      <c r="C481" s="275"/>
      <c r="D481" s="232"/>
      <c r="E481" s="336" t="s">
        <v>1396</v>
      </c>
    </row>
    <row r="482" spans="1:5" ht="49.5">
      <c r="A482" s="280" t="str">
        <f>IF(AND(B482&lt;&gt;"",C482&lt;&gt;""),MAX($A$1:A481)+1,"")</f>
        <v/>
      </c>
      <c r="B482" s="260"/>
      <c r="C482" s="275"/>
      <c r="D482" s="232"/>
      <c r="E482" s="336" t="s">
        <v>1398</v>
      </c>
    </row>
    <row r="483" spans="1:5" ht="148.5">
      <c r="A483" s="280">
        <f>IF(AND(B483&lt;&gt;"",C483&lt;&gt;""),MAX($A$1:A482)+1,"")</f>
        <v>77</v>
      </c>
      <c r="B483" s="261" t="s">
        <v>931</v>
      </c>
      <c r="C483" s="276" t="s">
        <v>384</v>
      </c>
      <c r="D483" s="237"/>
      <c r="E483" s="285"/>
    </row>
    <row r="484" spans="1:5" ht="33">
      <c r="A484" s="280" t="str">
        <f>IF(AND(B484&lt;&gt;"",C484&lt;&gt;""),MAX($A$1:A483)+1,"")</f>
        <v/>
      </c>
      <c r="B484" s="260"/>
      <c r="C484" s="275"/>
      <c r="D484" s="232"/>
      <c r="E484" s="336" t="s">
        <v>1366</v>
      </c>
    </row>
    <row r="485" spans="1:5" ht="49.5">
      <c r="A485" s="280" t="str">
        <f>IF(AND(B485&lt;&gt;"",C485&lt;&gt;""),MAX($A$1:A484)+1,"")</f>
        <v/>
      </c>
      <c r="B485" s="242"/>
      <c r="C485" s="241"/>
      <c r="D485" s="241"/>
      <c r="E485" s="336" t="s">
        <v>1399</v>
      </c>
    </row>
    <row r="486" spans="1:5" ht="49.5">
      <c r="A486" s="280" t="str">
        <f>IF(AND(B486&lt;&gt;"",C486&lt;&gt;""),MAX($A$1:A485)+1,"")</f>
        <v/>
      </c>
      <c r="B486" s="242"/>
      <c r="C486" s="241"/>
      <c r="D486" s="241"/>
      <c r="E486" s="336" t="s">
        <v>1400</v>
      </c>
    </row>
    <row r="487" spans="1:5" ht="49.5">
      <c r="A487" s="280" t="str">
        <f>IF(AND(B487&lt;&gt;"",C487&lt;&gt;""),MAX($A$1:A486)+1,"")</f>
        <v/>
      </c>
      <c r="B487" s="240"/>
      <c r="C487" s="275"/>
      <c r="D487" s="241"/>
      <c r="E487" s="336" t="s">
        <v>1401</v>
      </c>
    </row>
    <row r="488" spans="1:5" ht="148.5">
      <c r="A488" s="280">
        <f>IF(AND(B488&lt;&gt;"",C488&lt;&gt;""),MAX($A$1:A487)+1,"")</f>
        <v>78</v>
      </c>
      <c r="B488" s="261" t="s">
        <v>932</v>
      </c>
      <c r="C488" s="276" t="s">
        <v>384</v>
      </c>
      <c r="D488" s="243"/>
      <c r="E488" s="247"/>
    </row>
    <row r="489" spans="1:5" ht="49.5">
      <c r="A489" s="280" t="str">
        <f>IF(AND(B489&lt;&gt;"",C489&lt;&gt;""),MAX($A$1:A488)+1,"")</f>
        <v/>
      </c>
      <c r="B489" s="242"/>
      <c r="C489" s="241"/>
      <c r="D489" s="241"/>
      <c r="E489" s="336" t="s">
        <v>1367</v>
      </c>
    </row>
    <row r="490" spans="1:5" ht="49.5">
      <c r="A490" s="280" t="str">
        <f>IF(AND(B490&lt;&gt;"",C490&lt;&gt;""),MAX($A$1:A489)+1,"")</f>
        <v/>
      </c>
      <c r="B490" s="242"/>
      <c r="C490" s="241"/>
      <c r="D490" s="241"/>
      <c r="E490" s="336" t="s">
        <v>1402</v>
      </c>
    </row>
    <row r="491" spans="1:5" ht="49.5">
      <c r="A491" s="280" t="str">
        <f>IF(AND(B491&lt;&gt;"",C491&lt;&gt;""),MAX($A$1:A490)+1,"")</f>
        <v/>
      </c>
      <c r="B491" s="299"/>
      <c r="C491" s="275"/>
      <c r="D491" s="232"/>
      <c r="E491" s="336" t="s">
        <v>1403</v>
      </c>
    </row>
    <row r="492" spans="1:5" ht="49.5">
      <c r="A492" s="280" t="str">
        <f>IF(AND(B492&lt;&gt;"",C492&lt;&gt;""),MAX($A$1:A491)+1,"")</f>
        <v/>
      </c>
      <c r="B492" s="240"/>
      <c r="C492" s="275"/>
      <c r="D492" s="232"/>
      <c r="E492" s="336" t="s">
        <v>1404</v>
      </c>
    </row>
    <row r="493" spans="1:5" ht="148.5">
      <c r="A493" s="280">
        <f>IF(AND(B493&lt;&gt;"",C493&lt;&gt;""),MAX($A$1:A492)+1,"")</f>
        <v>79</v>
      </c>
      <c r="B493" s="261" t="s">
        <v>933</v>
      </c>
      <c r="C493" s="276" t="s">
        <v>384</v>
      </c>
      <c r="D493" s="237"/>
      <c r="E493" s="285"/>
    </row>
    <row r="494" spans="1:5" ht="49.5">
      <c r="A494" s="280" t="str">
        <f>IF(AND(B494&lt;&gt;"",C494&lt;&gt;""),MAX($A$1:A493)+1,"")</f>
        <v/>
      </c>
      <c r="B494" s="240"/>
      <c r="C494" s="275"/>
      <c r="D494" s="232"/>
      <c r="E494" s="336" t="s">
        <v>1368</v>
      </c>
    </row>
    <row r="495" spans="1:5" ht="49.5">
      <c r="A495" s="280" t="str">
        <f>IF(AND(B495&lt;&gt;"",C495&lt;&gt;""),MAX($A$1:A494)+1,"")</f>
        <v/>
      </c>
      <c r="B495" s="299"/>
      <c r="C495" s="275"/>
      <c r="D495" s="232"/>
      <c r="E495" s="336" t="s">
        <v>1405</v>
      </c>
    </row>
    <row r="496" spans="1:5" ht="49.5">
      <c r="A496" s="280" t="str">
        <f>IF(AND(B496&lt;&gt;"",C496&lt;&gt;""),MAX($A$1:A495)+1,"")</f>
        <v/>
      </c>
      <c r="B496" s="299"/>
      <c r="C496" s="275"/>
      <c r="D496" s="232"/>
      <c r="E496" s="336" t="s">
        <v>1406</v>
      </c>
    </row>
    <row r="497" spans="1:5" ht="49.5">
      <c r="A497" s="280" t="str">
        <f>IF(AND(B497&lt;&gt;"",C497&lt;&gt;""),MAX($A$1:A496)+1,"")</f>
        <v/>
      </c>
      <c r="B497" s="260"/>
      <c r="C497" s="275"/>
      <c r="D497" s="232"/>
      <c r="E497" s="336" t="s">
        <v>1407</v>
      </c>
    </row>
    <row r="498" spans="1:5" ht="115.5">
      <c r="A498" s="280">
        <f>IF(AND(B498&lt;&gt;"",C498&lt;&gt;""),MAX($A$1:A497)+1,"")</f>
        <v>80</v>
      </c>
      <c r="B498" s="247" t="s">
        <v>934</v>
      </c>
      <c r="C498" s="276" t="s">
        <v>384</v>
      </c>
      <c r="D498" s="245"/>
      <c r="E498" s="245"/>
    </row>
    <row r="499" spans="1:5" ht="33">
      <c r="A499" s="280" t="str">
        <f>IF(AND(B499&lt;&gt;"",C499&lt;&gt;""),MAX($A$1:A498)+1,"")</f>
        <v/>
      </c>
      <c r="B499" s="260"/>
      <c r="C499" s="275"/>
      <c r="D499" s="232"/>
      <c r="E499" s="336" t="s">
        <v>1408</v>
      </c>
    </row>
    <row r="500" spans="1:5" ht="49.5">
      <c r="A500" s="280" t="str">
        <f>IF(AND(B500&lt;&gt;"",C500&lt;&gt;""),MAX($A$1:A499)+1,"")</f>
        <v/>
      </c>
      <c r="B500" s="260"/>
      <c r="C500" s="275"/>
      <c r="D500" s="232"/>
      <c r="E500" s="336" t="s">
        <v>1409</v>
      </c>
    </row>
    <row r="501" spans="1:5" ht="198">
      <c r="A501" s="314" t="s">
        <v>162</v>
      </c>
      <c r="B501" s="302" t="s">
        <v>935</v>
      </c>
      <c r="C501" s="273"/>
      <c r="D501" s="257"/>
      <c r="E501" s="257"/>
    </row>
    <row r="502" spans="1:5" ht="66">
      <c r="A502" s="280">
        <f>IF(AND(B502&lt;&gt;"",C502&lt;&gt;""),MAX($A$1:A501)+1,"")</f>
        <v>81</v>
      </c>
      <c r="B502" s="261" t="s">
        <v>385</v>
      </c>
      <c r="C502" s="276" t="s">
        <v>296</v>
      </c>
      <c r="D502" s="237"/>
      <c r="E502" s="285"/>
    </row>
    <row r="503" spans="1:5" ht="66">
      <c r="A503" s="280" t="str">
        <f>IF(AND(B503&lt;&gt;"",C503&lt;&gt;""),MAX($A$1:A502)+1,"")</f>
        <v/>
      </c>
      <c r="B503" s="260"/>
      <c r="C503" s="275"/>
      <c r="D503" s="232"/>
      <c r="E503" s="336" t="s">
        <v>1410</v>
      </c>
    </row>
    <row r="504" spans="1:5" ht="49.5">
      <c r="A504" s="280" t="str">
        <f>IF(AND(B504&lt;&gt;"",C504&lt;&gt;""),MAX($A$1:A503)+1,"")</f>
        <v/>
      </c>
      <c r="B504" s="260"/>
      <c r="C504" s="275"/>
      <c r="D504" s="232"/>
      <c r="E504" s="336" t="s">
        <v>1411</v>
      </c>
    </row>
    <row r="505" spans="1:5" ht="132">
      <c r="A505" s="280">
        <f>IF(AND(B505&lt;&gt;"",C505&lt;&gt;""),MAX($A$1:A504)+1,"")</f>
        <v>82</v>
      </c>
      <c r="B505" s="261" t="s">
        <v>936</v>
      </c>
      <c r="C505" s="276" t="s">
        <v>296</v>
      </c>
      <c r="D505" s="237"/>
      <c r="E505" s="285"/>
    </row>
    <row r="506" spans="1:5" ht="49.5">
      <c r="A506" s="280" t="str">
        <f>IF(AND(B506&lt;&gt;"",C506&lt;&gt;""),MAX($A$1:A505)+1,"")</f>
        <v/>
      </c>
      <c r="B506" s="260"/>
      <c r="C506" s="275"/>
      <c r="D506" s="232"/>
      <c r="E506" s="336" t="s">
        <v>1412</v>
      </c>
    </row>
    <row r="507" spans="1:5" ht="33">
      <c r="A507" s="280" t="str">
        <f>IF(AND(B507&lt;&gt;"",C507&lt;&gt;""),MAX($A$1:A506)+1,"")</f>
        <v/>
      </c>
      <c r="B507" s="260"/>
      <c r="C507" s="275"/>
      <c r="D507" s="232"/>
      <c r="E507" s="336" t="s">
        <v>1413</v>
      </c>
    </row>
    <row r="508" spans="1:5" ht="33">
      <c r="A508" s="280" t="str">
        <f>IF(AND(B508&lt;&gt;"",C508&lt;&gt;""),MAX($A$1:A507)+1,"")</f>
        <v/>
      </c>
      <c r="B508" s="260"/>
      <c r="C508" s="275"/>
      <c r="D508" s="232"/>
      <c r="E508" s="336" t="s">
        <v>1414</v>
      </c>
    </row>
    <row r="509" spans="1:5" ht="49.5">
      <c r="A509" s="280" t="str">
        <f>IF(AND(B509&lt;&gt;"",C509&lt;&gt;""),MAX($A$1:A508)+1,"")</f>
        <v/>
      </c>
      <c r="B509" s="299"/>
      <c r="C509" s="355"/>
      <c r="D509" s="250"/>
      <c r="E509" s="336" t="s">
        <v>1415</v>
      </c>
    </row>
    <row r="510" spans="1:5" ht="33">
      <c r="A510" s="280" t="str">
        <f>IF(AND(B510&lt;&gt;"",C510&lt;&gt;""),MAX($A$1:A509)+1,"")</f>
        <v/>
      </c>
      <c r="B510" s="299"/>
      <c r="C510" s="355"/>
      <c r="D510" s="250"/>
      <c r="E510" s="336" t="s">
        <v>1416</v>
      </c>
    </row>
    <row r="511" spans="1:5" ht="132">
      <c r="A511" s="280">
        <f>IF(AND(B511&lt;&gt;"",C511&lt;&gt;""),MAX($A$1:A510)+1,"")</f>
        <v>83</v>
      </c>
      <c r="B511" s="261" t="s">
        <v>937</v>
      </c>
      <c r="C511" s="276" t="s">
        <v>296</v>
      </c>
      <c r="D511" s="251"/>
      <c r="E511" s="285"/>
    </row>
    <row r="512" spans="1:5" ht="49.5">
      <c r="A512" s="280" t="str">
        <f>IF(AND(B512&lt;&gt;"",C512&lt;&gt;""),MAX($A$1:A511)+1,"")</f>
        <v/>
      </c>
      <c r="B512" s="299"/>
      <c r="C512" s="355"/>
      <c r="D512" s="250"/>
      <c r="E512" s="336" t="s">
        <v>1417</v>
      </c>
    </row>
    <row r="513" spans="1:5" ht="49.5">
      <c r="A513" s="280" t="str">
        <f>IF(AND(B513&lt;&gt;"",C513&lt;&gt;""),MAX($A$1:A512)+1,"")</f>
        <v/>
      </c>
      <c r="B513" s="299"/>
      <c r="C513" s="355"/>
      <c r="D513" s="249"/>
      <c r="E513" s="336" t="s">
        <v>1418</v>
      </c>
    </row>
    <row r="514" spans="1:5" ht="33">
      <c r="A514" s="280" t="str">
        <f>IF(AND(B514&lt;&gt;"",C514&lt;&gt;""),MAX($A$1:A513)+1,"")</f>
        <v/>
      </c>
      <c r="B514" s="299"/>
      <c r="C514" s="355"/>
      <c r="D514" s="249"/>
      <c r="E514" s="336" t="s">
        <v>1419</v>
      </c>
    </row>
    <row r="515" spans="1:5" ht="33">
      <c r="A515" s="280" t="str">
        <f>IF(AND(B515&lt;&gt;"",C515&lt;&gt;""),MAX($A$1:A514)+1,"")</f>
        <v/>
      </c>
      <c r="B515" s="299"/>
      <c r="C515" s="355"/>
      <c r="D515" s="249"/>
      <c r="E515" s="336" t="s">
        <v>1420</v>
      </c>
    </row>
    <row r="516" spans="1:5" ht="33">
      <c r="A516" s="280" t="str">
        <f>IF(AND(B516&lt;&gt;"",C516&lt;&gt;""),MAX($A$1:A515)+1,"")</f>
        <v/>
      </c>
      <c r="B516" s="299"/>
      <c r="C516" s="355"/>
      <c r="D516" s="249"/>
      <c r="E516" s="336" t="s">
        <v>1421</v>
      </c>
    </row>
    <row r="517" spans="1:5" ht="132">
      <c r="A517" s="280">
        <f>IF(AND(B517&lt;&gt;"",C517&lt;&gt;""),MAX($A$1:A516)+1,"")</f>
        <v>84</v>
      </c>
      <c r="B517" s="261" t="s">
        <v>938</v>
      </c>
      <c r="C517" s="276" t="s">
        <v>296</v>
      </c>
      <c r="D517" s="253"/>
      <c r="E517" s="285"/>
    </row>
    <row r="518" spans="1:5" ht="49.5">
      <c r="A518" s="280" t="str">
        <f>IF(AND(B518&lt;&gt;"",C518&lt;&gt;""),MAX($A$1:A517)+1,"")</f>
        <v/>
      </c>
      <c r="B518" s="299"/>
      <c r="C518" s="355"/>
      <c r="D518" s="249"/>
      <c r="E518" s="336" t="s">
        <v>1422</v>
      </c>
    </row>
    <row r="519" spans="1:5" ht="33">
      <c r="A519" s="280" t="str">
        <f>IF(AND(B519&lt;&gt;"",C519&lt;&gt;""),MAX($A$1:A518)+1,"")</f>
        <v/>
      </c>
      <c r="B519" s="299"/>
      <c r="C519" s="275"/>
      <c r="D519" s="232"/>
      <c r="E519" s="336" t="s">
        <v>1423</v>
      </c>
    </row>
    <row r="520" spans="1:5" ht="33">
      <c r="A520" s="280" t="str">
        <f>IF(AND(B520&lt;&gt;"",C520&lt;&gt;""),MAX($A$1:A519)+1,"")</f>
        <v/>
      </c>
      <c r="B520" s="299"/>
      <c r="C520" s="275"/>
      <c r="D520" s="233"/>
      <c r="E520" s="336" t="s">
        <v>1424</v>
      </c>
    </row>
    <row r="521" spans="1:5" ht="33">
      <c r="A521" s="280" t="str">
        <f>IF(AND(B521&lt;&gt;"",C521&lt;&gt;""),MAX($A$1:A520)+1,"")</f>
        <v/>
      </c>
      <c r="B521" s="299"/>
      <c r="C521" s="275"/>
      <c r="D521" s="233"/>
      <c r="E521" s="336" t="s">
        <v>1425</v>
      </c>
    </row>
    <row r="522" spans="1:5" ht="49.5">
      <c r="A522" s="280" t="str">
        <f>IF(AND(B522&lt;&gt;"",C522&lt;&gt;""),MAX($A$1:A521)+1,"")</f>
        <v/>
      </c>
      <c r="B522" s="299"/>
      <c r="C522" s="275"/>
      <c r="D522" s="291"/>
      <c r="E522" s="336" t="s">
        <v>1426</v>
      </c>
    </row>
    <row r="523" spans="1:5" ht="132">
      <c r="A523" s="280">
        <f>IF(AND(B523&lt;&gt;"",C523&lt;&gt;""),MAX($A$1:A522)+1,"")</f>
        <v>85</v>
      </c>
      <c r="B523" s="261" t="s">
        <v>939</v>
      </c>
      <c r="C523" s="276" t="s">
        <v>296</v>
      </c>
      <c r="D523" s="245"/>
      <c r="E523" s="245"/>
    </row>
    <row r="524" spans="1:5" ht="49.5">
      <c r="A524" s="280" t="str">
        <f>IF(AND(B524&lt;&gt;"",C524&lt;&gt;""),MAX($A$1:A523)+1,"")</f>
        <v/>
      </c>
      <c r="B524" s="299"/>
      <c r="C524" s="275"/>
      <c r="D524" s="232"/>
      <c r="E524" s="336" t="s">
        <v>1427</v>
      </c>
    </row>
    <row r="525" spans="1:5" ht="33">
      <c r="A525" s="280" t="str">
        <f>IF(AND(B525&lt;&gt;"",C525&lt;&gt;""),MAX($A$1:A524)+1,"")</f>
        <v/>
      </c>
      <c r="B525" s="299"/>
      <c r="C525" s="275"/>
      <c r="D525" s="232"/>
      <c r="E525" s="336" t="s">
        <v>1428</v>
      </c>
    </row>
    <row r="526" spans="1:5" ht="33">
      <c r="A526" s="280" t="str">
        <f>IF(AND(B526&lt;&gt;"",C526&lt;&gt;""),MAX($A$1:A525)+1,"")</f>
        <v/>
      </c>
      <c r="B526" s="299"/>
      <c r="C526" s="275"/>
      <c r="D526" s="232"/>
      <c r="E526" s="336" t="s">
        <v>1429</v>
      </c>
    </row>
    <row r="527" spans="1:5" ht="33">
      <c r="A527" s="280" t="str">
        <f>IF(AND(B527&lt;&gt;"",C527&lt;&gt;""),MAX($A$1:A526)+1,"")</f>
        <v/>
      </c>
      <c r="B527" s="260"/>
      <c r="C527" s="275"/>
      <c r="D527" s="232"/>
      <c r="E527" s="336" t="s">
        <v>1430</v>
      </c>
    </row>
    <row r="528" spans="1:5" ht="132">
      <c r="A528" s="280">
        <f>IF(AND(B528&lt;&gt;"",C528&lt;&gt;""),MAX($A$1:A527)+1,"")</f>
        <v>86</v>
      </c>
      <c r="B528" s="261" t="s">
        <v>940</v>
      </c>
      <c r="C528" s="276" t="s">
        <v>296</v>
      </c>
      <c r="D528" s="237"/>
      <c r="E528" s="285"/>
    </row>
    <row r="529" spans="1:5" ht="49.5">
      <c r="A529" s="280" t="str">
        <f>IF(AND(B529&lt;&gt;"",C529&lt;&gt;""),MAX($A$1:A528)+1,"")</f>
        <v/>
      </c>
      <c r="B529" s="260"/>
      <c r="C529" s="275"/>
      <c r="D529" s="232"/>
      <c r="E529" s="336" t="s">
        <v>1431</v>
      </c>
    </row>
    <row r="530" spans="1:5" ht="33">
      <c r="A530" s="280" t="str">
        <f>IF(AND(B530&lt;&gt;"",C530&lt;&gt;""),MAX($A$1:A529)+1,"")</f>
        <v/>
      </c>
      <c r="B530" s="299"/>
      <c r="C530" s="275"/>
      <c r="D530" s="232"/>
      <c r="E530" s="336" t="s">
        <v>1432</v>
      </c>
    </row>
    <row r="531" spans="1:5" ht="33">
      <c r="A531" s="280" t="str">
        <f>IF(AND(B531&lt;&gt;"",C531&lt;&gt;""),MAX($A$1:A530)+1,"")</f>
        <v/>
      </c>
      <c r="B531" s="299"/>
      <c r="C531" s="275"/>
      <c r="D531" s="232"/>
      <c r="E531" s="336" t="s">
        <v>1433</v>
      </c>
    </row>
    <row r="532" spans="1:5" ht="49.5">
      <c r="A532" s="280" t="str">
        <f>IF(AND(B532&lt;&gt;"",C532&lt;&gt;""),MAX($A$1:A531)+1,"")</f>
        <v/>
      </c>
      <c r="B532" s="299"/>
      <c r="C532" s="275"/>
      <c r="D532" s="232"/>
      <c r="E532" s="336" t="s">
        <v>1434</v>
      </c>
    </row>
    <row r="533" spans="1:5" ht="132">
      <c r="A533" s="280">
        <f>IF(AND(B533&lt;&gt;"",C533&lt;&gt;""),MAX($A$1:A532)+1,"")</f>
        <v>87</v>
      </c>
      <c r="B533" s="261" t="s">
        <v>941</v>
      </c>
      <c r="C533" s="276" t="s">
        <v>296</v>
      </c>
      <c r="D533" s="237"/>
      <c r="E533" s="285"/>
    </row>
    <row r="534" spans="1:5" ht="49.5">
      <c r="A534" s="280" t="str">
        <f>IF(AND(B534&lt;&gt;"",C534&lt;&gt;""),MAX($A$1:A533)+1,"")</f>
        <v/>
      </c>
      <c r="B534" s="299"/>
      <c r="C534" s="275"/>
      <c r="D534" s="232"/>
      <c r="E534" s="336" t="s">
        <v>1440</v>
      </c>
    </row>
    <row r="535" spans="1:5" ht="33">
      <c r="A535" s="280" t="str">
        <f>IF(AND(B535&lt;&gt;"",C535&lt;&gt;""),MAX($A$1:A534)+1,"")</f>
        <v/>
      </c>
      <c r="B535" s="299"/>
      <c r="C535" s="275"/>
      <c r="D535" s="233"/>
      <c r="E535" s="336" t="s">
        <v>1441</v>
      </c>
    </row>
    <row r="536" spans="1:5" ht="33">
      <c r="A536" s="280" t="str">
        <f>IF(AND(B536&lt;&gt;"",C536&lt;&gt;""),MAX($A$1:A535)+1,"")</f>
        <v/>
      </c>
      <c r="B536" s="260"/>
      <c r="C536" s="275"/>
      <c r="D536" s="232"/>
      <c r="E536" s="336" t="s">
        <v>1442</v>
      </c>
    </row>
    <row r="537" spans="1:5" ht="49.5">
      <c r="A537" s="280" t="str">
        <f>IF(AND(B537&lt;&gt;"",C537&lt;&gt;""),MAX($A$1:A536)+1,"")</f>
        <v/>
      </c>
      <c r="B537" s="260"/>
      <c r="C537" s="275"/>
      <c r="D537" s="232"/>
      <c r="E537" s="336" t="s">
        <v>1443</v>
      </c>
    </row>
    <row r="538" spans="1:5" ht="132">
      <c r="A538" s="280">
        <f>IF(AND(B538&lt;&gt;"",C538&lt;&gt;""),MAX($A$1:A537)+1,"")</f>
        <v>88</v>
      </c>
      <c r="B538" s="261" t="s">
        <v>942</v>
      </c>
      <c r="C538" s="276" t="s">
        <v>296</v>
      </c>
      <c r="D538" s="245"/>
      <c r="E538" s="285"/>
    </row>
    <row r="539" spans="1:5" ht="33">
      <c r="A539" s="280" t="str">
        <f>IF(AND(B539&lt;&gt;"",C539&lt;&gt;""),MAX($A$1:A538)+1,"")</f>
        <v/>
      </c>
      <c r="B539" s="299"/>
      <c r="C539" s="357"/>
      <c r="D539" s="233"/>
      <c r="E539" s="336" t="s">
        <v>1435</v>
      </c>
    </row>
    <row r="540" spans="1:5" ht="33">
      <c r="A540" s="280" t="str">
        <f>IF(AND(B540&lt;&gt;"",C540&lt;&gt;""),MAX($A$1:A539)+1,"")</f>
        <v/>
      </c>
      <c r="B540" s="299"/>
      <c r="C540" s="357"/>
      <c r="D540" s="233"/>
      <c r="E540" s="336" t="s">
        <v>1444</v>
      </c>
    </row>
    <row r="541" spans="1:5" ht="148.5">
      <c r="A541" s="280">
        <f>IF(AND(B541&lt;&gt;"",C541&lt;&gt;""),MAX($A$1:A540)+1,"")</f>
        <v>89</v>
      </c>
      <c r="B541" s="261" t="s">
        <v>943</v>
      </c>
      <c r="C541" s="276" t="s">
        <v>296</v>
      </c>
      <c r="D541" s="237"/>
      <c r="E541" s="285"/>
    </row>
    <row r="542" spans="1:5" ht="33">
      <c r="A542" s="280" t="str">
        <f>IF(AND(B542&lt;&gt;"",C542&lt;&gt;""),MAX($A$1:A541)+1,"")</f>
        <v/>
      </c>
      <c r="B542" s="299"/>
      <c r="C542" s="357"/>
      <c r="D542" s="232"/>
      <c r="E542" s="336" t="s">
        <v>1436</v>
      </c>
    </row>
    <row r="543" spans="1:5" ht="49.5">
      <c r="A543" s="280" t="str">
        <f>IF(AND(B543&lt;&gt;"",C543&lt;&gt;""),MAX($A$1:A542)+1,"")</f>
        <v/>
      </c>
      <c r="B543" s="260"/>
      <c r="C543" s="275"/>
      <c r="D543" s="232"/>
      <c r="E543" s="336" t="s">
        <v>1446</v>
      </c>
    </row>
    <row r="544" spans="1:5" ht="49.5">
      <c r="A544" s="280" t="str">
        <f>IF(AND(B544&lt;&gt;"",C544&lt;&gt;""),MAX($A$1:A543)+1,"")</f>
        <v/>
      </c>
      <c r="B544" s="260"/>
      <c r="C544" s="275"/>
      <c r="D544" s="232"/>
      <c r="E544" s="336" t="s">
        <v>1447</v>
      </c>
    </row>
    <row r="545" spans="1:5" ht="49.5">
      <c r="A545" s="280" t="str">
        <f>IF(AND(B545&lt;&gt;"",C545&lt;&gt;""),MAX($A$1:A544)+1,"")</f>
        <v/>
      </c>
      <c r="B545" s="260"/>
      <c r="C545" s="275"/>
      <c r="D545" s="233"/>
      <c r="E545" s="336" t="s">
        <v>1448</v>
      </c>
    </row>
    <row r="546" spans="1:5" ht="148.5">
      <c r="A546" s="280">
        <f>IF(AND(B546&lt;&gt;"",C546&lt;&gt;""),MAX($A$1:A545)+1,"")</f>
        <v>90</v>
      </c>
      <c r="B546" s="261" t="s">
        <v>944</v>
      </c>
      <c r="C546" s="276" t="s">
        <v>296</v>
      </c>
      <c r="D546" s="245"/>
      <c r="E546" s="285"/>
    </row>
    <row r="547" spans="1:5" ht="33">
      <c r="A547" s="280" t="str">
        <f>IF(AND(B547&lt;&gt;"",C547&lt;&gt;""),MAX($A$1:A546)+1,"")</f>
        <v/>
      </c>
      <c r="B547" s="260"/>
      <c r="C547" s="275"/>
      <c r="D547" s="233"/>
      <c r="E547" s="336" t="s">
        <v>1437</v>
      </c>
    </row>
    <row r="548" spans="1:5" ht="49.5">
      <c r="A548" s="280" t="str">
        <f>IF(AND(B548&lt;&gt;"",C548&lt;&gt;""),MAX($A$1:A547)+1,"")</f>
        <v/>
      </c>
      <c r="B548" s="260"/>
      <c r="C548" s="275"/>
      <c r="D548" s="233"/>
      <c r="E548" s="336" t="s">
        <v>1450</v>
      </c>
    </row>
    <row r="549" spans="1:5" ht="49.5">
      <c r="A549" s="280" t="str">
        <f>IF(AND(B549&lt;&gt;"",C549&lt;&gt;""),MAX($A$1:A548)+1,"")</f>
        <v/>
      </c>
      <c r="B549" s="260"/>
      <c r="C549" s="355"/>
      <c r="D549" s="250"/>
      <c r="E549" s="336" t="s">
        <v>1451</v>
      </c>
    </row>
    <row r="550" spans="1:5" ht="49.5">
      <c r="A550" s="280" t="str">
        <f>IF(AND(B550&lt;&gt;"",C550&lt;&gt;""),MAX($A$1:A549)+1,"")</f>
        <v/>
      </c>
      <c r="B550" s="299"/>
      <c r="C550" s="355"/>
      <c r="D550" s="250"/>
      <c r="E550" s="336" t="s">
        <v>1452</v>
      </c>
    </row>
    <row r="551" spans="1:5" ht="165">
      <c r="A551" s="280">
        <f>IF(AND(B551&lt;&gt;"",C551&lt;&gt;""),MAX($A$1:A550)+1,"")</f>
        <v>91</v>
      </c>
      <c r="B551" s="261" t="s">
        <v>945</v>
      </c>
      <c r="C551" s="276" t="s">
        <v>296</v>
      </c>
      <c r="D551" s="237"/>
      <c r="E551" s="285"/>
    </row>
    <row r="552" spans="1:5" ht="49.5">
      <c r="A552" s="280" t="str">
        <f>IF(AND(B552&lt;&gt;"",C552&lt;&gt;""),MAX($A$1:A551)+1,"")</f>
        <v/>
      </c>
      <c r="B552" s="299"/>
      <c r="C552" s="275"/>
      <c r="D552" s="232"/>
      <c r="E552" s="336" t="s">
        <v>1438</v>
      </c>
    </row>
    <row r="553" spans="1:5" ht="49.5">
      <c r="A553" s="280" t="str">
        <f>IF(AND(B553&lt;&gt;"",C553&lt;&gt;""),MAX($A$1:A552)+1,"")</f>
        <v/>
      </c>
      <c r="B553" s="299"/>
      <c r="C553" s="275"/>
      <c r="D553" s="232"/>
      <c r="E553" s="336" t="s">
        <v>1455</v>
      </c>
    </row>
    <row r="554" spans="1:5" ht="49.5">
      <c r="A554" s="280" t="str">
        <f>IF(AND(B554&lt;&gt;"",C554&lt;&gt;""),MAX($A$1:A553)+1,"")</f>
        <v/>
      </c>
      <c r="B554" s="299"/>
      <c r="C554" s="275"/>
      <c r="D554" s="232"/>
      <c r="E554" s="336" t="s">
        <v>1453</v>
      </c>
    </row>
    <row r="555" spans="1:5" ht="49.5">
      <c r="A555" s="280" t="str">
        <f>IF(AND(B555&lt;&gt;"",C555&lt;&gt;""),MAX($A$1:A554)+1,"")</f>
        <v/>
      </c>
      <c r="B555" s="299"/>
      <c r="C555" s="275"/>
      <c r="D555" s="233"/>
      <c r="E555" s="336" t="s">
        <v>1454</v>
      </c>
    </row>
    <row r="556" spans="1:5" ht="165">
      <c r="A556" s="280">
        <f>IF(AND(B556&lt;&gt;"",C556&lt;&gt;""),MAX($A$1:A555)+1,"")</f>
        <v>92</v>
      </c>
      <c r="B556" s="261" t="s">
        <v>946</v>
      </c>
      <c r="C556" s="276" t="s">
        <v>296</v>
      </c>
      <c r="D556" s="245"/>
      <c r="E556" s="285"/>
    </row>
    <row r="557" spans="1:5" ht="49.5">
      <c r="A557" s="280" t="str">
        <f>IF(AND(B557&lt;&gt;"",C557&lt;&gt;""),MAX($A$1:A556)+1,"")</f>
        <v/>
      </c>
      <c r="B557" s="299"/>
      <c r="C557" s="275"/>
      <c r="D557" s="233"/>
      <c r="E557" s="336" t="s">
        <v>1439</v>
      </c>
    </row>
    <row r="558" spans="1:5" ht="49.5">
      <c r="A558" s="280" t="str">
        <f>IF(AND(B558&lt;&gt;"",C558&lt;&gt;""),MAX($A$1:A557)+1,"")</f>
        <v/>
      </c>
      <c r="B558" s="299"/>
      <c r="C558" s="275"/>
      <c r="D558" s="233"/>
      <c r="E558" s="336" t="s">
        <v>1456</v>
      </c>
    </row>
    <row r="559" spans="1:5" ht="49.5">
      <c r="A559" s="280" t="str">
        <f>IF(AND(B559&lt;&gt;"",C559&lt;&gt;""),MAX($A$1:A558)+1,"")</f>
        <v/>
      </c>
      <c r="B559" s="299"/>
      <c r="C559" s="275"/>
      <c r="D559" s="232"/>
      <c r="E559" s="336" t="s">
        <v>1457</v>
      </c>
    </row>
    <row r="560" spans="1:5" ht="49.5">
      <c r="A560" s="280" t="str">
        <f>IF(AND(B560&lt;&gt;"",C560&lt;&gt;""),MAX($A$1:A559)+1,"")</f>
        <v/>
      </c>
      <c r="B560" s="299"/>
      <c r="C560" s="275"/>
      <c r="D560" s="232"/>
      <c r="E560" s="336" t="s">
        <v>1458</v>
      </c>
    </row>
    <row r="561" spans="1:5" ht="132">
      <c r="A561" s="280">
        <f>IF(AND(B561&lt;&gt;"",C561&lt;&gt;""),MAX($A$1:A560)+1,"")</f>
        <v>93</v>
      </c>
      <c r="B561" s="261" t="s">
        <v>947</v>
      </c>
      <c r="C561" s="276" t="s">
        <v>296</v>
      </c>
      <c r="D561" s="237"/>
      <c r="E561" s="285"/>
    </row>
    <row r="562" spans="1:5" ht="33">
      <c r="A562" s="280" t="str">
        <f>IF(AND(B562&lt;&gt;"",C562&lt;&gt;""),MAX($A$1:A561)+1,"")</f>
        <v/>
      </c>
      <c r="B562" s="260"/>
      <c r="C562" s="275"/>
      <c r="D562" s="292"/>
      <c r="E562" s="336" t="s">
        <v>1459</v>
      </c>
    </row>
    <row r="563" spans="1:5" ht="49.5">
      <c r="A563" s="280" t="str">
        <f>IF(AND(B563&lt;&gt;"",C563&lt;&gt;""),MAX($A$1:A562)+1,"")</f>
        <v/>
      </c>
      <c r="B563" s="260"/>
      <c r="C563" s="275"/>
      <c r="D563" s="232"/>
      <c r="E563" s="336" t="s">
        <v>1460</v>
      </c>
    </row>
    <row r="564" spans="1:5" ht="33">
      <c r="A564" s="314" t="s">
        <v>756</v>
      </c>
      <c r="B564" s="302" t="s">
        <v>710</v>
      </c>
      <c r="C564" s="273"/>
      <c r="D564" s="257"/>
      <c r="E564" s="257"/>
    </row>
    <row r="565" spans="1:5" ht="66">
      <c r="A565" s="280">
        <f>IF(AND(B565&lt;&gt;"",C565&lt;&gt;""),MAX($A$1:A564)+1,"")</f>
        <v>94</v>
      </c>
      <c r="B565" s="261" t="s">
        <v>297</v>
      </c>
      <c r="C565" s="276" t="s">
        <v>298</v>
      </c>
      <c r="D565" s="293"/>
      <c r="E565" s="285"/>
    </row>
    <row r="566" spans="1:5" ht="49.5">
      <c r="A566" s="280" t="str">
        <f>IF(AND(B566&lt;&gt;"",C566&lt;&gt;""),MAX($A$1:A565)+1,"")</f>
        <v/>
      </c>
      <c r="B566" s="260"/>
      <c r="C566" s="275"/>
      <c r="D566" s="291"/>
      <c r="E566" s="336" t="s">
        <v>392</v>
      </c>
    </row>
    <row r="567" spans="1:5" s="274" customFormat="1" ht="49.5">
      <c r="A567" s="280" t="str">
        <f>IF(AND(B567&lt;&gt;"",C567&lt;&gt;""),MAX($A$1:A566)+1,"")</f>
        <v/>
      </c>
      <c r="B567" s="260"/>
      <c r="C567" s="275"/>
      <c r="D567" s="233"/>
      <c r="E567" s="336" t="s">
        <v>393</v>
      </c>
    </row>
    <row r="568" spans="1:5" ht="33">
      <c r="A568" s="280" t="str">
        <f>IF(AND(B568&lt;&gt;"",C568&lt;&gt;""),MAX($A$1:A567)+1,"")</f>
        <v/>
      </c>
      <c r="B568" s="260"/>
      <c r="C568" s="275"/>
      <c r="D568" s="233"/>
      <c r="E568" s="336" t="s">
        <v>394</v>
      </c>
    </row>
    <row r="569" spans="1:5" ht="49.5">
      <c r="A569" s="280" t="str">
        <f>IF(AND(B569&lt;&gt;"",C569&lt;&gt;""),MAX($A$1:A568)+1,"")</f>
        <v/>
      </c>
      <c r="B569" s="299"/>
      <c r="C569" s="275"/>
      <c r="D569" s="233"/>
      <c r="E569" s="336" t="s">
        <v>1461</v>
      </c>
    </row>
    <row r="570" spans="1:5" ht="49.5">
      <c r="A570" s="280" t="str">
        <f>IF(AND(B570&lt;&gt;"",C570&lt;&gt;""),MAX($A$1:A569)+1,"")</f>
        <v/>
      </c>
      <c r="B570" s="299"/>
      <c r="C570" s="355"/>
      <c r="D570" s="250"/>
      <c r="E570" s="336" t="s">
        <v>1462</v>
      </c>
    </row>
    <row r="571" spans="1:5" ht="49.5">
      <c r="A571" s="280" t="str">
        <f>IF(AND(B571&lt;&gt;"",C571&lt;&gt;""),MAX($A$1:A570)+1,"")</f>
        <v/>
      </c>
      <c r="B571" s="299"/>
      <c r="C571" s="355"/>
      <c r="D571" s="250"/>
      <c r="E571" s="336" t="s">
        <v>395</v>
      </c>
    </row>
    <row r="572" spans="1:5" ht="33">
      <c r="A572" s="280">
        <f>IF(AND(B572&lt;&gt;"",C572&lt;&gt;""),MAX($A$1:A571)+1,"")</f>
        <v>95</v>
      </c>
      <c r="B572" s="335" t="s">
        <v>1061</v>
      </c>
      <c r="C572" s="358" t="s">
        <v>382</v>
      </c>
      <c r="D572" s="148"/>
      <c r="E572" s="342"/>
    </row>
    <row r="573" spans="1:5" ht="33">
      <c r="A573" s="280"/>
      <c r="B573" s="332"/>
      <c r="C573" s="333"/>
      <c r="D573" s="334"/>
      <c r="E573" s="343" t="s">
        <v>1108</v>
      </c>
    </row>
    <row r="574" spans="1:5" ht="33">
      <c r="A574" s="280"/>
      <c r="B574" s="332"/>
      <c r="C574" s="333"/>
      <c r="D574" s="334"/>
      <c r="E574" s="339" t="s">
        <v>1063</v>
      </c>
    </row>
    <row r="575" spans="1:5" ht="66">
      <c r="A575" s="280">
        <f>IF(AND(B575&lt;&gt;"",C575&lt;&gt;""),MAX($A$1:A574)+1,"")</f>
        <v>96</v>
      </c>
      <c r="B575" s="261" t="s">
        <v>299</v>
      </c>
      <c r="C575" s="276" t="s">
        <v>298</v>
      </c>
      <c r="D575" s="251"/>
      <c r="E575" s="285"/>
    </row>
    <row r="576" spans="1:5" ht="66">
      <c r="A576" s="280" t="str">
        <f>IF(AND(B576&lt;&gt;"",C576&lt;&gt;""),MAX($A$1:A575)+1,"")</f>
        <v/>
      </c>
      <c r="B576" s="299"/>
      <c r="C576" s="355"/>
      <c r="D576" s="250"/>
      <c r="E576" s="336" t="s">
        <v>396</v>
      </c>
    </row>
    <row r="577" spans="1:5" ht="49.5">
      <c r="A577" s="280" t="str">
        <f>IF(AND(B577&lt;&gt;"",C577&lt;&gt;""),MAX($A$1:A576)+1,"")</f>
        <v/>
      </c>
      <c r="B577" s="299"/>
      <c r="C577" s="355"/>
      <c r="D577" s="249"/>
      <c r="E577" s="336" t="s">
        <v>397</v>
      </c>
    </row>
    <row r="578" spans="1:5" ht="49.5">
      <c r="A578" s="280" t="str">
        <f>IF(AND(B578&lt;&gt;"",C578&lt;&gt;""),MAX($A$1:A577)+1,"")</f>
        <v/>
      </c>
      <c r="B578" s="299"/>
      <c r="C578" s="355"/>
      <c r="D578" s="249"/>
      <c r="E578" s="336" t="s">
        <v>398</v>
      </c>
    </row>
    <row r="579" spans="1:5" ht="33">
      <c r="A579" s="280" t="str">
        <f>IF(AND(B579&lt;&gt;"",C579&lt;&gt;""),MAX($A$1:A578)+1,"")</f>
        <v/>
      </c>
      <c r="B579" s="299"/>
      <c r="C579" s="355"/>
      <c r="D579" s="249"/>
      <c r="E579" s="309" t="s">
        <v>1463</v>
      </c>
    </row>
    <row r="580" spans="1:5" ht="49.5">
      <c r="A580" s="280" t="str">
        <f>IF(AND(B580&lt;&gt;"",C580&lt;&gt;""),MAX($A$1:A579)+1,"")</f>
        <v/>
      </c>
      <c r="B580" s="299"/>
      <c r="C580" s="275"/>
      <c r="D580" s="232"/>
      <c r="E580" s="336" t="s">
        <v>399</v>
      </c>
    </row>
    <row r="581" spans="1:5" ht="49.5">
      <c r="A581" s="280" t="str">
        <f>IF(AND(B581&lt;&gt;"",C581&lt;&gt;""),MAX($A$1:A580)+1,"")</f>
        <v/>
      </c>
      <c r="B581" s="299"/>
      <c r="C581" s="275"/>
      <c r="D581" s="232"/>
      <c r="E581" s="336" t="s">
        <v>400</v>
      </c>
    </row>
    <row r="582" spans="1:5" ht="66">
      <c r="A582" s="280">
        <f>IF(AND(B582&lt;&gt;"",C582&lt;&gt;""),MAX($A$1:A581)+1,"")</f>
        <v>97</v>
      </c>
      <c r="B582" s="261" t="s">
        <v>300</v>
      </c>
      <c r="C582" s="276" t="s">
        <v>298</v>
      </c>
      <c r="D582" s="237"/>
      <c r="E582" s="285"/>
    </row>
    <row r="583" spans="1:5" ht="49.5">
      <c r="A583" s="280" t="str">
        <f>IF(AND(B583&lt;&gt;"",C583&lt;&gt;""),MAX($A$1:A582)+1,"")</f>
        <v/>
      </c>
      <c r="B583" s="260"/>
      <c r="C583" s="275"/>
      <c r="D583" s="232"/>
      <c r="E583" s="336" t="s">
        <v>401</v>
      </c>
    </row>
    <row r="584" spans="1:5" ht="49.5">
      <c r="A584" s="280" t="str">
        <f>IF(AND(B584&lt;&gt;"",C584&lt;&gt;""),MAX($A$1:A583)+1,"")</f>
        <v/>
      </c>
      <c r="B584" s="260"/>
      <c r="C584" s="275"/>
      <c r="D584" s="232"/>
      <c r="E584" s="336" t="s">
        <v>402</v>
      </c>
    </row>
    <row r="585" spans="1:5" ht="49.5">
      <c r="A585" s="280" t="str">
        <f>IF(AND(B585&lt;&gt;"",C585&lt;&gt;""),MAX($A$1:A584)+1,"")</f>
        <v/>
      </c>
      <c r="B585" s="299"/>
      <c r="C585" s="275"/>
      <c r="D585" s="233"/>
      <c r="E585" s="336" t="s">
        <v>403</v>
      </c>
    </row>
    <row r="586" spans="1:5" ht="49.5">
      <c r="A586" s="280" t="str">
        <f>IF(AND(B586&lt;&gt;"",C586&lt;&gt;""),MAX($A$1:A585)+1,"")</f>
        <v/>
      </c>
      <c r="B586" s="299"/>
      <c r="C586" s="275"/>
      <c r="D586" s="232"/>
      <c r="E586" s="336" t="s">
        <v>404</v>
      </c>
    </row>
    <row r="587" spans="1:5" ht="49.5">
      <c r="A587" s="280" t="str">
        <f>IF(AND(B587&lt;&gt;"",C587&lt;&gt;""),MAX($A$1:A586)+1,"")</f>
        <v/>
      </c>
      <c r="B587" s="299"/>
      <c r="C587" s="275"/>
      <c r="D587" s="232"/>
      <c r="E587" s="336" t="s">
        <v>405</v>
      </c>
    </row>
    <row r="588" spans="1:5" ht="49.5">
      <c r="A588" s="280" t="str">
        <f>IF(AND(B588&lt;&gt;"",C588&lt;&gt;""),MAX($A$1:A587)+1,"")</f>
        <v/>
      </c>
      <c r="B588" s="299"/>
      <c r="C588" s="275"/>
      <c r="D588" s="232"/>
      <c r="E588" s="336" t="s">
        <v>406</v>
      </c>
    </row>
    <row r="589" spans="1:5" ht="66">
      <c r="A589" s="280">
        <f>IF(AND(B589&lt;&gt;"",C589&lt;&gt;""),MAX($A$1:A586)+1,"")</f>
        <v>98</v>
      </c>
      <c r="B589" s="285" t="s">
        <v>714</v>
      </c>
      <c r="C589" s="247" t="s">
        <v>255</v>
      </c>
      <c r="D589" s="285"/>
      <c r="E589" s="336"/>
    </row>
    <row r="590" spans="1:5" ht="49.5">
      <c r="A590" s="280" t="str">
        <f>IF(AND(B590&lt;&gt;"",C590&lt;&gt;""),MAX($A$1:A589)+1,"")</f>
        <v/>
      </c>
      <c r="B590" s="285"/>
      <c r="C590" s="247"/>
      <c r="D590" s="285"/>
      <c r="E590" s="336" t="s">
        <v>1070</v>
      </c>
    </row>
    <row r="591" spans="1:5" ht="49.5">
      <c r="A591" s="280" t="str">
        <f>IF(AND(B591&lt;&gt;"",C591&lt;&gt;""),MAX($A$1:A590)+1,"")</f>
        <v/>
      </c>
      <c r="B591" s="285"/>
      <c r="C591" s="247"/>
      <c r="D591" s="285"/>
      <c r="E591" s="336" t="s">
        <v>1069</v>
      </c>
    </row>
    <row r="592" spans="1:5" ht="49.5">
      <c r="A592" s="280" t="str">
        <f>IF(AND(B592&lt;&gt;"",C592&lt;&gt;""),MAX($A$1:A591)+1,"")</f>
        <v/>
      </c>
      <c r="B592" s="285"/>
      <c r="C592" s="247"/>
      <c r="D592" s="285"/>
      <c r="E592" s="336" t="s">
        <v>1071</v>
      </c>
    </row>
    <row r="593" spans="1:5" ht="49.5">
      <c r="A593" s="280" t="str">
        <f>IF(AND(B593&lt;&gt;"",C593&lt;&gt;""),MAX($A$1:A592)+1,"")</f>
        <v/>
      </c>
      <c r="B593" s="285"/>
      <c r="C593" s="247"/>
      <c r="D593" s="285"/>
      <c r="E593" s="336" t="s">
        <v>1072</v>
      </c>
    </row>
    <row r="594" spans="1:5" ht="49.5">
      <c r="A594" s="280" t="str">
        <f>IF(AND(B594&lt;&gt;"",C594&lt;&gt;""),MAX($A$1:A593)+1,"")</f>
        <v/>
      </c>
      <c r="B594" s="285"/>
      <c r="C594" s="247"/>
      <c r="D594" s="285"/>
      <c r="E594" s="336" t="s">
        <v>1073</v>
      </c>
    </row>
    <row r="595" spans="1:5" ht="49.5">
      <c r="A595" s="280" t="str">
        <f>IF(AND(B595&lt;&gt;"",C595&lt;&gt;""),MAX($A$1:A594)+1,"")</f>
        <v/>
      </c>
      <c r="B595" s="285"/>
      <c r="C595" s="247"/>
      <c r="D595" s="285"/>
      <c r="E595" s="336" t="s">
        <v>1084</v>
      </c>
    </row>
    <row r="596" spans="1:5" ht="33">
      <c r="A596" s="280" t="str">
        <f>IF(AND(B596&lt;&gt;"",C596&lt;&gt;""),MAX($A$1:A595)+1,"")</f>
        <v/>
      </c>
      <c r="B596" s="285"/>
      <c r="C596" s="247"/>
      <c r="D596" s="285"/>
      <c r="E596" s="336" t="s">
        <v>1163</v>
      </c>
    </row>
    <row r="597" spans="1:5" ht="49.5">
      <c r="A597" s="280" t="str">
        <f>IF(AND(B597&lt;&gt;"",C597&lt;&gt;""),MAX($A$1:A596)+1,"")</f>
        <v/>
      </c>
      <c r="B597" s="285"/>
      <c r="C597" s="247"/>
      <c r="D597" s="285"/>
      <c r="E597" s="336" t="s">
        <v>1074</v>
      </c>
    </row>
    <row r="598" spans="1:5" ht="66">
      <c r="A598" s="280">
        <f>IF(AND(B598&lt;&gt;"",C598&lt;&gt;""),MAX($A$1:A597)+1,"")</f>
        <v>99</v>
      </c>
      <c r="B598" s="285" t="s">
        <v>729</v>
      </c>
      <c r="C598" s="247" t="s">
        <v>995</v>
      </c>
      <c r="D598" s="285"/>
      <c r="E598" s="336"/>
    </row>
    <row r="599" spans="1:5" ht="66">
      <c r="A599" s="280" t="str">
        <f>IF(AND(B599&lt;&gt;"",C599&lt;&gt;""),MAX($A$1:A598)+1,"")</f>
        <v/>
      </c>
      <c r="B599" s="285"/>
      <c r="C599" s="247"/>
      <c r="D599" s="371"/>
      <c r="E599" s="336" t="s">
        <v>1464</v>
      </c>
    </row>
    <row r="600" spans="1:5" ht="66">
      <c r="A600" s="280" t="str">
        <f>IF(AND(B600&lt;&gt;"",C600&lt;&gt;""),MAX($A$1:A599)+1,"")</f>
        <v/>
      </c>
      <c r="B600" s="285"/>
      <c r="C600" s="247"/>
      <c r="D600" s="285"/>
      <c r="E600" s="336" t="s">
        <v>1502</v>
      </c>
    </row>
    <row r="601" spans="1:5" ht="82.5">
      <c r="A601" s="280" t="str">
        <f>IF(AND(B601&lt;&gt;"",C601&lt;&gt;""),MAX($A$1:A600)+1,"")</f>
        <v/>
      </c>
      <c r="B601" s="285"/>
      <c r="C601" s="247"/>
      <c r="D601" s="285"/>
      <c r="E601" s="336" t="s">
        <v>1503</v>
      </c>
    </row>
    <row r="602" spans="1:5" ht="82.5">
      <c r="A602" s="280" t="str">
        <f>IF(AND(B602&lt;&gt;"",C602&lt;&gt;""),MAX($A$1:A601)+1,"")</f>
        <v/>
      </c>
      <c r="B602" s="285"/>
      <c r="C602" s="247"/>
      <c r="D602" s="285"/>
      <c r="E602" s="336" t="s">
        <v>1504</v>
      </c>
    </row>
    <row r="603" spans="1:5" ht="82.5">
      <c r="A603" s="280" t="str">
        <f>IF(AND(B603&lt;&gt;"",C603&lt;&gt;""),MAX($A$1:A602)+1,"")</f>
        <v/>
      </c>
      <c r="B603" s="285"/>
      <c r="C603" s="247"/>
      <c r="D603" s="285"/>
      <c r="E603" s="336" t="s">
        <v>1465</v>
      </c>
    </row>
    <row r="604" spans="1:5" ht="82.5">
      <c r="A604" s="280" t="str">
        <f>IF(AND(B604&lt;&gt;"",C604&lt;&gt;""),MAX($A$1:A603)+1,"")</f>
        <v/>
      </c>
      <c r="B604" s="285"/>
      <c r="C604" s="247"/>
      <c r="D604" s="285"/>
      <c r="E604" s="336" t="s">
        <v>1505</v>
      </c>
    </row>
    <row r="605" spans="1:5" ht="66">
      <c r="A605" s="280" t="str">
        <f>IF(AND(B605&lt;&gt;"",C605&lt;&gt;""),MAX($A$1:A604)+1,"")</f>
        <v/>
      </c>
      <c r="B605" s="285"/>
      <c r="C605" s="247"/>
      <c r="D605" s="285"/>
      <c r="E605" s="336" t="s">
        <v>1506</v>
      </c>
    </row>
    <row r="606" spans="1:5" ht="66">
      <c r="A606" s="280" t="str">
        <f>IF(AND(B606&lt;&gt;"",C606&lt;&gt;""),MAX($A$1:A605)+1,"")</f>
        <v/>
      </c>
      <c r="B606" s="285"/>
      <c r="C606" s="247"/>
      <c r="D606" s="285"/>
      <c r="E606" s="336" t="s">
        <v>1466</v>
      </c>
    </row>
    <row r="607" spans="1:5" ht="66">
      <c r="A607" s="280">
        <f>IF(AND(B607&lt;&gt;"",C607&lt;&gt;""),MAX($A$1:A606)+1,"")</f>
        <v>100</v>
      </c>
      <c r="B607" s="285" t="s">
        <v>730</v>
      </c>
      <c r="C607" s="247" t="s">
        <v>995</v>
      </c>
      <c r="D607" s="285"/>
      <c r="E607" s="336"/>
    </row>
    <row r="608" spans="1:5" ht="66">
      <c r="A608" s="280" t="str">
        <f>IF(AND(B608&lt;&gt;"",C608&lt;&gt;""),MAX($A$1:A607)+1,"")</f>
        <v/>
      </c>
      <c r="B608" s="285"/>
      <c r="C608" s="247"/>
      <c r="D608" s="285"/>
      <c r="E608" s="336" t="s">
        <v>1467</v>
      </c>
    </row>
    <row r="609" spans="1:5" ht="66">
      <c r="A609" s="280" t="str">
        <f>IF(AND(B609&lt;&gt;"",C609&lt;&gt;""),MAX($A$1:A608)+1,"")</f>
        <v/>
      </c>
      <c r="B609" s="285"/>
      <c r="C609" s="247"/>
      <c r="D609" s="285"/>
      <c r="E609" s="336" t="s">
        <v>1507</v>
      </c>
    </row>
    <row r="610" spans="1:5" ht="82.5">
      <c r="A610" s="280" t="str">
        <f>IF(AND(B610&lt;&gt;"",C610&lt;&gt;""),MAX($A$1:A609)+1,"")</f>
        <v/>
      </c>
      <c r="B610" s="285"/>
      <c r="C610" s="247"/>
      <c r="D610" s="285"/>
      <c r="E610" s="336" t="s">
        <v>1508</v>
      </c>
    </row>
    <row r="611" spans="1:5" ht="66">
      <c r="A611" s="280" t="str">
        <f>IF(AND(B611&lt;&gt;"",C611&lt;&gt;""),MAX($A$1:A610)+1,"")</f>
        <v/>
      </c>
      <c r="B611" s="285"/>
      <c r="C611" s="247"/>
      <c r="D611" s="285"/>
      <c r="E611" s="336" t="s">
        <v>1509</v>
      </c>
    </row>
    <row r="612" spans="1:5" ht="66">
      <c r="A612" s="280" t="str">
        <f>IF(AND(B612&lt;&gt;"",C612&lt;&gt;""),MAX($A$1:A611)+1,"")</f>
        <v/>
      </c>
      <c r="B612" s="285"/>
      <c r="C612" s="247"/>
      <c r="D612" s="285"/>
      <c r="E612" s="336" t="s">
        <v>1468</v>
      </c>
    </row>
    <row r="613" spans="1:5" ht="66">
      <c r="A613" s="280" t="str">
        <f>IF(AND(B613&lt;&gt;"",C613&lt;&gt;""),MAX($A$1:A612)+1,"")</f>
        <v/>
      </c>
      <c r="B613" s="285"/>
      <c r="C613" s="247"/>
      <c r="D613" s="285"/>
      <c r="E613" s="336" t="s">
        <v>1469</v>
      </c>
    </row>
    <row r="614" spans="1:5" ht="66">
      <c r="A614" s="280" t="str">
        <f>IF(AND(B614&lt;&gt;"",C614&lt;&gt;""),MAX($A$1:A613)+1,"")</f>
        <v/>
      </c>
      <c r="B614" s="285"/>
      <c r="C614" s="247"/>
      <c r="D614" s="285"/>
      <c r="E614" s="336" t="s">
        <v>1470</v>
      </c>
    </row>
    <row r="615" spans="1:5" ht="66">
      <c r="A615" s="280" t="str">
        <f>IF(AND(B615&lt;&gt;"",C615&lt;&gt;""),MAX($A$1:A614)+1,"")</f>
        <v/>
      </c>
      <c r="B615" s="285"/>
      <c r="C615" s="247"/>
      <c r="D615" s="285"/>
      <c r="E615" s="336" t="s">
        <v>1471</v>
      </c>
    </row>
    <row r="616" spans="1:5" ht="66">
      <c r="A616" s="280">
        <f>IF(AND(B616&lt;&gt;"",C616&lt;&gt;""),MAX($A$1:A615)+1,"")</f>
        <v>101</v>
      </c>
      <c r="B616" s="285" t="s">
        <v>731</v>
      </c>
      <c r="C616" s="247" t="s">
        <v>995</v>
      </c>
      <c r="D616" s="285"/>
      <c r="E616" s="336"/>
    </row>
    <row r="617" spans="1:5" ht="66">
      <c r="A617" s="280" t="str">
        <f>IF(AND(B617&lt;&gt;"",C617&lt;&gt;""),MAX($A$1:A616)+1,"")</f>
        <v/>
      </c>
      <c r="B617" s="285"/>
      <c r="C617" s="247"/>
      <c r="D617" s="285"/>
      <c r="E617" s="336" t="s">
        <v>1472</v>
      </c>
    </row>
    <row r="618" spans="1:5" ht="66">
      <c r="A618" s="280" t="str">
        <f>IF(AND(B618&lt;&gt;"",C618&lt;&gt;""),MAX($A$1:A617)+1,"")</f>
        <v/>
      </c>
      <c r="B618" s="285"/>
      <c r="C618" s="247"/>
      <c r="D618" s="285"/>
      <c r="E618" s="336" t="s">
        <v>1036</v>
      </c>
    </row>
    <row r="619" spans="1:5" ht="82.5">
      <c r="A619" s="280" t="str">
        <f>IF(AND(B619&lt;&gt;"",C619&lt;&gt;""),MAX($A$1:A618)+1,"")</f>
        <v/>
      </c>
      <c r="B619" s="285"/>
      <c r="C619" s="247"/>
      <c r="D619" s="285"/>
      <c r="E619" s="336" t="s">
        <v>1037</v>
      </c>
    </row>
    <row r="620" spans="1:5" ht="66">
      <c r="A620" s="280" t="str">
        <f>IF(AND(B620&lt;&gt;"",C620&lt;&gt;""),MAX($A$1:A619)+1,"")</f>
        <v/>
      </c>
      <c r="B620" s="285"/>
      <c r="C620" s="247"/>
      <c r="D620" s="285"/>
      <c r="E620" s="336" t="s">
        <v>1038</v>
      </c>
    </row>
    <row r="621" spans="1:5" ht="82.5">
      <c r="A621" s="280" t="str">
        <f>IF(AND(B621&lt;&gt;"",C621&lt;&gt;""),MAX($A$1:A620)+1,"")</f>
        <v/>
      </c>
      <c r="B621" s="285"/>
      <c r="C621" s="247"/>
      <c r="D621" s="285"/>
      <c r="E621" s="336" t="s">
        <v>1473</v>
      </c>
    </row>
    <row r="622" spans="1:5" ht="82.5">
      <c r="A622" s="280" t="str">
        <f>IF(AND(B622&lt;&gt;"",C622&lt;&gt;""),MAX($A$1:A621)+1,"")</f>
        <v/>
      </c>
      <c r="B622" s="285"/>
      <c r="C622" s="247"/>
      <c r="D622" s="285"/>
      <c r="E622" s="336" t="s">
        <v>1474</v>
      </c>
    </row>
    <row r="623" spans="1:5" ht="66">
      <c r="A623" s="280" t="str">
        <f>IF(AND(B623&lt;&gt;"",C623&lt;&gt;""),MAX($A$1:A622)+1,"")</f>
        <v/>
      </c>
      <c r="B623" s="285"/>
      <c r="C623" s="247"/>
      <c r="D623" s="285"/>
      <c r="E623" s="336" t="s">
        <v>1475</v>
      </c>
    </row>
    <row r="624" spans="1:5" ht="66">
      <c r="A624" s="280" t="str">
        <f>IF(AND(B624&lt;&gt;"",C624&lt;&gt;""),MAX($A$1:A623)+1,"")</f>
        <v/>
      </c>
      <c r="B624" s="285"/>
      <c r="C624" s="247"/>
      <c r="D624" s="285"/>
      <c r="E624" s="336" t="s">
        <v>1476</v>
      </c>
    </row>
    <row r="625" spans="1:5" ht="66">
      <c r="A625" s="280">
        <f>IF(AND(B625&lt;&gt;"",C625&lt;&gt;""),MAX($A$1:A624)+1,"")</f>
        <v>102</v>
      </c>
      <c r="B625" s="285" t="s">
        <v>734</v>
      </c>
      <c r="C625" s="247" t="s">
        <v>995</v>
      </c>
      <c r="D625" s="285"/>
      <c r="E625" s="336"/>
    </row>
    <row r="626" spans="1:5" ht="66">
      <c r="A626" s="280" t="str">
        <f>IF(AND(B626&lt;&gt;"",C626&lt;&gt;""),MAX($A$1:A625)+1,"")</f>
        <v/>
      </c>
      <c r="B626" s="285"/>
      <c r="C626" s="247"/>
      <c r="D626" s="285"/>
      <c r="E626" s="336" t="s">
        <v>1477</v>
      </c>
    </row>
    <row r="627" spans="1:5" ht="66">
      <c r="A627" s="280" t="str">
        <f>IF(AND(B627&lt;&gt;"",C627&lt;&gt;""),MAX($A$1:A626)+1,"")</f>
        <v/>
      </c>
      <c r="B627" s="285"/>
      <c r="C627" s="247"/>
      <c r="D627" s="285"/>
      <c r="E627" s="336" t="s">
        <v>1039</v>
      </c>
    </row>
    <row r="628" spans="1:5" ht="82.5">
      <c r="A628" s="280" t="str">
        <f>IF(AND(B628&lt;&gt;"",C628&lt;&gt;""),MAX($A$1:A627)+1,"")</f>
        <v/>
      </c>
      <c r="B628" s="285"/>
      <c r="C628" s="247"/>
      <c r="D628" s="285"/>
      <c r="E628" s="336" t="s">
        <v>1040</v>
      </c>
    </row>
    <row r="629" spans="1:5" ht="66">
      <c r="A629" s="280" t="str">
        <f>IF(AND(B629&lt;&gt;"",C629&lt;&gt;""),MAX($A$1:A628)+1,"")</f>
        <v/>
      </c>
      <c r="B629" s="285"/>
      <c r="C629" s="247"/>
      <c r="D629" s="285"/>
      <c r="E629" s="336" t="s">
        <v>1041</v>
      </c>
    </row>
    <row r="630" spans="1:5" ht="66">
      <c r="A630" s="280" t="str">
        <f>IF(AND(B630&lt;&gt;"",C630&lt;&gt;""),MAX($A$1:A629)+1,"")</f>
        <v/>
      </c>
      <c r="B630" s="285"/>
      <c r="C630" s="247"/>
      <c r="D630" s="285"/>
      <c r="E630" s="336" t="s">
        <v>1478</v>
      </c>
    </row>
    <row r="631" spans="1:5" ht="82.5">
      <c r="A631" s="280" t="str">
        <f>IF(AND(B631&lt;&gt;"",C631&lt;&gt;""),MAX($A$1:A630)+1,"")</f>
        <v/>
      </c>
      <c r="B631" s="285"/>
      <c r="C631" s="247"/>
      <c r="D631" s="285"/>
      <c r="E631" s="336" t="s">
        <v>1479</v>
      </c>
    </row>
    <row r="632" spans="1:5" ht="66">
      <c r="A632" s="280" t="str">
        <f>IF(AND(B632&lt;&gt;"",C632&lt;&gt;""),MAX($A$1:A631)+1,"")</f>
        <v/>
      </c>
      <c r="B632" s="285"/>
      <c r="C632" s="247"/>
      <c r="D632" s="285"/>
      <c r="E632" s="336" t="s">
        <v>1480</v>
      </c>
    </row>
    <row r="633" spans="1:5" ht="66">
      <c r="A633" s="280" t="str">
        <f>IF(AND(B633&lt;&gt;"",C633&lt;&gt;""),MAX($A$1:A632)+1,"")</f>
        <v/>
      </c>
      <c r="B633" s="285"/>
      <c r="C633" s="247"/>
      <c r="D633" s="285"/>
      <c r="E633" s="336" t="s">
        <v>1481</v>
      </c>
    </row>
    <row r="634" spans="1:5" ht="66">
      <c r="A634" s="280">
        <f>IF(AND(B634&lt;&gt;"",C634&lt;&gt;""),MAX($A$1:A633)+1,"")</f>
        <v>103</v>
      </c>
      <c r="B634" s="285" t="s">
        <v>733</v>
      </c>
      <c r="C634" s="247" t="s">
        <v>995</v>
      </c>
      <c r="D634" s="285"/>
      <c r="E634" s="336"/>
    </row>
    <row r="635" spans="1:5" ht="66">
      <c r="A635" s="280" t="str">
        <f>IF(AND(B635&lt;&gt;"",C635&lt;&gt;""),MAX($A$1:A634)+1,"")</f>
        <v/>
      </c>
      <c r="B635" s="285"/>
      <c r="C635" s="247"/>
      <c r="D635" s="285"/>
      <c r="E635" s="336" t="s">
        <v>1482</v>
      </c>
    </row>
    <row r="636" spans="1:5" ht="66">
      <c r="A636" s="280" t="str">
        <f>IF(AND(B636&lt;&gt;"",C636&lt;&gt;""),MAX($A$1:A635)+1,"")</f>
        <v/>
      </c>
      <c r="B636" s="285"/>
      <c r="C636" s="247"/>
      <c r="D636" s="285"/>
      <c r="E636" s="336" t="s">
        <v>1042</v>
      </c>
    </row>
    <row r="637" spans="1:5" ht="82.5">
      <c r="A637" s="280" t="str">
        <f>IF(AND(B637&lt;&gt;"",C637&lt;&gt;""),MAX($A$1:A636)+1,"")</f>
        <v/>
      </c>
      <c r="B637" s="285"/>
      <c r="C637" s="247"/>
      <c r="D637" s="285"/>
      <c r="E637" s="336" t="s">
        <v>1043</v>
      </c>
    </row>
    <row r="638" spans="1:5" ht="66">
      <c r="A638" s="280" t="str">
        <f>IF(AND(B638&lt;&gt;"",C638&lt;&gt;""),MAX($A$1:A637)+1,"")</f>
        <v/>
      </c>
      <c r="B638" s="285"/>
      <c r="C638" s="247"/>
      <c r="D638" s="285"/>
      <c r="E638" s="336" t="s">
        <v>1044</v>
      </c>
    </row>
    <row r="639" spans="1:5" ht="66">
      <c r="A639" s="280" t="str">
        <f>IF(AND(B639&lt;&gt;"",C639&lt;&gt;""),MAX($A$1:A638)+1,"")</f>
        <v/>
      </c>
      <c r="B639" s="285"/>
      <c r="C639" s="247"/>
      <c r="D639" s="285"/>
      <c r="E639" s="336" t="s">
        <v>1483</v>
      </c>
    </row>
    <row r="640" spans="1:5" ht="82.5">
      <c r="A640" s="280" t="str">
        <f>IF(AND(B640&lt;&gt;"",C640&lt;&gt;""),MAX($A$1:A639)+1,"")</f>
        <v/>
      </c>
      <c r="B640" s="285"/>
      <c r="C640" s="247"/>
      <c r="D640" s="285"/>
      <c r="E640" s="336" t="s">
        <v>1484</v>
      </c>
    </row>
    <row r="641" spans="1:5" ht="66">
      <c r="A641" s="280" t="str">
        <f>IF(AND(B641&lt;&gt;"",C641&lt;&gt;""),MAX($A$1:A640)+1,"")</f>
        <v/>
      </c>
      <c r="B641" s="285"/>
      <c r="C641" s="247"/>
      <c r="D641" s="285"/>
      <c r="E641" s="336" t="s">
        <v>1485</v>
      </c>
    </row>
    <row r="642" spans="1:5" ht="66">
      <c r="A642" s="280" t="str">
        <f>IF(AND(B642&lt;&gt;"",C642&lt;&gt;""),MAX($A$1:A641)+1,"")</f>
        <v/>
      </c>
      <c r="B642" s="285"/>
      <c r="C642" s="247"/>
      <c r="D642" s="285"/>
      <c r="E642" s="336" t="s">
        <v>1486</v>
      </c>
    </row>
    <row r="643" spans="1:5" ht="66">
      <c r="A643" s="280">
        <f>IF(AND(B643&lt;&gt;"",C643&lt;&gt;""),MAX($A$1:A642)+1,"")</f>
        <v>104</v>
      </c>
      <c r="B643" s="285" t="s">
        <v>732</v>
      </c>
      <c r="C643" s="247" t="s">
        <v>995</v>
      </c>
      <c r="D643" s="285"/>
      <c r="E643" s="336"/>
    </row>
    <row r="644" spans="1:5" ht="66">
      <c r="A644" s="280" t="str">
        <f>IF(AND(B644&lt;&gt;"",C644&lt;&gt;""),MAX($A$1:A643)+1,"")</f>
        <v/>
      </c>
      <c r="B644" s="285"/>
      <c r="C644" s="247"/>
      <c r="D644" s="285"/>
      <c r="E644" s="336" t="s">
        <v>1487</v>
      </c>
    </row>
    <row r="645" spans="1:5" ht="66">
      <c r="A645" s="280" t="str">
        <f>IF(AND(B645&lt;&gt;"",C645&lt;&gt;""),MAX($A$1:A644)+1,"")</f>
        <v/>
      </c>
      <c r="B645" s="285"/>
      <c r="C645" s="247"/>
      <c r="D645" s="285"/>
      <c r="E645" s="336" t="s">
        <v>1045</v>
      </c>
    </row>
    <row r="646" spans="1:5" ht="82.5">
      <c r="A646" s="280" t="str">
        <f>IF(AND(B646&lt;&gt;"",C646&lt;&gt;""),MAX($A$1:A645)+1,"")</f>
        <v/>
      </c>
      <c r="B646" s="285"/>
      <c r="C646" s="247"/>
      <c r="D646" s="285"/>
      <c r="E646" s="336" t="s">
        <v>1046</v>
      </c>
    </row>
    <row r="647" spans="1:5" ht="66">
      <c r="A647" s="280" t="str">
        <f>IF(AND(B647&lt;&gt;"",C647&lt;&gt;""),MAX($A$1:A646)+1,"")</f>
        <v/>
      </c>
      <c r="B647" s="285"/>
      <c r="C647" s="247"/>
      <c r="D647" s="285"/>
      <c r="E647" s="336" t="s">
        <v>1047</v>
      </c>
    </row>
    <row r="648" spans="1:5" ht="66">
      <c r="A648" s="280" t="str">
        <f>IF(AND(B648&lt;&gt;"",C648&lt;&gt;""),MAX($A$1:A647)+1,"")</f>
        <v/>
      </c>
      <c r="B648" s="285"/>
      <c r="C648" s="247"/>
      <c r="D648" s="285"/>
      <c r="E648" s="336" t="s">
        <v>1488</v>
      </c>
    </row>
    <row r="649" spans="1:5" ht="66">
      <c r="A649" s="280" t="str">
        <f>IF(AND(B649&lt;&gt;"",C649&lt;&gt;""),MAX($A$1:A648)+1,"")</f>
        <v/>
      </c>
      <c r="B649" s="285"/>
      <c r="C649" s="247"/>
      <c r="D649" s="285"/>
      <c r="E649" s="336" t="s">
        <v>1489</v>
      </c>
    </row>
    <row r="650" spans="1:5" ht="66">
      <c r="A650" s="280" t="str">
        <f>IF(AND(B650&lt;&gt;"",C650&lt;&gt;""),MAX($A$1:A649)+1,"")</f>
        <v/>
      </c>
      <c r="B650" s="285"/>
      <c r="C650" s="247"/>
      <c r="D650" s="285"/>
      <c r="E650" s="336" t="s">
        <v>1490</v>
      </c>
    </row>
    <row r="651" spans="1:5" ht="66">
      <c r="A651" s="280" t="str">
        <f>IF(AND(B651&lt;&gt;"",C651&lt;&gt;""),MAX($A$1:A650)+1,"")</f>
        <v/>
      </c>
      <c r="B651" s="285"/>
      <c r="C651" s="247"/>
      <c r="D651" s="285"/>
      <c r="E651" s="336" t="s">
        <v>1491</v>
      </c>
    </row>
    <row r="652" spans="1:5" ht="66">
      <c r="A652" s="280">
        <f>IF(AND(B652&lt;&gt;"",C652&lt;&gt;""),MAX($A$1:A651)+1,"")</f>
        <v>105</v>
      </c>
      <c r="B652" s="285" t="s">
        <v>735</v>
      </c>
      <c r="C652" s="247" t="s">
        <v>995</v>
      </c>
      <c r="D652" s="285"/>
      <c r="E652" s="336"/>
    </row>
    <row r="653" spans="1:5" ht="66">
      <c r="A653" s="280" t="str">
        <f>IF(AND(B653&lt;&gt;"",C653&lt;&gt;""),MAX($A$1:A652)+1,"")</f>
        <v/>
      </c>
      <c r="B653" s="285"/>
      <c r="C653" s="247"/>
      <c r="D653" s="285"/>
      <c r="E653" s="336" t="s">
        <v>1492</v>
      </c>
    </row>
    <row r="654" spans="1:5" ht="66">
      <c r="A654" s="280" t="str">
        <f>IF(AND(B654&lt;&gt;"",C654&lt;&gt;""),MAX($A$1:A653)+1,"")</f>
        <v/>
      </c>
      <c r="B654" s="285"/>
      <c r="C654" s="247"/>
      <c r="D654" s="285"/>
      <c r="E654" s="336" t="s">
        <v>1048</v>
      </c>
    </row>
    <row r="655" spans="1:5" ht="82.5">
      <c r="A655" s="280" t="str">
        <f>IF(AND(B655&lt;&gt;"",C655&lt;&gt;""),MAX($A$1:A654)+1,"")</f>
        <v/>
      </c>
      <c r="B655" s="285"/>
      <c r="C655" s="247"/>
      <c r="D655" s="285"/>
      <c r="E655" s="336" t="s">
        <v>1049</v>
      </c>
    </row>
    <row r="656" spans="1:5" ht="66">
      <c r="A656" s="280" t="str">
        <f>IF(AND(B656&lt;&gt;"",C656&lt;&gt;""),MAX($A$1:A655)+1,"")</f>
        <v/>
      </c>
      <c r="B656" s="285"/>
      <c r="C656" s="247"/>
      <c r="D656" s="285"/>
      <c r="E656" s="336" t="s">
        <v>1050</v>
      </c>
    </row>
    <row r="657" spans="1:5" ht="66">
      <c r="A657" s="280" t="str">
        <f>IF(AND(B657&lt;&gt;"",C657&lt;&gt;""),MAX($A$1:A656)+1,"")</f>
        <v/>
      </c>
      <c r="B657" s="285"/>
      <c r="C657" s="247"/>
      <c r="D657" s="285"/>
      <c r="E657" s="336" t="s">
        <v>1493</v>
      </c>
    </row>
    <row r="658" spans="1:5" ht="82.5">
      <c r="A658" s="280" t="str">
        <f>IF(AND(B658&lt;&gt;"",C658&lt;&gt;""),MAX($A$1:A657)+1,"")</f>
        <v/>
      </c>
      <c r="B658" s="285"/>
      <c r="C658" s="247"/>
      <c r="D658" s="285"/>
      <c r="E658" s="336" t="s">
        <v>1494</v>
      </c>
    </row>
    <row r="659" spans="1:5" ht="66">
      <c r="A659" s="280" t="str">
        <f>IF(AND(B659&lt;&gt;"",C659&lt;&gt;""),MAX($A$1:A658)+1,"")</f>
        <v/>
      </c>
      <c r="B659" s="285"/>
      <c r="C659" s="247"/>
      <c r="D659" s="285"/>
      <c r="E659" s="336" t="s">
        <v>1495</v>
      </c>
    </row>
    <row r="660" spans="1:5" ht="66">
      <c r="A660" s="280" t="str">
        <f>IF(AND(B660&lt;&gt;"",C660&lt;&gt;""),MAX($A$1:A659)+1,"")</f>
        <v/>
      </c>
      <c r="B660" s="285"/>
      <c r="C660" s="247"/>
      <c r="D660" s="285"/>
      <c r="E660" s="336" t="s">
        <v>1496</v>
      </c>
    </row>
    <row r="661" spans="1:5" ht="82.5">
      <c r="A661" s="280">
        <f>IF(AND(B661&lt;&gt;"",C661&lt;&gt;""),MAX($A$1:A660)+1,"")</f>
        <v>106</v>
      </c>
      <c r="B661" s="285" t="s">
        <v>736</v>
      </c>
      <c r="C661" s="247" t="s">
        <v>995</v>
      </c>
      <c r="D661" s="285"/>
      <c r="E661" s="336"/>
    </row>
    <row r="662" spans="1:5" ht="82.5">
      <c r="A662" s="280" t="str">
        <f>IF(AND(B662&lt;&gt;"",C662&lt;&gt;""),MAX($A$1:A661)+1,"")</f>
        <v/>
      </c>
      <c r="B662" s="285"/>
      <c r="C662" s="247"/>
      <c r="D662" s="285"/>
      <c r="E662" s="336" t="s">
        <v>1497</v>
      </c>
    </row>
    <row r="663" spans="1:5" ht="82.5">
      <c r="A663" s="280" t="str">
        <f>IF(AND(B663&lt;&gt;"",C663&lt;&gt;""),MAX($A$1:A662)+1,"")</f>
        <v/>
      </c>
      <c r="B663" s="285"/>
      <c r="C663" s="247"/>
      <c r="D663" s="285"/>
      <c r="E663" s="336" t="s">
        <v>1051</v>
      </c>
    </row>
    <row r="664" spans="1:5" ht="82.5">
      <c r="A664" s="280" t="str">
        <f>IF(AND(B664&lt;&gt;"",C664&lt;&gt;""),MAX($A$1:A663)+1,"")</f>
        <v/>
      </c>
      <c r="B664" s="285"/>
      <c r="C664" s="247"/>
      <c r="D664" s="285"/>
      <c r="E664" s="336" t="s">
        <v>1052</v>
      </c>
    </row>
    <row r="665" spans="1:5" ht="82.5">
      <c r="A665" s="280" t="str">
        <f>IF(AND(B665&lt;&gt;"",C665&lt;&gt;""),MAX($A$1:A664)+1,"")</f>
        <v/>
      </c>
      <c r="B665" s="285"/>
      <c r="C665" s="247"/>
      <c r="D665" s="285"/>
      <c r="E665" s="336" t="s">
        <v>1053</v>
      </c>
    </row>
    <row r="666" spans="1:5" ht="82.5">
      <c r="A666" s="280" t="str">
        <f>IF(AND(B666&lt;&gt;"",C666&lt;&gt;""),MAX($A$1:A665)+1,"")</f>
        <v/>
      </c>
      <c r="B666" s="285"/>
      <c r="C666" s="247"/>
      <c r="D666" s="285"/>
      <c r="E666" s="336" t="s">
        <v>1498</v>
      </c>
    </row>
    <row r="667" spans="1:5" ht="82.5">
      <c r="A667" s="280" t="str">
        <f>IF(AND(B667&lt;&gt;"",C667&lt;&gt;""),MAX($A$1:A666)+1,"")</f>
        <v/>
      </c>
      <c r="B667" s="285"/>
      <c r="C667" s="247"/>
      <c r="D667" s="285"/>
      <c r="E667" s="336" t="s">
        <v>1499</v>
      </c>
    </row>
    <row r="668" spans="1:5" ht="66">
      <c r="A668" s="280" t="str">
        <f>IF(AND(B668&lt;&gt;"",C668&lt;&gt;""),MAX($A$1:A667)+1,"")</f>
        <v/>
      </c>
      <c r="B668" s="285"/>
      <c r="C668" s="247"/>
      <c r="D668" s="285"/>
      <c r="E668" s="336" t="s">
        <v>1500</v>
      </c>
    </row>
    <row r="669" spans="1:5" ht="82.5">
      <c r="A669" s="280" t="str">
        <f>IF(AND(B669&lt;&gt;"",C669&lt;&gt;""),MAX($A$1:A668)+1,"")</f>
        <v/>
      </c>
      <c r="B669" s="285"/>
      <c r="C669" s="247"/>
      <c r="D669" s="285"/>
      <c r="E669" s="336" t="s">
        <v>1501</v>
      </c>
    </row>
    <row r="670" spans="1:5">
      <c r="A670" s="315" t="s">
        <v>757</v>
      </c>
      <c r="B670" s="300" t="s">
        <v>301</v>
      </c>
      <c r="C670" s="273"/>
      <c r="D670" s="229"/>
      <c r="E670" s="229"/>
    </row>
    <row r="671" spans="1:5" ht="66">
      <c r="A671" s="280">
        <f>IF(AND(B671&lt;&gt;"",C671&lt;&gt;""),MAX($A$1:A670)+1,"")</f>
        <v>107</v>
      </c>
      <c r="B671" s="261" t="s">
        <v>302</v>
      </c>
      <c r="C671" s="276" t="s">
        <v>298</v>
      </c>
      <c r="D671" s="237"/>
      <c r="E671" s="285"/>
    </row>
    <row r="672" spans="1:5" ht="49.5">
      <c r="A672" s="280" t="str">
        <f>IF(AND(B672&lt;&gt;"",C672&lt;&gt;""),MAX($A$1:A671)+1,"")</f>
        <v/>
      </c>
      <c r="B672" s="260"/>
      <c r="C672" s="275"/>
      <c r="D672" s="232"/>
      <c r="E672" s="336" t="s">
        <v>407</v>
      </c>
    </row>
    <row r="673" spans="1:5" ht="49.5">
      <c r="A673" s="280" t="str">
        <f>IF(AND(B673&lt;&gt;"",C673&lt;&gt;""),MAX($A$1:A672)+1,"")</f>
        <v/>
      </c>
      <c r="B673" s="299"/>
      <c r="C673" s="275"/>
      <c r="D673" s="232"/>
      <c r="E673" s="336" t="s">
        <v>408</v>
      </c>
    </row>
    <row r="674" spans="1:5" ht="49.5">
      <c r="A674" s="280" t="str">
        <f>IF(AND(B674&lt;&gt;"",C674&lt;&gt;""),MAX($A$1:A673)+1,"")</f>
        <v/>
      </c>
      <c r="B674" s="299"/>
      <c r="C674" s="275"/>
      <c r="D674" s="232"/>
      <c r="E674" s="336" t="s">
        <v>409</v>
      </c>
    </row>
    <row r="675" spans="1:5" ht="49.5">
      <c r="A675" s="280" t="str">
        <f>IF(AND(B675&lt;&gt;"",C675&lt;&gt;""),MAX($A$1:A674)+1,"")</f>
        <v/>
      </c>
      <c r="B675" s="299"/>
      <c r="C675" s="275"/>
      <c r="D675" s="232"/>
      <c r="E675" s="336" t="s">
        <v>410</v>
      </c>
    </row>
    <row r="676" spans="1:5" ht="49.5">
      <c r="A676" s="280" t="str">
        <f>IF(AND(B676&lt;&gt;"",C676&lt;&gt;""),MAX($A$1:A675)+1,"")</f>
        <v/>
      </c>
      <c r="B676" s="299"/>
      <c r="C676" s="275"/>
      <c r="D676" s="232"/>
      <c r="E676" s="336" t="s">
        <v>803</v>
      </c>
    </row>
    <row r="677" spans="1:5" ht="49.5">
      <c r="A677" s="280" t="str">
        <f>IF(AND(B677&lt;&gt;"",C677&lt;&gt;""),MAX($A$1:A676)+1,"")</f>
        <v/>
      </c>
      <c r="B677" s="299"/>
      <c r="C677" s="275"/>
      <c r="D677" s="232"/>
      <c r="E677" s="336" t="s">
        <v>804</v>
      </c>
    </row>
    <row r="678" spans="1:5" ht="49.5">
      <c r="A678" s="280" t="str">
        <f>IF(AND(B678&lt;&gt;"",C678&lt;&gt;""),MAX($A$1:A677)+1,"")</f>
        <v/>
      </c>
      <c r="B678" s="299"/>
      <c r="C678" s="275"/>
      <c r="D678" s="232"/>
      <c r="E678" s="336" t="s">
        <v>1510</v>
      </c>
    </row>
    <row r="679" spans="1:5" ht="49.5">
      <c r="A679" s="280" t="str">
        <f>IF(AND(B679&lt;&gt;"",C679&lt;&gt;""),MAX($A$1:A678)+1,"")</f>
        <v/>
      </c>
      <c r="B679" s="299"/>
      <c r="C679" s="275"/>
      <c r="D679" s="232"/>
      <c r="E679" s="336" t="s">
        <v>1561</v>
      </c>
    </row>
    <row r="680" spans="1:5" ht="66">
      <c r="A680" s="280">
        <f>IF(AND(B680&lt;&gt;"",C680&lt;&gt;""),MAX($A$1:A679)+1,"")</f>
        <v>108</v>
      </c>
      <c r="B680" s="261" t="s">
        <v>303</v>
      </c>
      <c r="C680" s="276" t="s">
        <v>298</v>
      </c>
      <c r="D680" s="245"/>
      <c r="E680" s="285"/>
    </row>
    <row r="681" spans="1:5" ht="49.5">
      <c r="A681" s="280" t="str">
        <f>IF(AND(B681&lt;&gt;"",C681&lt;&gt;""),MAX($A$1:A680)+1,"")</f>
        <v/>
      </c>
      <c r="B681" s="299"/>
      <c r="C681" s="275"/>
      <c r="D681" s="233"/>
      <c r="E681" s="336" t="s">
        <v>411</v>
      </c>
    </row>
    <row r="682" spans="1:5" ht="49.5">
      <c r="A682" s="280" t="str">
        <f>IF(AND(B682&lt;&gt;"",C682&lt;&gt;""),MAX($A$1:A681)+1,"")</f>
        <v/>
      </c>
      <c r="B682" s="299"/>
      <c r="C682" s="275"/>
      <c r="D682" s="233"/>
      <c r="E682" s="336" t="s">
        <v>412</v>
      </c>
    </row>
    <row r="683" spans="1:5" ht="49.5">
      <c r="A683" s="280" t="str">
        <f>IF(AND(B683&lt;&gt;"",C683&lt;&gt;""),MAX($A$1:A682)+1,"")</f>
        <v/>
      </c>
      <c r="B683" s="299"/>
      <c r="C683" s="275"/>
      <c r="D683" s="233"/>
      <c r="E683" s="336" t="s">
        <v>413</v>
      </c>
    </row>
    <row r="684" spans="1:5" ht="49.5">
      <c r="A684" s="280" t="str">
        <f>IF(AND(B684&lt;&gt;"",C684&lt;&gt;""),MAX($A$1:A683)+1,"")</f>
        <v/>
      </c>
      <c r="B684" s="299"/>
      <c r="C684" s="275"/>
      <c r="D684" s="233"/>
      <c r="E684" s="336" t="s">
        <v>414</v>
      </c>
    </row>
    <row r="685" spans="1:5" ht="49.5">
      <c r="A685" s="280" t="str">
        <f>IF(AND(B685&lt;&gt;"",C685&lt;&gt;""),MAX($A$1:A684)+1,"")</f>
        <v/>
      </c>
      <c r="B685" s="299"/>
      <c r="C685" s="275"/>
      <c r="D685" s="232"/>
      <c r="E685" s="336" t="s">
        <v>805</v>
      </c>
    </row>
    <row r="686" spans="1:5" ht="49.5">
      <c r="A686" s="280" t="str">
        <f>IF(AND(B686&lt;&gt;"",C686&lt;&gt;""),MAX($A$1:A685)+1,"")</f>
        <v/>
      </c>
      <c r="B686" s="299"/>
      <c r="C686" s="275"/>
      <c r="D686" s="232"/>
      <c r="E686" s="336" t="s">
        <v>806</v>
      </c>
    </row>
    <row r="687" spans="1:5" ht="49.5">
      <c r="A687" s="280" t="str">
        <f>IF(AND(B687&lt;&gt;"",C687&lt;&gt;""),MAX($A$1:A686)+1,"")</f>
        <v/>
      </c>
      <c r="B687" s="299"/>
      <c r="C687" s="275"/>
      <c r="D687" s="232"/>
      <c r="E687" s="336" t="s">
        <v>1511</v>
      </c>
    </row>
    <row r="688" spans="1:5" ht="49.5">
      <c r="A688" s="280" t="str">
        <f>IF(AND(B688&lt;&gt;"",C688&lt;&gt;""),MAX($A$1:A687)+1,"")</f>
        <v/>
      </c>
      <c r="B688" s="299"/>
      <c r="C688" s="275"/>
      <c r="D688" s="232"/>
      <c r="E688" s="336" t="s">
        <v>1562</v>
      </c>
    </row>
    <row r="689" spans="1:5" ht="66">
      <c r="A689" s="280">
        <f>IF(AND(B689&lt;&gt;"",C689&lt;&gt;""),MAX($A$1:A688)+1,"")</f>
        <v>109</v>
      </c>
      <c r="B689" s="261" t="s">
        <v>304</v>
      </c>
      <c r="C689" s="276" t="s">
        <v>298</v>
      </c>
      <c r="D689" s="245"/>
      <c r="E689" s="285"/>
    </row>
    <row r="690" spans="1:5" ht="49.5">
      <c r="A690" s="280" t="str">
        <f>IF(AND(B690&lt;&gt;"",C690&lt;&gt;""),MAX($A$1:A689)+1,"")</f>
        <v/>
      </c>
      <c r="B690" s="299"/>
      <c r="C690" s="275"/>
      <c r="D690" s="233"/>
      <c r="E690" s="336" t="s">
        <v>415</v>
      </c>
    </row>
    <row r="691" spans="1:5" ht="49.5">
      <c r="A691" s="280" t="str">
        <f>IF(AND(B691&lt;&gt;"",C691&lt;&gt;""),MAX($A$1:A690)+1,"")</f>
        <v/>
      </c>
      <c r="B691" s="299"/>
      <c r="C691" s="275"/>
      <c r="D691" s="233"/>
      <c r="E691" s="336" t="s">
        <v>416</v>
      </c>
    </row>
    <row r="692" spans="1:5" ht="49.5">
      <c r="A692" s="280" t="str">
        <f>IF(AND(B692&lt;&gt;"",C692&lt;&gt;""),MAX($A$1:A691)+1,"")</f>
        <v/>
      </c>
      <c r="B692" s="299"/>
      <c r="C692" s="275"/>
      <c r="D692" s="233"/>
      <c r="E692" s="336" t="s">
        <v>417</v>
      </c>
    </row>
    <row r="693" spans="1:5" ht="49.5">
      <c r="A693" s="280" t="str">
        <f>IF(AND(B693&lt;&gt;"",C693&lt;&gt;""),MAX($A$1:A692)+1,"")</f>
        <v/>
      </c>
      <c r="B693" s="299"/>
      <c r="C693" s="275"/>
      <c r="D693" s="233"/>
      <c r="E693" s="336" t="s">
        <v>418</v>
      </c>
    </row>
    <row r="694" spans="1:5" ht="49.5">
      <c r="A694" s="280" t="str">
        <f>IF(AND(B694&lt;&gt;"",C694&lt;&gt;""),MAX($A$1:A693)+1,"")</f>
        <v/>
      </c>
      <c r="B694" s="299"/>
      <c r="C694" s="275"/>
      <c r="D694" s="233"/>
      <c r="E694" s="336" t="s">
        <v>807</v>
      </c>
    </row>
    <row r="695" spans="1:5" ht="49.5">
      <c r="A695" s="280" t="str">
        <f>IF(AND(B695&lt;&gt;"",C695&lt;&gt;""),MAX($A$1:A694)+1,"")</f>
        <v/>
      </c>
      <c r="B695" s="299"/>
      <c r="C695" s="275"/>
      <c r="D695" s="233"/>
      <c r="E695" s="336" t="s">
        <v>808</v>
      </c>
    </row>
    <row r="696" spans="1:5" ht="49.5">
      <c r="A696" s="280" t="str">
        <f>IF(AND(B696&lt;&gt;"",C696&lt;&gt;""),MAX($A$1:A695)+1,"")</f>
        <v/>
      </c>
      <c r="B696" s="299"/>
      <c r="C696" s="275"/>
      <c r="D696" s="233"/>
      <c r="E696" s="336" t="s">
        <v>1512</v>
      </c>
    </row>
    <row r="697" spans="1:5" ht="49.5">
      <c r="A697" s="280" t="str">
        <f>IF(AND(B697&lt;&gt;"",C697&lt;&gt;""),MAX($A$1:A696)+1,"")</f>
        <v/>
      </c>
      <c r="B697" s="299"/>
      <c r="C697" s="275"/>
      <c r="D697" s="233"/>
      <c r="E697" s="336" t="s">
        <v>1563</v>
      </c>
    </row>
    <row r="698" spans="1:5" ht="66">
      <c r="A698" s="280">
        <f>IF(AND(B698&lt;&gt;"",C698&lt;&gt;""),MAX($A$1:A697)+1,"")</f>
        <v>110</v>
      </c>
      <c r="B698" s="261" t="s">
        <v>305</v>
      </c>
      <c r="C698" s="276" t="s">
        <v>298</v>
      </c>
      <c r="D698" s="237"/>
      <c r="E698" s="285"/>
    </row>
    <row r="699" spans="1:5" ht="49.5">
      <c r="A699" s="280" t="str">
        <f>IF(AND(B699&lt;&gt;"",C699&lt;&gt;""),MAX($A$1:A698)+1,"")</f>
        <v/>
      </c>
      <c r="B699" s="299"/>
      <c r="C699" s="275"/>
      <c r="D699" s="232"/>
      <c r="E699" s="336" t="s">
        <v>419</v>
      </c>
    </row>
    <row r="700" spans="1:5" ht="49.5">
      <c r="A700" s="280" t="str">
        <f>IF(AND(B700&lt;&gt;"",C700&lt;&gt;""),MAX($A$1:A699)+1,"")</f>
        <v/>
      </c>
      <c r="B700" s="299"/>
      <c r="C700" s="275"/>
      <c r="D700" s="232"/>
      <c r="E700" s="336" t="s">
        <v>420</v>
      </c>
    </row>
    <row r="701" spans="1:5" ht="49.5">
      <c r="A701" s="280" t="str">
        <f>IF(AND(B701&lt;&gt;"",C701&lt;&gt;""),MAX($A$1:A700)+1,"")</f>
        <v/>
      </c>
      <c r="B701" s="260"/>
      <c r="C701" s="275"/>
      <c r="D701" s="232"/>
      <c r="E701" s="336" t="s">
        <v>421</v>
      </c>
    </row>
    <row r="702" spans="1:5" ht="49.5">
      <c r="A702" s="280" t="str">
        <f>IF(AND(B702&lt;&gt;"",C702&lt;&gt;""),MAX($A$1:A701)+1,"")</f>
        <v/>
      </c>
      <c r="B702" s="260"/>
      <c r="C702" s="275"/>
      <c r="D702" s="232"/>
      <c r="E702" s="336" t="s">
        <v>422</v>
      </c>
    </row>
    <row r="703" spans="1:5" ht="49.5">
      <c r="A703" s="280" t="str">
        <f>IF(AND(B703&lt;&gt;"",C703&lt;&gt;""),MAX($A$1:A702)+1,"")</f>
        <v/>
      </c>
      <c r="B703" s="260"/>
      <c r="C703" s="275"/>
      <c r="D703" s="232"/>
      <c r="E703" s="336" t="s">
        <v>809</v>
      </c>
    </row>
    <row r="704" spans="1:5" ht="49.5">
      <c r="A704" s="280" t="str">
        <f>IF(AND(B704&lt;&gt;"",C704&lt;&gt;""),MAX($A$1:A703)+1,"")</f>
        <v/>
      </c>
      <c r="B704" s="260"/>
      <c r="C704" s="275"/>
      <c r="D704" s="232"/>
      <c r="E704" s="336" t="s">
        <v>810</v>
      </c>
    </row>
    <row r="705" spans="1:5" ht="49.5">
      <c r="A705" s="280" t="str">
        <f>IF(AND(B705&lt;&gt;"",C705&lt;&gt;""),MAX($A$1:A704)+1,"")</f>
        <v/>
      </c>
      <c r="B705" s="260"/>
      <c r="C705" s="275"/>
      <c r="D705" s="233"/>
      <c r="E705" s="336" t="s">
        <v>1513</v>
      </c>
    </row>
    <row r="706" spans="1:5" ht="49.5">
      <c r="A706" s="280" t="str">
        <f>IF(AND(B706&lt;&gt;"",C706&lt;&gt;""),MAX($A$1:A705)+1,"")</f>
        <v/>
      </c>
      <c r="B706" s="260"/>
      <c r="C706" s="275"/>
      <c r="D706" s="233"/>
      <c r="E706" s="336" t="s">
        <v>1564</v>
      </c>
    </row>
    <row r="707" spans="1:5" ht="66">
      <c r="A707" s="280">
        <f>IF(AND(B707&lt;&gt;"",C707&lt;&gt;""),MAX($A$1:A706)+1,"")</f>
        <v>111</v>
      </c>
      <c r="B707" s="261" t="s">
        <v>306</v>
      </c>
      <c r="C707" s="276" t="s">
        <v>298</v>
      </c>
      <c r="D707" s="245"/>
      <c r="E707" s="285"/>
    </row>
    <row r="708" spans="1:5" ht="49.5">
      <c r="A708" s="280" t="str">
        <f>IF(AND(B708&lt;&gt;"",C708&lt;&gt;""),MAX($A$1:A707)+1,"")</f>
        <v/>
      </c>
      <c r="B708" s="260"/>
      <c r="C708" s="275"/>
      <c r="D708" s="233"/>
      <c r="E708" s="336" t="s">
        <v>423</v>
      </c>
    </row>
    <row r="709" spans="1:5" ht="49.5">
      <c r="A709" s="280" t="str">
        <f>IF(AND(B709&lt;&gt;"",C709&lt;&gt;""),MAX($A$1:A708)+1,"")</f>
        <v/>
      </c>
      <c r="B709" s="260"/>
      <c r="C709" s="275"/>
      <c r="D709" s="233"/>
      <c r="E709" s="336" t="s">
        <v>424</v>
      </c>
    </row>
    <row r="710" spans="1:5" ht="49.5">
      <c r="A710" s="280" t="str">
        <f>IF(AND(B710&lt;&gt;"",C710&lt;&gt;""),MAX($A$1:A709)+1,"")</f>
        <v/>
      </c>
      <c r="B710" s="260"/>
      <c r="C710" s="275"/>
      <c r="D710" s="233"/>
      <c r="E710" s="336" t="s">
        <v>425</v>
      </c>
    </row>
    <row r="711" spans="1:5" ht="49.5">
      <c r="A711" s="280" t="str">
        <f>IF(AND(B711&lt;&gt;"",C711&lt;&gt;""),MAX($A$1:A710)+1,"")</f>
        <v/>
      </c>
      <c r="B711" s="260"/>
      <c r="C711" s="275"/>
      <c r="D711" s="233"/>
      <c r="E711" s="336" t="s">
        <v>426</v>
      </c>
    </row>
    <row r="712" spans="1:5" ht="49.5">
      <c r="A712" s="280" t="str">
        <f>IF(AND(B712&lt;&gt;"",C712&lt;&gt;""),MAX($A$1:A711)+1,"")</f>
        <v/>
      </c>
      <c r="B712" s="299"/>
      <c r="C712" s="275"/>
      <c r="D712" s="232"/>
      <c r="E712" s="336" t="s">
        <v>811</v>
      </c>
    </row>
    <row r="713" spans="1:5" ht="49.5">
      <c r="A713" s="280" t="str">
        <f>IF(AND(B713&lt;&gt;"",C713&lt;&gt;""),MAX($A$1:A712)+1,"")</f>
        <v/>
      </c>
      <c r="B713" s="260"/>
      <c r="C713" s="275"/>
      <c r="D713" s="232"/>
      <c r="E713" s="336" t="s">
        <v>812</v>
      </c>
    </row>
    <row r="714" spans="1:5" ht="49.5">
      <c r="A714" s="280" t="str">
        <f>IF(AND(B714&lt;&gt;"",C714&lt;&gt;""),MAX($A$1:A713)+1,"")</f>
        <v/>
      </c>
      <c r="B714" s="260"/>
      <c r="C714" s="275"/>
      <c r="D714" s="232"/>
      <c r="E714" s="336" t="s">
        <v>1514</v>
      </c>
    </row>
    <row r="715" spans="1:5" ht="49.5">
      <c r="A715" s="280" t="str">
        <f>IF(AND(B715&lt;&gt;"",C715&lt;&gt;""),MAX($A$1:A714)+1,"")</f>
        <v/>
      </c>
      <c r="B715" s="260"/>
      <c r="C715" s="275"/>
      <c r="D715" s="232"/>
      <c r="E715" s="336" t="s">
        <v>1565</v>
      </c>
    </row>
    <row r="716" spans="1:5" ht="66">
      <c r="A716" s="280">
        <f>IF(AND(B716&lt;&gt;"",C716&lt;&gt;""),MAX($A$1:A715)+1,"")</f>
        <v>112</v>
      </c>
      <c r="B716" s="261" t="s">
        <v>307</v>
      </c>
      <c r="C716" s="276" t="s">
        <v>298</v>
      </c>
      <c r="D716" s="237"/>
      <c r="E716" s="285"/>
    </row>
    <row r="717" spans="1:5" ht="49.5">
      <c r="A717" s="280" t="str">
        <f>IF(AND(B717&lt;&gt;"",C717&lt;&gt;""),MAX($A$1:A716)+1,"")</f>
        <v/>
      </c>
      <c r="B717" s="260"/>
      <c r="C717" s="275"/>
      <c r="D717" s="233"/>
      <c r="E717" s="336" t="s">
        <v>427</v>
      </c>
    </row>
    <row r="718" spans="1:5" ht="66">
      <c r="A718" s="280" t="str">
        <f>IF(AND(B718&lt;&gt;"",C718&lt;&gt;""),MAX($A$1:A717)+1,"")</f>
        <v/>
      </c>
      <c r="B718" s="260"/>
      <c r="C718" s="275"/>
      <c r="D718" s="233"/>
      <c r="E718" s="336" t="s">
        <v>428</v>
      </c>
    </row>
    <row r="719" spans="1:5" ht="49.5">
      <c r="A719" s="280" t="str">
        <f>IF(AND(B719&lt;&gt;"",C719&lt;&gt;""),MAX($A$1:A718)+1,"")</f>
        <v/>
      </c>
      <c r="B719" s="260"/>
      <c r="C719" s="275"/>
      <c r="D719" s="233"/>
      <c r="E719" s="336" t="s">
        <v>429</v>
      </c>
    </row>
    <row r="720" spans="1:5" ht="49.5">
      <c r="A720" s="280" t="str">
        <f>IF(AND(B720&lt;&gt;"",C720&lt;&gt;""),MAX($A$1:A719)+1,"")</f>
        <v/>
      </c>
      <c r="B720" s="260"/>
      <c r="C720" s="275"/>
      <c r="D720" s="233"/>
      <c r="E720" s="336" t="s">
        <v>430</v>
      </c>
    </row>
    <row r="721" spans="1:5" ht="49.5">
      <c r="A721" s="280" t="str">
        <f>IF(AND(B721&lt;&gt;"",C721&lt;&gt;""),MAX($A$1:A720)+1,"")</f>
        <v/>
      </c>
      <c r="B721" s="260"/>
      <c r="C721" s="275"/>
      <c r="D721" s="233"/>
      <c r="E721" s="336" t="s">
        <v>813</v>
      </c>
    </row>
    <row r="722" spans="1:5" ht="66">
      <c r="A722" s="280" t="str">
        <f>IF(AND(B722&lt;&gt;"",C722&lt;&gt;""),MAX($A$1:A721)+1,"")</f>
        <v/>
      </c>
      <c r="B722" s="299"/>
      <c r="C722" s="275"/>
      <c r="D722" s="232"/>
      <c r="E722" s="336" t="s">
        <v>814</v>
      </c>
    </row>
    <row r="723" spans="1:5" ht="49.5">
      <c r="A723" s="280" t="str">
        <f>IF(AND(B723&lt;&gt;"",C723&lt;&gt;""),MAX($A$1:A722)+1,"")</f>
        <v/>
      </c>
      <c r="B723" s="299"/>
      <c r="C723" s="275"/>
      <c r="D723" s="232"/>
      <c r="E723" s="336" t="s">
        <v>1515</v>
      </c>
    </row>
    <row r="724" spans="1:5" ht="49.5">
      <c r="A724" s="280" t="str">
        <f>IF(AND(B724&lt;&gt;"",C724&lt;&gt;""),MAX($A$1:A723)+1,"")</f>
        <v/>
      </c>
      <c r="B724" s="299"/>
      <c r="C724" s="275"/>
      <c r="D724" s="232"/>
      <c r="E724" s="336" t="s">
        <v>1566</v>
      </c>
    </row>
    <row r="725" spans="1:5" ht="66">
      <c r="A725" s="280">
        <f>IF(AND(B725&lt;&gt;"",C725&lt;&gt;""),MAX($A$1:A724)+1,"")</f>
        <v>113</v>
      </c>
      <c r="B725" s="261" t="s">
        <v>308</v>
      </c>
      <c r="C725" s="276" t="s">
        <v>298</v>
      </c>
      <c r="D725" s="237"/>
      <c r="E725" s="285"/>
    </row>
    <row r="726" spans="1:5" ht="49.5">
      <c r="A726" s="280" t="str">
        <f>IF(AND(B726&lt;&gt;"",C726&lt;&gt;""),MAX($A$1:A725)+1,"")</f>
        <v/>
      </c>
      <c r="B726" s="299"/>
      <c r="C726" s="275"/>
      <c r="D726" s="232"/>
      <c r="E726" s="336" t="s">
        <v>431</v>
      </c>
    </row>
    <row r="727" spans="1:5" ht="66">
      <c r="A727" s="280" t="str">
        <f>IF(AND(B727&lt;&gt;"",C727&lt;&gt;""),MAX($A$1:A726)+1,"")</f>
        <v/>
      </c>
      <c r="B727" s="299"/>
      <c r="C727" s="275"/>
      <c r="D727" s="233"/>
      <c r="E727" s="336" t="s">
        <v>432</v>
      </c>
    </row>
    <row r="728" spans="1:5" ht="49.5">
      <c r="A728" s="280" t="str">
        <f>IF(AND(B728&lt;&gt;"",C728&lt;&gt;""),MAX($A$1:A727)+1,"")</f>
        <v/>
      </c>
      <c r="B728" s="299"/>
      <c r="C728" s="275"/>
      <c r="D728" s="233"/>
      <c r="E728" s="336" t="s">
        <v>433</v>
      </c>
    </row>
    <row r="729" spans="1:5" ht="49.5">
      <c r="A729" s="280" t="str">
        <f>IF(AND(B729&lt;&gt;"",C729&lt;&gt;""),MAX($A$1:A728)+1,"")</f>
        <v/>
      </c>
      <c r="B729" s="299"/>
      <c r="C729" s="275"/>
      <c r="D729" s="233"/>
      <c r="E729" s="336" t="s">
        <v>434</v>
      </c>
    </row>
    <row r="730" spans="1:5" ht="66">
      <c r="A730" s="280" t="str">
        <f>IF(AND(B730&lt;&gt;"",C730&lt;&gt;""),MAX($A$1:A729)+1,"")</f>
        <v/>
      </c>
      <c r="B730" s="299"/>
      <c r="C730" s="275"/>
      <c r="D730" s="232"/>
      <c r="E730" s="336" t="s">
        <v>815</v>
      </c>
    </row>
    <row r="731" spans="1:5" ht="66">
      <c r="A731" s="280" t="str">
        <f>IF(AND(B731&lt;&gt;"",C731&lt;&gt;""),MAX($A$1:A730)+1,"")</f>
        <v/>
      </c>
      <c r="B731" s="299"/>
      <c r="C731" s="275"/>
      <c r="D731" s="232"/>
      <c r="E731" s="336" t="s">
        <v>816</v>
      </c>
    </row>
    <row r="732" spans="1:5" ht="66">
      <c r="A732" s="280" t="str">
        <f>IF(AND(B732&lt;&gt;"",C732&lt;&gt;""),MAX($A$1:A731)+1,"")</f>
        <v/>
      </c>
      <c r="B732" s="260"/>
      <c r="C732" s="275"/>
      <c r="D732" s="232"/>
      <c r="E732" s="336" t="s">
        <v>1516</v>
      </c>
    </row>
    <row r="733" spans="1:5" ht="66">
      <c r="A733" s="280" t="str">
        <f>IF(AND(B733&lt;&gt;"",C733&lt;&gt;""),MAX($A$1:A732)+1,"")</f>
        <v/>
      </c>
      <c r="B733" s="260"/>
      <c r="C733" s="275"/>
      <c r="D733" s="233"/>
      <c r="E733" s="336" t="s">
        <v>1567</v>
      </c>
    </row>
    <row r="734" spans="1:5" ht="66">
      <c r="A734" s="280">
        <f>IF(AND(B734&lt;&gt;"",C734&lt;&gt;""),MAX($A$1:A733)+1,"")</f>
        <v>114</v>
      </c>
      <c r="B734" s="261" t="s">
        <v>309</v>
      </c>
      <c r="C734" s="276" t="s">
        <v>298</v>
      </c>
      <c r="D734" s="245"/>
      <c r="E734" s="285"/>
    </row>
    <row r="735" spans="1:5" ht="49.5">
      <c r="A735" s="280" t="str">
        <f>IF(AND(B735&lt;&gt;"",C735&lt;&gt;""),MAX($A$1:A734)+1,"")</f>
        <v/>
      </c>
      <c r="B735" s="299"/>
      <c r="C735" s="357"/>
      <c r="D735" s="256"/>
      <c r="E735" s="336" t="s">
        <v>435</v>
      </c>
    </row>
    <row r="736" spans="1:5" ht="66">
      <c r="A736" s="280" t="str">
        <f>IF(AND(B736&lt;&gt;"",C736&lt;&gt;""),MAX($A$1:A735)+1,"")</f>
        <v/>
      </c>
      <c r="B736" s="299"/>
      <c r="C736" s="357"/>
      <c r="D736" s="256"/>
      <c r="E736" s="336" t="s">
        <v>436</v>
      </c>
    </row>
    <row r="737" spans="1:5" ht="49.5">
      <c r="A737" s="280" t="str">
        <f>IF(AND(B737&lt;&gt;"",C737&lt;&gt;""),MAX($A$1:A736)+1,"")</f>
        <v/>
      </c>
      <c r="B737" s="299"/>
      <c r="C737" s="357"/>
      <c r="D737" s="256"/>
      <c r="E737" s="336" t="s">
        <v>437</v>
      </c>
    </row>
    <row r="738" spans="1:5" ht="49.5">
      <c r="A738" s="280" t="str">
        <f>IF(AND(B738&lt;&gt;"",C738&lt;&gt;""),MAX($A$1:A737)+1,"")</f>
        <v/>
      </c>
      <c r="B738" s="299"/>
      <c r="C738" s="357"/>
      <c r="D738" s="256"/>
      <c r="E738" s="336" t="s">
        <v>438</v>
      </c>
    </row>
    <row r="739" spans="1:5" ht="49.5">
      <c r="A739" s="280" t="str">
        <f>IF(AND(B739&lt;&gt;"",C739&lt;&gt;""),MAX($A$1:A738)+1,"")</f>
        <v/>
      </c>
      <c r="B739" s="299"/>
      <c r="C739" s="357"/>
      <c r="D739" s="256"/>
      <c r="E739" s="336" t="s">
        <v>817</v>
      </c>
    </row>
    <row r="740" spans="1:5" ht="49.5">
      <c r="A740" s="280" t="str">
        <f>IF(AND(B740&lt;&gt;"",C740&lt;&gt;""),MAX($A$1:A739)+1,"")</f>
        <v/>
      </c>
      <c r="B740" s="299"/>
      <c r="C740" s="357"/>
      <c r="D740" s="254"/>
      <c r="E740" s="336" t="s">
        <v>818</v>
      </c>
    </row>
    <row r="741" spans="1:5" ht="49.5">
      <c r="A741" s="280" t="str">
        <f>IF(AND(B741&lt;&gt;"",C741&lt;&gt;""),MAX($A$1:A740)+1,"")</f>
        <v/>
      </c>
      <c r="B741" s="299"/>
      <c r="C741" s="357"/>
      <c r="D741" s="254"/>
      <c r="E741" s="336" t="s">
        <v>1517</v>
      </c>
    </row>
    <row r="742" spans="1:5" ht="49.5">
      <c r="A742" s="280" t="str">
        <f>IF(AND(B742&lt;&gt;"",C742&lt;&gt;""),MAX($A$1:A741)+1,"")</f>
        <v/>
      </c>
      <c r="B742" s="299"/>
      <c r="C742" s="275"/>
      <c r="D742" s="232"/>
      <c r="E742" s="336" t="s">
        <v>1568</v>
      </c>
    </row>
    <row r="743" spans="1:5" ht="66">
      <c r="A743" s="280">
        <f>IF(AND(B743&lt;&gt;"",C743&lt;&gt;""),MAX($A$1:A742)+1,"")</f>
        <v>115</v>
      </c>
      <c r="B743" s="261" t="s">
        <v>310</v>
      </c>
      <c r="C743" s="276" t="s">
        <v>298</v>
      </c>
      <c r="D743" s="237"/>
      <c r="E743" s="285"/>
    </row>
    <row r="744" spans="1:5" ht="49.5">
      <c r="A744" s="280" t="str">
        <f>IF(AND(B744&lt;&gt;"",C744&lt;&gt;""),MAX($A$1:A743)+1,"")</f>
        <v/>
      </c>
      <c r="B744" s="260"/>
      <c r="C744" s="275"/>
      <c r="D744" s="232"/>
      <c r="E744" s="336" t="s">
        <v>439</v>
      </c>
    </row>
    <row r="745" spans="1:5" ht="49.5">
      <c r="A745" s="280" t="str">
        <f>IF(AND(B745&lt;&gt;"",C745&lt;&gt;""),MAX($A$1:A744)+1,"")</f>
        <v/>
      </c>
      <c r="B745" s="260"/>
      <c r="C745" s="275"/>
      <c r="D745" s="232"/>
      <c r="E745" s="336" t="s">
        <v>440</v>
      </c>
    </row>
    <row r="746" spans="1:5" ht="49.5">
      <c r="A746" s="280" t="str">
        <f>IF(AND(B746&lt;&gt;"",C746&lt;&gt;""),MAX($A$1:A745)+1,"")</f>
        <v/>
      </c>
      <c r="B746" s="260"/>
      <c r="C746" s="275"/>
      <c r="D746" s="232"/>
      <c r="E746" s="336" t="s">
        <v>441</v>
      </c>
    </row>
    <row r="747" spans="1:5" ht="49.5">
      <c r="A747" s="280" t="str">
        <f>IF(AND(B747&lt;&gt;"",C747&lt;&gt;""),MAX($A$1:A746)+1,"")</f>
        <v/>
      </c>
      <c r="B747" s="260"/>
      <c r="C747" s="275"/>
      <c r="D747" s="232"/>
      <c r="E747" s="336" t="s">
        <v>442</v>
      </c>
    </row>
    <row r="748" spans="1:5" ht="49.5">
      <c r="A748" s="280" t="str">
        <f>IF(AND(B748&lt;&gt;"",C748&lt;&gt;""),MAX($A$1:A747)+1,"")</f>
        <v/>
      </c>
      <c r="B748" s="242"/>
      <c r="C748" s="275"/>
      <c r="D748" s="241"/>
      <c r="E748" s="336" t="s">
        <v>819</v>
      </c>
    </row>
    <row r="749" spans="1:5" ht="49.5">
      <c r="A749" s="280" t="str">
        <f>IF(AND(B749&lt;&gt;"",C749&lt;&gt;""),MAX($A$1:A748)+1,"")</f>
        <v/>
      </c>
      <c r="B749" s="242"/>
      <c r="C749" s="275"/>
      <c r="D749" s="241"/>
      <c r="E749" s="336" t="s">
        <v>820</v>
      </c>
    </row>
    <row r="750" spans="1:5" ht="49.5">
      <c r="A750" s="280" t="str">
        <f>IF(AND(B750&lt;&gt;"",C750&lt;&gt;""),MAX($A$1:A749)+1,"")</f>
        <v/>
      </c>
      <c r="B750" s="242"/>
      <c r="C750" s="241"/>
      <c r="D750" s="241"/>
      <c r="E750" s="336" t="s">
        <v>1518</v>
      </c>
    </row>
    <row r="751" spans="1:5" ht="49.5">
      <c r="A751" s="280" t="str">
        <f>IF(AND(B751&lt;&gt;"",C751&lt;&gt;""),MAX($A$1:A750)+1,"")</f>
        <v/>
      </c>
      <c r="B751" s="242"/>
      <c r="C751" s="241"/>
      <c r="D751" s="241"/>
      <c r="E751" s="336" t="s">
        <v>1569</v>
      </c>
    </row>
    <row r="752" spans="1:5" ht="99">
      <c r="A752" s="280">
        <f>IF(AND(B752&lt;&gt;"",C752&lt;&gt;""),MAX($A$1:A751)+1,"")</f>
        <v>116</v>
      </c>
      <c r="B752" s="261" t="s">
        <v>311</v>
      </c>
      <c r="C752" s="276" t="s">
        <v>298</v>
      </c>
      <c r="D752" s="237"/>
      <c r="E752" s="285"/>
    </row>
    <row r="753" spans="1:5" ht="66">
      <c r="A753" s="280" t="str">
        <f>IF(AND(B753&lt;&gt;"",C753&lt;&gt;""),MAX($A$1:A752)+1,"")</f>
        <v/>
      </c>
      <c r="B753" s="260"/>
      <c r="C753" s="275"/>
      <c r="D753" s="232"/>
      <c r="E753" s="336" t="s">
        <v>443</v>
      </c>
    </row>
    <row r="754" spans="1:5" ht="66">
      <c r="A754" s="280" t="str">
        <f>IF(AND(B754&lt;&gt;"",C754&lt;&gt;""),MAX($A$1:A753)+1,"")</f>
        <v/>
      </c>
      <c r="B754" s="260"/>
      <c r="C754" s="275"/>
      <c r="D754" s="232"/>
      <c r="E754" s="336" t="s">
        <v>444</v>
      </c>
    </row>
    <row r="755" spans="1:5" ht="66">
      <c r="A755" s="280" t="str">
        <f>IF(AND(B755&lt;&gt;"",C755&lt;&gt;""),MAX($A$1:A754)+1,"")</f>
        <v/>
      </c>
      <c r="B755" s="260"/>
      <c r="C755" s="275"/>
      <c r="D755" s="232"/>
      <c r="E755" s="336" t="s">
        <v>445</v>
      </c>
    </row>
    <row r="756" spans="1:5" ht="66">
      <c r="A756" s="280" t="str">
        <f>IF(AND(B756&lt;&gt;"",C756&lt;&gt;""),MAX($A$1:A755)+1,"")</f>
        <v/>
      </c>
      <c r="B756" s="260"/>
      <c r="C756" s="275"/>
      <c r="D756" s="232"/>
      <c r="E756" s="336" t="s">
        <v>446</v>
      </c>
    </row>
    <row r="757" spans="1:5" ht="66">
      <c r="A757" s="280" t="str">
        <f>IF(AND(B757&lt;&gt;"",C757&lt;&gt;""),MAX($A$1:A756)+1,"")</f>
        <v/>
      </c>
      <c r="B757" s="260"/>
      <c r="C757" s="275"/>
      <c r="D757" s="232"/>
      <c r="E757" s="336" t="s">
        <v>821</v>
      </c>
    </row>
    <row r="758" spans="1:5" ht="66">
      <c r="A758" s="280" t="str">
        <f>IF(AND(B758&lt;&gt;"",C758&lt;&gt;""),MAX($A$1:A757)+1,"")</f>
        <v/>
      </c>
      <c r="B758" s="260"/>
      <c r="C758" s="275"/>
      <c r="D758" s="232"/>
      <c r="E758" s="336" t="s">
        <v>822</v>
      </c>
    </row>
    <row r="759" spans="1:5" ht="66">
      <c r="A759" s="280" t="str">
        <f>IF(AND(B759&lt;&gt;"",C759&lt;&gt;""),MAX($A$1:A758)+1,"")</f>
        <v/>
      </c>
      <c r="B759" s="260"/>
      <c r="C759" s="275"/>
      <c r="D759" s="232"/>
      <c r="E759" s="336" t="s">
        <v>1519</v>
      </c>
    </row>
    <row r="760" spans="1:5" ht="66">
      <c r="A760" s="280" t="str">
        <f>IF(AND(B760&lt;&gt;"",C760&lt;&gt;""),MAX($A$1:A759)+1,"")</f>
        <v/>
      </c>
      <c r="B760" s="260"/>
      <c r="C760" s="275"/>
      <c r="D760" s="232"/>
      <c r="E760" s="336" t="s">
        <v>1570</v>
      </c>
    </row>
    <row r="761" spans="1:5" ht="82.5">
      <c r="A761" s="280">
        <f>IF(AND(B761&lt;&gt;"",C761&lt;&gt;""),MAX($A$1:A760)+1,"")</f>
        <v>117</v>
      </c>
      <c r="B761" s="261" t="s">
        <v>312</v>
      </c>
      <c r="C761" s="276" t="s">
        <v>298</v>
      </c>
      <c r="D761" s="237"/>
      <c r="E761" s="285"/>
    </row>
    <row r="762" spans="1:5" ht="49.5">
      <c r="A762" s="280" t="str">
        <f>IF(AND(B762&lt;&gt;"",C762&lt;&gt;""),MAX($A$1:A761)+1,"")</f>
        <v/>
      </c>
      <c r="B762" s="260"/>
      <c r="C762" s="275"/>
      <c r="D762" s="232"/>
      <c r="E762" s="336" t="s">
        <v>447</v>
      </c>
    </row>
    <row r="763" spans="1:5" ht="66">
      <c r="A763" s="280" t="str">
        <f>IF(AND(B763&lt;&gt;"",C763&lt;&gt;""),MAX($A$1:A762)+1,"")</f>
        <v/>
      </c>
      <c r="B763" s="260"/>
      <c r="C763" s="275"/>
      <c r="D763" s="232"/>
      <c r="E763" s="336" t="s">
        <v>448</v>
      </c>
    </row>
    <row r="764" spans="1:5" ht="49.5">
      <c r="A764" s="280" t="str">
        <f>IF(AND(B764&lt;&gt;"",C764&lt;&gt;""),MAX($A$1:A763)+1,"")</f>
        <v/>
      </c>
      <c r="B764" s="299"/>
      <c r="C764" s="275"/>
      <c r="D764" s="232"/>
      <c r="E764" s="336" t="s">
        <v>449</v>
      </c>
    </row>
    <row r="765" spans="1:5" ht="49.5">
      <c r="A765" s="280" t="str">
        <f>IF(AND(B765&lt;&gt;"",C765&lt;&gt;""),MAX($A$1:A764)+1,"")</f>
        <v/>
      </c>
      <c r="B765" s="299"/>
      <c r="C765" s="275"/>
      <c r="D765" s="232"/>
      <c r="E765" s="336" t="s">
        <v>450</v>
      </c>
    </row>
    <row r="766" spans="1:5" ht="66">
      <c r="A766" s="280" t="str">
        <f>IF(AND(B766&lt;&gt;"",C766&lt;&gt;""),MAX($A$1:A765)+1,"")</f>
        <v/>
      </c>
      <c r="B766" s="260"/>
      <c r="C766" s="275"/>
      <c r="D766" s="232"/>
      <c r="E766" s="336" t="s">
        <v>823</v>
      </c>
    </row>
    <row r="767" spans="1:5" ht="66">
      <c r="A767" s="280" t="str">
        <f>IF(AND(B767&lt;&gt;"",C767&lt;&gt;""),MAX($A$1:A766)+1,"")</f>
        <v/>
      </c>
      <c r="B767" s="260"/>
      <c r="C767" s="275"/>
      <c r="D767" s="232"/>
      <c r="E767" s="336" t="s">
        <v>824</v>
      </c>
    </row>
    <row r="768" spans="1:5" ht="66">
      <c r="A768" s="280" t="str">
        <f>IF(AND(B768&lt;&gt;"",C768&lt;&gt;""),MAX($A$1:A767)+1,"")</f>
        <v/>
      </c>
      <c r="B768" s="260"/>
      <c r="C768" s="275"/>
      <c r="D768" s="232"/>
      <c r="E768" s="336" t="s">
        <v>1520</v>
      </c>
    </row>
    <row r="769" spans="1:5" ht="66">
      <c r="A769" s="280" t="str">
        <f>IF(AND(B769&lt;&gt;"",C769&lt;&gt;""),MAX($A$1:A768)+1,"")</f>
        <v/>
      </c>
      <c r="B769" s="260"/>
      <c r="C769" s="275"/>
      <c r="D769" s="232"/>
      <c r="E769" s="336" t="s">
        <v>1571</v>
      </c>
    </row>
    <row r="770" spans="1:5" ht="66">
      <c r="A770" s="280">
        <f>IF(AND(B770&lt;&gt;"",C770&lt;&gt;""),MAX($A$1:A769)+1,"")</f>
        <v>118</v>
      </c>
      <c r="B770" s="261" t="s">
        <v>313</v>
      </c>
      <c r="C770" s="276" t="s">
        <v>298</v>
      </c>
      <c r="D770" s="237"/>
      <c r="E770" s="285"/>
    </row>
    <row r="771" spans="1:5" ht="49.5">
      <c r="A771" s="280" t="str">
        <f>IF(AND(B771&lt;&gt;"",C771&lt;&gt;""),MAX($A$1:A770)+1,"")</f>
        <v/>
      </c>
      <c r="B771" s="260"/>
      <c r="C771" s="275"/>
      <c r="D771" s="232"/>
      <c r="E771" s="336" t="s">
        <v>451</v>
      </c>
    </row>
    <row r="772" spans="1:5" ht="49.5">
      <c r="A772" s="280" t="str">
        <f>IF(AND(B772&lt;&gt;"",C772&lt;&gt;""),MAX($A$1:A771)+1,"")</f>
        <v/>
      </c>
      <c r="B772" s="260"/>
      <c r="C772" s="275"/>
      <c r="D772" s="233"/>
      <c r="E772" s="336" t="s">
        <v>452</v>
      </c>
    </row>
    <row r="773" spans="1:5" ht="49.5">
      <c r="A773" s="280" t="str">
        <f>IF(AND(B773&lt;&gt;"",C773&lt;&gt;""),MAX($A$1:A772)+1,"")</f>
        <v/>
      </c>
      <c r="B773" s="260"/>
      <c r="C773" s="275"/>
      <c r="D773" s="233"/>
      <c r="E773" s="336" t="s">
        <v>453</v>
      </c>
    </row>
    <row r="774" spans="1:5" ht="49.5">
      <c r="A774" s="280" t="str">
        <f>IF(AND(B774&lt;&gt;"",C774&lt;&gt;""),MAX($A$1:A773)+1,"")</f>
        <v/>
      </c>
      <c r="B774" s="260"/>
      <c r="C774" s="275"/>
      <c r="D774" s="233"/>
      <c r="E774" s="336" t="s">
        <v>454</v>
      </c>
    </row>
    <row r="775" spans="1:5" ht="49.5">
      <c r="A775" s="280" t="str">
        <f>IF(AND(B775&lt;&gt;"",C775&lt;&gt;""),MAX($A$1:A774)+1,"")</f>
        <v/>
      </c>
      <c r="B775" s="299"/>
      <c r="C775" s="275"/>
      <c r="D775" s="232"/>
      <c r="E775" s="336" t="s">
        <v>825</v>
      </c>
    </row>
    <row r="776" spans="1:5" ht="49.5">
      <c r="A776" s="280" t="str">
        <f>IF(AND(B776&lt;&gt;"",C776&lt;&gt;""),MAX($A$1:A775)+1,"")</f>
        <v/>
      </c>
      <c r="B776" s="299"/>
      <c r="C776" s="275"/>
      <c r="D776" s="232"/>
      <c r="E776" s="336" t="s">
        <v>826</v>
      </c>
    </row>
    <row r="777" spans="1:5" ht="49.5">
      <c r="A777" s="280" t="str">
        <f>IF(AND(B777&lt;&gt;"",C777&lt;&gt;""),MAX($A$1:A776)+1,"")</f>
        <v/>
      </c>
      <c r="B777" s="299"/>
      <c r="C777" s="275"/>
      <c r="D777" s="232"/>
      <c r="E777" s="336" t="s">
        <v>1521</v>
      </c>
    </row>
    <row r="778" spans="1:5" ht="49.5">
      <c r="A778" s="280" t="str">
        <f>IF(AND(B778&lt;&gt;"",C778&lt;&gt;""),MAX($A$1:A777)+1,"")</f>
        <v/>
      </c>
      <c r="B778" s="260"/>
      <c r="C778" s="275"/>
      <c r="D778" s="232"/>
      <c r="E778" s="336" t="s">
        <v>1572</v>
      </c>
    </row>
    <row r="779" spans="1:5" ht="66">
      <c r="A779" s="280">
        <f>IF(AND(B779&lt;&gt;"",C779&lt;&gt;""),MAX($A$1:A778)+1,"")</f>
        <v>119</v>
      </c>
      <c r="B779" s="261" t="s">
        <v>314</v>
      </c>
      <c r="C779" s="276" t="s">
        <v>298</v>
      </c>
      <c r="D779" s="237"/>
      <c r="E779" s="285"/>
    </row>
    <row r="780" spans="1:5" ht="49.5">
      <c r="A780" s="280" t="str">
        <f>IF(AND(B780&lt;&gt;"",C780&lt;&gt;""),MAX($A$1:A779)+1,"")</f>
        <v/>
      </c>
      <c r="B780" s="260"/>
      <c r="C780" s="275"/>
      <c r="D780" s="232"/>
      <c r="E780" s="336" t="s">
        <v>455</v>
      </c>
    </row>
    <row r="781" spans="1:5" ht="49.5">
      <c r="A781" s="280" t="str">
        <f>IF(AND(B781&lt;&gt;"",C781&lt;&gt;""),MAX($A$1:A780)+1,"")</f>
        <v/>
      </c>
      <c r="B781" s="260"/>
      <c r="C781" s="275"/>
      <c r="D781" s="232"/>
      <c r="E781" s="336" t="s">
        <v>456</v>
      </c>
    </row>
    <row r="782" spans="1:5" ht="49.5">
      <c r="A782" s="280" t="str">
        <f>IF(AND(B782&lt;&gt;"",C782&lt;&gt;""),MAX($A$1:A781)+1,"")</f>
        <v/>
      </c>
      <c r="B782" s="260"/>
      <c r="C782" s="275"/>
      <c r="D782" s="232"/>
      <c r="E782" s="336" t="s">
        <v>457</v>
      </c>
    </row>
    <row r="783" spans="1:5" ht="49.5">
      <c r="A783" s="280" t="str">
        <f>IF(AND(B783&lt;&gt;"",C783&lt;&gt;""),MAX($A$1:A782)+1,"")</f>
        <v/>
      </c>
      <c r="B783" s="260"/>
      <c r="C783" s="275"/>
      <c r="D783" s="232"/>
      <c r="E783" s="336" t="s">
        <v>458</v>
      </c>
    </row>
    <row r="784" spans="1:5" ht="49.5">
      <c r="A784" s="280" t="str">
        <f>IF(AND(B784&lt;&gt;"",C784&lt;&gt;""),MAX($A$1:A783)+1,"")</f>
        <v/>
      </c>
      <c r="B784" s="260"/>
      <c r="C784" s="275"/>
      <c r="D784" s="233"/>
      <c r="E784" s="336" t="s">
        <v>827</v>
      </c>
    </row>
    <row r="785" spans="1:5" ht="49.5">
      <c r="A785" s="280" t="str">
        <f>IF(AND(B785&lt;&gt;"",C785&lt;&gt;""),MAX($A$1:A784)+1,"")</f>
        <v/>
      </c>
      <c r="B785" s="260"/>
      <c r="C785" s="275"/>
      <c r="D785" s="233"/>
      <c r="E785" s="336" t="s">
        <v>828</v>
      </c>
    </row>
    <row r="786" spans="1:5" ht="49.5">
      <c r="A786" s="280" t="str">
        <f>IF(AND(B786&lt;&gt;"",C786&lt;&gt;""),MAX($A$1:A785)+1,"")</f>
        <v/>
      </c>
      <c r="B786" s="260"/>
      <c r="C786" s="275"/>
      <c r="D786" s="233"/>
      <c r="E786" s="336" t="s">
        <v>1522</v>
      </c>
    </row>
    <row r="787" spans="1:5" ht="49.5">
      <c r="A787" s="280" t="str">
        <f>IF(AND(B787&lt;&gt;"",C787&lt;&gt;""),MAX($A$1:A786)+1,"")</f>
        <v/>
      </c>
      <c r="B787" s="260"/>
      <c r="C787" s="275"/>
      <c r="D787" s="233"/>
      <c r="E787" s="336" t="s">
        <v>1573</v>
      </c>
    </row>
    <row r="788" spans="1:5" ht="66">
      <c r="A788" s="280">
        <f>IF(AND(B788&lt;&gt;"",C788&lt;&gt;""),MAX($A$1:A787)+1,"")</f>
        <v>120</v>
      </c>
      <c r="B788" s="261" t="s">
        <v>315</v>
      </c>
      <c r="C788" s="276" t="s">
        <v>298</v>
      </c>
      <c r="D788" s="237"/>
      <c r="E788" s="285"/>
    </row>
    <row r="789" spans="1:5" ht="49.5">
      <c r="A789" s="280" t="str">
        <f>IF(AND(B789&lt;&gt;"",C789&lt;&gt;""),MAX($A$1:A788)+1,"")</f>
        <v/>
      </c>
      <c r="B789" s="260"/>
      <c r="C789" s="275"/>
      <c r="D789" s="232"/>
      <c r="E789" s="336" t="s">
        <v>459</v>
      </c>
    </row>
    <row r="790" spans="1:5" s="274" customFormat="1" ht="66">
      <c r="A790" s="280" t="str">
        <f>IF(AND(B790&lt;&gt;"",C790&lt;&gt;""),MAX($A$1:A789)+1,"")</f>
        <v/>
      </c>
      <c r="B790" s="260"/>
      <c r="C790" s="275"/>
      <c r="D790" s="232"/>
      <c r="E790" s="336" t="s">
        <v>460</v>
      </c>
    </row>
    <row r="791" spans="1:5" ht="49.5">
      <c r="A791" s="280" t="str">
        <f>IF(AND(B791&lt;&gt;"",C791&lt;&gt;""),MAX($A$1:A790)+1,"")</f>
        <v/>
      </c>
      <c r="B791" s="260"/>
      <c r="C791" s="275"/>
      <c r="D791" s="232"/>
      <c r="E791" s="336" t="s">
        <v>461</v>
      </c>
    </row>
    <row r="792" spans="1:5" ht="49.5">
      <c r="A792" s="280" t="str">
        <f>IF(AND(B792&lt;&gt;"",C792&lt;&gt;""),MAX($A$1:A791)+1,"")</f>
        <v/>
      </c>
      <c r="B792" s="260"/>
      <c r="C792" s="275"/>
      <c r="D792" s="233"/>
      <c r="E792" s="336" t="s">
        <v>462</v>
      </c>
    </row>
    <row r="793" spans="1:5" ht="49.5">
      <c r="A793" s="280" t="str">
        <f>IF(AND(B793&lt;&gt;"",C793&lt;&gt;""),MAX($A$1:A792)+1,"")</f>
        <v/>
      </c>
      <c r="B793" s="260"/>
      <c r="C793" s="275"/>
      <c r="D793" s="233"/>
      <c r="E793" s="336" t="s">
        <v>829</v>
      </c>
    </row>
    <row r="794" spans="1:5" ht="66">
      <c r="A794" s="280" t="str">
        <f>IF(AND(B794&lt;&gt;"",C794&lt;&gt;""),MAX($A$1:A793)+1,"")</f>
        <v/>
      </c>
      <c r="B794" s="260"/>
      <c r="C794" s="275"/>
      <c r="D794" s="233"/>
      <c r="E794" s="336" t="s">
        <v>830</v>
      </c>
    </row>
    <row r="795" spans="1:5" ht="49.5">
      <c r="A795" s="280" t="str">
        <f>IF(AND(B795&lt;&gt;"",C795&lt;&gt;""),MAX($A$1:A794)+1,"")</f>
        <v/>
      </c>
      <c r="B795" s="260"/>
      <c r="C795" s="275"/>
      <c r="D795" s="233"/>
      <c r="E795" s="336" t="s">
        <v>1523</v>
      </c>
    </row>
    <row r="796" spans="1:5" ht="49.5">
      <c r="A796" s="280" t="str">
        <f>IF(AND(B796&lt;&gt;"",C796&lt;&gt;""),MAX($A$1:A795)+1,"")</f>
        <v/>
      </c>
      <c r="B796" s="260"/>
      <c r="C796" s="275"/>
      <c r="D796" s="233"/>
      <c r="E796" s="336" t="s">
        <v>1574</v>
      </c>
    </row>
    <row r="797" spans="1:5" ht="66">
      <c r="A797" s="280">
        <f>IF(AND(B797&lt;&gt;"",C797&lt;&gt;""),MAX($A$1:A796)+1,"")</f>
        <v>121</v>
      </c>
      <c r="B797" s="261" t="s">
        <v>316</v>
      </c>
      <c r="C797" s="276" t="s">
        <v>298</v>
      </c>
      <c r="D797" s="245"/>
      <c r="E797" s="285"/>
    </row>
    <row r="798" spans="1:5" ht="49.5">
      <c r="A798" s="280" t="str">
        <f>IF(AND(B798&lt;&gt;"",C798&lt;&gt;""),MAX($A$1:A797)+1,"")</f>
        <v/>
      </c>
      <c r="B798" s="260"/>
      <c r="C798" s="275"/>
      <c r="D798" s="233"/>
      <c r="E798" s="336" t="s">
        <v>463</v>
      </c>
    </row>
    <row r="799" spans="1:5" ht="49.5">
      <c r="A799" s="280" t="str">
        <f>IF(AND(B799&lt;&gt;"",C799&lt;&gt;""),MAX($A$1:A798)+1,"")</f>
        <v/>
      </c>
      <c r="B799" s="260"/>
      <c r="C799" s="275"/>
      <c r="D799" s="233"/>
      <c r="E799" s="336" t="s">
        <v>464</v>
      </c>
    </row>
    <row r="800" spans="1:5" ht="49.5">
      <c r="A800" s="280" t="str">
        <f>IF(AND(B800&lt;&gt;"",C800&lt;&gt;""),MAX($A$1:A799)+1,"")</f>
        <v/>
      </c>
      <c r="B800" s="260"/>
      <c r="C800" s="275"/>
      <c r="D800" s="233"/>
      <c r="E800" s="336" t="s">
        <v>465</v>
      </c>
    </row>
    <row r="801" spans="1:5" ht="49.5">
      <c r="A801" s="280" t="str">
        <f>IF(AND(B801&lt;&gt;"",C801&lt;&gt;""),MAX($A$1:A800)+1,"")</f>
        <v/>
      </c>
      <c r="B801" s="260"/>
      <c r="C801" s="275"/>
      <c r="D801" s="232"/>
      <c r="E801" s="336" t="s">
        <v>466</v>
      </c>
    </row>
    <row r="802" spans="1:5" ht="49.5">
      <c r="A802" s="280" t="str">
        <f>IF(AND(B802&lt;&gt;"",C802&lt;&gt;""),MAX($A$1:A801)+1,"")</f>
        <v/>
      </c>
      <c r="B802" s="260"/>
      <c r="C802" s="275"/>
      <c r="D802" s="232"/>
      <c r="E802" s="336" t="s">
        <v>831</v>
      </c>
    </row>
    <row r="803" spans="1:5" ht="49.5">
      <c r="A803" s="280" t="str">
        <f>IF(AND(B803&lt;&gt;"",C803&lt;&gt;""),MAX($A$1:A802)+1,"")</f>
        <v/>
      </c>
      <c r="B803" s="260"/>
      <c r="C803" s="275"/>
      <c r="D803" s="232"/>
      <c r="E803" s="336" t="s">
        <v>832</v>
      </c>
    </row>
    <row r="804" spans="1:5" ht="49.5">
      <c r="A804" s="280" t="str">
        <f>IF(AND(B804&lt;&gt;"",C804&lt;&gt;""),MAX($A$1:A803)+1,"")</f>
        <v/>
      </c>
      <c r="B804" s="260"/>
      <c r="C804" s="275"/>
      <c r="D804" s="232"/>
      <c r="E804" s="336" t="s">
        <v>1524</v>
      </c>
    </row>
    <row r="805" spans="1:5" ht="49.5">
      <c r="A805" s="280" t="str">
        <f>IF(AND(B805&lt;&gt;"",C805&lt;&gt;""),MAX($A$1:A804)+1,"")</f>
        <v/>
      </c>
      <c r="B805" s="303"/>
      <c r="C805" s="359"/>
      <c r="D805" s="258"/>
      <c r="E805" s="336" t="s">
        <v>1575</v>
      </c>
    </row>
    <row r="806" spans="1:5" ht="66">
      <c r="A806" s="280">
        <f>IF(AND(B806&lt;&gt;"",C806&lt;&gt;""),MAX($A$1:A805)+1,"")</f>
        <v>122</v>
      </c>
      <c r="B806" s="261" t="s">
        <v>317</v>
      </c>
      <c r="C806" s="276" t="s">
        <v>298</v>
      </c>
      <c r="D806" s="259"/>
      <c r="E806" s="285"/>
    </row>
    <row r="807" spans="1:5" ht="49.5">
      <c r="A807" s="280" t="str">
        <f>IF(AND(B807&lt;&gt;"",C807&lt;&gt;""),MAX($A$1:A806)+1,"")</f>
        <v/>
      </c>
      <c r="B807" s="271"/>
      <c r="C807" s="359"/>
      <c r="D807" s="259"/>
      <c r="E807" s="336" t="s">
        <v>467</v>
      </c>
    </row>
    <row r="808" spans="1:5" ht="66">
      <c r="A808" s="280" t="str">
        <f>IF(AND(B808&lt;&gt;"",C808&lt;&gt;""),MAX($A$1:A807)+1,"")</f>
        <v/>
      </c>
      <c r="B808" s="271"/>
      <c r="C808" s="359"/>
      <c r="D808" s="259"/>
      <c r="E808" s="336" t="s">
        <v>468</v>
      </c>
    </row>
    <row r="809" spans="1:5" ht="49.5">
      <c r="A809" s="280" t="str">
        <f>IF(AND(B809&lt;&gt;"",C809&lt;&gt;""),MAX($A$1:A808)+1,"")</f>
        <v/>
      </c>
      <c r="B809" s="303"/>
      <c r="C809" s="359"/>
      <c r="D809" s="258"/>
      <c r="E809" s="336" t="s">
        <v>469</v>
      </c>
    </row>
    <row r="810" spans="1:5" ht="49.5">
      <c r="A810" s="280" t="str">
        <f>IF(AND(B810&lt;&gt;"",C810&lt;&gt;""),MAX($A$1:A809)+1,"")</f>
        <v/>
      </c>
      <c r="B810" s="271"/>
      <c r="C810" s="359"/>
      <c r="D810" s="259"/>
      <c r="E810" s="336" t="s">
        <v>470</v>
      </c>
    </row>
    <row r="811" spans="1:5" ht="66">
      <c r="A811" s="280" t="str">
        <f>IF(AND(B811&lt;&gt;"",C811&lt;&gt;""),MAX($A$1:A810)+1,"")</f>
        <v/>
      </c>
      <c r="B811" s="272"/>
      <c r="C811" s="360"/>
      <c r="D811" s="259"/>
      <c r="E811" s="336" t="s">
        <v>833</v>
      </c>
    </row>
    <row r="812" spans="1:5" ht="66">
      <c r="A812" s="280" t="str">
        <f>IF(AND(B812&lt;&gt;"",C812&lt;&gt;""),MAX($A$1:A811)+1,"")</f>
        <v/>
      </c>
      <c r="B812" s="272"/>
      <c r="C812" s="361"/>
      <c r="D812" s="259"/>
      <c r="E812" s="336" t="s">
        <v>834</v>
      </c>
    </row>
    <row r="813" spans="1:5" ht="66">
      <c r="A813" s="280" t="str">
        <f>IF(AND(B813&lt;&gt;"",C813&lt;&gt;""),MAX($A$1:A812)+1,"")</f>
        <v/>
      </c>
      <c r="B813" s="299"/>
      <c r="C813" s="275"/>
      <c r="D813" s="232"/>
      <c r="E813" s="336" t="s">
        <v>1525</v>
      </c>
    </row>
    <row r="814" spans="1:5" ht="66">
      <c r="A814" s="280" t="str">
        <f>IF(AND(B814&lt;&gt;"",C814&lt;&gt;""),MAX($A$1:A813)+1,"")</f>
        <v/>
      </c>
      <c r="B814" s="299"/>
      <c r="C814" s="275"/>
      <c r="D814" s="232"/>
      <c r="E814" s="336" t="s">
        <v>1576</v>
      </c>
    </row>
    <row r="815" spans="1:5" ht="132">
      <c r="A815" s="280">
        <f>IF(AND(B815&lt;&gt;"",C815&lt;&gt;""),MAX($A$1:A814)+1,"")</f>
        <v>123</v>
      </c>
      <c r="B815" s="261" t="s">
        <v>318</v>
      </c>
      <c r="C815" s="276" t="s">
        <v>298</v>
      </c>
      <c r="D815" s="237"/>
      <c r="E815" s="285"/>
    </row>
    <row r="816" spans="1:5" ht="66">
      <c r="A816" s="280" t="str">
        <f>IF(AND(B816&lt;&gt;"",C816&lt;&gt;""),MAX($A$1:A815)+1,"")</f>
        <v/>
      </c>
      <c r="B816" s="260"/>
      <c r="C816" s="275"/>
      <c r="D816" s="232"/>
      <c r="E816" s="336" t="s">
        <v>471</v>
      </c>
    </row>
    <row r="817" spans="1:5" ht="82.5">
      <c r="A817" s="280" t="str">
        <f>IF(AND(B817&lt;&gt;"",C817&lt;&gt;""),MAX($A$1:A816)+1,"")</f>
        <v/>
      </c>
      <c r="B817" s="260"/>
      <c r="C817" s="275"/>
      <c r="D817" s="232"/>
      <c r="E817" s="336" t="s">
        <v>472</v>
      </c>
    </row>
    <row r="818" spans="1:5" ht="66">
      <c r="A818" s="280" t="str">
        <f>IF(AND(B818&lt;&gt;"",C818&lt;&gt;""),MAX($A$1:A817)+1,"")</f>
        <v/>
      </c>
      <c r="B818" s="260"/>
      <c r="C818" s="275"/>
      <c r="D818" s="232"/>
      <c r="E818" s="336" t="s">
        <v>473</v>
      </c>
    </row>
    <row r="819" spans="1:5" ht="66">
      <c r="A819" s="280" t="str">
        <f>IF(AND(B819&lt;&gt;"",C819&lt;&gt;""),MAX($A$1:A818)+1,"")</f>
        <v/>
      </c>
      <c r="B819" s="260"/>
      <c r="C819" s="275"/>
      <c r="D819" s="232"/>
      <c r="E819" s="336" t="s">
        <v>474</v>
      </c>
    </row>
    <row r="820" spans="1:5" ht="66">
      <c r="A820" s="280" t="str">
        <f>IF(AND(B820&lt;&gt;"",C820&lt;&gt;""),MAX($A$1:A819)+1,"")</f>
        <v/>
      </c>
      <c r="B820" s="260"/>
      <c r="C820" s="275"/>
      <c r="D820" s="232"/>
      <c r="E820" s="336" t="s">
        <v>835</v>
      </c>
    </row>
    <row r="821" spans="1:5" ht="82.5">
      <c r="A821" s="280" t="str">
        <f>IF(AND(B821&lt;&gt;"",C821&lt;&gt;""),MAX($A$1:A820)+1,"")</f>
        <v/>
      </c>
      <c r="B821" s="260"/>
      <c r="C821" s="275"/>
      <c r="D821" s="232"/>
      <c r="E821" s="336" t="s">
        <v>836</v>
      </c>
    </row>
    <row r="822" spans="1:5" ht="66">
      <c r="A822" s="280" t="str">
        <f>IF(AND(B822&lt;&gt;"",C822&lt;&gt;""),MAX($A$1:A821)+1,"")</f>
        <v/>
      </c>
      <c r="B822" s="260"/>
      <c r="C822" s="275"/>
      <c r="D822" s="232"/>
      <c r="E822" s="336" t="s">
        <v>1526</v>
      </c>
    </row>
    <row r="823" spans="1:5" ht="66">
      <c r="A823" s="280" t="str">
        <f>IF(AND(B823&lt;&gt;"",C823&lt;&gt;""),MAX($A$1:A822)+1,"")</f>
        <v/>
      </c>
      <c r="B823" s="260"/>
      <c r="C823" s="275"/>
      <c r="D823" s="232"/>
      <c r="E823" s="336" t="s">
        <v>1577</v>
      </c>
    </row>
    <row r="824" spans="1:5" ht="82.5">
      <c r="A824" s="280">
        <f>IF(AND(B824&lt;&gt;"",C824&lt;&gt;""),MAX($A$1:A823)+1,"")</f>
        <v>124</v>
      </c>
      <c r="B824" s="261" t="s">
        <v>319</v>
      </c>
      <c r="C824" s="276" t="s">
        <v>298</v>
      </c>
      <c r="D824" s="237"/>
      <c r="E824" s="285"/>
    </row>
    <row r="825" spans="1:5" ht="66">
      <c r="A825" s="280" t="str">
        <f>IF(AND(B825&lt;&gt;"",C825&lt;&gt;""),MAX($A$1:A824)+1,"")</f>
        <v/>
      </c>
      <c r="B825" s="260"/>
      <c r="C825" s="275"/>
      <c r="D825" s="232"/>
      <c r="E825" s="336" t="s">
        <v>475</v>
      </c>
    </row>
    <row r="826" spans="1:5" ht="66">
      <c r="A826" s="280" t="str">
        <f>IF(AND(B826&lt;&gt;"",C826&lt;&gt;""),MAX($A$1:A825)+1,"")</f>
        <v/>
      </c>
      <c r="B826" s="260"/>
      <c r="C826" s="275"/>
      <c r="D826" s="232"/>
      <c r="E826" s="336" t="s">
        <v>476</v>
      </c>
    </row>
    <row r="827" spans="1:5" ht="66">
      <c r="A827" s="280" t="str">
        <f>IF(AND(B827&lt;&gt;"",C827&lt;&gt;""),MAX($A$1:A826)+1,"")</f>
        <v/>
      </c>
      <c r="B827" s="260"/>
      <c r="C827" s="275"/>
      <c r="D827" s="233"/>
      <c r="E827" s="336" t="s">
        <v>477</v>
      </c>
    </row>
    <row r="828" spans="1:5" ht="66">
      <c r="A828" s="280" t="str">
        <f>IF(AND(B828&lt;&gt;"",C828&lt;&gt;""),MAX($A$1:A827)+1,"")</f>
        <v/>
      </c>
      <c r="B828" s="260"/>
      <c r="C828" s="275"/>
      <c r="D828" s="233"/>
      <c r="E828" s="336" t="s">
        <v>478</v>
      </c>
    </row>
    <row r="829" spans="1:5" ht="66">
      <c r="A829" s="280" t="str">
        <f>IF(AND(B829&lt;&gt;"",C829&lt;&gt;""),MAX($A$1:A828)+1,"")</f>
        <v/>
      </c>
      <c r="B829" s="260"/>
      <c r="C829" s="275"/>
      <c r="D829" s="233"/>
      <c r="E829" s="336" t="s">
        <v>837</v>
      </c>
    </row>
    <row r="830" spans="1:5" ht="66">
      <c r="A830" s="280" t="str">
        <f>IF(AND(B830&lt;&gt;"",C830&lt;&gt;""),MAX($A$1:A829)+1,"")</f>
        <v/>
      </c>
      <c r="B830" s="260"/>
      <c r="C830" s="275"/>
      <c r="D830" s="232"/>
      <c r="E830" s="336" t="s">
        <v>838</v>
      </c>
    </row>
    <row r="831" spans="1:5" ht="66">
      <c r="A831" s="280" t="str">
        <f>IF(AND(B831&lt;&gt;"",C831&lt;&gt;""),MAX($A$1:A830)+1,"")</f>
        <v/>
      </c>
      <c r="B831" s="260"/>
      <c r="C831" s="275"/>
      <c r="D831" s="232"/>
      <c r="E831" s="336" t="s">
        <v>1527</v>
      </c>
    </row>
    <row r="832" spans="1:5" ht="66">
      <c r="A832" s="280" t="str">
        <f>IF(AND(B832&lt;&gt;"",C832&lt;&gt;""),MAX($A$1:A831)+1,"")</f>
        <v/>
      </c>
      <c r="B832" s="260"/>
      <c r="C832" s="275"/>
      <c r="D832" s="232"/>
      <c r="E832" s="336" t="s">
        <v>1578</v>
      </c>
    </row>
    <row r="833" spans="1:5" ht="82.5">
      <c r="A833" s="280">
        <f>IF(AND(B833&lt;&gt;"",C833&lt;&gt;""),MAX($A$1:A832)+1,"")</f>
        <v>125</v>
      </c>
      <c r="B833" s="261" t="s">
        <v>320</v>
      </c>
      <c r="C833" s="276" t="s">
        <v>298</v>
      </c>
      <c r="D833" s="237"/>
      <c r="E833" s="285"/>
    </row>
    <row r="834" spans="1:5" ht="49.5">
      <c r="A834" s="280" t="str">
        <f>IF(AND(B834&lt;&gt;"",C834&lt;&gt;""),MAX($A$1:A833)+1,"")</f>
        <v/>
      </c>
      <c r="B834" s="260"/>
      <c r="C834" s="275"/>
      <c r="D834" s="233"/>
      <c r="E834" s="336" t="s">
        <v>479</v>
      </c>
    </row>
    <row r="835" spans="1:5" ht="66">
      <c r="A835" s="280" t="str">
        <f>IF(AND(B835&lt;&gt;"",C835&lt;&gt;""),MAX($A$1:A834)+1,"")</f>
        <v/>
      </c>
      <c r="B835" s="260"/>
      <c r="C835" s="275"/>
      <c r="D835" s="233"/>
      <c r="E835" s="336" t="s">
        <v>480</v>
      </c>
    </row>
    <row r="836" spans="1:5" ht="49.5">
      <c r="A836" s="280" t="str">
        <f>IF(AND(B836&lt;&gt;"",C836&lt;&gt;""),MAX($A$1:A835)+1,"")</f>
        <v/>
      </c>
      <c r="B836" s="299"/>
      <c r="C836" s="275"/>
      <c r="D836" s="232"/>
      <c r="E836" s="336" t="s">
        <v>481</v>
      </c>
    </row>
    <row r="837" spans="1:5" ht="49.5">
      <c r="A837" s="280" t="str">
        <f>IF(AND(B837&lt;&gt;"",C837&lt;&gt;""),MAX($A$1:A836)+1,"")</f>
        <v/>
      </c>
      <c r="B837" s="299"/>
      <c r="C837" s="275"/>
      <c r="D837" s="232"/>
      <c r="E837" s="336" t="s">
        <v>482</v>
      </c>
    </row>
    <row r="838" spans="1:5" ht="66">
      <c r="A838" s="280" t="str">
        <f>IF(AND(B838&lt;&gt;"",C838&lt;&gt;""),MAX($A$1:A837)+1,"")</f>
        <v/>
      </c>
      <c r="B838" s="260"/>
      <c r="C838" s="275"/>
      <c r="D838" s="232"/>
      <c r="E838" s="336" t="s">
        <v>839</v>
      </c>
    </row>
    <row r="839" spans="1:5" ht="66">
      <c r="A839" s="280" t="str">
        <f>IF(AND(B839&lt;&gt;"",C839&lt;&gt;""),MAX($A$1:A838)+1,"")</f>
        <v/>
      </c>
      <c r="B839" s="260"/>
      <c r="C839" s="275"/>
      <c r="D839" s="232"/>
      <c r="E839" s="336" t="s">
        <v>840</v>
      </c>
    </row>
    <row r="840" spans="1:5" ht="66">
      <c r="A840" s="280" t="str">
        <f>IF(AND(B840&lt;&gt;"",C840&lt;&gt;""),MAX($A$1:A839)+1,"")</f>
        <v/>
      </c>
      <c r="B840" s="260"/>
      <c r="C840" s="275"/>
      <c r="D840" s="232"/>
      <c r="E840" s="336" t="s">
        <v>1528</v>
      </c>
    </row>
    <row r="841" spans="1:5" ht="66">
      <c r="A841" s="280" t="str">
        <f>IF(AND(B841&lt;&gt;"",C841&lt;&gt;""),MAX($A$1:A840)+1,"")</f>
        <v/>
      </c>
      <c r="B841" s="260"/>
      <c r="C841" s="275"/>
      <c r="D841" s="232"/>
      <c r="E841" s="336" t="s">
        <v>1579</v>
      </c>
    </row>
    <row r="842" spans="1:5" ht="132">
      <c r="A842" s="280">
        <f>IF(AND(B842&lt;&gt;"",C842&lt;&gt;""),MAX($A$1:A841)+1,"")</f>
        <v>126</v>
      </c>
      <c r="B842" s="261" t="s">
        <v>321</v>
      </c>
      <c r="C842" s="276" t="s">
        <v>298</v>
      </c>
      <c r="D842" s="293"/>
      <c r="E842" s="285"/>
    </row>
    <row r="843" spans="1:5" ht="66">
      <c r="A843" s="280" t="str">
        <f>IF(AND(B843&lt;&gt;"",C843&lt;&gt;""),MAX($A$1:A842)+1,"")</f>
        <v/>
      </c>
      <c r="B843" s="260"/>
      <c r="C843" s="275"/>
      <c r="D843" s="233"/>
      <c r="E843" s="336" t="s">
        <v>483</v>
      </c>
    </row>
    <row r="844" spans="1:5" ht="82.5">
      <c r="A844" s="280" t="str">
        <f>IF(AND(B844&lt;&gt;"",C844&lt;&gt;""),MAX($A$1:A843)+1,"")</f>
        <v/>
      </c>
      <c r="B844" s="260"/>
      <c r="C844" s="275"/>
      <c r="D844" s="233"/>
      <c r="E844" s="336" t="s">
        <v>484</v>
      </c>
    </row>
    <row r="845" spans="1:5" ht="66">
      <c r="A845" s="280" t="str">
        <f>IF(AND(B845&lt;&gt;"",C845&lt;&gt;""),MAX($A$1:A844)+1,"")</f>
        <v/>
      </c>
      <c r="B845" s="260"/>
      <c r="C845" s="275"/>
      <c r="D845" s="233"/>
      <c r="E845" s="336" t="s">
        <v>485</v>
      </c>
    </row>
    <row r="846" spans="1:5" ht="66">
      <c r="A846" s="280" t="str">
        <f>IF(AND(B846&lt;&gt;"",C846&lt;&gt;""),MAX($A$1:A845)+1,"")</f>
        <v/>
      </c>
      <c r="B846" s="260"/>
      <c r="C846" s="275"/>
      <c r="D846" s="233"/>
      <c r="E846" s="336" t="s">
        <v>486</v>
      </c>
    </row>
    <row r="847" spans="1:5" ht="66">
      <c r="A847" s="280" t="str">
        <f>IF(AND(B847&lt;&gt;"",C847&lt;&gt;""),MAX($A$1:A846)+1,"")</f>
        <v/>
      </c>
      <c r="B847" s="260"/>
      <c r="C847" s="275"/>
      <c r="D847" s="232"/>
      <c r="E847" s="336" t="s">
        <v>841</v>
      </c>
    </row>
    <row r="848" spans="1:5" ht="82.5">
      <c r="A848" s="280" t="str">
        <f>IF(AND(B848&lt;&gt;"",C848&lt;&gt;""),MAX($A$1:A847)+1,"")</f>
        <v/>
      </c>
      <c r="B848" s="260"/>
      <c r="C848" s="275"/>
      <c r="D848" s="232"/>
      <c r="E848" s="336" t="s">
        <v>842</v>
      </c>
    </row>
    <row r="849" spans="1:5" ht="66">
      <c r="A849" s="280" t="str">
        <f>IF(AND(B849&lt;&gt;"",C849&lt;&gt;""),MAX($A$1:A848)+1,"")</f>
        <v/>
      </c>
      <c r="B849" s="260"/>
      <c r="C849" s="275"/>
      <c r="D849" s="232"/>
      <c r="E849" s="336" t="s">
        <v>1529</v>
      </c>
    </row>
    <row r="850" spans="1:5" ht="66">
      <c r="A850" s="280" t="str">
        <f>IF(AND(B850&lt;&gt;"",C850&lt;&gt;""),MAX($A$1:A849)+1,"")</f>
        <v/>
      </c>
      <c r="B850" s="260"/>
      <c r="C850" s="275"/>
      <c r="D850" s="233"/>
      <c r="E850" s="336" t="s">
        <v>1580</v>
      </c>
    </row>
    <row r="851" spans="1:5" ht="99">
      <c r="A851" s="280">
        <f>IF(AND(B851&lt;&gt;"",C851&lt;&gt;""),MAX($A$1:A850)+1,"")</f>
        <v>127</v>
      </c>
      <c r="B851" s="261" t="s">
        <v>322</v>
      </c>
      <c r="C851" s="276" t="s">
        <v>298</v>
      </c>
      <c r="D851" s="245"/>
      <c r="E851" s="285"/>
    </row>
    <row r="852" spans="1:5" ht="66">
      <c r="A852" s="280" t="str">
        <f>IF(AND(B852&lt;&gt;"",C852&lt;&gt;""),MAX($A$1:A851)+1,"")</f>
        <v/>
      </c>
      <c r="B852" s="260"/>
      <c r="C852" s="275"/>
      <c r="D852" s="232"/>
      <c r="E852" s="336" t="s">
        <v>487</v>
      </c>
    </row>
    <row r="853" spans="1:5" ht="66">
      <c r="A853" s="280" t="str">
        <f>IF(AND(B853&lt;&gt;"",C853&lt;&gt;""),MAX($A$1:A852)+1,"")</f>
        <v/>
      </c>
      <c r="B853" s="260"/>
      <c r="C853" s="275"/>
      <c r="D853" s="232"/>
      <c r="E853" s="336" t="s">
        <v>488</v>
      </c>
    </row>
    <row r="854" spans="1:5" ht="66">
      <c r="A854" s="280" t="str">
        <f>IF(AND(B854&lt;&gt;"",C854&lt;&gt;""),MAX($A$1:A853)+1,"")</f>
        <v/>
      </c>
      <c r="B854" s="260"/>
      <c r="C854" s="275"/>
      <c r="D854" s="232"/>
      <c r="E854" s="336" t="s">
        <v>489</v>
      </c>
    </row>
    <row r="855" spans="1:5" ht="66">
      <c r="A855" s="280" t="str">
        <f>IF(AND(B855&lt;&gt;"",C855&lt;&gt;""),MAX($A$1:A854)+1,"")</f>
        <v/>
      </c>
      <c r="B855" s="260"/>
      <c r="C855" s="275"/>
      <c r="D855" s="233"/>
      <c r="E855" s="336" t="s">
        <v>490</v>
      </c>
    </row>
    <row r="856" spans="1:5" ht="66">
      <c r="A856" s="280" t="str">
        <f>IF(AND(B856&lt;&gt;"",C856&lt;&gt;""),MAX($A$1:A855)+1,"")</f>
        <v/>
      </c>
      <c r="B856" s="299"/>
      <c r="C856" s="275"/>
      <c r="D856" s="232"/>
      <c r="E856" s="336" t="s">
        <v>843</v>
      </c>
    </row>
    <row r="857" spans="1:5" ht="66">
      <c r="A857" s="280" t="str">
        <f>IF(AND(B857&lt;&gt;"",C857&lt;&gt;""),MAX($A$1:A856)+1,"")</f>
        <v/>
      </c>
      <c r="B857" s="260"/>
      <c r="C857" s="275"/>
      <c r="D857" s="232"/>
      <c r="E857" s="336" t="s">
        <v>844</v>
      </c>
    </row>
    <row r="858" spans="1:5" ht="66">
      <c r="A858" s="280" t="str">
        <f>IF(AND(B858&lt;&gt;"",C858&lt;&gt;""),MAX($A$1:A857)+1,"")</f>
        <v/>
      </c>
      <c r="B858" s="260"/>
      <c r="C858" s="275"/>
      <c r="D858" s="232"/>
      <c r="E858" s="336" t="s">
        <v>1530</v>
      </c>
    </row>
    <row r="859" spans="1:5" ht="66">
      <c r="A859" s="280" t="str">
        <f>IF(AND(B859&lt;&gt;"",C859&lt;&gt;""),MAX($A$1:A858)+1,"")</f>
        <v/>
      </c>
      <c r="B859" s="260"/>
      <c r="C859" s="275"/>
      <c r="D859" s="233"/>
      <c r="E859" s="336" t="s">
        <v>1581</v>
      </c>
    </row>
    <row r="860" spans="1:5" ht="148.5">
      <c r="A860" s="280">
        <f>IF(AND(B860&lt;&gt;"",C860&lt;&gt;""),MAX($A$1:A859)+1,"")</f>
        <v>128</v>
      </c>
      <c r="B860" s="261" t="s">
        <v>323</v>
      </c>
      <c r="C860" s="276" t="s">
        <v>298</v>
      </c>
      <c r="D860" s="245"/>
      <c r="E860" s="285"/>
    </row>
    <row r="861" spans="1:5" ht="66">
      <c r="A861" s="280" t="str">
        <f>IF(AND(B861&lt;&gt;"",C861&lt;&gt;""),MAX($A$1:A860)+1,"")</f>
        <v/>
      </c>
      <c r="B861" s="260"/>
      <c r="C861" s="275"/>
      <c r="D861" s="232"/>
      <c r="E861" s="336" t="s">
        <v>491</v>
      </c>
    </row>
    <row r="862" spans="1:5" ht="82.5">
      <c r="A862" s="280" t="str">
        <f>IF(AND(B862&lt;&gt;"",C862&lt;&gt;""),MAX($A$1:A861)+1,"")</f>
        <v/>
      </c>
      <c r="B862" s="260"/>
      <c r="C862" s="275"/>
      <c r="D862" s="232"/>
      <c r="E862" s="336" t="s">
        <v>492</v>
      </c>
    </row>
    <row r="863" spans="1:5" ht="66">
      <c r="A863" s="280" t="str">
        <f>IF(AND(B863&lt;&gt;"",C863&lt;&gt;""),MAX($A$1:A862)+1,"")</f>
        <v/>
      </c>
      <c r="B863" s="260"/>
      <c r="C863" s="275"/>
      <c r="D863" s="232"/>
      <c r="E863" s="336" t="s">
        <v>493</v>
      </c>
    </row>
    <row r="864" spans="1:5" ht="66">
      <c r="A864" s="280" t="str">
        <f>IF(AND(B864&lt;&gt;"",C864&lt;&gt;""),MAX($A$1:A863)+1,"")</f>
        <v/>
      </c>
      <c r="B864" s="260"/>
      <c r="C864" s="275"/>
      <c r="D864" s="232"/>
      <c r="E864" s="336" t="s">
        <v>494</v>
      </c>
    </row>
    <row r="865" spans="1:5" ht="66">
      <c r="A865" s="280" t="str">
        <f>IF(AND(B865&lt;&gt;"",C865&lt;&gt;""),MAX($A$1:A864)+1,"")</f>
        <v/>
      </c>
      <c r="B865" s="260"/>
      <c r="C865" s="275"/>
      <c r="D865" s="232"/>
      <c r="E865" s="336" t="s">
        <v>845</v>
      </c>
    </row>
    <row r="866" spans="1:5" ht="82.5">
      <c r="A866" s="280" t="str">
        <f>IF(AND(B866&lt;&gt;"",C866&lt;&gt;""),MAX($A$1:A865)+1,"")</f>
        <v/>
      </c>
      <c r="B866" s="260"/>
      <c r="C866" s="275"/>
      <c r="D866" s="232"/>
      <c r="E866" s="336" t="s">
        <v>846</v>
      </c>
    </row>
    <row r="867" spans="1:5" ht="66">
      <c r="A867" s="280" t="str">
        <f>IF(AND(B867&lt;&gt;"",C867&lt;&gt;""),MAX($A$1:A866)+1,"")</f>
        <v/>
      </c>
      <c r="B867" s="260"/>
      <c r="C867" s="275"/>
      <c r="D867" s="232"/>
      <c r="E867" s="336" t="s">
        <v>1531</v>
      </c>
    </row>
    <row r="868" spans="1:5" ht="66">
      <c r="A868" s="280" t="str">
        <f>IF(AND(B868&lt;&gt;"",C868&lt;&gt;""),MAX($A$1:A867)+1,"")</f>
        <v/>
      </c>
      <c r="B868" s="260"/>
      <c r="C868" s="275"/>
      <c r="D868" s="232"/>
      <c r="E868" s="336" t="s">
        <v>1582</v>
      </c>
    </row>
    <row r="869" spans="1:5" ht="82.5">
      <c r="A869" s="280">
        <f>IF(AND(B869&lt;&gt;"",C869&lt;&gt;""),MAX($A$1:A868)+1,"")</f>
        <v>129</v>
      </c>
      <c r="B869" s="261" t="s">
        <v>324</v>
      </c>
      <c r="C869" s="276" t="s">
        <v>298</v>
      </c>
      <c r="D869" s="245"/>
      <c r="E869" s="285"/>
    </row>
    <row r="870" spans="1:5" ht="49.5">
      <c r="A870" s="280" t="str">
        <f>IF(AND(B870&lt;&gt;"",C870&lt;&gt;""),MAX($A$1:A869)+1,"")</f>
        <v/>
      </c>
      <c r="B870" s="260"/>
      <c r="C870" s="275"/>
      <c r="D870" s="233"/>
      <c r="E870" s="336" t="s">
        <v>495</v>
      </c>
    </row>
    <row r="871" spans="1:5" ht="66">
      <c r="A871" s="280" t="str">
        <f>IF(AND(B871&lt;&gt;"",C871&lt;&gt;""),MAX($A$1:A870)+1,"")</f>
        <v/>
      </c>
      <c r="B871" s="260"/>
      <c r="C871" s="275"/>
      <c r="D871" s="232"/>
      <c r="E871" s="336" t="s">
        <v>496</v>
      </c>
    </row>
    <row r="872" spans="1:5" ht="49.5">
      <c r="A872" s="280" t="str">
        <f>IF(AND(B872&lt;&gt;"",C872&lt;&gt;""),MAX($A$1:A871)+1,"")</f>
        <v/>
      </c>
      <c r="B872" s="260"/>
      <c r="C872" s="275"/>
      <c r="D872" s="232"/>
      <c r="E872" s="336" t="s">
        <v>497</v>
      </c>
    </row>
    <row r="873" spans="1:5" ht="49.5">
      <c r="A873" s="280" t="str">
        <f>IF(AND(B873&lt;&gt;"",C873&lt;&gt;""),MAX($A$1:A872)+1,"")</f>
        <v/>
      </c>
      <c r="B873" s="260"/>
      <c r="C873" s="275"/>
      <c r="D873" s="232"/>
      <c r="E873" s="336" t="s">
        <v>498</v>
      </c>
    </row>
    <row r="874" spans="1:5" ht="49.5">
      <c r="A874" s="280" t="str">
        <f>IF(AND(B874&lt;&gt;"",C874&lt;&gt;""),MAX($A$1:A873)+1,"")</f>
        <v/>
      </c>
      <c r="B874" s="260"/>
      <c r="C874" s="275"/>
      <c r="D874" s="232"/>
      <c r="E874" s="336" t="s">
        <v>847</v>
      </c>
    </row>
    <row r="875" spans="1:5" ht="66">
      <c r="A875" s="280" t="str">
        <f>IF(AND(B875&lt;&gt;"",C875&lt;&gt;""),MAX($A$1:A874)+1,"")</f>
        <v/>
      </c>
      <c r="B875" s="260"/>
      <c r="C875" s="275"/>
      <c r="D875" s="232"/>
      <c r="E875" s="336" t="s">
        <v>848</v>
      </c>
    </row>
    <row r="876" spans="1:5" ht="66">
      <c r="A876" s="280" t="str">
        <f>IF(AND(B876&lt;&gt;"",C876&lt;&gt;""),MAX($A$1:A875)+1,"")</f>
        <v/>
      </c>
      <c r="B876" s="260"/>
      <c r="C876" s="275"/>
      <c r="D876" s="232"/>
      <c r="E876" s="336" t="s">
        <v>1532</v>
      </c>
    </row>
    <row r="877" spans="1:5" ht="49.5">
      <c r="A877" s="280" t="str">
        <f>IF(AND(B877&lt;&gt;"",C877&lt;&gt;""),MAX($A$1:A876)+1,"")</f>
        <v/>
      </c>
      <c r="B877" s="260"/>
      <c r="C877" s="275"/>
      <c r="D877" s="232"/>
      <c r="E877" s="336" t="s">
        <v>1583</v>
      </c>
    </row>
    <row r="878" spans="1:5" ht="66">
      <c r="A878" s="280">
        <f>IF(AND(B878&lt;&gt;"",C878&lt;&gt;""),MAX($A$1:A877)+1,"")</f>
        <v>130</v>
      </c>
      <c r="B878" s="261" t="s">
        <v>325</v>
      </c>
      <c r="C878" s="276" t="s">
        <v>298</v>
      </c>
      <c r="D878" s="237"/>
      <c r="E878" s="285"/>
    </row>
    <row r="879" spans="1:5" ht="49.5">
      <c r="A879" s="280" t="str">
        <f>IF(AND(B879&lt;&gt;"",C879&lt;&gt;""),MAX($A$1:A878)+1,"")</f>
        <v/>
      </c>
      <c r="B879" s="260"/>
      <c r="C879" s="275"/>
      <c r="D879" s="233"/>
      <c r="E879" s="336" t="s">
        <v>499</v>
      </c>
    </row>
    <row r="880" spans="1:5" ht="66">
      <c r="A880" s="280" t="str">
        <f>IF(AND(B880&lt;&gt;"",C880&lt;&gt;""),MAX($A$1:A879)+1,"")</f>
        <v/>
      </c>
      <c r="B880" s="260"/>
      <c r="C880" s="275"/>
      <c r="D880" s="233"/>
      <c r="E880" s="336" t="s">
        <v>500</v>
      </c>
    </row>
    <row r="881" spans="1:5" ht="49.5">
      <c r="A881" s="280" t="str">
        <f>IF(AND(B881&lt;&gt;"",C881&lt;&gt;""),MAX($A$1:A880)+1,"")</f>
        <v/>
      </c>
      <c r="B881" s="260"/>
      <c r="C881" s="275"/>
      <c r="D881" s="233"/>
      <c r="E881" s="336" t="s">
        <v>501</v>
      </c>
    </row>
    <row r="882" spans="1:5" ht="49.5">
      <c r="A882" s="280" t="str">
        <f>IF(AND(B882&lt;&gt;"",C882&lt;&gt;""),MAX($A$1:A881)+1,"")</f>
        <v/>
      </c>
      <c r="B882" s="260"/>
      <c r="C882" s="275"/>
      <c r="D882" s="232"/>
      <c r="E882" s="336" t="s">
        <v>502</v>
      </c>
    </row>
    <row r="883" spans="1:5" ht="49.5">
      <c r="A883" s="280" t="str">
        <f>IF(AND(B883&lt;&gt;"",C883&lt;&gt;""),MAX($A$1:A882)+1,"")</f>
        <v/>
      </c>
      <c r="B883" s="260"/>
      <c r="C883" s="275"/>
      <c r="D883" s="232"/>
      <c r="E883" s="336" t="s">
        <v>849</v>
      </c>
    </row>
    <row r="884" spans="1:5" ht="66">
      <c r="A884" s="280" t="str">
        <f>IF(AND(B884&lt;&gt;"",C884&lt;&gt;""),MAX($A$1:A883)+1,"")</f>
        <v/>
      </c>
      <c r="B884" s="260"/>
      <c r="C884" s="275"/>
      <c r="D884" s="232"/>
      <c r="E884" s="336" t="s">
        <v>850</v>
      </c>
    </row>
    <row r="885" spans="1:5" ht="49.5">
      <c r="A885" s="280" t="str">
        <f>IF(AND(B885&lt;&gt;"",C885&lt;&gt;""),MAX($A$1:A884)+1,"")</f>
        <v/>
      </c>
      <c r="B885" s="260"/>
      <c r="C885" s="275"/>
      <c r="D885" s="232"/>
      <c r="E885" s="336" t="s">
        <v>1533</v>
      </c>
    </row>
    <row r="886" spans="1:5" ht="49.5">
      <c r="A886" s="280" t="str">
        <f>IF(AND(B886&lt;&gt;"",C886&lt;&gt;""),MAX($A$1:A885)+1,"")</f>
        <v/>
      </c>
      <c r="B886" s="260"/>
      <c r="C886" s="275"/>
      <c r="D886" s="232"/>
      <c r="E886" s="336" t="s">
        <v>1584</v>
      </c>
    </row>
    <row r="887" spans="1:5" ht="66">
      <c r="A887" s="280">
        <f>IF(AND(B887&lt;&gt;"",C887&lt;&gt;""),MAX($A$1:A886)+1,"")</f>
        <v>131</v>
      </c>
      <c r="B887" s="261" t="s">
        <v>326</v>
      </c>
      <c r="C887" s="276" t="s">
        <v>298</v>
      </c>
      <c r="D887" s="245"/>
      <c r="E887" s="285"/>
    </row>
    <row r="888" spans="1:5" ht="49.5">
      <c r="A888" s="280" t="str">
        <f>IF(AND(B888&lt;&gt;"",C888&lt;&gt;""),MAX($A$1:A887)+1,"")</f>
        <v/>
      </c>
      <c r="B888" s="260"/>
      <c r="C888" s="275"/>
      <c r="D888" s="233"/>
      <c r="E888" s="336" t="s">
        <v>503</v>
      </c>
    </row>
    <row r="889" spans="1:5" ht="66">
      <c r="A889" s="280" t="str">
        <f>IF(AND(B889&lt;&gt;"",C889&lt;&gt;""),MAX($A$1:A888)+1,"")</f>
        <v/>
      </c>
      <c r="B889" s="299"/>
      <c r="C889" s="275"/>
      <c r="D889" s="232"/>
      <c r="E889" s="336" t="s">
        <v>504</v>
      </c>
    </row>
    <row r="890" spans="1:5" ht="49.5">
      <c r="A890" s="280" t="str">
        <f>IF(AND(B890&lt;&gt;"",C890&lt;&gt;""),MAX($A$1:A889)+1,"")</f>
        <v/>
      </c>
      <c r="B890" s="299"/>
      <c r="C890" s="275"/>
      <c r="D890" s="232"/>
      <c r="E890" s="336" t="s">
        <v>505</v>
      </c>
    </row>
    <row r="891" spans="1:5" ht="49.5">
      <c r="A891" s="280" t="str">
        <f>IF(AND(B891&lt;&gt;"",C891&lt;&gt;""),MAX($A$1:A890)+1,"")</f>
        <v/>
      </c>
      <c r="B891" s="260"/>
      <c r="C891" s="275"/>
      <c r="D891" s="232"/>
      <c r="E891" s="336" t="s">
        <v>506</v>
      </c>
    </row>
    <row r="892" spans="1:5" ht="49.5">
      <c r="A892" s="280" t="str">
        <f>IF(AND(B892&lt;&gt;"",C892&lt;&gt;""),MAX($A$1:A891)+1,"")</f>
        <v/>
      </c>
      <c r="B892" s="260"/>
      <c r="C892" s="275"/>
      <c r="D892" s="232"/>
      <c r="E892" s="336" t="s">
        <v>851</v>
      </c>
    </row>
    <row r="893" spans="1:5" ht="66">
      <c r="A893" s="280" t="str">
        <f>IF(AND(B893&lt;&gt;"",C893&lt;&gt;""),MAX($A$1:A892)+1,"")</f>
        <v/>
      </c>
      <c r="B893" s="260"/>
      <c r="C893" s="275"/>
      <c r="D893" s="233"/>
      <c r="E893" s="336" t="s">
        <v>852</v>
      </c>
    </row>
    <row r="894" spans="1:5" ht="49.5">
      <c r="A894" s="280" t="str">
        <f>IF(AND(B894&lt;&gt;"",C894&lt;&gt;""),MAX($A$1:A893)+1,"")</f>
        <v/>
      </c>
      <c r="B894" s="260"/>
      <c r="C894" s="275"/>
      <c r="D894" s="233"/>
      <c r="E894" s="336" t="s">
        <v>1534</v>
      </c>
    </row>
    <row r="895" spans="1:5" ht="49.5">
      <c r="A895" s="280" t="str">
        <f>IF(AND(B895&lt;&gt;"",C895&lt;&gt;""),MAX($A$1:A894)+1,"")</f>
        <v/>
      </c>
      <c r="B895" s="260"/>
      <c r="C895" s="275"/>
      <c r="D895" s="233"/>
      <c r="E895" s="336" t="s">
        <v>1585</v>
      </c>
    </row>
    <row r="896" spans="1:5" ht="115.5">
      <c r="A896" s="280">
        <f>IF(AND(B896&lt;&gt;"",C896&lt;&gt;""),MAX($A$1:A895)+1,"")</f>
        <v>132</v>
      </c>
      <c r="B896" s="261" t="s">
        <v>327</v>
      </c>
      <c r="C896" s="276" t="s">
        <v>298</v>
      </c>
      <c r="D896" s="237"/>
      <c r="E896" s="285"/>
    </row>
    <row r="897" spans="1:5" ht="66">
      <c r="A897" s="280" t="str">
        <f>IF(AND(B897&lt;&gt;"",C897&lt;&gt;""),MAX($A$1:A896)+1,"")</f>
        <v/>
      </c>
      <c r="B897" s="299"/>
      <c r="C897" s="275"/>
      <c r="D897" s="232"/>
      <c r="E897" s="336" t="s">
        <v>507</v>
      </c>
    </row>
    <row r="898" spans="1:5" ht="66">
      <c r="A898" s="280" t="str">
        <f>IF(AND(B898&lt;&gt;"",C898&lt;&gt;""),MAX($A$1:A897)+1,"")</f>
        <v/>
      </c>
      <c r="B898" s="299"/>
      <c r="C898" s="275"/>
      <c r="D898" s="232"/>
      <c r="E898" s="336" t="s">
        <v>508</v>
      </c>
    </row>
    <row r="899" spans="1:5" ht="66">
      <c r="A899" s="280" t="str">
        <f>IF(AND(B899&lt;&gt;"",C899&lt;&gt;""),MAX($A$1:A898)+1,"")</f>
        <v/>
      </c>
      <c r="B899" s="299"/>
      <c r="C899" s="275"/>
      <c r="D899" s="232"/>
      <c r="E899" s="336" t="s">
        <v>509</v>
      </c>
    </row>
    <row r="900" spans="1:5" ht="66">
      <c r="A900" s="280" t="str">
        <f>IF(AND(B900&lt;&gt;"",C900&lt;&gt;""),MAX($A$1:A899)+1,"")</f>
        <v/>
      </c>
      <c r="B900" s="299"/>
      <c r="C900" s="275"/>
      <c r="D900" s="232"/>
      <c r="E900" s="336" t="s">
        <v>510</v>
      </c>
    </row>
    <row r="901" spans="1:5" ht="66">
      <c r="A901" s="280" t="str">
        <f>IF(AND(B901&lt;&gt;"",C901&lt;&gt;""),MAX($A$1:A900)+1,"")</f>
        <v/>
      </c>
      <c r="B901" s="299"/>
      <c r="C901" s="275"/>
      <c r="D901" s="232"/>
      <c r="E901" s="336" t="s">
        <v>853</v>
      </c>
    </row>
    <row r="902" spans="1:5" ht="66">
      <c r="A902" s="280" t="str">
        <f>IF(AND(B902&lt;&gt;"",C902&lt;&gt;""),MAX($A$1:A901)+1,"")</f>
        <v/>
      </c>
      <c r="B902" s="299"/>
      <c r="C902" s="275"/>
      <c r="D902" s="232"/>
      <c r="E902" s="336" t="s">
        <v>854</v>
      </c>
    </row>
    <row r="903" spans="1:5" ht="66">
      <c r="A903" s="280" t="str">
        <f>IF(AND(B903&lt;&gt;"",C903&lt;&gt;""),MAX($A$1:A902)+1,"")</f>
        <v/>
      </c>
      <c r="B903" s="299"/>
      <c r="C903" s="275"/>
      <c r="D903" s="232"/>
      <c r="E903" s="336" t="s">
        <v>1535</v>
      </c>
    </row>
    <row r="904" spans="1:5" ht="66">
      <c r="A904" s="280" t="str">
        <f>IF(AND(B904&lt;&gt;"",C904&lt;&gt;""),MAX($A$1:A903)+1,"")</f>
        <v/>
      </c>
      <c r="B904" s="299"/>
      <c r="C904" s="275"/>
      <c r="D904" s="232"/>
      <c r="E904" s="336" t="s">
        <v>1586</v>
      </c>
    </row>
    <row r="905" spans="1:5" ht="99">
      <c r="A905" s="280">
        <f>IF(AND(B905&lt;&gt;"",C905&lt;&gt;""),MAX($A$1:A904)+1,"")</f>
        <v>133</v>
      </c>
      <c r="B905" s="261" t="s">
        <v>328</v>
      </c>
      <c r="C905" s="276" t="s">
        <v>298</v>
      </c>
      <c r="D905" s="237"/>
      <c r="E905" s="285"/>
    </row>
    <row r="906" spans="1:5" ht="49.5">
      <c r="A906" s="280" t="str">
        <f>IF(AND(B906&lt;&gt;"",C906&lt;&gt;""),MAX($A$1:A905)+1,"")</f>
        <v/>
      </c>
      <c r="B906" s="299"/>
      <c r="C906" s="275"/>
      <c r="D906" s="232"/>
      <c r="E906" s="336" t="s">
        <v>511</v>
      </c>
    </row>
    <row r="907" spans="1:5" ht="66">
      <c r="A907" s="280" t="str">
        <f>IF(AND(B907&lt;&gt;"",C907&lt;&gt;""),MAX($A$1:A906)+1,"")</f>
        <v/>
      </c>
      <c r="B907" s="299"/>
      <c r="C907" s="275"/>
      <c r="D907" s="232"/>
      <c r="E907" s="336" t="s">
        <v>512</v>
      </c>
    </row>
    <row r="908" spans="1:5" ht="66">
      <c r="A908" s="280" t="str">
        <f>IF(AND(B908&lt;&gt;"",C908&lt;&gt;""),MAX($A$1:A907)+1,"")</f>
        <v/>
      </c>
      <c r="B908" s="299"/>
      <c r="C908" s="275"/>
      <c r="D908" s="232"/>
      <c r="E908" s="336" t="s">
        <v>513</v>
      </c>
    </row>
    <row r="909" spans="1:5" ht="49.5">
      <c r="A909" s="280" t="str">
        <f>IF(AND(B909&lt;&gt;"",C909&lt;&gt;""),MAX($A$1:A908)+1,"")</f>
        <v/>
      </c>
      <c r="B909" s="260"/>
      <c r="C909" s="275"/>
      <c r="D909" s="232"/>
      <c r="E909" s="336" t="s">
        <v>514</v>
      </c>
    </row>
    <row r="910" spans="1:5" ht="66">
      <c r="A910" s="280" t="str">
        <f>IF(AND(B910&lt;&gt;"",C910&lt;&gt;""),MAX($A$1:A909)+1,"")</f>
        <v/>
      </c>
      <c r="B910" s="260"/>
      <c r="C910" s="275"/>
      <c r="D910" s="232"/>
      <c r="E910" s="336" t="s">
        <v>855</v>
      </c>
    </row>
    <row r="911" spans="1:5" ht="66">
      <c r="A911" s="280" t="str">
        <f>IF(AND(B911&lt;&gt;"",C911&lt;&gt;""),MAX($A$1:A910)+1,"")</f>
        <v/>
      </c>
      <c r="B911" s="260"/>
      <c r="C911" s="275"/>
      <c r="D911" s="147"/>
      <c r="E911" s="336" t="s">
        <v>856</v>
      </c>
    </row>
    <row r="912" spans="1:5" ht="66">
      <c r="A912" s="280" t="str">
        <f>IF(AND(B912&lt;&gt;"",C912&lt;&gt;""),MAX($A$1:A911)+1,"")</f>
        <v/>
      </c>
      <c r="B912" s="260"/>
      <c r="C912" s="275"/>
      <c r="D912" s="147"/>
      <c r="E912" s="336" t="s">
        <v>1536</v>
      </c>
    </row>
    <row r="913" spans="1:5" ht="66">
      <c r="A913" s="280" t="str">
        <f>IF(AND(B913&lt;&gt;"",C913&lt;&gt;""),MAX($A$1:A912)+1,"")</f>
        <v/>
      </c>
      <c r="B913" s="242"/>
      <c r="C913" s="241"/>
      <c r="D913" s="241"/>
      <c r="E913" s="336" t="s">
        <v>1587</v>
      </c>
    </row>
    <row r="914" spans="1:5" ht="99">
      <c r="A914" s="280">
        <f>IF(AND(B914&lt;&gt;"",C914&lt;&gt;""),MAX($A$1:A913)+1,"")</f>
        <v>134</v>
      </c>
      <c r="B914" s="261" t="s">
        <v>329</v>
      </c>
      <c r="C914" s="276" t="s">
        <v>298</v>
      </c>
      <c r="D914" s="243"/>
      <c r="E914" s="247"/>
    </row>
    <row r="915" spans="1:5" ht="66">
      <c r="A915" s="280" t="str">
        <f>IF(AND(B915&lt;&gt;"",C915&lt;&gt;""),MAX($A$1:A914)+1,"")</f>
        <v/>
      </c>
      <c r="B915" s="242"/>
      <c r="C915" s="241"/>
      <c r="D915" s="241"/>
      <c r="E915" s="336" t="s">
        <v>515</v>
      </c>
    </row>
    <row r="916" spans="1:5" ht="66">
      <c r="A916" s="280" t="str">
        <f>IF(AND(B916&lt;&gt;"",C916&lt;&gt;""),MAX($A$1:A915)+1,"")</f>
        <v/>
      </c>
      <c r="B916" s="242"/>
      <c r="C916" s="241"/>
      <c r="D916" s="241"/>
      <c r="E916" s="336" t="s">
        <v>516</v>
      </c>
    </row>
    <row r="917" spans="1:5" ht="66">
      <c r="A917" s="280" t="str">
        <f>IF(AND(B917&lt;&gt;"",C917&lt;&gt;""),MAX($A$1:A916)+1,"")</f>
        <v/>
      </c>
      <c r="B917" s="304"/>
      <c r="C917" s="357"/>
      <c r="D917" s="262"/>
      <c r="E917" s="336" t="s">
        <v>517</v>
      </c>
    </row>
    <row r="918" spans="1:5" ht="66">
      <c r="A918" s="280" t="str">
        <f>IF(AND(B918&lt;&gt;"",C918&lt;&gt;""),MAX($A$1:A917)+1,"")</f>
        <v/>
      </c>
      <c r="B918" s="304"/>
      <c r="C918" s="357"/>
      <c r="D918" s="262"/>
      <c r="E918" s="336" t="s">
        <v>518</v>
      </c>
    </row>
    <row r="919" spans="1:5" ht="66">
      <c r="A919" s="280" t="str">
        <f>IF(AND(B919&lt;&gt;"",C919&lt;&gt;""),MAX($A$1:A918)+1,"")</f>
        <v/>
      </c>
      <c r="B919" s="304"/>
      <c r="C919" s="357"/>
      <c r="D919" s="262"/>
      <c r="E919" s="336" t="s">
        <v>857</v>
      </c>
    </row>
    <row r="920" spans="1:5" ht="66">
      <c r="A920" s="280" t="str">
        <f>IF(AND(B920&lt;&gt;"",C920&lt;&gt;""),MAX($A$1:A919)+1,"")</f>
        <v/>
      </c>
      <c r="B920" s="304"/>
      <c r="C920" s="357"/>
      <c r="D920" s="262"/>
      <c r="E920" s="336" t="s">
        <v>858</v>
      </c>
    </row>
    <row r="921" spans="1:5" ht="66">
      <c r="A921" s="280" t="str">
        <f>IF(AND(B921&lt;&gt;"",C921&lt;&gt;""),MAX($A$1:A920)+1,"")</f>
        <v/>
      </c>
      <c r="B921" s="304"/>
      <c r="C921" s="357"/>
      <c r="D921" s="262"/>
      <c r="E921" s="336" t="s">
        <v>1537</v>
      </c>
    </row>
    <row r="922" spans="1:5" ht="66">
      <c r="A922" s="280" t="str">
        <f>IF(AND(B922&lt;&gt;"",C922&lt;&gt;""),MAX($A$1:A921)+1,"")</f>
        <v/>
      </c>
      <c r="B922" s="304"/>
      <c r="C922" s="357"/>
      <c r="D922" s="262"/>
      <c r="E922" s="336" t="s">
        <v>1588</v>
      </c>
    </row>
    <row r="923" spans="1:5" ht="132">
      <c r="A923" s="280">
        <f>IF(AND(B923&lt;&gt;"",C923&lt;&gt;""),MAX($A$1:A922)+1,"")</f>
        <v>135</v>
      </c>
      <c r="B923" s="261" t="s">
        <v>330</v>
      </c>
      <c r="C923" s="276" t="s">
        <v>298</v>
      </c>
      <c r="D923" s="263"/>
      <c r="E923" s="247"/>
    </row>
    <row r="924" spans="1:5" ht="66">
      <c r="A924" s="280" t="str">
        <f>IF(AND(B924&lt;&gt;"",C924&lt;&gt;""),MAX($A$1:A923)+1,"")</f>
        <v/>
      </c>
      <c r="B924" s="304"/>
      <c r="C924" s="357"/>
      <c r="D924" s="262"/>
      <c r="E924" s="336" t="s">
        <v>519</v>
      </c>
    </row>
    <row r="925" spans="1:5" ht="82.5">
      <c r="A925" s="280" t="str">
        <f>IF(AND(B925&lt;&gt;"",C925&lt;&gt;""),MAX($A$1:A924)+1,"")</f>
        <v/>
      </c>
      <c r="B925" s="304"/>
      <c r="C925" s="357"/>
      <c r="D925" s="262"/>
      <c r="E925" s="336" t="s">
        <v>520</v>
      </c>
    </row>
    <row r="926" spans="1:5" ht="66">
      <c r="A926" s="280" t="str">
        <f>IF(AND(B926&lt;&gt;"",C926&lt;&gt;""),MAX($A$1:A925)+1,"")</f>
        <v/>
      </c>
      <c r="B926" s="304"/>
      <c r="C926" s="357"/>
      <c r="D926" s="262"/>
      <c r="E926" s="336" t="s">
        <v>521</v>
      </c>
    </row>
    <row r="927" spans="1:5" ht="66">
      <c r="A927" s="280" t="str">
        <f>IF(AND(B927&lt;&gt;"",C927&lt;&gt;""),MAX($A$1:A926)+1,"")</f>
        <v/>
      </c>
      <c r="B927" s="304"/>
      <c r="C927" s="357"/>
      <c r="D927" s="262"/>
      <c r="E927" s="336" t="s">
        <v>522</v>
      </c>
    </row>
    <row r="928" spans="1:5" ht="66">
      <c r="A928" s="280" t="str">
        <f>IF(AND(B928&lt;&gt;"",C928&lt;&gt;""),MAX($A$1:A927)+1,"")</f>
        <v/>
      </c>
      <c r="B928" s="304"/>
      <c r="C928" s="357"/>
      <c r="D928" s="262"/>
      <c r="E928" s="336" t="s">
        <v>859</v>
      </c>
    </row>
    <row r="929" spans="1:5" ht="82.5">
      <c r="A929" s="280" t="str">
        <f>IF(AND(B929&lt;&gt;"",C929&lt;&gt;""),MAX($A$1:A928)+1,"")</f>
        <v/>
      </c>
      <c r="B929" s="304"/>
      <c r="C929" s="357"/>
      <c r="D929" s="262"/>
      <c r="E929" s="336" t="s">
        <v>860</v>
      </c>
    </row>
    <row r="930" spans="1:5" ht="66">
      <c r="A930" s="280" t="str">
        <f>IF(AND(B930&lt;&gt;"",C930&lt;&gt;""),MAX($A$1:A929)+1,"")</f>
        <v/>
      </c>
      <c r="B930" s="304"/>
      <c r="C930" s="357"/>
      <c r="D930" s="262"/>
      <c r="E930" s="336" t="s">
        <v>1538</v>
      </c>
    </row>
    <row r="931" spans="1:5" ht="66">
      <c r="A931" s="280" t="str">
        <f>IF(AND(B931&lt;&gt;"",C931&lt;&gt;""),MAX($A$1:A930)+1,"")</f>
        <v/>
      </c>
      <c r="B931" s="304"/>
      <c r="C931" s="357"/>
      <c r="D931" s="262"/>
      <c r="E931" s="336" t="s">
        <v>1589</v>
      </c>
    </row>
    <row r="932" spans="1:5" ht="99">
      <c r="A932" s="280">
        <f>IF(AND(B932&lt;&gt;"",C932&lt;&gt;""),MAX($A$1:A931)+1,"")</f>
        <v>136</v>
      </c>
      <c r="B932" s="261" t="s">
        <v>331</v>
      </c>
      <c r="C932" s="276" t="s">
        <v>298</v>
      </c>
      <c r="D932" s="263"/>
      <c r="E932" s="247"/>
    </row>
    <row r="933" spans="1:5" ht="66">
      <c r="A933" s="280" t="str">
        <f>IF(AND(B933&lt;&gt;"",C933&lt;&gt;""),MAX($A$1:A932)+1,"")</f>
        <v/>
      </c>
      <c r="B933" s="304"/>
      <c r="C933" s="357"/>
      <c r="D933" s="262"/>
      <c r="E933" s="336" t="s">
        <v>523</v>
      </c>
    </row>
    <row r="934" spans="1:5" ht="66">
      <c r="A934" s="280" t="str">
        <f>IF(AND(B934&lt;&gt;"",C934&lt;&gt;""),MAX($A$1:A933)+1,"")</f>
        <v/>
      </c>
      <c r="B934" s="304"/>
      <c r="C934" s="357"/>
      <c r="D934" s="262"/>
      <c r="E934" s="336" t="s">
        <v>524</v>
      </c>
    </row>
    <row r="935" spans="1:5" ht="66">
      <c r="A935" s="280" t="str">
        <f>IF(AND(B935&lt;&gt;"",C935&lt;&gt;""),MAX($A$1:A934)+1,"")</f>
        <v/>
      </c>
      <c r="B935" s="304"/>
      <c r="C935" s="357"/>
      <c r="D935" s="262"/>
      <c r="E935" s="336" t="s">
        <v>525</v>
      </c>
    </row>
    <row r="936" spans="1:5" ht="66">
      <c r="A936" s="280" t="str">
        <f>IF(AND(B936&lt;&gt;"",C936&lt;&gt;""),MAX($A$1:A935)+1,"")</f>
        <v/>
      </c>
      <c r="B936" s="304"/>
      <c r="C936" s="357"/>
      <c r="D936" s="262"/>
      <c r="E936" s="336" t="s">
        <v>526</v>
      </c>
    </row>
    <row r="937" spans="1:5" ht="66">
      <c r="A937" s="280" t="str">
        <f>IF(AND(B937&lt;&gt;"",C937&lt;&gt;""),MAX($A$1:A936)+1,"")</f>
        <v/>
      </c>
      <c r="B937" s="304"/>
      <c r="C937" s="357"/>
      <c r="D937" s="262"/>
      <c r="E937" s="336" t="s">
        <v>861</v>
      </c>
    </row>
    <row r="938" spans="1:5" ht="66">
      <c r="A938" s="280" t="str">
        <f>IF(AND(B938&lt;&gt;"",C938&lt;&gt;""),MAX($A$1:A937)+1,"")</f>
        <v/>
      </c>
      <c r="B938" s="304"/>
      <c r="C938" s="357"/>
      <c r="D938" s="262"/>
      <c r="E938" s="336" t="s">
        <v>862</v>
      </c>
    </row>
    <row r="939" spans="1:5" ht="66">
      <c r="A939" s="280" t="str">
        <f>IF(AND(B939&lt;&gt;"",C939&lt;&gt;""),MAX($A$1:A938)+1,"")</f>
        <v/>
      </c>
      <c r="B939" s="304"/>
      <c r="C939" s="357"/>
      <c r="D939" s="262"/>
      <c r="E939" s="336" t="s">
        <v>1539</v>
      </c>
    </row>
    <row r="940" spans="1:5" ht="66">
      <c r="A940" s="280" t="str">
        <f>IF(AND(B940&lt;&gt;"",C940&lt;&gt;""),MAX($A$1:A939)+1,"")</f>
        <v/>
      </c>
      <c r="B940" s="304"/>
      <c r="C940" s="357"/>
      <c r="D940" s="262"/>
      <c r="E940" s="336" t="s">
        <v>1590</v>
      </c>
    </row>
    <row r="941" spans="1:5" ht="82.5">
      <c r="A941" s="280">
        <f>IF(AND(B941&lt;&gt;"",C941&lt;&gt;""),MAX($A$1:A940)+1,"")</f>
        <v>137</v>
      </c>
      <c r="B941" s="261" t="s">
        <v>332</v>
      </c>
      <c r="C941" s="276" t="s">
        <v>298</v>
      </c>
      <c r="D941" s="263"/>
      <c r="E941" s="247"/>
    </row>
    <row r="942" spans="1:5" ht="49.5">
      <c r="A942" s="280" t="str">
        <f>IF(AND(B942&lt;&gt;"",C942&lt;&gt;""),MAX($A$1:A941)+1,"")</f>
        <v/>
      </c>
      <c r="B942" s="304"/>
      <c r="C942" s="357"/>
      <c r="D942" s="262"/>
      <c r="E942" s="336" t="s">
        <v>527</v>
      </c>
    </row>
    <row r="943" spans="1:5" ht="66">
      <c r="A943" s="280" t="str">
        <f>IF(AND(B943&lt;&gt;"",C943&lt;&gt;""),MAX($A$1:A942)+1,"")</f>
        <v/>
      </c>
      <c r="B943" s="304"/>
      <c r="C943" s="357"/>
      <c r="D943" s="262"/>
      <c r="E943" s="336" t="s">
        <v>528</v>
      </c>
    </row>
    <row r="944" spans="1:5" ht="49.5">
      <c r="A944" s="280" t="str">
        <f>IF(AND(B944&lt;&gt;"",C944&lt;&gt;""),MAX($A$1:A943)+1,"")</f>
        <v/>
      </c>
      <c r="B944" s="304"/>
      <c r="C944" s="357"/>
      <c r="D944" s="262"/>
      <c r="E944" s="336" t="s">
        <v>529</v>
      </c>
    </row>
    <row r="945" spans="1:5" ht="49.5">
      <c r="A945" s="280" t="str">
        <f>IF(AND(B945&lt;&gt;"",C945&lt;&gt;""),MAX($A$1:A944)+1,"")</f>
        <v/>
      </c>
      <c r="B945" s="304"/>
      <c r="C945" s="357"/>
      <c r="D945" s="262"/>
      <c r="E945" s="336" t="s">
        <v>530</v>
      </c>
    </row>
    <row r="946" spans="1:5" ht="66">
      <c r="A946" s="280" t="str">
        <f>IF(AND(B946&lt;&gt;"",C946&lt;&gt;""),MAX($A$1:A945)+1,"")</f>
        <v/>
      </c>
      <c r="B946" s="304"/>
      <c r="C946" s="357"/>
      <c r="D946" s="262"/>
      <c r="E946" s="336" t="s">
        <v>863</v>
      </c>
    </row>
    <row r="947" spans="1:5" ht="66">
      <c r="A947" s="280" t="str">
        <f>IF(AND(B947&lt;&gt;"",C947&lt;&gt;""),MAX($A$1:A946)+1,"")</f>
        <v/>
      </c>
      <c r="B947" s="304"/>
      <c r="C947" s="357"/>
      <c r="D947" s="262"/>
      <c r="E947" s="336" t="s">
        <v>864</v>
      </c>
    </row>
    <row r="948" spans="1:5" ht="66">
      <c r="A948" s="280" t="str">
        <f>IF(AND(B948&lt;&gt;"",C948&lt;&gt;""),MAX($A$1:A947)+1,"")</f>
        <v/>
      </c>
      <c r="B948" s="304"/>
      <c r="C948" s="357"/>
      <c r="D948" s="262"/>
      <c r="E948" s="336" t="s">
        <v>1540</v>
      </c>
    </row>
    <row r="949" spans="1:5" ht="49.5">
      <c r="A949" s="280" t="str">
        <f>IF(AND(B949&lt;&gt;"",C949&lt;&gt;""),MAX($A$1:A948)+1,"")</f>
        <v/>
      </c>
      <c r="B949" s="304"/>
      <c r="C949" s="357"/>
      <c r="D949" s="262"/>
      <c r="E949" s="336" t="s">
        <v>1591</v>
      </c>
    </row>
    <row r="950" spans="1:5" ht="99">
      <c r="A950" s="280">
        <f>IF(AND(B950&lt;&gt;"",C950&lt;&gt;""),MAX($A$1:A949)+1,"")</f>
        <v>138</v>
      </c>
      <c r="B950" s="261" t="s">
        <v>333</v>
      </c>
      <c r="C950" s="276" t="s">
        <v>298</v>
      </c>
      <c r="D950" s="264"/>
      <c r="E950" s="246"/>
    </row>
    <row r="951" spans="1:5" ht="66">
      <c r="A951" s="280" t="str">
        <f>IF(AND(B951&lt;&gt;"",C951&lt;&gt;""),MAX($A$1:A950)+1,"")</f>
        <v/>
      </c>
      <c r="B951" s="304"/>
      <c r="C951" s="357"/>
      <c r="D951" s="262"/>
      <c r="E951" s="336" t="s">
        <v>531</v>
      </c>
    </row>
    <row r="952" spans="1:5" ht="66">
      <c r="A952" s="280" t="str">
        <f>IF(AND(B952&lt;&gt;"",C952&lt;&gt;""),MAX($A$1:A951)+1,"")</f>
        <v/>
      </c>
      <c r="B952" s="304"/>
      <c r="C952" s="357"/>
      <c r="D952" s="262"/>
      <c r="E952" s="336" t="s">
        <v>532</v>
      </c>
    </row>
    <row r="953" spans="1:5" ht="66">
      <c r="A953" s="280" t="str">
        <f>IF(AND(B953&lt;&gt;"",C953&lt;&gt;""),MAX($A$1:A952)+1,"")</f>
        <v/>
      </c>
      <c r="B953" s="304"/>
      <c r="C953" s="357"/>
      <c r="D953" s="262"/>
      <c r="E953" s="336" t="s">
        <v>533</v>
      </c>
    </row>
    <row r="954" spans="1:5" ht="66">
      <c r="A954" s="280" t="str">
        <f>IF(AND(B954&lt;&gt;"",C954&lt;&gt;""),MAX($A$1:A953)+1,"")</f>
        <v/>
      </c>
      <c r="B954" s="304"/>
      <c r="C954" s="357"/>
      <c r="D954" s="262"/>
      <c r="E954" s="336" t="s">
        <v>534</v>
      </c>
    </row>
    <row r="955" spans="1:5" ht="66">
      <c r="A955" s="280" t="str">
        <f>IF(AND(B955&lt;&gt;"",C955&lt;&gt;""),MAX($A$1:A954)+1,"")</f>
        <v/>
      </c>
      <c r="B955" s="304"/>
      <c r="C955" s="357"/>
      <c r="D955" s="262"/>
      <c r="E955" s="336" t="s">
        <v>865</v>
      </c>
    </row>
    <row r="956" spans="1:5" ht="66">
      <c r="A956" s="280" t="str">
        <f>IF(AND(B956&lt;&gt;"",C956&lt;&gt;""),MAX($A$1:A955)+1,"")</f>
        <v/>
      </c>
      <c r="B956" s="304"/>
      <c r="C956" s="357"/>
      <c r="D956" s="262"/>
      <c r="E956" s="336" t="s">
        <v>866</v>
      </c>
    </row>
    <row r="957" spans="1:5" ht="66">
      <c r="A957" s="280" t="str">
        <f>IF(AND(B957&lt;&gt;"",C957&lt;&gt;""),MAX($A$1:A956)+1,"")</f>
        <v/>
      </c>
      <c r="B957" s="304"/>
      <c r="C957" s="357"/>
      <c r="D957" s="262"/>
      <c r="E957" s="336" t="s">
        <v>1541</v>
      </c>
    </row>
    <row r="958" spans="1:5" ht="66">
      <c r="A958" s="280" t="str">
        <f>IF(AND(B958&lt;&gt;"",C958&lt;&gt;""),MAX($A$1:A957)+1,"")</f>
        <v/>
      </c>
      <c r="B958" s="304"/>
      <c r="C958" s="357"/>
      <c r="D958" s="262"/>
      <c r="E958" s="336" t="s">
        <v>1592</v>
      </c>
    </row>
    <row r="959" spans="1:5" ht="115.5">
      <c r="A959" s="280">
        <f>IF(AND(B959&lt;&gt;"",C959&lt;&gt;""),MAX($A$1:A958)+1,"")</f>
        <v>139</v>
      </c>
      <c r="B959" s="261" t="s">
        <v>334</v>
      </c>
      <c r="C959" s="276" t="s">
        <v>298</v>
      </c>
      <c r="D959" s="263"/>
      <c r="E959" s="247"/>
    </row>
    <row r="960" spans="1:5" ht="66">
      <c r="A960" s="280" t="str">
        <f>IF(AND(B960&lt;&gt;"",C960&lt;&gt;""),MAX($A$1:A959)+1,"")</f>
        <v/>
      </c>
      <c r="B960" s="304"/>
      <c r="C960" s="357"/>
      <c r="D960" s="262"/>
      <c r="E960" s="336" t="s">
        <v>535</v>
      </c>
    </row>
    <row r="961" spans="1:5" ht="66">
      <c r="A961" s="280" t="str">
        <f>IF(AND(B961&lt;&gt;"",C961&lt;&gt;""),MAX($A$1:A960)+1,"")</f>
        <v/>
      </c>
      <c r="B961" s="304"/>
      <c r="C961" s="357"/>
      <c r="D961" s="262"/>
      <c r="E961" s="336" t="s">
        <v>536</v>
      </c>
    </row>
    <row r="962" spans="1:5" ht="66">
      <c r="A962" s="280" t="str">
        <f>IF(AND(B962&lt;&gt;"",C962&lt;&gt;""),MAX($A$1:A961)+1,"")</f>
        <v/>
      </c>
      <c r="B962" s="304"/>
      <c r="C962" s="357"/>
      <c r="D962" s="262"/>
      <c r="E962" s="336" t="s">
        <v>537</v>
      </c>
    </row>
    <row r="963" spans="1:5" ht="66">
      <c r="A963" s="280" t="str">
        <f>IF(AND(B963&lt;&gt;"",C963&lt;&gt;""),MAX($A$1:A962)+1,"")</f>
        <v/>
      </c>
      <c r="B963" s="304"/>
      <c r="C963" s="357"/>
      <c r="D963" s="262"/>
      <c r="E963" s="336" t="s">
        <v>538</v>
      </c>
    </row>
    <row r="964" spans="1:5" ht="66">
      <c r="A964" s="280" t="str">
        <f>IF(AND(B964&lt;&gt;"",C964&lt;&gt;""),MAX($A$1:A963)+1,"")</f>
        <v/>
      </c>
      <c r="B964" s="304"/>
      <c r="C964" s="357"/>
      <c r="D964" s="262"/>
      <c r="E964" s="336" t="s">
        <v>867</v>
      </c>
    </row>
    <row r="965" spans="1:5" ht="66">
      <c r="A965" s="280" t="str">
        <f>IF(AND(B965&lt;&gt;"",C965&lt;&gt;""),MAX($A$1:A964)+1,"")</f>
        <v/>
      </c>
      <c r="B965" s="304"/>
      <c r="C965" s="357"/>
      <c r="D965" s="262"/>
      <c r="E965" s="336" t="s">
        <v>868</v>
      </c>
    </row>
    <row r="966" spans="1:5" ht="66">
      <c r="A966" s="280" t="str">
        <f>IF(AND(B966&lt;&gt;"",C966&lt;&gt;""),MAX($A$1:A965)+1,"")</f>
        <v/>
      </c>
      <c r="B966" s="304"/>
      <c r="C966" s="357"/>
      <c r="D966" s="262"/>
      <c r="E966" s="336" t="s">
        <v>1542</v>
      </c>
    </row>
    <row r="967" spans="1:5" ht="66">
      <c r="A967" s="280" t="str">
        <f>IF(AND(B967&lt;&gt;"",C967&lt;&gt;""),MAX($A$1:A966)+1,"")</f>
        <v/>
      </c>
      <c r="B967" s="304"/>
      <c r="C967" s="357"/>
      <c r="D967" s="262"/>
      <c r="E967" s="336" t="s">
        <v>1593</v>
      </c>
    </row>
    <row r="968" spans="1:5" ht="115.5">
      <c r="A968" s="280">
        <f>IF(AND(B968&lt;&gt;"",C968&lt;&gt;""),MAX($A$1:A967)+1,"")</f>
        <v>140</v>
      </c>
      <c r="B968" s="261" t="s">
        <v>335</v>
      </c>
      <c r="C968" s="276" t="s">
        <v>298</v>
      </c>
      <c r="D968" s="262"/>
      <c r="E968" s="336"/>
    </row>
    <row r="969" spans="1:5" ht="66">
      <c r="A969" s="280" t="str">
        <f>IF(AND(B969&lt;&gt;"",C969&lt;&gt;""),MAX($A$1:A968)+1,"")</f>
        <v/>
      </c>
      <c r="B969" s="304"/>
      <c r="C969" s="357"/>
      <c r="D969" s="262"/>
      <c r="E969" s="336" t="s">
        <v>539</v>
      </c>
    </row>
    <row r="970" spans="1:5" ht="66">
      <c r="A970" s="280" t="str">
        <f>IF(AND(B970&lt;&gt;"",C970&lt;&gt;""),MAX($A$1:A969)+1,"")</f>
        <v/>
      </c>
      <c r="B970" s="304"/>
      <c r="C970" s="357"/>
      <c r="D970" s="262"/>
      <c r="E970" s="336" t="s">
        <v>540</v>
      </c>
    </row>
    <row r="971" spans="1:5" ht="66">
      <c r="A971" s="280" t="str">
        <f>IF(AND(B971&lt;&gt;"",C971&lt;&gt;""),MAX($A$1:A970)+1,"")</f>
        <v/>
      </c>
      <c r="B971" s="304"/>
      <c r="C971" s="357"/>
      <c r="D971" s="262"/>
      <c r="E971" s="336" t="s">
        <v>541</v>
      </c>
    </row>
    <row r="972" spans="1:5" ht="66">
      <c r="A972" s="280" t="str">
        <f>IF(AND(B972&lt;&gt;"",C972&lt;&gt;""),MAX($A$1:A971)+1,"")</f>
        <v/>
      </c>
      <c r="B972" s="304"/>
      <c r="C972" s="357"/>
      <c r="D972" s="262"/>
      <c r="E972" s="336" t="s">
        <v>542</v>
      </c>
    </row>
    <row r="973" spans="1:5" ht="66">
      <c r="A973" s="280" t="str">
        <f>IF(AND(B973&lt;&gt;"",C973&lt;&gt;""),MAX($A$1:A972)+1,"")</f>
        <v/>
      </c>
      <c r="B973" s="304"/>
      <c r="C973" s="357"/>
      <c r="D973" s="262"/>
      <c r="E973" s="336" t="s">
        <v>869</v>
      </c>
    </row>
    <row r="974" spans="1:5" ht="66">
      <c r="A974" s="280" t="str">
        <f>IF(AND(B974&lt;&gt;"",C974&lt;&gt;""),MAX($A$1:A973)+1,"")</f>
        <v/>
      </c>
      <c r="B974" s="304"/>
      <c r="C974" s="357"/>
      <c r="D974" s="262"/>
      <c r="E974" s="336" t="s">
        <v>870</v>
      </c>
    </row>
    <row r="975" spans="1:5" ht="66">
      <c r="A975" s="280" t="str">
        <f>IF(AND(B975&lt;&gt;"",C975&lt;&gt;""),MAX($A$1:A974)+1,"")</f>
        <v/>
      </c>
      <c r="B975" s="304"/>
      <c r="C975" s="357"/>
      <c r="D975" s="262"/>
      <c r="E975" s="336" t="s">
        <v>1543</v>
      </c>
    </row>
    <row r="976" spans="1:5" ht="66">
      <c r="A976" s="280" t="str">
        <f>IF(AND(B976&lt;&gt;"",C976&lt;&gt;""),MAX($A$1:A975)+1,"")</f>
        <v/>
      </c>
      <c r="B976" s="304"/>
      <c r="C976" s="357"/>
      <c r="D976" s="262"/>
      <c r="E976" s="336" t="s">
        <v>1594</v>
      </c>
    </row>
    <row r="977" spans="1:5" ht="99">
      <c r="A977" s="280">
        <f>IF(AND(B977&lt;&gt;"",C977&lt;&gt;""),MAX($A$1:A976)+1,"")</f>
        <v>141</v>
      </c>
      <c r="B977" s="261" t="s">
        <v>336</v>
      </c>
      <c r="C977" s="276" t="s">
        <v>298</v>
      </c>
      <c r="D977" s="263"/>
      <c r="E977" s="247"/>
    </row>
    <row r="978" spans="1:5" ht="66">
      <c r="A978" s="280" t="str">
        <f>IF(AND(B978&lt;&gt;"",C978&lt;&gt;""),MAX($A$1:A977)+1,"")</f>
        <v/>
      </c>
      <c r="B978" s="304"/>
      <c r="C978" s="357"/>
      <c r="D978" s="262"/>
      <c r="E978" s="336" t="s">
        <v>543</v>
      </c>
    </row>
    <row r="979" spans="1:5" ht="66">
      <c r="A979" s="280" t="str">
        <f>IF(AND(B979&lt;&gt;"",C979&lt;&gt;""),MAX($A$1:A978)+1,"")</f>
        <v/>
      </c>
      <c r="B979" s="304"/>
      <c r="C979" s="357"/>
      <c r="D979" s="262"/>
      <c r="E979" s="336" t="s">
        <v>544</v>
      </c>
    </row>
    <row r="980" spans="1:5" ht="66">
      <c r="A980" s="280" t="str">
        <f>IF(AND(B980&lt;&gt;"",C980&lt;&gt;""),MAX($A$1:A979)+1,"")</f>
        <v/>
      </c>
      <c r="B980" s="304"/>
      <c r="C980" s="357"/>
      <c r="D980" s="262"/>
      <c r="E980" s="336" t="s">
        <v>545</v>
      </c>
    </row>
    <row r="981" spans="1:5" ht="66">
      <c r="A981" s="280" t="str">
        <f>IF(AND(B981&lt;&gt;"",C981&lt;&gt;""),MAX($A$1:A980)+1,"")</f>
        <v/>
      </c>
      <c r="B981" s="304"/>
      <c r="C981" s="357"/>
      <c r="D981" s="262"/>
      <c r="E981" s="336" t="s">
        <v>546</v>
      </c>
    </row>
    <row r="982" spans="1:5" ht="66">
      <c r="A982" s="280" t="str">
        <f>IF(AND(B982&lt;&gt;"",C982&lt;&gt;""),MAX($A$1:A981)+1,"")</f>
        <v/>
      </c>
      <c r="B982" s="304"/>
      <c r="C982" s="357"/>
      <c r="D982" s="262"/>
      <c r="E982" s="336" t="s">
        <v>871</v>
      </c>
    </row>
    <row r="983" spans="1:5" ht="66">
      <c r="A983" s="280" t="str">
        <f>IF(AND(B983&lt;&gt;"",C983&lt;&gt;""),MAX($A$1:A982)+1,"")</f>
        <v/>
      </c>
      <c r="B983" s="304"/>
      <c r="C983" s="357"/>
      <c r="D983" s="262"/>
      <c r="E983" s="336" t="s">
        <v>872</v>
      </c>
    </row>
    <row r="984" spans="1:5" ht="66">
      <c r="A984" s="280" t="str">
        <f>IF(AND(B984&lt;&gt;"",C984&lt;&gt;""),MAX($A$1:A983)+1,"")</f>
        <v/>
      </c>
      <c r="B984" s="304"/>
      <c r="C984" s="357"/>
      <c r="D984" s="262"/>
      <c r="E984" s="336" t="s">
        <v>1544</v>
      </c>
    </row>
    <row r="985" spans="1:5" ht="66">
      <c r="A985" s="280" t="str">
        <f>IF(AND(B985&lt;&gt;"",C985&lt;&gt;""),MAX($A$1:A984)+1,"")</f>
        <v/>
      </c>
      <c r="B985" s="304"/>
      <c r="C985" s="357"/>
      <c r="D985" s="262"/>
      <c r="E985" s="336" t="s">
        <v>1595</v>
      </c>
    </row>
    <row r="986" spans="1:5" ht="132">
      <c r="A986" s="280">
        <f>IF(AND(B986&lt;&gt;"",C986&lt;&gt;""),MAX($A$1:A985)+1,"")</f>
        <v>142</v>
      </c>
      <c r="B986" s="261" t="s">
        <v>337</v>
      </c>
      <c r="C986" s="276" t="s">
        <v>298</v>
      </c>
      <c r="D986" s="263"/>
      <c r="E986" s="247"/>
    </row>
    <row r="987" spans="1:5" ht="66">
      <c r="A987" s="280" t="str">
        <f>IF(AND(B987&lt;&gt;"",C987&lt;&gt;""),MAX($A$1:A986)+1,"")</f>
        <v/>
      </c>
      <c r="B987" s="304"/>
      <c r="C987" s="357"/>
      <c r="D987" s="262"/>
      <c r="E987" s="336" t="s">
        <v>547</v>
      </c>
    </row>
    <row r="988" spans="1:5" ht="82.5">
      <c r="A988" s="280" t="str">
        <f>IF(AND(B988&lt;&gt;"",C988&lt;&gt;""),MAX($A$1:A987)+1,"")</f>
        <v/>
      </c>
      <c r="B988" s="304"/>
      <c r="C988" s="357"/>
      <c r="D988" s="262"/>
      <c r="E988" s="336" t="s">
        <v>548</v>
      </c>
    </row>
    <row r="989" spans="1:5" ht="66">
      <c r="A989" s="280" t="str">
        <f>IF(AND(B989&lt;&gt;"",C989&lt;&gt;""),MAX($A$1:A988)+1,"")</f>
        <v/>
      </c>
      <c r="B989" s="304"/>
      <c r="C989" s="357"/>
      <c r="D989" s="262"/>
      <c r="E989" s="336" t="s">
        <v>549</v>
      </c>
    </row>
    <row r="990" spans="1:5" ht="66">
      <c r="A990" s="280" t="str">
        <f>IF(AND(B990&lt;&gt;"",C990&lt;&gt;""),MAX($A$1:A989)+1,"")</f>
        <v/>
      </c>
      <c r="B990" s="304"/>
      <c r="C990" s="357"/>
      <c r="D990" s="262"/>
      <c r="E990" s="336" t="s">
        <v>550</v>
      </c>
    </row>
    <row r="991" spans="1:5" ht="66">
      <c r="A991" s="280" t="str">
        <f>IF(AND(B991&lt;&gt;"",C991&lt;&gt;""),MAX($A$1:A990)+1,"")</f>
        <v/>
      </c>
      <c r="B991" s="304"/>
      <c r="C991" s="357"/>
      <c r="D991" s="262"/>
      <c r="E991" s="336" t="s">
        <v>873</v>
      </c>
    </row>
    <row r="992" spans="1:5" ht="82.5">
      <c r="A992" s="280" t="str">
        <f>IF(AND(B992&lt;&gt;"",C992&lt;&gt;""),MAX($A$1:A991)+1,"")</f>
        <v/>
      </c>
      <c r="B992" s="304"/>
      <c r="C992" s="357"/>
      <c r="D992" s="262"/>
      <c r="E992" s="336" t="s">
        <v>874</v>
      </c>
    </row>
    <row r="993" spans="1:5" ht="66">
      <c r="A993" s="280" t="str">
        <f>IF(AND(B993&lt;&gt;"",C993&lt;&gt;""),MAX($A$1:A992)+1,"")</f>
        <v/>
      </c>
      <c r="B993" s="304"/>
      <c r="C993" s="357"/>
      <c r="D993" s="262"/>
      <c r="E993" s="336" t="s">
        <v>1545</v>
      </c>
    </row>
    <row r="994" spans="1:5" ht="66">
      <c r="A994" s="280" t="str">
        <f>IF(AND(B994&lt;&gt;"",C994&lt;&gt;""),MAX($A$1:A993)+1,"")</f>
        <v/>
      </c>
      <c r="B994" s="304"/>
      <c r="C994" s="357"/>
      <c r="D994" s="262"/>
      <c r="E994" s="336" t="s">
        <v>1596</v>
      </c>
    </row>
    <row r="995" spans="1:5" ht="115.5">
      <c r="A995" s="280">
        <f>IF(AND(B995&lt;&gt;"",C995&lt;&gt;""),MAX($A$1:A994)+1,"")</f>
        <v>143</v>
      </c>
      <c r="B995" s="261" t="s">
        <v>338</v>
      </c>
      <c r="C995" s="276" t="s">
        <v>298</v>
      </c>
      <c r="D995" s="262"/>
      <c r="E995" s="336"/>
    </row>
    <row r="996" spans="1:5" ht="66">
      <c r="A996" s="280" t="str">
        <f>IF(AND(B996&lt;&gt;"",C996&lt;&gt;""),MAX($A$1:A995)+1,"")</f>
        <v/>
      </c>
      <c r="B996" s="304"/>
      <c r="C996" s="357"/>
      <c r="D996" s="262"/>
      <c r="E996" s="336" t="s">
        <v>551</v>
      </c>
    </row>
    <row r="997" spans="1:5" ht="66">
      <c r="A997" s="280" t="str">
        <f>IF(AND(B997&lt;&gt;"",C997&lt;&gt;""),MAX($A$1:A996)+1,"")</f>
        <v/>
      </c>
      <c r="B997" s="304"/>
      <c r="C997" s="357"/>
      <c r="D997" s="262"/>
      <c r="E997" s="336" t="s">
        <v>552</v>
      </c>
    </row>
    <row r="998" spans="1:5" ht="66">
      <c r="A998" s="280" t="str">
        <f>IF(AND(B998&lt;&gt;"",C998&lt;&gt;""),MAX($A$1:A997)+1,"")</f>
        <v/>
      </c>
      <c r="B998" s="304"/>
      <c r="C998" s="357"/>
      <c r="D998" s="262"/>
      <c r="E998" s="336" t="s">
        <v>553</v>
      </c>
    </row>
    <row r="999" spans="1:5" ht="66">
      <c r="A999" s="280" t="str">
        <f>IF(AND(B999&lt;&gt;"",C999&lt;&gt;""),MAX($A$1:A998)+1,"")</f>
        <v/>
      </c>
      <c r="B999" s="304"/>
      <c r="C999" s="357"/>
      <c r="D999" s="262"/>
      <c r="E999" s="336" t="s">
        <v>554</v>
      </c>
    </row>
    <row r="1000" spans="1:5" ht="66">
      <c r="A1000" s="280" t="str">
        <f>IF(AND(B1000&lt;&gt;"",C1000&lt;&gt;""),MAX($A$1:A999)+1,"")</f>
        <v/>
      </c>
      <c r="B1000" s="304"/>
      <c r="C1000" s="357"/>
      <c r="D1000" s="262"/>
      <c r="E1000" s="336" t="s">
        <v>875</v>
      </c>
    </row>
    <row r="1001" spans="1:5" ht="66">
      <c r="A1001" s="280" t="str">
        <f>IF(AND(B1001&lt;&gt;"",C1001&lt;&gt;""),MAX($A$1:A1000)+1,"")</f>
        <v/>
      </c>
      <c r="B1001" s="304"/>
      <c r="C1001" s="357"/>
      <c r="D1001" s="262"/>
      <c r="E1001" s="336" t="s">
        <v>876</v>
      </c>
    </row>
    <row r="1002" spans="1:5" ht="66">
      <c r="A1002" s="280" t="str">
        <f>IF(AND(B1002&lt;&gt;"",C1002&lt;&gt;""),MAX($A$1:A1001)+1,"")</f>
        <v/>
      </c>
      <c r="B1002" s="304"/>
      <c r="C1002" s="357"/>
      <c r="D1002" s="262"/>
      <c r="E1002" s="336" t="s">
        <v>1546</v>
      </c>
    </row>
    <row r="1003" spans="1:5" ht="66">
      <c r="A1003" s="280" t="str">
        <f>IF(AND(B1003&lt;&gt;"",C1003&lt;&gt;""),MAX($A$1:A1002)+1,"")</f>
        <v/>
      </c>
      <c r="B1003" s="304"/>
      <c r="C1003" s="357"/>
      <c r="D1003" s="262"/>
      <c r="E1003" s="336" t="s">
        <v>1597</v>
      </c>
    </row>
    <row r="1004" spans="1:5" ht="132">
      <c r="A1004" s="280">
        <f>IF(AND(B1004&lt;&gt;"",C1004&lt;&gt;""),MAX($A$1:A1003)+1,"")</f>
        <v>144</v>
      </c>
      <c r="B1004" s="261" t="s">
        <v>339</v>
      </c>
      <c r="C1004" s="276" t="s">
        <v>298</v>
      </c>
      <c r="D1004" s="262"/>
      <c r="E1004" s="336"/>
    </row>
    <row r="1005" spans="1:5" ht="66">
      <c r="A1005" s="280" t="str">
        <f>IF(AND(B1005&lt;&gt;"",C1005&lt;&gt;""),MAX($A$1:A1004)+1,"")</f>
        <v/>
      </c>
      <c r="B1005" s="304"/>
      <c r="C1005" s="357"/>
      <c r="D1005" s="262"/>
      <c r="E1005" s="336" t="s">
        <v>555</v>
      </c>
    </row>
    <row r="1006" spans="1:5" ht="82.5">
      <c r="A1006" s="280" t="str">
        <f>IF(AND(B1006&lt;&gt;"",C1006&lt;&gt;""),MAX($A$1:A1005)+1,"")</f>
        <v/>
      </c>
      <c r="B1006" s="304"/>
      <c r="C1006" s="357"/>
      <c r="D1006" s="262"/>
      <c r="E1006" s="336" t="s">
        <v>556</v>
      </c>
    </row>
    <row r="1007" spans="1:5" ht="66">
      <c r="A1007" s="280" t="str">
        <f>IF(AND(B1007&lt;&gt;"",C1007&lt;&gt;""),MAX($A$1:A1006)+1,"")</f>
        <v/>
      </c>
      <c r="B1007" s="304"/>
      <c r="C1007" s="357"/>
      <c r="D1007" s="262"/>
      <c r="E1007" s="336" t="s">
        <v>557</v>
      </c>
    </row>
    <row r="1008" spans="1:5" ht="66">
      <c r="A1008" s="280" t="str">
        <f>IF(AND(B1008&lt;&gt;"",C1008&lt;&gt;""),MAX($A$1:A1007)+1,"")</f>
        <v/>
      </c>
      <c r="B1008" s="304"/>
      <c r="C1008" s="357"/>
      <c r="D1008" s="262"/>
      <c r="E1008" s="336" t="s">
        <v>558</v>
      </c>
    </row>
    <row r="1009" spans="1:5" ht="66">
      <c r="A1009" s="280" t="str">
        <f>IF(AND(B1009&lt;&gt;"",C1009&lt;&gt;""),MAX($A$1:A1008)+1,"")</f>
        <v/>
      </c>
      <c r="B1009" s="304"/>
      <c r="C1009" s="357"/>
      <c r="D1009" s="262"/>
      <c r="E1009" s="336" t="s">
        <v>877</v>
      </c>
    </row>
    <row r="1010" spans="1:5" ht="82.5">
      <c r="A1010" s="280" t="str">
        <f>IF(AND(B1010&lt;&gt;"",C1010&lt;&gt;""),MAX($A$1:A1009)+1,"")</f>
        <v/>
      </c>
      <c r="B1010" s="304"/>
      <c r="C1010" s="357"/>
      <c r="D1010" s="262"/>
      <c r="E1010" s="336" t="s">
        <v>878</v>
      </c>
    </row>
    <row r="1011" spans="1:5" ht="66">
      <c r="A1011" s="280" t="str">
        <f>IF(AND(B1011&lt;&gt;"",C1011&lt;&gt;""),MAX($A$1:A1010)+1,"")</f>
        <v/>
      </c>
      <c r="B1011" s="304"/>
      <c r="C1011" s="357"/>
      <c r="D1011" s="262"/>
      <c r="E1011" s="336" t="s">
        <v>1547</v>
      </c>
    </row>
    <row r="1012" spans="1:5" ht="66">
      <c r="A1012" s="280" t="str">
        <f>IF(AND(B1012&lt;&gt;"",C1012&lt;&gt;""),MAX($A$1:A1011)+1,"")</f>
        <v/>
      </c>
      <c r="B1012" s="304"/>
      <c r="C1012" s="357"/>
      <c r="D1012" s="262"/>
      <c r="E1012" s="336" t="s">
        <v>1598</v>
      </c>
    </row>
    <row r="1013" spans="1:5" ht="99">
      <c r="A1013" s="280">
        <f>IF(AND(B1013&lt;&gt;"",C1013&lt;&gt;""),MAX($A$1:A1012)+1,"")</f>
        <v>145</v>
      </c>
      <c r="B1013" s="261" t="s">
        <v>340</v>
      </c>
      <c r="C1013" s="276" t="s">
        <v>298</v>
      </c>
      <c r="D1013" s="262"/>
      <c r="E1013" s="336"/>
    </row>
    <row r="1014" spans="1:5" ht="66">
      <c r="A1014" s="280" t="str">
        <f>IF(AND(B1014&lt;&gt;"",C1014&lt;&gt;""),MAX($A$1:A1013)+1,"")</f>
        <v/>
      </c>
      <c r="B1014" s="304"/>
      <c r="C1014" s="357"/>
      <c r="D1014" s="262"/>
      <c r="E1014" s="336" t="s">
        <v>559</v>
      </c>
    </row>
    <row r="1015" spans="1:5" ht="66">
      <c r="A1015" s="280" t="str">
        <f>IF(AND(B1015&lt;&gt;"",C1015&lt;&gt;""),MAX($A$1:A1014)+1,"")</f>
        <v/>
      </c>
      <c r="B1015" s="304"/>
      <c r="C1015" s="357"/>
      <c r="D1015" s="262"/>
      <c r="E1015" s="336" t="s">
        <v>560</v>
      </c>
    </row>
    <row r="1016" spans="1:5" ht="66">
      <c r="A1016" s="280" t="str">
        <f>IF(AND(B1016&lt;&gt;"",C1016&lt;&gt;""),MAX($A$1:A1015)+1,"")</f>
        <v/>
      </c>
      <c r="B1016" s="304"/>
      <c r="C1016" s="357"/>
      <c r="D1016" s="262"/>
      <c r="E1016" s="336" t="s">
        <v>561</v>
      </c>
    </row>
    <row r="1017" spans="1:5" ht="66">
      <c r="A1017" s="280" t="str">
        <f>IF(AND(B1017&lt;&gt;"",C1017&lt;&gt;""),MAX($A$1:A1016)+1,"")</f>
        <v/>
      </c>
      <c r="B1017" s="304"/>
      <c r="C1017" s="357"/>
      <c r="D1017" s="262"/>
      <c r="E1017" s="336" t="s">
        <v>562</v>
      </c>
    </row>
    <row r="1018" spans="1:5" ht="66">
      <c r="A1018" s="280" t="str">
        <f>IF(AND(B1018&lt;&gt;"",C1018&lt;&gt;""),MAX($A$1:A1017)+1,"")</f>
        <v/>
      </c>
      <c r="B1018" s="304"/>
      <c r="C1018" s="357"/>
      <c r="D1018" s="262"/>
      <c r="E1018" s="336" t="s">
        <v>879</v>
      </c>
    </row>
    <row r="1019" spans="1:5" ht="66">
      <c r="A1019" s="280" t="str">
        <f>IF(AND(B1019&lt;&gt;"",C1019&lt;&gt;""),MAX($A$1:A1018)+1,"")</f>
        <v/>
      </c>
      <c r="B1019" s="304"/>
      <c r="C1019" s="357"/>
      <c r="D1019" s="262"/>
      <c r="E1019" s="336" t="s">
        <v>880</v>
      </c>
    </row>
    <row r="1020" spans="1:5" ht="66">
      <c r="A1020" s="280" t="str">
        <f>IF(AND(B1020&lt;&gt;"",C1020&lt;&gt;""),MAX($A$1:A1019)+1,"")</f>
        <v/>
      </c>
      <c r="B1020" s="304"/>
      <c r="C1020" s="357"/>
      <c r="D1020" s="262"/>
      <c r="E1020" s="336" t="s">
        <v>1548</v>
      </c>
    </row>
    <row r="1021" spans="1:5" ht="66">
      <c r="A1021" s="280" t="str">
        <f>IF(AND(B1021&lt;&gt;"",C1021&lt;&gt;""),MAX($A$1:A1020)+1,"")</f>
        <v/>
      </c>
      <c r="B1021" s="304"/>
      <c r="C1021" s="357"/>
      <c r="D1021" s="262"/>
      <c r="E1021" s="336" t="s">
        <v>1599</v>
      </c>
    </row>
    <row r="1022" spans="1:5" ht="115.5">
      <c r="A1022" s="280">
        <f>IF(AND(B1022&lt;&gt;"",C1022&lt;&gt;""),MAX($A$1:A1021)+1,"")</f>
        <v>146</v>
      </c>
      <c r="B1022" s="261" t="s">
        <v>341</v>
      </c>
      <c r="C1022" s="276" t="s">
        <v>298</v>
      </c>
      <c r="D1022" s="263"/>
      <c r="E1022" s="247"/>
    </row>
    <row r="1023" spans="1:5" ht="66">
      <c r="A1023" s="280" t="str">
        <f>IF(AND(B1023&lt;&gt;"",C1023&lt;&gt;""),MAX($A$1:A1022)+1,"")</f>
        <v/>
      </c>
      <c r="B1023" s="304"/>
      <c r="C1023" s="357"/>
      <c r="D1023" s="262"/>
      <c r="E1023" s="336" t="s">
        <v>563</v>
      </c>
    </row>
    <row r="1024" spans="1:5" ht="66">
      <c r="A1024" s="280" t="str">
        <f>IF(AND(B1024&lt;&gt;"",C1024&lt;&gt;""),MAX($A$1:A1023)+1,"")</f>
        <v/>
      </c>
      <c r="B1024" s="304"/>
      <c r="C1024" s="357"/>
      <c r="D1024" s="262"/>
      <c r="E1024" s="336" t="s">
        <v>564</v>
      </c>
    </row>
    <row r="1025" spans="1:5" ht="66">
      <c r="A1025" s="280" t="str">
        <f>IF(AND(B1025&lt;&gt;"",C1025&lt;&gt;""),MAX($A$1:A1024)+1,"")</f>
        <v/>
      </c>
      <c r="B1025" s="304"/>
      <c r="C1025" s="357"/>
      <c r="D1025" s="262"/>
      <c r="E1025" s="336" t="s">
        <v>565</v>
      </c>
    </row>
    <row r="1026" spans="1:5" ht="66">
      <c r="A1026" s="280" t="str">
        <f>IF(AND(B1026&lt;&gt;"",C1026&lt;&gt;""),MAX($A$1:A1025)+1,"")</f>
        <v/>
      </c>
      <c r="B1026" s="304"/>
      <c r="C1026" s="357"/>
      <c r="D1026" s="262"/>
      <c r="E1026" s="336" t="s">
        <v>566</v>
      </c>
    </row>
    <row r="1027" spans="1:5" ht="66">
      <c r="A1027" s="280" t="str">
        <f>IF(AND(B1027&lt;&gt;"",C1027&lt;&gt;""),MAX($A$1:A1026)+1,"")</f>
        <v/>
      </c>
      <c r="B1027" s="304"/>
      <c r="C1027" s="357"/>
      <c r="D1027" s="262"/>
      <c r="E1027" s="336" t="s">
        <v>881</v>
      </c>
    </row>
    <row r="1028" spans="1:5" ht="66">
      <c r="A1028" s="280" t="str">
        <f>IF(AND(B1028&lt;&gt;"",C1028&lt;&gt;""),MAX($A$1:A1027)+1,"")</f>
        <v/>
      </c>
      <c r="B1028" s="304"/>
      <c r="C1028" s="357"/>
      <c r="D1028" s="262"/>
      <c r="E1028" s="336" t="s">
        <v>882</v>
      </c>
    </row>
    <row r="1029" spans="1:5" ht="66">
      <c r="A1029" s="280" t="str">
        <f>IF(AND(B1029&lt;&gt;"",C1029&lt;&gt;""),MAX($A$1:A1028)+1,"")</f>
        <v/>
      </c>
      <c r="B1029" s="304"/>
      <c r="C1029" s="357"/>
      <c r="D1029" s="262"/>
      <c r="E1029" s="336" t="s">
        <v>1549</v>
      </c>
    </row>
    <row r="1030" spans="1:5" ht="66">
      <c r="A1030" s="280" t="str">
        <f>IF(AND(B1030&lt;&gt;"",C1030&lt;&gt;""),MAX($A$1:A1029)+1,"")</f>
        <v/>
      </c>
      <c r="B1030" s="304"/>
      <c r="C1030" s="357"/>
      <c r="D1030" s="262"/>
      <c r="E1030" s="336" t="s">
        <v>1600</v>
      </c>
    </row>
    <row r="1031" spans="1:5" ht="115.5">
      <c r="A1031" s="280">
        <f>IF(AND(B1031&lt;&gt;"",C1031&lt;&gt;""),MAX($A$1:A1030)+1,"")</f>
        <v>147</v>
      </c>
      <c r="B1031" s="261" t="s">
        <v>342</v>
      </c>
      <c r="C1031" s="276" t="s">
        <v>298</v>
      </c>
      <c r="D1031" s="263"/>
      <c r="E1031" s="247"/>
    </row>
    <row r="1032" spans="1:5" ht="66">
      <c r="A1032" s="280" t="str">
        <f>IF(AND(B1032&lt;&gt;"",C1032&lt;&gt;""),MAX($A$1:A1031)+1,"")</f>
        <v/>
      </c>
      <c r="B1032" s="304"/>
      <c r="C1032" s="357"/>
      <c r="D1032" s="262"/>
      <c r="E1032" s="336" t="s">
        <v>567</v>
      </c>
    </row>
    <row r="1033" spans="1:5" ht="66">
      <c r="A1033" s="280" t="str">
        <f>IF(AND(B1033&lt;&gt;"",C1033&lt;&gt;""),MAX($A$1:A1032)+1,"")</f>
        <v/>
      </c>
      <c r="B1033" s="304"/>
      <c r="C1033" s="357"/>
      <c r="D1033" s="262"/>
      <c r="E1033" s="336" t="s">
        <v>568</v>
      </c>
    </row>
    <row r="1034" spans="1:5" ht="66">
      <c r="A1034" s="280" t="str">
        <f>IF(AND(B1034&lt;&gt;"",C1034&lt;&gt;""),MAX($A$1:A1033)+1,"")</f>
        <v/>
      </c>
      <c r="B1034" s="304"/>
      <c r="C1034" s="357"/>
      <c r="D1034" s="262"/>
      <c r="E1034" s="336" t="s">
        <v>569</v>
      </c>
    </row>
    <row r="1035" spans="1:5" ht="66">
      <c r="A1035" s="280" t="str">
        <f>IF(AND(B1035&lt;&gt;"",C1035&lt;&gt;""),MAX($A$1:A1034)+1,"")</f>
        <v/>
      </c>
      <c r="B1035" s="304"/>
      <c r="C1035" s="357"/>
      <c r="D1035" s="262"/>
      <c r="E1035" s="336" t="s">
        <v>570</v>
      </c>
    </row>
    <row r="1036" spans="1:5" ht="66">
      <c r="A1036" s="280" t="str">
        <f>IF(AND(B1036&lt;&gt;"",C1036&lt;&gt;""),MAX($A$1:A1035)+1,"")</f>
        <v/>
      </c>
      <c r="B1036" s="304"/>
      <c r="C1036" s="357"/>
      <c r="D1036" s="262"/>
      <c r="E1036" s="336" t="s">
        <v>883</v>
      </c>
    </row>
    <row r="1037" spans="1:5" ht="66">
      <c r="A1037" s="280" t="str">
        <f>IF(AND(B1037&lt;&gt;"",C1037&lt;&gt;""),MAX($A$1:A1036)+1,"")</f>
        <v/>
      </c>
      <c r="B1037" s="304"/>
      <c r="C1037" s="357"/>
      <c r="D1037" s="262"/>
      <c r="E1037" s="336" t="s">
        <v>884</v>
      </c>
    </row>
    <row r="1038" spans="1:5" ht="66">
      <c r="A1038" s="280" t="str">
        <f>IF(AND(B1038&lt;&gt;"",C1038&lt;&gt;""),MAX($A$1:A1037)+1,"")</f>
        <v/>
      </c>
      <c r="B1038" s="304"/>
      <c r="C1038" s="357"/>
      <c r="D1038" s="262"/>
      <c r="E1038" s="336" t="s">
        <v>1550</v>
      </c>
    </row>
    <row r="1039" spans="1:5" ht="66">
      <c r="A1039" s="280" t="str">
        <f>IF(AND(B1039&lt;&gt;"",C1039&lt;&gt;""),MAX($A$1:A1038)+1,"")</f>
        <v/>
      </c>
      <c r="B1039" s="304"/>
      <c r="C1039" s="357"/>
      <c r="D1039" s="262"/>
      <c r="E1039" s="336" t="s">
        <v>1601</v>
      </c>
    </row>
    <row r="1040" spans="1:5" ht="99">
      <c r="A1040" s="280">
        <f>IF(AND(B1040&lt;&gt;"",C1040&lt;&gt;""),MAX($A$1:A1039)+1,"")</f>
        <v>148</v>
      </c>
      <c r="B1040" s="261" t="s">
        <v>343</v>
      </c>
      <c r="C1040" s="276" t="s">
        <v>298</v>
      </c>
      <c r="D1040" s="263"/>
      <c r="E1040" s="247"/>
    </row>
    <row r="1041" spans="1:5" ht="66">
      <c r="A1041" s="280" t="str">
        <f>IF(AND(B1041&lt;&gt;"",C1041&lt;&gt;""),MAX($A$1:A1040)+1,"")</f>
        <v/>
      </c>
      <c r="B1041" s="304"/>
      <c r="C1041" s="357"/>
      <c r="D1041" s="262"/>
      <c r="E1041" s="336" t="s">
        <v>571</v>
      </c>
    </row>
    <row r="1042" spans="1:5" ht="66">
      <c r="A1042" s="280" t="str">
        <f>IF(AND(B1042&lt;&gt;"",C1042&lt;&gt;""),MAX($A$1:A1041)+1,"")</f>
        <v/>
      </c>
      <c r="B1042" s="304"/>
      <c r="C1042" s="357"/>
      <c r="D1042" s="262"/>
      <c r="E1042" s="336" t="s">
        <v>572</v>
      </c>
    </row>
    <row r="1043" spans="1:5" ht="66">
      <c r="A1043" s="280" t="str">
        <f>IF(AND(B1043&lt;&gt;"",C1043&lt;&gt;""),MAX($A$1:A1042)+1,"")</f>
        <v/>
      </c>
      <c r="B1043" s="304"/>
      <c r="C1043" s="357"/>
      <c r="D1043" s="262"/>
      <c r="E1043" s="336" t="s">
        <v>573</v>
      </c>
    </row>
    <row r="1044" spans="1:5" ht="66">
      <c r="A1044" s="280" t="str">
        <f>IF(AND(B1044&lt;&gt;"",C1044&lt;&gt;""),MAX($A$1:A1043)+1,"")</f>
        <v/>
      </c>
      <c r="B1044" s="304"/>
      <c r="C1044" s="357"/>
      <c r="D1044" s="262"/>
      <c r="E1044" s="336" t="s">
        <v>574</v>
      </c>
    </row>
    <row r="1045" spans="1:5" ht="66">
      <c r="A1045" s="280" t="str">
        <f>IF(AND(B1045&lt;&gt;"",C1045&lt;&gt;""),MAX($A$1:A1044)+1,"")</f>
        <v/>
      </c>
      <c r="B1045" s="304"/>
      <c r="C1045" s="357"/>
      <c r="D1045" s="262"/>
      <c r="E1045" s="336" t="s">
        <v>885</v>
      </c>
    </row>
    <row r="1046" spans="1:5" ht="66">
      <c r="A1046" s="280" t="str">
        <f>IF(AND(B1046&lt;&gt;"",C1046&lt;&gt;""),MAX($A$1:A1045)+1,"")</f>
        <v/>
      </c>
      <c r="B1046" s="304"/>
      <c r="C1046" s="357"/>
      <c r="D1046" s="262"/>
      <c r="E1046" s="336" t="s">
        <v>886</v>
      </c>
    </row>
    <row r="1047" spans="1:5" ht="66">
      <c r="A1047" s="280" t="str">
        <f>IF(AND(B1047&lt;&gt;"",C1047&lt;&gt;""),MAX($A$1:A1046)+1,"")</f>
        <v/>
      </c>
      <c r="B1047" s="304"/>
      <c r="C1047" s="357"/>
      <c r="D1047" s="262"/>
      <c r="E1047" s="336" t="s">
        <v>1551</v>
      </c>
    </row>
    <row r="1048" spans="1:5" ht="66">
      <c r="A1048" s="280" t="str">
        <f>IF(AND(B1048&lt;&gt;"",C1048&lt;&gt;""),MAX($A$1:A1047)+1,"")</f>
        <v/>
      </c>
      <c r="B1048" s="304"/>
      <c r="C1048" s="357"/>
      <c r="D1048" s="262"/>
      <c r="E1048" s="336" t="s">
        <v>1602</v>
      </c>
    </row>
    <row r="1049" spans="1:5" ht="66">
      <c r="A1049" s="280">
        <f>IF(AND(B1049&lt;&gt;"",C1049&lt;&gt;""),MAX($A$1:A1048)+1,"")</f>
        <v>149</v>
      </c>
      <c r="B1049" s="261" t="s">
        <v>344</v>
      </c>
      <c r="C1049" s="276" t="s">
        <v>298</v>
      </c>
      <c r="D1049" s="263"/>
      <c r="E1049" s="247"/>
    </row>
    <row r="1050" spans="1:5" ht="49.5">
      <c r="A1050" s="280" t="str">
        <f>IF(AND(B1050&lt;&gt;"",C1050&lt;&gt;""),MAX($A$1:A1049)+1,"")</f>
        <v/>
      </c>
      <c r="B1050" s="304"/>
      <c r="C1050" s="357"/>
      <c r="D1050" s="262"/>
      <c r="E1050" s="336" t="s">
        <v>575</v>
      </c>
    </row>
    <row r="1051" spans="1:5" ht="66">
      <c r="A1051" s="280" t="str">
        <f>IF(AND(B1051&lt;&gt;"",C1051&lt;&gt;""),MAX($A$1:A1050)+1,"")</f>
        <v/>
      </c>
      <c r="B1051" s="304"/>
      <c r="C1051" s="357"/>
      <c r="D1051" s="262"/>
      <c r="E1051" s="336" t="s">
        <v>576</v>
      </c>
    </row>
    <row r="1052" spans="1:5" ht="49.5">
      <c r="A1052" s="280" t="str">
        <f>IF(AND(B1052&lt;&gt;"",C1052&lt;&gt;""),MAX($A$1:A1051)+1,"")</f>
        <v/>
      </c>
      <c r="B1052" s="304"/>
      <c r="C1052" s="357"/>
      <c r="D1052" s="262"/>
      <c r="E1052" s="336" t="s">
        <v>577</v>
      </c>
    </row>
    <row r="1053" spans="1:5" ht="49.5">
      <c r="A1053" s="280" t="str">
        <f>IF(AND(B1053&lt;&gt;"",C1053&lt;&gt;""),MAX($A$1:A1052)+1,"")</f>
        <v/>
      </c>
      <c r="B1053" s="304"/>
      <c r="C1053" s="357"/>
      <c r="D1053" s="262"/>
      <c r="E1053" s="336" t="s">
        <v>578</v>
      </c>
    </row>
    <row r="1054" spans="1:5" ht="49.5">
      <c r="A1054" s="280" t="str">
        <f>IF(AND(B1054&lt;&gt;"",C1054&lt;&gt;""),MAX($A$1:A1053)+1,"")</f>
        <v/>
      </c>
      <c r="B1054" s="304"/>
      <c r="C1054" s="357"/>
      <c r="D1054" s="262"/>
      <c r="E1054" s="336" t="s">
        <v>887</v>
      </c>
    </row>
    <row r="1055" spans="1:5" ht="66">
      <c r="A1055" s="280" t="str">
        <f>IF(AND(B1055&lt;&gt;"",C1055&lt;&gt;""),MAX($A$1:A1054)+1,"")</f>
        <v/>
      </c>
      <c r="B1055" s="304"/>
      <c r="C1055" s="357"/>
      <c r="D1055" s="262"/>
      <c r="E1055" s="336" t="s">
        <v>888</v>
      </c>
    </row>
    <row r="1056" spans="1:5" ht="49.5">
      <c r="A1056" s="280" t="str">
        <f>IF(AND(B1056&lt;&gt;"",C1056&lt;&gt;""),MAX($A$1:A1055)+1,"")</f>
        <v/>
      </c>
      <c r="B1056" s="304"/>
      <c r="C1056" s="357"/>
      <c r="D1056" s="262"/>
      <c r="E1056" s="336" t="s">
        <v>1552</v>
      </c>
    </row>
    <row r="1057" spans="1:5" ht="49.5">
      <c r="A1057" s="280" t="str">
        <f>IF(AND(B1057&lt;&gt;"",C1057&lt;&gt;""),MAX($A$1:A1056)+1,"")</f>
        <v/>
      </c>
      <c r="B1057" s="304"/>
      <c r="C1057" s="357"/>
      <c r="D1057" s="262"/>
      <c r="E1057" s="336" t="s">
        <v>1603</v>
      </c>
    </row>
    <row r="1058" spans="1:5" ht="115.5">
      <c r="A1058" s="280">
        <f>IF(AND(B1058&lt;&gt;"",C1058&lt;&gt;""),MAX($A$1:A1057)+1,"")</f>
        <v>150</v>
      </c>
      <c r="B1058" s="261" t="s">
        <v>345</v>
      </c>
      <c r="C1058" s="276" t="s">
        <v>298</v>
      </c>
      <c r="D1058" s="263"/>
      <c r="E1058" s="247"/>
    </row>
    <row r="1059" spans="1:5" ht="66">
      <c r="A1059" s="280" t="str">
        <f>IF(AND(B1059&lt;&gt;"",C1059&lt;&gt;""),MAX($A$1:A1058)+1,"")</f>
        <v/>
      </c>
      <c r="B1059" s="304"/>
      <c r="C1059" s="357"/>
      <c r="D1059" s="262"/>
      <c r="E1059" s="336" t="s">
        <v>579</v>
      </c>
    </row>
    <row r="1060" spans="1:5" ht="66">
      <c r="A1060" s="280" t="str">
        <f>IF(AND(B1060&lt;&gt;"",C1060&lt;&gt;""),MAX($A$1:A1059)+1,"")</f>
        <v/>
      </c>
      <c r="B1060" s="304"/>
      <c r="C1060" s="357"/>
      <c r="D1060" s="262"/>
      <c r="E1060" s="336" t="s">
        <v>580</v>
      </c>
    </row>
    <row r="1061" spans="1:5" ht="66">
      <c r="A1061" s="280" t="str">
        <f>IF(AND(B1061&lt;&gt;"",C1061&lt;&gt;""),MAX($A$1:A1060)+1,"")</f>
        <v/>
      </c>
      <c r="B1061" s="304"/>
      <c r="C1061" s="357"/>
      <c r="D1061" s="262"/>
      <c r="E1061" s="336" t="s">
        <v>581</v>
      </c>
    </row>
    <row r="1062" spans="1:5" ht="66">
      <c r="A1062" s="280" t="str">
        <f>IF(AND(B1062&lt;&gt;"",C1062&lt;&gt;""),MAX($A$1:A1061)+1,"")</f>
        <v/>
      </c>
      <c r="B1062" s="304"/>
      <c r="C1062" s="357"/>
      <c r="D1062" s="262"/>
      <c r="E1062" s="336" t="s">
        <v>582</v>
      </c>
    </row>
    <row r="1063" spans="1:5" ht="66">
      <c r="A1063" s="280" t="str">
        <f>IF(AND(B1063&lt;&gt;"",C1063&lt;&gt;""),MAX($A$1:A1062)+1,"")</f>
        <v/>
      </c>
      <c r="B1063" s="304"/>
      <c r="C1063" s="357"/>
      <c r="D1063" s="262"/>
      <c r="E1063" s="336" t="s">
        <v>889</v>
      </c>
    </row>
    <row r="1064" spans="1:5" ht="66">
      <c r="A1064" s="280" t="str">
        <f>IF(AND(B1064&lt;&gt;"",C1064&lt;&gt;""),MAX($A$1:A1063)+1,"")</f>
        <v/>
      </c>
      <c r="B1064" s="304"/>
      <c r="C1064" s="357"/>
      <c r="D1064" s="262"/>
      <c r="E1064" s="336" t="s">
        <v>890</v>
      </c>
    </row>
    <row r="1065" spans="1:5" ht="66">
      <c r="A1065" s="280" t="str">
        <f>IF(AND(B1065&lt;&gt;"",C1065&lt;&gt;""),MAX($A$1:A1064)+1,"")</f>
        <v/>
      </c>
      <c r="B1065" s="304"/>
      <c r="C1065" s="357"/>
      <c r="D1065" s="262"/>
      <c r="E1065" s="336" t="s">
        <v>1553</v>
      </c>
    </row>
    <row r="1066" spans="1:5" ht="66">
      <c r="A1066" s="280" t="str">
        <f>IF(AND(B1066&lt;&gt;"",C1066&lt;&gt;""),MAX($A$1:A1065)+1,"")</f>
        <v/>
      </c>
      <c r="B1066" s="304"/>
      <c r="C1066" s="357"/>
      <c r="D1066" s="262"/>
      <c r="E1066" s="336" t="s">
        <v>1604</v>
      </c>
    </row>
    <row r="1067" spans="1:5" ht="115.5">
      <c r="A1067" s="280">
        <f>IF(AND(B1067&lt;&gt;"",C1067&lt;&gt;""),MAX($A$1:A1066)+1,"")</f>
        <v>151</v>
      </c>
      <c r="B1067" s="261" t="s">
        <v>346</v>
      </c>
      <c r="C1067" s="276" t="s">
        <v>298</v>
      </c>
      <c r="D1067" s="262"/>
      <c r="E1067" s="336"/>
    </row>
    <row r="1068" spans="1:5" ht="66">
      <c r="A1068" s="280" t="str">
        <f>IF(AND(B1068&lt;&gt;"",C1068&lt;&gt;""),MAX($A$1:A1067)+1,"")</f>
        <v/>
      </c>
      <c r="B1068" s="304"/>
      <c r="C1068" s="357"/>
      <c r="D1068" s="262"/>
      <c r="E1068" s="336" t="s">
        <v>583</v>
      </c>
    </row>
    <row r="1069" spans="1:5" ht="66">
      <c r="A1069" s="280" t="str">
        <f>IF(AND(B1069&lt;&gt;"",C1069&lt;&gt;""),MAX($A$1:A1068)+1,"")</f>
        <v/>
      </c>
      <c r="B1069" s="304"/>
      <c r="C1069" s="357"/>
      <c r="D1069" s="262"/>
      <c r="E1069" s="336" t="s">
        <v>584</v>
      </c>
    </row>
    <row r="1070" spans="1:5" ht="66">
      <c r="A1070" s="280" t="str">
        <f>IF(AND(B1070&lt;&gt;"",C1070&lt;&gt;""),MAX($A$1:A1069)+1,"")</f>
        <v/>
      </c>
      <c r="B1070" s="304"/>
      <c r="C1070" s="357"/>
      <c r="D1070" s="262"/>
      <c r="E1070" s="336" t="s">
        <v>585</v>
      </c>
    </row>
    <row r="1071" spans="1:5" ht="66">
      <c r="A1071" s="280" t="str">
        <f>IF(AND(B1071&lt;&gt;"",C1071&lt;&gt;""),MAX($A$1:A1070)+1,"")</f>
        <v/>
      </c>
      <c r="B1071" s="304"/>
      <c r="C1071" s="357"/>
      <c r="D1071" s="262"/>
      <c r="E1071" s="336" t="s">
        <v>586</v>
      </c>
    </row>
    <row r="1072" spans="1:5" ht="66">
      <c r="A1072" s="280" t="str">
        <f>IF(AND(B1072&lt;&gt;"",C1072&lt;&gt;""),MAX($A$1:A1071)+1,"")</f>
        <v/>
      </c>
      <c r="B1072" s="304"/>
      <c r="C1072" s="357"/>
      <c r="D1072" s="262"/>
      <c r="E1072" s="336" t="s">
        <v>891</v>
      </c>
    </row>
    <row r="1073" spans="1:5" ht="66">
      <c r="A1073" s="280" t="str">
        <f>IF(AND(B1073&lt;&gt;"",C1073&lt;&gt;""),MAX($A$1:A1072)+1,"")</f>
        <v/>
      </c>
      <c r="B1073" s="304"/>
      <c r="C1073" s="357"/>
      <c r="D1073" s="262"/>
      <c r="E1073" s="336" t="s">
        <v>892</v>
      </c>
    </row>
    <row r="1074" spans="1:5" ht="66">
      <c r="A1074" s="280" t="str">
        <f>IF(AND(B1074&lt;&gt;"",C1074&lt;&gt;""),MAX($A$1:A1073)+1,"")</f>
        <v/>
      </c>
      <c r="B1074" s="304"/>
      <c r="C1074" s="357"/>
      <c r="D1074" s="262"/>
      <c r="E1074" s="336" t="s">
        <v>1554</v>
      </c>
    </row>
    <row r="1075" spans="1:5" ht="66">
      <c r="A1075" s="280" t="str">
        <f>IF(AND(B1075&lt;&gt;"",C1075&lt;&gt;""),MAX($A$1:A1074)+1,"")</f>
        <v/>
      </c>
      <c r="B1075" s="304"/>
      <c r="C1075" s="357"/>
      <c r="D1075" s="262"/>
      <c r="E1075" s="336" t="s">
        <v>1605</v>
      </c>
    </row>
    <row r="1076" spans="1:5" ht="132">
      <c r="A1076" s="280">
        <f>IF(AND(B1076&lt;&gt;"",C1076&lt;&gt;""),MAX($A$1:A1075)+1,"")</f>
        <v>152</v>
      </c>
      <c r="B1076" s="261" t="s">
        <v>347</v>
      </c>
      <c r="C1076" s="276" t="s">
        <v>298</v>
      </c>
      <c r="D1076" s="262"/>
      <c r="E1076" s="336"/>
    </row>
    <row r="1077" spans="1:5" ht="66">
      <c r="A1077" s="280" t="str">
        <f>IF(AND(B1077&lt;&gt;"",C1077&lt;&gt;""),MAX($A$1:A1076)+1,"")</f>
        <v/>
      </c>
      <c r="B1077" s="304"/>
      <c r="C1077" s="357"/>
      <c r="D1077" s="262"/>
      <c r="E1077" s="336" t="s">
        <v>587</v>
      </c>
    </row>
    <row r="1078" spans="1:5" ht="82.5">
      <c r="A1078" s="280" t="str">
        <f>IF(AND(B1078&lt;&gt;"",C1078&lt;&gt;""),MAX($A$1:A1077)+1,"")</f>
        <v/>
      </c>
      <c r="B1078" s="304"/>
      <c r="C1078" s="357"/>
      <c r="D1078" s="262"/>
      <c r="E1078" s="336" t="s">
        <v>588</v>
      </c>
    </row>
    <row r="1079" spans="1:5" ht="66">
      <c r="A1079" s="280" t="str">
        <f>IF(AND(B1079&lt;&gt;"",C1079&lt;&gt;""),MAX($A$1:A1078)+1,"")</f>
        <v/>
      </c>
      <c r="B1079" s="304"/>
      <c r="C1079" s="357"/>
      <c r="D1079" s="262"/>
      <c r="E1079" s="336" t="s">
        <v>589</v>
      </c>
    </row>
    <row r="1080" spans="1:5" ht="66">
      <c r="A1080" s="280" t="str">
        <f>IF(AND(B1080&lt;&gt;"",C1080&lt;&gt;""),MAX($A$1:A1079)+1,"")</f>
        <v/>
      </c>
      <c r="B1080" s="304"/>
      <c r="C1080" s="357"/>
      <c r="D1080" s="262"/>
      <c r="E1080" s="336" t="s">
        <v>590</v>
      </c>
    </row>
    <row r="1081" spans="1:5" ht="66">
      <c r="A1081" s="280" t="str">
        <f>IF(AND(B1081&lt;&gt;"",C1081&lt;&gt;""),MAX($A$1:A1080)+1,"")</f>
        <v/>
      </c>
      <c r="B1081" s="304"/>
      <c r="C1081" s="357"/>
      <c r="D1081" s="262"/>
      <c r="E1081" s="336" t="s">
        <v>893</v>
      </c>
    </row>
    <row r="1082" spans="1:5" ht="82.5">
      <c r="A1082" s="280" t="str">
        <f>IF(AND(B1082&lt;&gt;"",C1082&lt;&gt;""),MAX($A$1:A1081)+1,"")</f>
        <v/>
      </c>
      <c r="B1082" s="304"/>
      <c r="C1082" s="357"/>
      <c r="D1082" s="262"/>
      <c r="E1082" s="336" t="s">
        <v>894</v>
      </c>
    </row>
    <row r="1083" spans="1:5" ht="66">
      <c r="A1083" s="280" t="str">
        <f>IF(AND(B1083&lt;&gt;"",C1083&lt;&gt;""),MAX($A$1:A1082)+1,"")</f>
        <v/>
      </c>
      <c r="B1083" s="304"/>
      <c r="C1083" s="357"/>
      <c r="D1083" s="262"/>
      <c r="E1083" s="336" t="s">
        <v>1555</v>
      </c>
    </row>
    <row r="1084" spans="1:5" ht="66">
      <c r="A1084" s="280" t="str">
        <f>IF(AND(B1084&lt;&gt;"",C1084&lt;&gt;""),MAX($A$1:A1083)+1,"")</f>
        <v/>
      </c>
      <c r="B1084" s="304"/>
      <c r="C1084" s="357"/>
      <c r="D1084" s="262"/>
      <c r="E1084" s="336" t="s">
        <v>1606</v>
      </c>
    </row>
    <row r="1085" spans="1:5" ht="132">
      <c r="A1085" s="280">
        <f>IF(AND(B1085&lt;&gt;"",C1085&lt;&gt;""),MAX($A$1:A1084)+1,"")</f>
        <v>153</v>
      </c>
      <c r="B1085" s="261" t="s">
        <v>348</v>
      </c>
      <c r="C1085" s="276" t="s">
        <v>298</v>
      </c>
      <c r="D1085" s="263"/>
      <c r="E1085" s="247"/>
    </row>
    <row r="1086" spans="1:5" ht="66">
      <c r="A1086" s="280" t="str">
        <f>IF(AND(B1086&lt;&gt;"",C1086&lt;&gt;""),MAX($A$1:A1085)+1,"")</f>
        <v/>
      </c>
      <c r="B1086" s="304"/>
      <c r="C1086" s="357"/>
      <c r="D1086" s="262"/>
      <c r="E1086" s="336" t="s">
        <v>591</v>
      </c>
    </row>
    <row r="1087" spans="1:5" ht="66">
      <c r="A1087" s="280" t="str">
        <f>IF(AND(B1087&lt;&gt;"",C1087&lt;&gt;""),MAX($A$1:A1086)+1,"")</f>
        <v/>
      </c>
      <c r="B1087" s="304"/>
      <c r="C1087" s="357"/>
      <c r="D1087" s="262"/>
      <c r="E1087" s="336" t="s">
        <v>592</v>
      </c>
    </row>
    <row r="1088" spans="1:5" ht="66">
      <c r="A1088" s="280" t="str">
        <f>IF(AND(B1088&lt;&gt;"",C1088&lt;&gt;""),MAX($A$1:A1087)+1,"")</f>
        <v/>
      </c>
      <c r="B1088" s="304"/>
      <c r="C1088" s="357"/>
      <c r="D1088" s="262"/>
      <c r="E1088" s="336" t="s">
        <v>593</v>
      </c>
    </row>
    <row r="1089" spans="1:5" ht="66">
      <c r="A1089" s="280" t="str">
        <f>IF(AND(B1089&lt;&gt;"",C1089&lt;&gt;""),MAX($A$1:A1088)+1,"")</f>
        <v/>
      </c>
      <c r="B1089" s="304"/>
      <c r="C1089" s="357"/>
      <c r="D1089" s="262"/>
      <c r="E1089" s="336" t="s">
        <v>594</v>
      </c>
    </row>
    <row r="1090" spans="1:5" ht="66">
      <c r="A1090" s="280" t="str">
        <f>IF(AND(B1090&lt;&gt;"",C1090&lt;&gt;""),MAX($A$1:A1089)+1,"")</f>
        <v/>
      </c>
      <c r="B1090" s="304"/>
      <c r="C1090" s="357"/>
      <c r="D1090" s="262"/>
      <c r="E1090" s="336" t="s">
        <v>895</v>
      </c>
    </row>
    <row r="1091" spans="1:5" ht="82.5">
      <c r="A1091" s="280" t="str">
        <f>IF(AND(B1091&lt;&gt;"",C1091&lt;&gt;""),MAX($A$1:A1090)+1,"")</f>
        <v/>
      </c>
      <c r="B1091" s="304"/>
      <c r="C1091" s="357"/>
      <c r="D1091" s="262"/>
      <c r="E1091" s="336" t="s">
        <v>896</v>
      </c>
    </row>
    <row r="1092" spans="1:5" ht="66">
      <c r="A1092" s="280" t="str">
        <f>IF(AND(B1092&lt;&gt;"",C1092&lt;&gt;""),MAX($A$1:A1091)+1,"")</f>
        <v/>
      </c>
      <c r="B1092" s="304"/>
      <c r="C1092" s="357"/>
      <c r="D1092" s="262"/>
      <c r="E1092" s="336" t="s">
        <v>1556</v>
      </c>
    </row>
    <row r="1093" spans="1:5" ht="66">
      <c r="A1093" s="280" t="str">
        <f>IF(AND(B1093&lt;&gt;"",C1093&lt;&gt;""),MAX($A$1:A1092)+1,"")</f>
        <v/>
      </c>
      <c r="B1093" s="304"/>
      <c r="C1093" s="357"/>
      <c r="D1093" s="262"/>
      <c r="E1093" s="336" t="s">
        <v>1607</v>
      </c>
    </row>
    <row r="1094" spans="1:5" ht="132">
      <c r="A1094" s="280">
        <f>IF(AND(B1094&lt;&gt;"",C1094&lt;&gt;""),MAX($A$1:A1093)+1,"")</f>
        <v>154</v>
      </c>
      <c r="B1094" s="299" t="s">
        <v>724</v>
      </c>
      <c r="C1094" s="357" t="s">
        <v>298</v>
      </c>
      <c r="D1094" s="262"/>
      <c r="E1094" s="336"/>
    </row>
    <row r="1095" spans="1:5" ht="66">
      <c r="A1095" s="280"/>
      <c r="B1095" s="304"/>
      <c r="C1095" s="357"/>
      <c r="D1095" s="262"/>
      <c r="E1095" s="336" t="s">
        <v>725</v>
      </c>
    </row>
    <row r="1096" spans="1:5" ht="82.5">
      <c r="A1096" s="280"/>
      <c r="B1096" s="304"/>
      <c r="C1096" s="357"/>
      <c r="D1096" s="262"/>
      <c r="E1096" s="336" t="s">
        <v>726</v>
      </c>
    </row>
    <row r="1097" spans="1:5" ht="66">
      <c r="A1097" s="280"/>
      <c r="B1097" s="304"/>
      <c r="C1097" s="357"/>
      <c r="D1097" s="262"/>
      <c r="E1097" s="336" t="s">
        <v>727</v>
      </c>
    </row>
    <row r="1098" spans="1:5" ht="66">
      <c r="A1098" s="280"/>
      <c r="B1098" s="304"/>
      <c r="C1098" s="357"/>
      <c r="D1098" s="262"/>
      <c r="E1098" s="336" t="s">
        <v>728</v>
      </c>
    </row>
    <row r="1099" spans="1:5" ht="82.5">
      <c r="A1099" s="280"/>
      <c r="B1099" s="304"/>
      <c r="C1099" s="357"/>
      <c r="D1099" s="262"/>
      <c r="E1099" s="336" t="s">
        <v>897</v>
      </c>
    </row>
    <row r="1100" spans="1:5" ht="82.5">
      <c r="A1100" s="280"/>
      <c r="B1100" s="304"/>
      <c r="C1100" s="357"/>
      <c r="D1100" s="262"/>
      <c r="E1100" s="336" t="s">
        <v>898</v>
      </c>
    </row>
    <row r="1101" spans="1:5" ht="82.5">
      <c r="A1101" s="280"/>
      <c r="B1101" s="304"/>
      <c r="C1101" s="357"/>
      <c r="D1101" s="262"/>
      <c r="E1101" s="336" t="s">
        <v>1557</v>
      </c>
    </row>
    <row r="1102" spans="1:5" ht="82.5">
      <c r="A1102" s="280"/>
      <c r="B1102" s="304"/>
      <c r="C1102" s="357"/>
      <c r="D1102" s="262"/>
      <c r="E1102" s="336" t="s">
        <v>1608</v>
      </c>
    </row>
    <row r="1103" spans="1:5" ht="115.5">
      <c r="A1103" s="307">
        <f>IF(AND(B1103&lt;&gt;"",C1103&lt;&gt;""),MAX($A$5:A1101)+1,"")</f>
        <v>155</v>
      </c>
      <c r="B1103" s="317" t="s">
        <v>737</v>
      </c>
      <c r="C1103" s="317" t="s">
        <v>298</v>
      </c>
      <c r="D1103" s="237"/>
      <c r="E1103" s="237"/>
    </row>
    <row r="1104" spans="1:5" ht="66">
      <c r="A1104" s="307" t="str">
        <f>IF(AND(B1104&lt;&gt;"",C1104&lt;&gt;""),MAX($A$5:A1102)+1,"")</f>
        <v/>
      </c>
      <c r="B1104" s="317"/>
      <c r="C1104" s="275"/>
      <c r="D1104" s="232"/>
      <c r="E1104" s="309" t="s">
        <v>738</v>
      </c>
    </row>
    <row r="1105" spans="1:5" ht="66">
      <c r="A1105" s="307" t="str">
        <f>IF(AND(B1105&lt;&gt;"",C1105&lt;&gt;""),MAX($A$5:A1104)+1,"")</f>
        <v/>
      </c>
      <c r="B1105" s="317"/>
      <c r="C1105" s="275"/>
      <c r="D1105" s="232"/>
      <c r="E1105" s="309" t="s">
        <v>739</v>
      </c>
    </row>
    <row r="1106" spans="1:5" ht="66">
      <c r="A1106" s="307" t="str">
        <f>IF(AND(B1106&lt;&gt;"",C1106&lt;&gt;""),MAX($A$5:A1104)+1,"")</f>
        <v/>
      </c>
      <c r="B1106" s="317"/>
      <c r="C1106" s="275"/>
      <c r="D1106" s="232"/>
      <c r="E1106" s="309" t="s">
        <v>772</v>
      </c>
    </row>
    <row r="1107" spans="1:5" ht="66">
      <c r="A1107" s="307" t="str">
        <f>IF(AND(B1107&lt;&gt;"",C1107&lt;&gt;""),MAX($A$5:A1105)+1,"")</f>
        <v/>
      </c>
      <c r="B1107" s="317"/>
      <c r="C1107" s="275"/>
      <c r="D1107" s="232"/>
      <c r="E1107" s="309" t="s">
        <v>740</v>
      </c>
    </row>
    <row r="1108" spans="1:5" ht="66">
      <c r="A1108" s="307" t="str">
        <f>IF(AND(B1108&lt;&gt;"",C1108&lt;&gt;""),MAX($A$5:A1106)+1,"")</f>
        <v/>
      </c>
      <c r="B1108" s="317"/>
      <c r="C1108" s="275"/>
      <c r="D1108" s="318"/>
      <c r="E1108" s="309" t="s">
        <v>899</v>
      </c>
    </row>
    <row r="1109" spans="1:5" ht="66">
      <c r="A1109" s="307" t="str">
        <f>IF(AND(B1109&lt;&gt;"",C1109&lt;&gt;""),MAX($A$5:A1107)+1,"")</f>
        <v/>
      </c>
      <c r="B1109" s="317"/>
      <c r="C1109" s="275"/>
      <c r="D1109" s="318"/>
      <c r="E1109" s="309" t="s">
        <v>900</v>
      </c>
    </row>
    <row r="1110" spans="1:5" ht="66">
      <c r="A1110" s="307" t="str">
        <f>IF(AND(B1110&lt;&gt;"",C1110&lt;&gt;""),MAX($A$5:A1108)+1,"")</f>
        <v/>
      </c>
      <c r="B1110" s="317"/>
      <c r="C1110" s="275"/>
      <c r="D1110" s="318"/>
      <c r="E1110" s="309" t="s">
        <v>1558</v>
      </c>
    </row>
    <row r="1111" spans="1:5" ht="66">
      <c r="A1111" s="307" t="str">
        <f>IF(AND(B1111&lt;&gt;"",C1111&lt;&gt;""),MAX($A$5:A1109)+1,"")</f>
        <v/>
      </c>
      <c r="B1111" s="317"/>
      <c r="C1111" s="275"/>
      <c r="D1111" s="318"/>
      <c r="E1111" s="309" t="s">
        <v>1609</v>
      </c>
    </row>
    <row r="1112" spans="1:5" ht="148.5">
      <c r="A1112" s="307">
        <f>IF(AND(B1112&lt;&gt;"",C1112&lt;&gt;""),MAX($A$5:A1110)+1,"")</f>
        <v>156</v>
      </c>
      <c r="B1112" s="317" t="s">
        <v>741</v>
      </c>
      <c r="C1112" s="317" t="s">
        <v>298</v>
      </c>
      <c r="D1112" s="237"/>
      <c r="E1112" s="237"/>
    </row>
    <row r="1113" spans="1:5" ht="66">
      <c r="A1113" s="307" t="str">
        <f>IF(AND(B1113&lt;&gt;"",C1113&lt;&gt;""),MAX($A$5:A1111)+1,"")</f>
        <v/>
      </c>
      <c r="B1113" s="317"/>
      <c r="C1113" s="275"/>
      <c r="D1113" s="232"/>
      <c r="E1113" s="309" t="s">
        <v>1612</v>
      </c>
    </row>
    <row r="1114" spans="1:5" ht="82.5">
      <c r="A1114" s="307" t="str">
        <f>IF(AND(B1114&lt;&gt;"",C1114&lt;&gt;""),MAX($A$5:A1113)+1,"")</f>
        <v/>
      </c>
      <c r="B1114" s="317"/>
      <c r="C1114" s="275"/>
      <c r="D1114" s="232"/>
      <c r="E1114" s="309" t="s">
        <v>742</v>
      </c>
    </row>
    <row r="1115" spans="1:5" ht="66">
      <c r="A1115" s="307" t="str">
        <f>IF(AND(B1115&lt;&gt;"",C1115&lt;&gt;""),MAX($A$5:A1113)+1,"")</f>
        <v/>
      </c>
      <c r="B1115" s="317"/>
      <c r="C1115" s="275"/>
      <c r="D1115" s="232"/>
      <c r="E1115" s="309" t="s">
        <v>773</v>
      </c>
    </row>
    <row r="1116" spans="1:5" ht="66">
      <c r="A1116" s="307" t="str">
        <f>IF(AND(B1116&lt;&gt;"",C1116&lt;&gt;""),MAX($A$5:A1114)+1,"")</f>
        <v/>
      </c>
      <c r="B1116" s="317"/>
      <c r="C1116" s="275"/>
      <c r="D1116" s="232"/>
      <c r="E1116" s="309" t="s">
        <v>743</v>
      </c>
    </row>
    <row r="1117" spans="1:5" ht="66">
      <c r="A1117" s="307" t="str">
        <f>IF(AND(B1117&lt;&gt;"",C1117&lt;&gt;""),MAX($A$5:A1115)+1,"")</f>
        <v/>
      </c>
      <c r="B1117" s="317"/>
      <c r="C1117" s="275"/>
      <c r="D1117" s="318"/>
      <c r="E1117" s="309" t="s">
        <v>901</v>
      </c>
    </row>
    <row r="1118" spans="1:5" ht="82.5">
      <c r="A1118" s="307" t="str">
        <f>IF(AND(B1118&lt;&gt;"",C1118&lt;&gt;""),MAX($A$5:A1116)+1,"")</f>
        <v/>
      </c>
      <c r="B1118" s="317"/>
      <c r="C1118" s="275"/>
      <c r="D1118" s="318"/>
      <c r="E1118" s="309" t="s">
        <v>902</v>
      </c>
    </row>
    <row r="1119" spans="1:5" ht="82.5">
      <c r="A1119" s="307" t="str">
        <f>IF(AND(B1119&lt;&gt;"",C1119&lt;&gt;""),MAX($A$5:A1117)+1,"")</f>
        <v/>
      </c>
      <c r="B1119" s="317"/>
      <c r="C1119" s="275"/>
      <c r="D1119" s="318"/>
      <c r="E1119" s="309" t="s">
        <v>1559</v>
      </c>
    </row>
    <row r="1120" spans="1:5" ht="66">
      <c r="A1120" s="307" t="str">
        <f>IF(AND(B1120&lt;&gt;"",C1120&lt;&gt;""),MAX($A$5:A1118)+1,"")</f>
        <v/>
      </c>
      <c r="B1120" s="317"/>
      <c r="C1120" s="275"/>
      <c r="D1120" s="318"/>
      <c r="E1120" s="309" t="s">
        <v>1610</v>
      </c>
    </row>
    <row r="1121" spans="1:5" ht="148.5">
      <c r="A1121" s="307">
        <f>IF(AND(B1121&lt;&gt;"",C1121&lt;&gt;""),MAX($A$5:A1119)+1,"")</f>
        <v>157</v>
      </c>
      <c r="B1121" s="317" t="s">
        <v>744</v>
      </c>
      <c r="C1121" s="317" t="s">
        <v>298</v>
      </c>
      <c r="D1121" s="237"/>
      <c r="E1121" s="237"/>
    </row>
    <row r="1122" spans="1:5" ht="66">
      <c r="A1122" s="307" t="str">
        <f>IF(AND(B1122&lt;&gt;"",C1122&lt;&gt;""),MAX($A$5:A1120)+1,"")</f>
        <v/>
      </c>
      <c r="B1122" s="317"/>
      <c r="C1122" s="275"/>
      <c r="D1122" s="232"/>
      <c r="E1122" s="309" t="s">
        <v>1613</v>
      </c>
    </row>
    <row r="1123" spans="1:5" ht="82.5">
      <c r="A1123" s="307" t="str">
        <f>IF(AND(B1123&lt;&gt;"",C1123&lt;&gt;""),MAX($A$5:A1122)+1,"")</f>
        <v/>
      </c>
      <c r="B1123" s="317"/>
      <c r="C1123" s="275"/>
      <c r="D1123" s="232"/>
      <c r="E1123" s="309" t="s">
        <v>948</v>
      </c>
    </row>
    <row r="1124" spans="1:5" ht="66">
      <c r="A1124" s="307" t="str">
        <f>IF(AND(B1124&lt;&gt;"",C1124&lt;&gt;""),MAX($A$5:A1122)+1,"")</f>
        <v/>
      </c>
      <c r="B1124" s="317"/>
      <c r="C1124" s="275"/>
      <c r="D1124" s="232"/>
      <c r="E1124" s="309" t="s">
        <v>949</v>
      </c>
    </row>
    <row r="1125" spans="1:5" ht="66">
      <c r="A1125" s="307" t="str">
        <f>IF(AND(B1125&lt;&gt;"",C1125&lt;&gt;""),MAX($A$5:A1123)+1,"")</f>
        <v/>
      </c>
      <c r="B1125" s="317"/>
      <c r="C1125" s="275"/>
      <c r="D1125" s="232"/>
      <c r="E1125" s="309" t="s">
        <v>950</v>
      </c>
    </row>
    <row r="1126" spans="1:5" ht="82.5">
      <c r="A1126" s="307" t="str">
        <f>IF(AND(B1126&lt;&gt;"",C1126&lt;&gt;""),MAX($A$5:A1124)+1,"")</f>
        <v/>
      </c>
      <c r="B1126" s="317"/>
      <c r="C1126" s="275"/>
      <c r="D1126" s="318"/>
      <c r="E1126" s="309" t="s">
        <v>951</v>
      </c>
    </row>
    <row r="1127" spans="1:5" ht="82.5">
      <c r="A1127" s="307" t="str">
        <f>IF(AND(B1127&lt;&gt;"",C1127&lt;&gt;""),MAX($A$5:A1125)+1,"")</f>
        <v/>
      </c>
      <c r="B1127" s="317"/>
      <c r="C1127" s="275"/>
      <c r="D1127" s="318"/>
      <c r="E1127" s="309" t="s">
        <v>903</v>
      </c>
    </row>
    <row r="1128" spans="1:5" ht="82.5">
      <c r="A1128" s="307" t="str">
        <f>IF(AND(B1128&lt;&gt;"",C1128&lt;&gt;""),MAX($A$5:A1126)+1,"")</f>
        <v/>
      </c>
      <c r="B1128" s="317"/>
      <c r="C1128" s="275"/>
      <c r="D1128" s="318"/>
      <c r="E1128" s="309" t="s">
        <v>1560</v>
      </c>
    </row>
    <row r="1129" spans="1:5" ht="82.5">
      <c r="A1129" s="307" t="str">
        <f>IF(AND(B1129&lt;&gt;"",C1129&lt;&gt;""),MAX($A$5:A1127)+1,"")</f>
        <v/>
      </c>
      <c r="B1129" s="317"/>
      <c r="C1129" s="275"/>
      <c r="D1129" s="318"/>
      <c r="E1129" s="309" t="s">
        <v>1611</v>
      </c>
    </row>
    <row r="1130" spans="1:5">
      <c r="A1130" s="315" t="s">
        <v>955</v>
      </c>
      <c r="B1130" s="300" t="s">
        <v>349</v>
      </c>
      <c r="C1130" s="273"/>
      <c r="D1130" s="229"/>
      <c r="E1130" s="229"/>
    </row>
    <row r="1131" spans="1:5" ht="66">
      <c r="A1131" s="280">
        <f>IF(AND(B1131&lt;&gt;"",C1131&lt;&gt;""),MAX($A$1:A1130)+1,"")</f>
        <v>158</v>
      </c>
      <c r="B1131" s="261" t="s">
        <v>350</v>
      </c>
      <c r="C1131" s="276" t="s">
        <v>298</v>
      </c>
      <c r="D1131" s="263"/>
      <c r="E1131" s="247"/>
    </row>
    <row r="1132" spans="1:5" ht="49.5">
      <c r="A1132" s="280" t="str">
        <f>IF(AND(B1132&lt;&gt;"",C1132&lt;&gt;""),MAX($A$1:A1131)+1,"")</f>
        <v/>
      </c>
      <c r="B1132" s="304"/>
      <c r="C1132" s="357"/>
      <c r="D1132" s="262"/>
      <c r="E1132" s="336" t="s">
        <v>1621</v>
      </c>
    </row>
    <row r="1133" spans="1:5" ht="66">
      <c r="A1133" s="280" t="str">
        <f>IF(AND(B1133&lt;&gt;"",C1133&lt;&gt;""),MAX($A$1:A1132)+1,"")</f>
        <v/>
      </c>
      <c r="B1133" s="304"/>
      <c r="C1133" s="357"/>
      <c r="D1133" s="262"/>
      <c r="E1133" s="336" t="s">
        <v>1615</v>
      </c>
    </row>
    <row r="1134" spans="1:5" ht="49.5">
      <c r="A1134" s="280" t="str">
        <f>IF(AND(B1134&lt;&gt;"",C1134&lt;&gt;""),MAX($A$1:A1133)+1,"")</f>
        <v/>
      </c>
      <c r="B1134" s="304"/>
      <c r="C1134" s="357"/>
      <c r="D1134" s="262"/>
      <c r="E1134" s="336" t="s">
        <v>1614</v>
      </c>
    </row>
    <row r="1135" spans="1:5" ht="82.5">
      <c r="A1135" s="280" t="str">
        <f>IF(AND(B1135&lt;&gt;"",C1135&lt;&gt;""),MAX($A$1:A1134)+1,"")</f>
        <v/>
      </c>
      <c r="B1135" s="304"/>
      <c r="C1135" s="357"/>
      <c r="D1135" s="262"/>
      <c r="E1135" s="336" t="s">
        <v>1732</v>
      </c>
    </row>
    <row r="1136" spans="1:5" ht="66">
      <c r="A1136" s="280" t="str">
        <f>IF(AND(B1136&lt;&gt;"",C1136&lt;&gt;""),MAX($A$1:A1135)+1,"")</f>
        <v/>
      </c>
      <c r="B1136" s="304"/>
      <c r="C1136" s="357"/>
      <c r="D1136" s="262"/>
      <c r="E1136" s="336" t="s">
        <v>1616</v>
      </c>
    </row>
    <row r="1137" spans="1:5" ht="66">
      <c r="A1137" s="280" t="str">
        <f>IF(AND(B1137&lt;&gt;"",C1137&lt;&gt;""),MAX($A$1:A1136)+1,"")</f>
        <v/>
      </c>
      <c r="B1137" s="304"/>
      <c r="C1137" s="357"/>
      <c r="D1137" s="262"/>
      <c r="E1137" s="336" t="s">
        <v>1617</v>
      </c>
    </row>
    <row r="1138" spans="1:5" ht="82.5">
      <c r="A1138" s="280" t="str">
        <f>IF(AND(B1138&lt;&gt;"",C1138&lt;&gt;""),MAX($A$1:A1137)+1,"")</f>
        <v/>
      </c>
      <c r="B1138" s="304"/>
      <c r="C1138" s="357"/>
      <c r="D1138" s="262"/>
      <c r="E1138" s="336" t="s">
        <v>595</v>
      </c>
    </row>
    <row r="1139" spans="1:5" ht="66">
      <c r="A1139" s="280" t="str">
        <f>IF(AND(B1139&lt;&gt;"",C1139&lt;&gt;""),MAX($A$1:A1138)+1,"")</f>
        <v/>
      </c>
      <c r="B1139" s="304"/>
      <c r="C1139" s="357"/>
      <c r="D1139" s="262"/>
      <c r="E1139" s="336" t="s">
        <v>1618</v>
      </c>
    </row>
    <row r="1140" spans="1:5" ht="132">
      <c r="A1140" s="280">
        <f>IF(AND(B1140&lt;&gt;"",C1140&lt;&gt;""),MAX($A$1:A1139)+1,"")</f>
        <v>159</v>
      </c>
      <c r="B1140" s="261" t="s">
        <v>351</v>
      </c>
      <c r="C1140" s="276" t="s">
        <v>298</v>
      </c>
      <c r="D1140" s="263"/>
      <c r="E1140" s="247"/>
    </row>
    <row r="1141" spans="1:5" ht="66">
      <c r="A1141" s="280" t="str">
        <f>IF(AND(B1141&lt;&gt;"",C1141&lt;&gt;""),MAX($A$1:A1140)+1,"")</f>
        <v/>
      </c>
      <c r="B1141" s="304"/>
      <c r="C1141" s="357"/>
      <c r="D1141" s="262"/>
      <c r="E1141" s="336" t="s">
        <v>1620</v>
      </c>
    </row>
    <row r="1142" spans="1:5" ht="82.5">
      <c r="A1142" s="280" t="str">
        <f>IF(AND(B1142&lt;&gt;"",C1142&lt;&gt;""),MAX($A$1:A1141)+1,"")</f>
        <v/>
      </c>
      <c r="B1142" s="304"/>
      <c r="C1142" s="357"/>
      <c r="D1142" s="262"/>
      <c r="E1142" s="336" t="s">
        <v>1619</v>
      </c>
    </row>
    <row r="1143" spans="1:5" ht="66">
      <c r="A1143" s="280" t="str">
        <f>IF(AND(B1143&lt;&gt;"",C1143&lt;&gt;""),MAX($A$1:A1142)+1,"")</f>
        <v/>
      </c>
      <c r="B1143" s="304"/>
      <c r="C1143" s="357"/>
      <c r="D1143" s="262"/>
      <c r="E1143" s="336" t="s">
        <v>1698</v>
      </c>
    </row>
    <row r="1144" spans="1:5" ht="99">
      <c r="A1144" s="280" t="str">
        <f>IF(AND(B1144&lt;&gt;"",C1144&lt;&gt;""),MAX($A$1:A1143)+1,"")</f>
        <v/>
      </c>
      <c r="B1144" s="304"/>
      <c r="C1144" s="357"/>
      <c r="D1144" s="262"/>
      <c r="E1144" s="336" t="s">
        <v>1733</v>
      </c>
    </row>
    <row r="1145" spans="1:5" ht="82.5">
      <c r="A1145" s="280" t="str">
        <f>IF(AND(B1145&lt;&gt;"",C1145&lt;&gt;""),MAX($A$1:A1144)+1,"")</f>
        <v/>
      </c>
      <c r="B1145" s="304"/>
      <c r="C1145" s="357"/>
      <c r="D1145" s="262"/>
      <c r="E1145" s="336" t="s">
        <v>596</v>
      </c>
    </row>
    <row r="1146" spans="1:5" ht="66">
      <c r="A1146" s="280" t="str">
        <f>IF(AND(B1146&lt;&gt;"",C1146&lt;&gt;""),MAX($A$1:A1145)+1,"")</f>
        <v/>
      </c>
      <c r="B1146" s="304"/>
      <c r="C1146" s="357"/>
      <c r="D1146" s="262"/>
      <c r="E1146" s="336" t="s">
        <v>1622</v>
      </c>
    </row>
    <row r="1147" spans="1:5" ht="99">
      <c r="A1147" s="280" t="str">
        <f>IF(AND(B1147&lt;&gt;"",C1147&lt;&gt;""),MAX($A$1:A1146)+1,"")</f>
        <v/>
      </c>
      <c r="B1147" s="304"/>
      <c r="C1147" s="357"/>
      <c r="D1147" s="262"/>
      <c r="E1147" s="336" t="s">
        <v>597</v>
      </c>
    </row>
    <row r="1148" spans="1:5" ht="82.5">
      <c r="A1148" s="280" t="str">
        <f>IF(AND(B1148&lt;&gt;"",C1148&lt;&gt;""),MAX($A$1:A1147)+1,"")</f>
        <v/>
      </c>
      <c r="B1148" s="304"/>
      <c r="C1148" s="357"/>
      <c r="D1148" s="262"/>
      <c r="E1148" s="336" t="s">
        <v>1623</v>
      </c>
    </row>
    <row r="1149" spans="1:5" ht="82.5">
      <c r="A1149" s="280">
        <f>IF(AND(B1149&lt;&gt;"",C1149&lt;&gt;""),MAX($A$1:A1148)+1,"")</f>
        <v>160</v>
      </c>
      <c r="B1149" s="261" t="s">
        <v>352</v>
      </c>
      <c r="C1149" s="276" t="s">
        <v>298</v>
      </c>
      <c r="D1149" s="262"/>
      <c r="E1149" s="336"/>
    </row>
    <row r="1150" spans="1:5" ht="49.5">
      <c r="A1150" s="280" t="str">
        <f>IF(AND(B1150&lt;&gt;"",C1150&lt;&gt;""),MAX($A$1:A1149)+1,"")</f>
        <v/>
      </c>
      <c r="B1150" s="304"/>
      <c r="C1150" s="357"/>
      <c r="D1150" s="262"/>
      <c r="E1150" s="336" t="s">
        <v>1624</v>
      </c>
    </row>
    <row r="1151" spans="1:5" ht="66">
      <c r="A1151" s="280" t="str">
        <f>IF(AND(B1151&lt;&gt;"",C1151&lt;&gt;""),MAX($A$1:A1150)+1,"")</f>
        <v/>
      </c>
      <c r="B1151" s="304"/>
      <c r="C1151" s="357"/>
      <c r="D1151" s="262"/>
      <c r="E1151" s="336" t="s">
        <v>1665</v>
      </c>
    </row>
    <row r="1152" spans="1:5" ht="66">
      <c r="A1152" s="280" t="str">
        <f>IF(AND(B1152&lt;&gt;"",C1152&lt;&gt;""),MAX($A$1:A1151)+1,"")</f>
        <v/>
      </c>
      <c r="B1152" s="304"/>
      <c r="C1152" s="357"/>
      <c r="D1152" s="262"/>
      <c r="E1152" s="336" t="s">
        <v>1699</v>
      </c>
    </row>
    <row r="1153" spans="1:5" ht="82.5">
      <c r="A1153" s="280" t="str">
        <f>IF(AND(B1153&lt;&gt;"",C1153&lt;&gt;""),MAX($A$1:A1152)+1,"")</f>
        <v/>
      </c>
      <c r="B1153" s="304"/>
      <c r="C1153" s="357"/>
      <c r="D1153" s="262"/>
      <c r="E1153" s="336" t="s">
        <v>1734</v>
      </c>
    </row>
    <row r="1154" spans="1:5" ht="66">
      <c r="A1154" s="280" t="str">
        <f>IF(AND(B1154&lt;&gt;"",C1154&lt;&gt;""),MAX($A$1:A1153)+1,"")</f>
        <v/>
      </c>
      <c r="B1154" s="304"/>
      <c r="C1154" s="357"/>
      <c r="D1154" s="262"/>
      <c r="E1154" s="336" t="s">
        <v>598</v>
      </c>
    </row>
    <row r="1155" spans="1:5" ht="66">
      <c r="A1155" s="280" t="str">
        <f>IF(AND(B1155&lt;&gt;"",C1155&lt;&gt;""),MAX($A$1:A1154)+1,"")</f>
        <v/>
      </c>
      <c r="B1155" s="304"/>
      <c r="C1155" s="357"/>
      <c r="D1155" s="262"/>
      <c r="E1155" s="336" t="s">
        <v>1767</v>
      </c>
    </row>
    <row r="1156" spans="1:5" ht="82.5">
      <c r="A1156" s="280" t="str">
        <f>IF(AND(B1156&lt;&gt;"",C1156&lt;&gt;""),MAX($A$1:A1155)+1,"")</f>
        <v/>
      </c>
      <c r="B1156" s="304"/>
      <c r="C1156" s="357"/>
      <c r="D1156" s="262"/>
      <c r="E1156" s="336" t="s">
        <v>599</v>
      </c>
    </row>
    <row r="1157" spans="1:5" ht="66">
      <c r="A1157" s="280" t="str">
        <f>IF(AND(B1157&lt;&gt;"",C1157&lt;&gt;""),MAX($A$1:A1156)+1,"")</f>
        <v/>
      </c>
      <c r="B1157" s="304"/>
      <c r="C1157" s="357"/>
      <c r="D1157" s="262"/>
      <c r="E1157" s="336" t="s">
        <v>1802</v>
      </c>
    </row>
    <row r="1158" spans="1:5" ht="82.5">
      <c r="A1158" s="280">
        <f>IF(AND(B1158&lt;&gt;"",C1158&lt;&gt;""),MAX($A$1:A1157)+1,"")</f>
        <v>161</v>
      </c>
      <c r="B1158" s="261" t="s">
        <v>353</v>
      </c>
      <c r="C1158" s="276" t="s">
        <v>298</v>
      </c>
      <c r="D1158" s="263"/>
      <c r="E1158" s="247"/>
    </row>
    <row r="1159" spans="1:5" ht="49.5">
      <c r="A1159" s="280" t="str">
        <f>IF(AND(B1159&lt;&gt;"",C1159&lt;&gt;""),MAX($A$1:A1158)+1,"")</f>
        <v/>
      </c>
      <c r="B1159" s="304"/>
      <c r="C1159" s="357"/>
      <c r="D1159" s="262"/>
      <c r="E1159" s="336" t="s">
        <v>1625</v>
      </c>
    </row>
    <row r="1160" spans="1:5" ht="66">
      <c r="A1160" s="280" t="str">
        <f>IF(AND(B1160&lt;&gt;"",C1160&lt;&gt;""),MAX($A$1:A1159)+1,"")</f>
        <v/>
      </c>
      <c r="B1160" s="304"/>
      <c r="C1160" s="357"/>
      <c r="D1160" s="262"/>
      <c r="E1160" s="336" t="s">
        <v>1666</v>
      </c>
    </row>
    <row r="1161" spans="1:5" ht="49.5">
      <c r="A1161" s="280" t="str">
        <f>IF(AND(B1161&lt;&gt;"",C1161&lt;&gt;""),MAX($A$1:A1160)+1,"")</f>
        <v/>
      </c>
      <c r="B1161" s="304"/>
      <c r="C1161" s="357"/>
      <c r="D1161" s="262"/>
      <c r="E1161" s="336" t="s">
        <v>1700</v>
      </c>
    </row>
    <row r="1162" spans="1:5" ht="82.5">
      <c r="A1162" s="280" t="str">
        <f>IF(AND(B1162&lt;&gt;"",C1162&lt;&gt;""),MAX($A$1:A1161)+1,"")</f>
        <v/>
      </c>
      <c r="B1162" s="304"/>
      <c r="C1162" s="357"/>
      <c r="D1162" s="262"/>
      <c r="E1162" s="336" t="s">
        <v>1735</v>
      </c>
    </row>
    <row r="1163" spans="1:5" ht="66">
      <c r="A1163" s="280" t="str">
        <f>IF(AND(B1163&lt;&gt;"",C1163&lt;&gt;""),MAX($A$1:A1162)+1,"")</f>
        <v/>
      </c>
      <c r="B1163" s="304"/>
      <c r="C1163" s="357"/>
      <c r="D1163" s="262"/>
      <c r="E1163" s="336" t="s">
        <v>600</v>
      </c>
    </row>
    <row r="1164" spans="1:5" ht="66">
      <c r="A1164" s="280" t="str">
        <f>IF(AND(B1164&lt;&gt;"",C1164&lt;&gt;""),MAX($A$1:A1163)+1,"")</f>
        <v/>
      </c>
      <c r="B1164" s="304"/>
      <c r="C1164" s="357"/>
      <c r="D1164" s="262"/>
      <c r="E1164" s="336" t="s">
        <v>1768</v>
      </c>
    </row>
    <row r="1165" spans="1:5" ht="82.5">
      <c r="A1165" s="280" t="str">
        <f>IF(AND(B1165&lt;&gt;"",C1165&lt;&gt;""),MAX($A$1:A1164)+1,"")</f>
        <v/>
      </c>
      <c r="B1165" s="304"/>
      <c r="C1165" s="357"/>
      <c r="D1165" s="262"/>
      <c r="E1165" s="336" t="s">
        <v>601</v>
      </c>
    </row>
    <row r="1166" spans="1:5" ht="66">
      <c r="A1166" s="280" t="str">
        <f>IF(AND(B1166&lt;&gt;"",C1166&lt;&gt;""),MAX($A$1:A1165)+1,"")</f>
        <v/>
      </c>
      <c r="B1166" s="304"/>
      <c r="C1166" s="357"/>
      <c r="D1166" s="262"/>
      <c r="E1166" s="336" t="s">
        <v>1803</v>
      </c>
    </row>
    <row r="1167" spans="1:5" ht="132">
      <c r="A1167" s="280">
        <f>IF(AND(B1167&lt;&gt;"",C1167&lt;&gt;""),MAX($A$1:A1166)+1,"")</f>
        <v>162</v>
      </c>
      <c r="B1167" s="261" t="s">
        <v>354</v>
      </c>
      <c r="C1167" s="276" t="s">
        <v>298</v>
      </c>
      <c r="D1167" s="263"/>
      <c r="E1167" s="247"/>
    </row>
    <row r="1168" spans="1:5" ht="66">
      <c r="A1168" s="280" t="str">
        <f>IF(AND(B1168&lt;&gt;"",C1168&lt;&gt;""),MAX($A$1:A1167)+1,"")</f>
        <v/>
      </c>
      <c r="B1168" s="304"/>
      <c r="C1168" s="357"/>
      <c r="D1168" s="262"/>
      <c r="E1168" s="336" t="s">
        <v>1626</v>
      </c>
    </row>
    <row r="1169" spans="1:5" ht="82.5">
      <c r="A1169" s="280" t="str">
        <f>IF(AND(B1169&lt;&gt;"",C1169&lt;&gt;""),MAX($A$1:A1168)+1,"")</f>
        <v/>
      </c>
      <c r="B1169" s="304"/>
      <c r="C1169" s="357"/>
      <c r="D1169" s="262"/>
      <c r="E1169" s="336" t="s">
        <v>1667</v>
      </c>
    </row>
    <row r="1170" spans="1:5" ht="66">
      <c r="A1170" s="280" t="str">
        <f>IF(AND(B1170&lt;&gt;"",C1170&lt;&gt;""),MAX($A$1:A1169)+1,"")</f>
        <v/>
      </c>
      <c r="B1170" s="304"/>
      <c r="C1170" s="357"/>
      <c r="D1170" s="262"/>
      <c r="E1170" s="336" t="s">
        <v>1701</v>
      </c>
    </row>
    <row r="1171" spans="1:5" ht="82.5">
      <c r="A1171" s="280" t="str">
        <f>IF(AND(B1171&lt;&gt;"",C1171&lt;&gt;""),MAX($A$1:A1170)+1,"")</f>
        <v/>
      </c>
      <c r="B1171" s="304"/>
      <c r="C1171" s="357"/>
      <c r="D1171" s="262"/>
      <c r="E1171" s="336" t="s">
        <v>1736</v>
      </c>
    </row>
    <row r="1172" spans="1:5" ht="82.5">
      <c r="A1172" s="280" t="str">
        <f>IF(AND(B1172&lt;&gt;"",C1172&lt;&gt;""),MAX($A$1:A1171)+1,"")</f>
        <v/>
      </c>
      <c r="B1172" s="304"/>
      <c r="C1172" s="357"/>
      <c r="D1172" s="262"/>
      <c r="E1172" s="336" t="s">
        <v>602</v>
      </c>
    </row>
    <row r="1173" spans="1:5" ht="66">
      <c r="A1173" s="280" t="str">
        <f>IF(AND(B1173&lt;&gt;"",C1173&lt;&gt;""),MAX($A$1:A1172)+1,"")</f>
        <v/>
      </c>
      <c r="B1173" s="304"/>
      <c r="C1173" s="357"/>
      <c r="D1173" s="262"/>
      <c r="E1173" s="336" t="s">
        <v>1769</v>
      </c>
    </row>
    <row r="1174" spans="1:5" ht="99">
      <c r="A1174" s="280" t="str">
        <f>IF(AND(B1174&lt;&gt;"",C1174&lt;&gt;""),MAX($A$1:A1173)+1,"")</f>
        <v/>
      </c>
      <c r="B1174" s="304"/>
      <c r="C1174" s="357"/>
      <c r="D1174" s="262"/>
      <c r="E1174" s="336" t="s">
        <v>603</v>
      </c>
    </row>
    <row r="1175" spans="1:5" ht="82.5">
      <c r="A1175" s="280" t="str">
        <f>IF(AND(B1175&lt;&gt;"",C1175&lt;&gt;""),MAX($A$1:A1174)+1,"")</f>
        <v/>
      </c>
      <c r="B1175" s="304"/>
      <c r="C1175" s="357"/>
      <c r="D1175" s="262"/>
      <c r="E1175" s="336" t="s">
        <v>1804</v>
      </c>
    </row>
    <row r="1176" spans="1:5" ht="99">
      <c r="A1176" s="280">
        <f>IF(AND(B1176&lt;&gt;"",C1176&lt;&gt;""),MAX($A$1:A1175)+1,"")</f>
        <v>163</v>
      </c>
      <c r="B1176" s="261" t="s">
        <v>355</v>
      </c>
      <c r="C1176" s="276" t="s">
        <v>298</v>
      </c>
      <c r="D1176" s="267"/>
      <c r="E1176" s="247"/>
    </row>
    <row r="1177" spans="1:5" ht="49.5">
      <c r="A1177" s="280" t="str">
        <f>IF(AND(B1177&lt;&gt;"",C1177&lt;&gt;""),MAX($A$1:A1176)+1,"")</f>
        <v/>
      </c>
      <c r="B1177" s="304"/>
      <c r="C1177" s="357"/>
      <c r="D1177" s="262"/>
      <c r="E1177" s="336" t="s">
        <v>1627</v>
      </c>
    </row>
    <row r="1178" spans="1:5" ht="66">
      <c r="A1178" s="280" t="str">
        <f>IF(AND(B1178&lt;&gt;"",C1178&lt;&gt;""),MAX($A$1:A1177)+1,"")</f>
        <v/>
      </c>
      <c r="B1178" s="304"/>
      <c r="C1178" s="357"/>
      <c r="D1178" s="262"/>
      <c r="E1178" s="336" t="s">
        <v>1668</v>
      </c>
    </row>
    <row r="1179" spans="1:5" ht="66">
      <c r="A1179" s="280" t="str">
        <f>IF(AND(B1179&lt;&gt;"",C1179&lt;&gt;""),MAX($A$1:A1178)+1,"")</f>
        <v/>
      </c>
      <c r="B1179" s="304"/>
      <c r="C1179" s="357"/>
      <c r="D1179" s="262"/>
      <c r="E1179" s="336" t="s">
        <v>1702</v>
      </c>
    </row>
    <row r="1180" spans="1:5" ht="82.5">
      <c r="A1180" s="280" t="str">
        <f>IF(AND(B1180&lt;&gt;"",C1180&lt;&gt;""),MAX($A$1:A1179)+1,"")</f>
        <v/>
      </c>
      <c r="B1180" s="304"/>
      <c r="C1180" s="357"/>
      <c r="D1180" s="262"/>
      <c r="E1180" s="336" t="s">
        <v>1737</v>
      </c>
    </row>
    <row r="1181" spans="1:5" ht="66">
      <c r="A1181" s="280" t="str">
        <f>IF(AND(B1181&lt;&gt;"",C1181&lt;&gt;""),MAX($A$1:A1180)+1,"")</f>
        <v/>
      </c>
      <c r="B1181" s="304"/>
      <c r="C1181" s="357"/>
      <c r="D1181" s="262"/>
      <c r="E1181" s="336" t="s">
        <v>604</v>
      </c>
    </row>
    <row r="1182" spans="1:5" ht="66">
      <c r="A1182" s="280" t="str">
        <f>IF(AND(B1182&lt;&gt;"",C1182&lt;&gt;""),MAX($A$1:A1181)+1,"")</f>
        <v/>
      </c>
      <c r="B1182" s="304"/>
      <c r="C1182" s="357"/>
      <c r="D1182" s="262"/>
      <c r="E1182" s="336" t="s">
        <v>1770</v>
      </c>
    </row>
    <row r="1183" spans="1:5" ht="82.5">
      <c r="A1183" s="280" t="str">
        <f>IF(AND(B1183&lt;&gt;"",C1183&lt;&gt;""),MAX($A$1:A1182)+1,"")</f>
        <v/>
      </c>
      <c r="B1183" s="304"/>
      <c r="C1183" s="357"/>
      <c r="D1183" s="262"/>
      <c r="E1183" s="336" t="s">
        <v>605</v>
      </c>
    </row>
    <row r="1184" spans="1:5" ht="66">
      <c r="A1184" s="280" t="str">
        <f>IF(AND(B1184&lt;&gt;"",C1184&lt;&gt;""),MAX($A$1:A1183)+1,"")</f>
        <v/>
      </c>
      <c r="B1184" s="304"/>
      <c r="C1184" s="357"/>
      <c r="D1184" s="262"/>
      <c r="E1184" s="336" t="s">
        <v>1805</v>
      </c>
    </row>
    <row r="1185" spans="1:5" ht="148.5">
      <c r="A1185" s="280">
        <f>IF(AND(B1185&lt;&gt;"",C1185&lt;&gt;""),MAX($A$1:A1184)+1,"")</f>
        <v>164</v>
      </c>
      <c r="B1185" s="261" t="s">
        <v>356</v>
      </c>
      <c r="C1185" s="276" t="s">
        <v>298</v>
      </c>
      <c r="D1185" s="263"/>
      <c r="E1185" s="247"/>
    </row>
    <row r="1186" spans="1:5" ht="66">
      <c r="A1186" s="280" t="str">
        <f>IF(AND(B1186&lt;&gt;"",C1186&lt;&gt;""),MAX($A$1:A1185)+1,"")</f>
        <v/>
      </c>
      <c r="B1186" s="304"/>
      <c r="C1186" s="357"/>
      <c r="D1186" s="262"/>
      <c r="E1186" s="336" t="s">
        <v>1628</v>
      </c>
    </row>
    <row r="1187" spans="1:5" ht="82.5">
      <c r="A1187" s="280" t="str">
        <f>IF(AND(B1187&lt;&gt;"",C1187&lt;&gt;""),MAX($A$1:A1186)+1,"")</f>
        <v/>
      </c>
      <c r="B1187" s="304"/>
      <c r="C1187" s="357"/>
      <c r="D1187" s="262"/>
      <c r="E1187" s="336" t="s">
        <v>1669</v>
      </c>
    </row>
    <row r="1188" spans="1:5" ht="66">
      <c r="A1188" s="280" t="str">
        <f>IF(AND(B1188&lt;&gt;"",C1188&lt;&gt;""),MAX($A$1:A1187)+1,"")</f>
        <v/>
      </c>
      <c r="B1188" s="304"/>
      <c r="C1188" s="357"/>
      <c r="D1188" s="262"/>
      <c r="E1188" s="336" t="s">
        <v>1703</v>
      </c>
    </row>
    <row r="1189" spans="1:5" ht="99">
      <c r="A1189" s="280" t="str">
        <f>IF(AND(B1189&lt;&gt;"",C1189&lt;&gt;""),MAX($A$1:A1188)+1,"")</f>
        <v/>
      </c>
      <c r="B1189" s="304"/>
      <c r="C1189" s="357"/>
      <c r="D1189" s="262"/>
      <c r="E1189" s="336" t="s">
        <v>1738</v>
      </c>
    </row>
    <row r="1190" spans="1:5" ht="82.5">
      <c r="A1190" s="280" t="str">
        <f>IF(AND(B1190&lt;&gt;"",C1190&lt;&gt;""),MAX($A$1:A1189)+1,"")</f>
        <v/>
      </c>
      <c r="B1190" s="304"/>
      <c r="C1190" s="357"/>
      <c r="D1190" s="262"/>
      <c r="E1190" s="336" t="s">
        <v>606</v>
      </c>
    </row>
    <row r="1191" spans="1:5" ht="66">
      <c r="A1191" s="280" t="str">
        <f>IF(AND(B1191&lt;&gt;"",C1191&lt;&gt;""),MAX($A$1:A1190)+1,"")</f>
        <v/>
      </c>
      <c r="B1191" s="304"/>
      <c r="C1191" s="357"/>
      <c r="D1191" s="262"/>
      <c r="E1191" s="336" t="s">
        <v>1771</v>
      </c>
    </row>
    <row r="1192" spans="1:5" ht="99">
      <c r="A1192" s="280" t="str">
        <f>IF(AND(B1192&lt;&gt;"",C1192&lt;&gt;""),MAX($A$1:A1191)+1,"")</f>
        <v/>
      </c>
      <c r="B1192" s="304"/>
      <c r="C1192" s="357"/>
      <c r="D1192" s="262"/>
      <c r="E1192" s="336" t="s">
        <v>607</v>
      </c>
    </row>
    <row r="1193" spans="1:5" ht="82.5">
      <c r="A1193" s="280" t="str">
        <f>IF(AND(B1193&lt;&gt;"",C1193&lt;&gt;""),MAX($A$1:A1192)+1,"")</f>
        <v/>
      </c>
      <c r="B1193" s="304"/>
      <c r="C1193" s="357"/>
      <c r="D1193" s="262"/>
      <c r="E1193" s="336" t="s">
        <v>1806</v>
      </c>
    </row>
    <row r="1194" spans="1:5" ht="82.5">
      <c r="A1194" s="280">
        <f>IF(AND(B1194&lt;&gt;"",C1194&lt;&gt;""),MAX($A$1:A1193)+1,"")</f>
        <v>165</v>
      </c>
      <c r="B1194" s="261" t="s">
        <v>357</v>
      </c>
      <c r="C1194" s="276" t="s">
        <v>298</v>
      </c>
      <c r="D1194" s="262"/>
      <c r="E1194" s="336"/>
    </row>
    <row r="1195" spans="1:5" ht="49.5">
      <c r="A1195" s="280" t="str">
        <f>IF(AND(B1195&lt;&gt;"",C1195&lt;&gt;""),MAX($A$1:A1194)+1,"")</f>
        <v/>
      </c>
      <c r="B1195" s="304"/>
      <c r="C1195" s="357"/>
      <c r="D1195" s="262"/>
      <c r="E1195" s="336" t="s">
        <v>1629</v>
      </c>
    </row>
    <row r="1196" spans="1:5" ht="66">
      <c r="A1196" s="280" t="str">
        <f>IF(AND(B1196&lt;&gt;"",C1196&lt;&gt;""),MAX($A$1:A1195)+1,"")</f>
        <v/>
      </c>
      <c r="B1196" s="304"/>
      <c r="C1196" s="357"/>
      <c r="D1196" s="262"/>
      <c r="E1196" s="336" t="s">
        <v>1670</v>
      </c>
    </row>
    <row r="1197" spans="1:5" ht="49.5">
      <c r="A1197" s="280" t="str">
        <f>IF(AND(B1197&lt;&gt;"",C1197&lt;&gt;""),MAX($A$1:A1196)+1,"")</f>
        <v/>
      </c>
      <c r="B1197" s="304"/>
      <c r="C1197" s="357"/>
      <c r="D1197" s="262"/>
      <c r="E1197" s="336" t="s">
        <v>1704</v>
      </c>
    </row>
    <row r="1198" spans="1:5" ht="82.5">
      <c r="A1198" s="280" t="str">
        <f>IF(AND(B1198&lt;&gt;"",C1198&lt;&gt;""),MAX($A$1:A1197)+1,"")</f>
        <v/>
      </c>
      <c r="B1198" s="304"/>
      <c r="C1198" s="357"/>
      <c r="D1198" s="262"/>
      <c r="E1198" s="336" t="s">
        <v>1739</v>
      </c>
    </row>
    <row r="1199" spans="1:5" ht="66">
      <c r="A1199" s="280" t="str">
        <f>IF(AND(B1199&lt;&gt;"",C1199&lt;&gt;""),MAX($A$1:A1198)+1,"")</f>
        <v/>
      </c>
      <c r="B1199" s="304"/>
      <c r="C1199" s="357"/>
      <c r="D1199" s="262"/>
      <c r="E1199" s="336" t="s">
        <v>608</v>
      </c>
    </row>
    <row r="1200" spans="1:5" ht="66">
      <c r="A1200" s="280" t="str">
        <f>IF(AND(B1200&lt;&gt;"",C1200&lt;&gt;""),MAX($A$1:A1199)+1,"")</f>
        <v/>
      </c>
      <c r="B1200" s="304"/>
      <c r="C1200" s="357"/>
      <c r="D1200" s="262"/>
      <c r="E1200" s="336" t="s">
        <v>1772</v>
      </c>
    </row>
    <row r="1201" spans="1:5" ht="82.5">
      <c r="A1201" s="280" t="str">
        <f>IF(AND(B1201&lt;&gt;"",C1201&lt;&gt;""),MAX($A$1:A1200)+1,"")</f>
        <v/>
      </c>
      <c r="B1201" s="304"/>
      <c r="C1201" s="357"/>
      <c r="D1201" s="262"/>
      <c r="E1201" s="336" t="s">
        <v>609</v>
      </c>
    </row>
    <row r="1202" spans="1:5" ht="66">
      <c r="A1202" s="280" t="str">
        <f>IF(AND(B1202&lt;&gt;"",C1202&lt;&gt;""),MAX($A$1:A1201)+1,"")</f>
        <v/>
      </c>
      <c r="B1202" s="304"/>
      <c r="C1202" s="357"/>
      <c r="D1202" s="262"/>
      <c r="E1202" s="336" t="s">
        <v>1807</v>
      </c>
    </row>
    <row r="1203" spans="1:5" ht="66">
      <c r="A1203" s="280">
        <f>IF(AND(B1203&lt;&gt;"",C1203&lt;&gt;""),MAX($A$1:A1202)+1,"")</f>
        <v>166</v>
      </c>
      <c r="B1203" s="261" t="s">
        <v>358</v>
      </c>
      <c r="C1203" s="276" t="s">
        <v>298</v>
      </c>
      <c r="D1203" s="263"/>
      <c r="E1203" s="247"/>
    </row>
    <row r="1204" spans="1:5" ht="49.5">
      <c r="A1204" s="280" t="str">
        <f>IF(AND(B1204&lt;&gt;"",C1204&lt;&gt;""),MAX($A$1:A1203)+1,"")</f>
        <v/>
      </c>
      <c r="B1204" s="304"/>
      <c r="C1204" s="357"/>
      <c r="D1204" s="262"/>
      <c r="E1204" s="336" t="s">
        <v>1630</v>
      </c>
    </row>
    <row r="1205" spans="1:5" ht="66">
      <c r="A1205" s="280" t="str">
        <f>IF(AND(B1205&lt;&gt;"",C1205&lt;&gt;""),MAX($A$1:A1204)+1,"")</f>
        <v/>
      </c>
      <c r="B1205" s="304"/>
      <c r="C1205" s="357"/>
      <c r="D1205" s="262"/>
      <c r="E1205" s="336" t="s">
        <v>1671</v>
      </c>
    </row>
    <row r="1206" spans="1:5" ht="49.5">
      <c r="A1206" s="280" t="str">
        <f>IF(AND(B1206&lt;&gt;"",C1206&lt;&gt;""),MAX($A$1:A1205)+1,"")</f>
        <v/>
      </c>
      <c r="B1206" s="304"/>
      <c r="C1206" s="357"/>
      <c r="D1206" s="262"/>
      <c r="E1206" s="336" t="s">
        <v>1705</v>
      </c>
    </row>
    <row r="1207" spans="1:5" ht="82.5">
      <c r="A1207" s="280" t="str">
        <f>IF(AND(B1207&lt;&gt;"",C1207&lt;&gt;""),MAX($A$1:A1206)+1,"")</f>
        <v/>
      </c>
      <c r="B1207" s="304"/>
      <c r="C1207" s="357"/>
      <c r="D1207" s="262"/>
      <c r="E1207" s="336" t="s">
        <v>1740</v>
      </c>
    </row>
    <row r="1208" spans="1:5" ht="66">
      <c r="A1208" s="280" t="str">
        <f>IF(AND(B1208&lt;&gt;"",C1208&lt;&gt;""),MAX($A$1:A1207)+1,"")</f>
        <v/>
      </c>
      <c r="B1208" s="304"/>
      <c r="C1208" s="357"/>
      <c r="D1208" s="262"/>
      <c r="E1208" s="336" t="s">
        <v>610</v>
      </c>
    </row>
    <row r="1209" spans="1:5" ht="49.5">
      <c r="A1209" s="280" t="str">
        <f>IF(AND(B1209&lt;&gt;"",C1209&lt;&gt;""),MAX($A$1:A1208)+1,"")</f>
        <v/>
      </c>
      <c r="B1209" s="304"/>
      <c r="C1209" s="357"/>
      <c r="D1209" s="262"/>
      <c r="E1209" s="336" t="s">
        <v>1773</v>
      </c>
    </row>
    <row r="1210" spans="1:5" ht="82.5">
      <c r="A1210" s="280" t="str">
        <f>IF(AND(B1210&lt;&gt;"",C1210&lt;&gt;""),MAX($A$1:A1209)+1,"")</f>
        <v/>
      </c>
      <c r="B1210" s="304"/>
      <c r="C1210" s="357"/>
      <c r="D1210" s="262"/>
      <c r="E1210" s="336" t="s">
        <v>611</v>
      </c>
    </row>
    <row r="1211" spans="1:5" ht="66">
      <c r="A1211" s="280" t="str">
        <f>IF(AND(B1211&lt;&gt;"",C1211&lt;&gt;""),MAX($A$1:A1210)+1,"")</f>
        <v/>
      </c>
      <c r="B1211" s="304"/>
      <c r="C1211" s="357"/>
      <c r="D1211" s="262"/>
      <c r="E1211" s="336" t="s">
        <v>1808</v>
      </c>
    </row>
    <row r="1212" spans="1:5" ht="66">
      <c r="A1212" s="280">
        <f>IF(AND(B1212&lt;&gt;"",C1212&lt;&gt;""),MAX($A$1:A1211)+1,"")</f>
        <v>167</v>
      </c>
      <c r="B1212" s="261" t="s">
        <v>359</v>
      </c>
      <c r="C1212" s="276" t="s">
        <v>298</v>
      </c>
      <c r="D1212" s="263"/>
      <c r="E1212" s="247"/>
    </row>
    <row r="1213" spans="1:5" ht="49.5">
      <c r="A1213" s="280" t="str">
        <f>IF(AND(B1213&lt;&gt;"",C1213&lt;&gt;""),MAX($A$1:A1212)+1,"")</f>
        <v/>
      </c>
      <c r="B1213" s="304"/>
      <c r="C1213" s="357"/>
      <c r="D1213" s="262"/>
      <c r="E1213" s="336" t="s">
        <v>1631</v>
      </c>
    </row>
    <row r="1214" spans="1:5" ht="66">
      <c r="A1214" s="280" t="str">
        <f>IF(AND(B1214&lt;&gt;"",C1214&lt;&gt;""),MAX($A$1:A1213)+1,"")</f>
        <v/>
      </c>
      <c r="B1214" s="304"/>
      <c r="C1214" s="357"/>
      <c r="D1214" s="262"/>
      <c r="E1214" s="336" t="s">
        <v>1672</v>
      </c>
    </row>
    <row r="1215" spans="1:5" ht="49.5">
      <c r="A1215" s="280" t="str">
        <f>IF(AND(B1215&lt;&gt;"",C1215&lt;&gt;""),MAX($A$1:A1214)+1,"")</f>
        <v/>
      </c>
      <c r="B1215" s="304"/>
      <c r="C1215" s="357"/>
      <c r="D1215" s="262"/>
      <c r="E1215" s="336" t="s">
        <v>1706</v>
      </c>
    </row>
    <row r="1216" spans="1:5" ht="82.5">
      <c r="A1216" s="280" t="str">
        <f>IF(AND(B1216&lt;&gt;"",C1216&lt;&gt;""),MAX($A$1:A1215)+1,"")</f>
        <v/>
      </c>
      <c r="B1216" s="304"/>
      <c r="C1216" s="357"/>
      <c r="D1216" s="262"/>
      <c r="E1216" s="336" t="s">
        <v>1741</v>
      </c>
    </row>
    <row r="1217" spans="1:5" ht="66">
      <c r="A1217" s="280" t="str">
        <f>IF(AND(B1217&lt;&gt;"",C1217&lt;&gt;""),MAX($A$1:A1216)+1,"")</f>
        <v/>
      </c>
      <c r="B1217" s="304"/>
      <c r="C1217" s="357"/>
      <c r="D1217" s="262"/>
      <c r="E1217" s="336" t="s">
        <v>612</v>
      </c>
    </row>
    <row r="1218" spans="1:5" ht="49.5">
      <c r="A1218" s="280" t="str">
        <f>IF(AND(B1218&lt;&gt;"",C1218&lt;&gt;""),MAX($A$1:A1217)+1,"")</f>
        <v/>
      </c>
      <c r="B1218" s="304"/>
      <c r="C1218" s="357"/>
      <c r="D1218" s="262"/>
      <c r="E1218" s="336" t="s">
        <v>1774</v>
      </c>
    </row>
    <row r="1219" spans="1:5" ht="82.5">
      <c r="A1219" s="280" t="str">
        <f>IF(AND(B1219&lt;&gt;"",C1219&lt;&gt;""),MAX($A$1:A1218)+1,"")</f>
        <v/>
      </c>
      <c r="B1219" s="304"/>
      <c r="C1219" s="357"/>
      <c r="D1219" s="262"/>
      <c r="E1219" s="336" t="s">
        <v>613</v>
      </c>
    </row>
    <row r="1220" spans="1:5" ht="66">
      <c r="A1220" s="280" t="str">
        <f>IF(AND(B1220&lt;&gt;"",C1220&lt;&gt;""),MAX($A$1:A1219)+1,"")</f>
        <v/>
      </c>
      <c r="B1220" s="304"/>
      <c r="C1220" s="357"/>
      <c r="D1220" s="262"/>
      <c r="E1220" s="336" t="s">
        <v>1809</v>
      </c>
    </row>
    <row r="1221" spans="1:5" ht="115.5">
      <c r="A1221" s="280">
        <f>IF(AND(B1221&lt;&gt;"",C1221&lt;&gt;""),MAX($A$1:A1220)+1,"")</f>
        <v>168</v>
      </c>
      <c r="B1221" s="261" t="s">
        <v>360</v>
      </c>
      <c r="C1221" s="276" t="s">
        <v>298</v>
      </c>
      <c r="D1221" s="263"/>
      <c r="E1221" s="247"/>
    </row>
    <row r="1222" spans="1:5" ht="49.5">
      <c r="A1222" s="280" t="str">
        <f>IF(AND(B1222&lt;&gt;"",C1222&lt;&gt;""),MAX($A$1:A1221)+1,"")</f>
        <v/>
      </c>
      <c r="B1222" s="304"/>
      <c r="C1222" s="357"/>
      <c r="D1222" s="262"/>
      <c r="E1222" s="336" t="s">
        <v>1632</v>
      </c>
    </row>
    <row r="1223" spans="1:5" ht="66">
      <c r="A1223" s="280" t="str">
        <f>IF(AND(B1223&lt;&gt;"",C1223&lt;&gt;""),MAX($A$1:A1222)+1,"")</f>
        <v/>
      </c>
      <c r="B1223" s="304"/>
      <c r="C1223" s="357"/>
      <c r="D1223" s="262"/>
      <c r="E1223" s="336" t="s">
        <v>1673</v>
      </c>
    </row>
    <row r="1224" spans="1:5" ht="66">
      <c r="A1224" s="280" t="str">
        <f>IF(AND(B1224&lt;&gt;"",C1224&lt;&gt;""),MAX($A$1:A1223)+1,"")</f>
        <v/>
      </c>
      <c r="B1224" s="304"/>
      <c r="C1224" s="357"/>
      <c r="D1224" s="262"/>
      <c r="E1224" s="336" t="s">
        <v>1707</v>
      </c>
    </row>
    <row r="1225" spans="1:5" ht="82.5">
      <c r="A1225" s="280" t="str">
        <f>IF(AND(B1225&lt;&gt;"",C1225&lt;&gt;""),MAX($A$1:A1224)+1,"")</f>
        <v/>
      </c>
      <c r="B1225" s="304"/>
      <c r="C1225" s="357"/>
      <c r="D1225" s="262"/>
      <c r="E1225" s="336" t="s">
        <v>1742</v>
      </c>
    </row>
    <row r="1226" spans="1:5" ht="82.5">
      <c r="A1226" s="280" t="str">
        <f>IF(AND(B1226&lt;&gt;"",C1226&lt;&gt;""),MAX($A$1:A1225)+1,"")</f>
        <v/>
      </c>
      <c r="B1226" s="304"/>
      <c r="C1226" s="357"/>
      <c r="D1226" s="262"/>
      <c r="E1226" s="336" t="s">
        <v>614</v>
      </c>
    </row>
    <row r="1227" spans="1:5" ht="66">
      <c r="A1227" s="280" t="str">
        <f>IF(AND(B1227&lt;&gt;"",C1227&lt;&gt;""),MAX($A$1:A1226)+1,"")</f>
        <v/>
      </c>
      <c r="B1227" s="304"/>
      <c r="C1227" s="357"/>
      <c r="D1227" s="262"/>
      <c r="E1227" s="336" t="s">
        <v>1775</v>
      </c>
    </row>
    <row r="1228" spans="1:5" ht="99">
      <c r="A1228" s="280" t="str">
        <f>IF(AND(B1228&lt;&gt;"",C1228&lt;&gt;""),MAX($A$1:A1227)+1,"")</f>
        <v/>
      </c>
      <c r="B1228" s="304"/>
      <c r="C1228" s="357"/>
      <c r="D1228" s="262"/>
      <c r="E1228" s="336" t="s">
        <v>615</v>
      </c>
    </row>
    <row r="1229" spans="1:5" ht="82.5">
      <c r="A1229" s="280" t="str">
        <f>IF(AND(B1229&lt;&gt;"",C1229&lt;&gt;""),MAX($A$1:A1228)+1,"")</f>
        <v/>
      </c>
      <c r="B1229" s="304"/>
      <c r="C1229" s="357"/>
      <c r="D1229" s="262"/>
      <c r="E1229" s="336" t="s">
        <v>1810</v>
      </c>
    </row>
    <row r="1230" spans="1:5" ht="99">
      <c r="A1230" s="280">
        <f>IF(AND(B1230&lt;&gt;"",C1230&lt;&gt;""),MAX($A$1:A1229)+1,"")</f>
        <v>169</v>
      </c>
      <c r="B1230" s="261" t="s">
        <v>361</v>
      </c>
      <c r="C1230" s="276" t="s">
        <v>298</v>
      </c>
      <c r="D1230" s="263"/>
      <c r="E1230" s="247"/>
    </row>
    <row r="1231" spans="1:5" ht="49.5">
      <c r="A1231" s="280" t="str">
        <f>IF(AND(B1231&lt;&gt;"",C1231&lt;&gt;""),MAX($A$1:A1230)+1,"")</f>
        <v/>
      </c>
      <c r="B1231" s="304"/>
      <c r="C1231" s="357"/>
      <c r="D1231" s="262"/>
      <c r="E1231" s="336" t="s">
        <v>1633</v>
      </c>
    </row>
    <row r="1232" spans="1:5" ht="66">
      <c r="A1232" s="280" t="str">
        <f>IF(AND(B1232&lt;&gt;"",C1232&lt;&gt;""),MAX($A$1:A1231)+1,"")</f>
        <v/>
      </c>
      <c r="B1232" s="304"/>
      <c r="C1232" s="357"/>
      <c r="D1232" s="262"/>
      <c r="E1232" s="336" t="s">
        <v>1674</v>
      </c>
    </row>
    <row r="1233" spans="1:5" ht="66">
      <c r="A1233" s="280" t="str">
        <f>IF(AND(B1233&lt;&gt;"",C1233&lt;&gt;""),MAX($A$1:A1232)+1,"")</f>
        <v/>
      </c>
      <c r="B1233" s="304"/>
      <c r="C1233" s="357"/>
      <c r="D1233" s="262"/>
      <c r="E1233" s="336" t="s">
        <v>1708</v>
      </c>
    </row>
    <row r="1234" spans="1:5" ht="82.5">
      <c r="A1234" s="280" t="str">
        <f>IF(AND(B1234&lt;&gt;"",C1234&lt;&gt;""),MAX($A$1:A1233)+1,"")</f>
        <v/>
      </c>
      <c r="B1234" s="304"/>
      <c r="C1234" s="357"/>
      <c r="D1234" s="262"/>
      <c r="E1234" s="336" t="s">
        <v>1743</v>
      </c>
    </row>
    <row r="1235" spans="1:5" ht="66">
      <c r="A1235" s="280" t="str">
        <f>IF(AND(B1235&lt;&gt;"",C1235&lt;&gt;""),MAX($A$1:A1234)+1,"")</f>
        <v/>
      </c>
      <c r="B1235" s="304"/>
      <c r="C1235" s="357"/>
      <c r="D1235" s="262"/>
      <c r="E1235" s="336" t="s">
        <v>616</v>
      </c>
    </row>
    <row r="1236" spans="1:5" ht="66">
      <c r="A1236" s="280" t="str">
        <f>IF(AND(B1236&lt;&gt;"",C1236&lt;&gt;""),MAX($A$1:A1235)+1,"")</f>
        <v/>
      </c>
      <c r="B1236" s="304"/>
      <c r="C1236" s="357"/>
      <c r="D1236" s="262"/>
      <c r="E1236" s="336" t="s">
        <v>1776</v>
      </c>
    </row>
    <row r="1237" spans="1:5" ht="82.5">
      <c r="A1237" s="280" t="str">
        <f>IF(AND(B1237&lt;&gt;"",C1237&lt;&gt;""),MAX($A$1:A1236)+1,"")</f>
        <v/>
      </c>
      <c r="B1237" s="304"/>
      <c r="C1237" s="357"/>
      <c r="D1237" s="262"/>
      <c r="E1237" s="336" t="s">
        <v>617</v>
      </c>
    </row>
    <row r="1238" spans="1:5" ht="66">
      <c r="A1238" s="280" t="str">
        <f>IF(AND(B1238&lt;&gt;"",C1238&lt;&gt;""),MAX($A$1:A1237)+1,"")</f>
        <v/>
      </c>
      <c r="B1238" s="304"/>
      <c r="C1238" s="357"/>
      <c r="D1238" s="262"/>
      <c r="E1238" s="336" t="s">
        <v>1811</v>
      </c>
    </row>
    <row r="1239" spans="1:5" ht="99">
      <c r="A1239" s="280">
        <f>IF(AND(B1239&lt;&gt;"",C1239&lt;&gt;""),MAX($A$1:A1238)+1,"")</f>
        <v>170</v>
      </c>
      <c r="B1239" s="261" t="s">
        <v>362</v>
      </c>
      <c r="C1239" s="276" t="s">
        <v>298</v>
      </c>
      <c r="D1239" s="262"/>
      <c r="E1239" s="336"/>
    </row>
    <row r="1240" spans="1:5" ht="49.5">
      <c r="A1240" s="280" t="str">
        <f>IF(AND(B1240&lt;&gt;"",C1240&lt;&gt;""),MAX($A$1:A1239)+1,"")</f>
        <v/>
      </c>
      <c r="B1240" s="304"/>
      <c r="C1240" s="357"/>
      <c r="D1240" s="262"/>
      <c r="E1240" s="336" t="s">
        <v>1634</v>
      </c>
    </row>
    <row r="1241" spans="1:5" ht="66">
      <c r="A1241" s="280" t="str">
        <f>IF(AND(B1241&lt;&gt;"",C1241&lt;&gt;""),MAX($A$1:A1240)+1,"")</f>
        <v/>
      </c>
      <c r="B1241" s="304"/>
      <c r="C1241" s="357"/>
      <c r="D1241" s="262"/>
      <c r="E1241" s="336" t="s">
        <v>1675</v>
      </c>
    </row>
    <row r="1242" spans="1:5" ht="66">
      <c r="A1242" s="280" t="str">
        <f>IF(AND(B1242&lt;&gt;"",C1242&lt;&gt;""),MAX($A$1:A1241)+1,"")</f>
        <v/>
      </c>
      <c r="B1242" s="304"/>
      <c r="C1242" s="357"/>
      <c r="D1242" s="262"/>
      <c r="E1242" s="336" t="s">
        <v>1709</v>
      </c>
    </row>
    <row r="1243" spans="1:5" ht="82.5">
      <c r="A1243" s="280" t="str">
        <f>IF(AND(B1243&lt;&gt;"",C1243&lt;&gt;""),MAX($A$1:A1242)+1,"")</f>
        <v/>
      </c>
      <c r="B1243" s="304"/>
      <c r="C1243" s="357"/>
      <c r="D1243" s="262"/>
      <c r="E1243" s="336" t="s">
        <v>1744</v>
      </c>
    </row>
    <row r="1244" spans="1:5" ht="82.5">
      <c r="A1244" s="280" t="str">
        <f>IF(AND(B1244&lt;&gt;"",C1244&lt;&gt;""),MAX($A$1:A1243)+1,"")</f>
        <v/>
      </c>
      <c r="B1244" s="304"/>
      <c r="C1244" s="357"/>
      <c r="D1244" s="262"/>
      <c r="E1244" s="336" t="s">
        <v>618</v>
      </c>
    </row>
    <row r="1245" spans="1:5" ht="66">
      <c r="A1245" s="280" t="str">
        <f>IF(AND(B1245&lt;&gt;"",C1245&lt;&gt;""),MAX($A$1:A1244)+1,"")</f>
        <v/>
      </c>
      <c r="B1245" s="304"/>
      <c r="C1245" s="357"/>
      <c r="D1245" s="262"/>
      <c r="E1245" s="336" t="s">
        <v>1777</v>
      </c>
    </row>
    <row r="1246" spans="1:5" ht="82.5">
      <c r="A1246" s="280" t="str">
        <f>IF(AND(B1246&lt;&gt;"",C1246&lt;&gt;""),MAX($A$1:A1245)+1,"")</f>
        <v/>
      </c>
      <c r="B1246" s="304"/>
      <c r="C1246" s="357"/>
      <c r="D1246" s="262"/>
      <c r="E1246" s="336" t="s">
        <v>619</v>
      </c>
    </row>
    <row r="1247" spans="1:5" ht="82.5">
      <c r="A1247" s="280" t="str">
        <f>IF(AND(B1247&lt;&gt;"",C1247&lt;&gt;""),MAX($A$1:A1246)+1,"")</f>
        <v/>
      </c>
      <c r="B1247" s="304"/>
      <c r="C1247" s="357"/>
      <c r="D1247" s="262"/>
      <c r="E1247" s="336" t="s">
        <v>1812</v>
      </c>
    </row>
    <row r="1248" spans="1:5" ht="132">
      <c r="A1248" s="280">
        <f>IF(AND(B1248&lt;&gt;"",C1248&lt;&gt;""),MAX($A$1:A1247)+1,"")</f>
        <v>171</v>
      </c>
      <c r="B1248" s="261" t="s">
        <v>363</v>
      </c>
      <c r="C1248" s="276" t="s">
        <v>298</v>
      </c>
      <c r="D1248" s="263"/>
      <c r="E1248" s="247"/>
    </row>
    <row r="1249" spans="1:5" ht="66">
      <c r="A1249" s="280" t="str">
        <f>IF(AND(B1249&lt;&gt;"",C1249&lt;&gt;""),MAX($A$1:A1248)+1,"")</f>
        <v/>
      </c>
      <c r="B1249" s="304"/>
      <c r="C1249" s="357"/>
      <c r="D1249" s="262"/>
      <c r="E1249" s="336" t="s">
        <v>1635</v>
      </c>
    </row>
    <row r="1250" spans="1:5" ht="82.5">
      <c r="A1250" s="280" t="str">
        <f>IF(AND(B1250&lt;&gt;"",C1250&lt;&gt;""),MAX($A$1:A1249)+1,"")</f>
        <v/>
      </c>
      <c r="B1250" s="304"/>
      <c r="C1250" s="357"/>
      <c r="D1250" s="262"/>
      <c r="E1250" s="336" t="s">
        <v>1676</v>
      </c>
    </row>
    <row r="1251" spans="1:5" ht="66">
      <c r="A1251" s="280" t="str">
        <f>IF(AND(B1251&lt;&gt;"",C1251&lt;&gt;""),MAX($A$1:A1250)+1,"")</f>
        <v/>
      </c>
      <c r="B1251" s="304"/>
      <c r="C1251" s="357"/>
      <c r="D1251" s="262"/>
      <c r="E1251" s="336" t="s">
        <v>1710</v>
      </c>
    </row>
    <row r="1252" spans="1:5" ht="99">
      <c r="A1252" s="280" t="str">
        <f>IF(AND(B1252&lt;&gt;"",C1252&lt;&gt;""),MAX($A$1:A1251)+1,"")</f>
        <v/>
      </c>
      <c r="B1252" s="304"/>
      <c r="C1252" s="357"/>
      <c r="D1252" s="262"/>
      <c r="E1252" s="336" t="s">
        <v>1745</v>
      </c>
    </row>
    <row r="1253" spans="1:5" ht="82.5">
      <c r="A1253" s="280" t="str">
        <f>IF(AND(B1253&lt;&gt;"",C1253&lt;&gt;""),MAX($A$1:A1252)+1,"")</f>
        <v/>
      </c>
      <c r="B1253" s="304"/>
      <c r="C1253" s="357"/>
      <c r="D1253" s="262"/>
      <c r="E1253" s="336" t="s">
        <v>620</v>
      </c>
    </row>
    <row r="1254" spans="1:5" ht="66">
      <c r="A1254" s="280" t="str">
        <f>IF(AND(B1254&lt;&gt;"",C1254&lt;&gt;""),MAX($A$1:A1253)+1,"")</f>
        <v/>
      </c>
      <c r="B1254" s="304"/>
      <c r="C1254" s="357"/>
      <c r="D1254" s="262"/>
      <c r="E1254" s="336" t="s">
        <v>1778</v>
      </c>
    </row>
    <row r="1255" spans="1:5" ht="99">
      <c r="A1255" s="280" t="str">
        <f>IF(AND(B1255&lt;&gt;"",C1255&lt;&gt;""),MAX($A$1:A1254)+1,"")</f>
        <v/>
      </c>
      <c r="B1255" s="304"/>
      <c r="C1255" s="357"/>
      <c r="D1255" s="262"/>
      <c r="E1255" s="336" t="s">
        <v>621</v>
      </c>
    </row>
    <row r="1256" spans="1:5" ht="82.5">
      <c r="A1256" s="280" t="str">
        <f>IF(AND(B1256&lt;&gt;"",C1256&lt;&gt;""),MAX($A$1:A1255)+1,"")</f>
        <v/>
      </c>
      <c r="B1256" s="304"/>
      <c r="C1256" s="357"/>
      <c r="D1256" s="262"/>
      <c r="E1256" s="336" t="s">
        <v>1813</v>
      </c>
    </row>
    <row r="1257" spans="1:5" ht="99">
      <c r="A1257" s="280">
        <f>IF(AND(B1257&lt;&gt;"",C1257&lt;&gt;""),MAX($A$1:A1256)+1,"")</f>
        <v>172</v>
      </c>
      <c r="B1257" s="261" t="s">
        <v>364</v>
      </c>
      <c r="C1257" s="276" t="s">
        <v>298</v>
      </c>
      <c r="D1257" s="263"/>
      <c r="E1257" s="247"/>
    </row>
    <row r="1258" spans="1:5" ht="49.5">
      <c r="A1258" s="280" t="str">
        <f>IF(AND(B1258&lt;&gt;"",C1258&lt;&gt;""),MAX($A$1:A1257)+1,"")</f>
        <v/>
      </c>
      <c r="B1258" s="304"/>
      <c r="C1258" s="357"/>
      <c r="D1258" s="262"/>
      <c r="E1258" s="336" t="s">
        <v>1636</v>
      </c>
    </row>
    <row r="1259" spans="1:5" ht="66">
      <c r="A1259" s="280" t="str">
        <f>IF(AND(B1259&lt;&gt;"",C1259&lt;&gt;""),MAX($A$1:A1258)+1,"")</f>
        <v/>
      </c>
      <c r="B1259" s="304"/>
      <c r="C1259" s="357"/>
      <c r="D1259" s="262"/>
      <c r="E1259" s="336" t="s">
        <v>1677</v>
      </c>
    </row>
    <row r="1260" spans="1:5" ht="66">
      <c r="A1260" s="280" t="str">
        <f>IF(AND(B1260&lt;&gt;"",C1260&lt;&gt;""),MAX($A$1:A1259)+1,"")</f>
        <v/>
      </c>
      <c r="B1260" s="304"/>
      <c r="C1260" s="357"/>
      <c r="D1260" s="262"/>
      <c r="E1260" s="336" t="s">
        <v>1711</v>
      </c>
    </row>
    <row r="1261" spans="1:5" ht="82.5">
      <c r="A1261" s="280" t="str">
        <f>IF(AND(B1261&lt;&gt;"",C1261&lt;&gt;""),MAX($A$1:A1260)+1,"")</f>
        <v/>
      </c>
      <c r="B1261" s="304"/>
      <c r="C1261" s="357"/>
      <c r="D1261" s="262"/>
      <c r="E1261" s="336" t="s">
        <v>1746</v>
      </c>
    </row>
    <row r="1262" spans="1:5" ht="82.5">
      <c r="A1262" s="280" t="str">
        <f>IF(AND(B1262&lt;&gt;"",C1262&lt;&gt;""),MAX($A$1:A1261)+1,"")</f>
        <v/>
      </c>
      <c r="B1262" s="304"/>
      <c r="C1262" s="357"/>
      <c r="D1262" s="262"/>
      <c r="E1262" s="336" t="s">
        <v>622</v>
      </c>
    </row>
    <row r="1263" spans="1:5" ht="66">
      <c r="A1263" s="280" t="str">
        <f>IF(AND(B1263&lt;&gt;"",C1263&lt;&gt;""),MAX($A$1:A1262)+1,"")</f>
        <v/>
      </c>
      <c r="B1263" s="304"/>
      <c r="C1263" s="357"/>
      <c r="D1263" s="262"/>
      <c r="E1263" s="336" t="s">
        <v>1779</v>
      </c>
    </row>
    <row r="1264" spans="1:5" ht="82.5">
      <c r="A1264" s="280" t="str">
        <f>IF(AND(B1264&lt;&gt;"",C1264&lt;&gt;""),MAX($A$1:A1263)+1,"")</f>
        <v/>
      </c>
      <c r="B1264" s="304"/>
      <c r="C1264" s="357"/>
      <c r="D1264" s="262"/>
      <c r="E1264" s="336" t="s">
        <v>623</v>
      </c>
    </row>
    <row r="1265" spans="1:5" ht="82.5">
      <c r="A1265" s="280" t="str">
        <f>IF(AND(B1265&lt;&gt;"",C1265&lt;&gt;""),MAX($A$1:A1264)+1,"")</f>
        <v/>
      </c>
      <c r="B1265" s="304"/>
      <c r="C1265" s="357"/>
      <c r="D1265" s="262"/>
      <c r="E1265" s="336" t="s">
        <v>1814</v>
      </c>
    </row>
    <row r="1266" spans="1:5" ht="82.5">
      <c r="A1266" s="280">
        <f>IF(AND(B1266&lt;&gt;"",C1266&lt;&gt;""),MAX($A$1:A1265)+1,"")</f>
        <v>173</v>
      </c>
      <c r="B1266" s="261" t="s">
        <v>365</v>
      </c>
      <c r="C1266" s="276" t="s">
        <v>298</v>
      </c>
      <c r="D1266" s="262"/>
      <c r="E1266" s="336"/>
    </row>
    <row r="1267" spans="1:5" ht="49.5">
      <c r="A1267" s="280" t="str">
        <f>IF(AND(B1267&lt;&gt;"",C1267&lt;&gt;""),MAX($A$1:A1266)+1,"")</f>
        <v/>
      </c>
      <c r="B1267" s="304"/>
      <c r="C1267" s="357"/>
      <c r="D1267" s="262"/>
      <c r="E1267" s="336" t="s">
        <v>1637</v>
      </c>
    </row>
    <row r="1268" spans="1:5" ht="66">
      <c r="A1268" s="280" t="str">
        <f>IF(AND(B1268&lt;&gt;"",C1268&lt;&gt;""),MAX($A$1:A1267)+1,"")</f>
        <v/>
      </c>
      <c r="B1268" s="304"/>
      <c r="C1268" s="357"/>
      <c r="D1268" s="262"/>
      <c r="E1268" s="336" t="s">
        <v>1678</v>
      </c>
    </row>
    <row r="1269" spans="1:5" ht="49.5">
      <c r="A1269" s="280" t="str">
        <f>IF(AND(B1269&lt;&gt;"",C1269&lt;&gt;""),MAX($A$1:A1268)+1,"")</f>
        <v/>
      </c>
      <c r="B1269" s="304"/>
      <c r="C1269" s="357"/>
      <c r="D1269" s="262"/>
      <c r="E1269" s="336" t="s">
        <v>1712</v>
      </c>
    </row>
    <row r="1270" spans="1:5" ht="82.5">
      <c r="A1270" s="280" t="str">
        <f>IF(AND(B1270&lt;&gt;"",C1270&lt;&gt;""),MAX($A$1:A1269)+1,"")</f>
        <v/>
      </c>
      <c r="B1270" s="304"/>
      <c r="C1270" s="357"/>
      <c r="D1270" s="262"/>
      <c r="E1270" s="336" t="s">
        <v>1747</v>
      </c>
    </row>
    <row r="1271" spans="1:5" ht="66">
      <c r="A1271" s="280" t="str">
        <f>IF(AND(B1271&lt;&gt;"",C1271&lt;&gt;""),MAX($A$1:A1270)+1,"")</f>
        <v/>
      </c>
      <c r="B1271" s="304"/>
      <c r="C1271" s="357"/>
      <c r="D1271" s="262"/>
      <c r="E1271" s="336" t="s">
        <v>624</v>
      </c>
    </row>
    <row r="1272" spans="1:5" ht="66">
      <c r="A1272" s="280" t="str">
        <f>IF(AND(B1272&lt;&gt;"",C1272&lt;&gt;""),MAX($A$1:A1271)+1,"")</f>
        <v/>
      </c>
      <c r="B1272" s="304"/>
      <c r="C1272" s="357"/>
      <c r="D1272" s="262"/>
      <c r="E1272" s="336" t="s">
        <v>1780</v>
      </c>
    </row>
    <row r="1273" spans="1:5" ht="82.5">
      <c r="A1273" s="280" t="str">
        <f>IF(AND(B1273&lt;&gt;"",C1273&lt;&gt;""),MAX($A$1:A1272)+1,"")</f>
        <v/>
      </c>
      <c r="B1273" s="304"/>
      <c r="C1273" s="357"/>
      <c r="D1273" s="262"/>
      <c r="E1273" s="336" t="s">
        <v>625</v>
      </c>
    </row>
    <row r="1274" spans="1:5" ht="66">
      <c r="A1274" s="280" t="str">
        <f>IF(AND(B1274&lt;&gt;"",C1274&lt;&gt;""),MAX($A$1:A1273)+1,"")</f>
        <v/>
      </c>
      <c r="B1274" s="304"/>
      <c r="C1274" s="357"/>
      <c r="D1274" s="262"/>
      <c r="E1274" s="336" t="s">
        <v>1815</v>
      </c>
    </row>
    <row r="1275" spans="1:5" ht="99">
      <c r="A1275" s="280">
        <f>IF(AND(B1275&lt;&gt;"",C1275&lt;&gt;""),MAX($A$1:A1274)+1,"")</f>
        <v>174</v>
      </c>
      <c r="B1275" s="261" t="s">
        <v>366</v>
      </c>
      <c r="C1275" s="276" t="s">
        <v>298</v>
      </c>
      <c r="D1275" s="263"/>
      <c r="E1275" s="247"/>
    </row>
    <row r="1276" spans="1:5" ht="49.5">
      <c r="A1276" s="280" t="str">
        <f>IF(AND(B1276&lt;&gt;"",C1276&lt;&gt;""),MAX($A$1:A1275)+1,"")</f>
        <v/>
      </c>
      <c r="B1276" s="304"/>
      <c r="C1276" s="357"/>
      <c r="D1276" s="262"/>
      <c r="E1276" s="336" t="s">
        <v>1638</v>
      </c>
    </row>
    <row r="1277" spans="1:5" ht="66">
      <c r="A1277" s="280" t="str">
        <f>IF(AND(B1277&lt;&gt;"",C1277&lt;&gt;""),MAX($A$1:A1276)+1,"")</f>
        <v/>
      </c>
      <c r="B1277" s="304"/>
      <c r="C1277" s="357"/>
      <c r="D1277" s="262"/>
      <c r="E1277" s="336" t="s">
        <v>1679</v>
      </c>
    </row>
    <row r="1278" spans="1:5" ht="66">
      <c r="A1278" s="280" t="str">
        <f>IF(AND(B1278&lt;&gt;"",C1278&lt;&gt;""),MAX($A$1:A1277)+1,"")</f>
        <v/>
      </c>
      <c r="B1278" s="304"/>
      <c r="C1278" s="357"/>
      <c r="D1278" s="262"/>
      <c r="E1278" s="336" t="s">
        <v>1713</v>
      </c>
    </row>
    <row r="1279" spans="1:5" ht="82.5">
      <c r="A1279" s="280" t="str">
        <f>IF(AND(B1279&lt;&gt;"",C1279&lt;&gt;""),MAX($A$1:A1278)+1,"")</f>
        <v/>
      </c>
      <c r="B1279" s="304"/>
      <c r="C1279" s="357"/>
      <c r="D1279" s="262"/>
      <c r="E1279" s="336" t="s">
        <v>1748</v>
      </c>
    </row>
    <row r="1280" spans="1:5" ht="66">
      <c r="A1280" s="280" t="str">
        <f>IF(AND(B1280&lt;&gt;"",C1280&lt;&gt;""),MAX($A$1:A1279)+1,"")</f>
        <v/>
      </c>
      <c r="B1280" s="304"/>
      <c r="C1280" s="357"/>
      <c r="D1280" s="262"/>
      <c r="E1280" s="336" t="s">
        <v>626</v>
      </c>
    </row>
    <row r="1281" spans="1:5" ht="66">
      <c r="A1281" s="280" t="str">
        <f>IF(AND(B1281&lt;&gt;"",C1281&lt;&gt;""),MAX($A$1:A1280)+1,"")</f>
        <v/>
      </c>
      <c r="B1281" s="304"/>
      <c r="C1281" s="357"/>
      <c r="D1281" s="262"/>
      <c r="E1281" s="336" t="s">
        <v>1781</v>
      </c>
    </row>
    <row r="1282" spans="1:5" ht="82.5">
      <c r="A1282" s="280" t="str">
        <f>IF(AND(B1282&lt;&gt;"",C1282&lt;&gt;""),MAX($A$1:A1281)+1,"")</f>
        <v/>
      </c>
      <c r="B1282" s="304"/>
      <c r="C1282" s="357"/>
      <c r="D1282" s="262"/>
      <c r="E1282" s="336" t="s">
        <v>627</v>
      </c>
    </row>
    <row r="1283" spans="1:5" ht="66">
      <c r="A1283" s="280" t="str">
        <f>IF(AND(B1283&lt;&gt;"",C1283&lt;&gt;""),MAX($A$1:A1282)+1,"")</f>
        <v/>
      </c>
      <c r="B1283" s="304"/>
      <c r="C1283" s="357"/>
      <c r="D1283" s="262"/>
      <c r="E1283" s="336" t="s">
        <v>1816</v>
      </c>
    </row>
    <row r="1284" spans="1:5" ht="115.5">
      <c r="A1284" s="280">
        <f>IF(AND(B1284&lt;&gt;"",C1284&lt;&gt;""),MAX($A$1:A1283)+1,"")</f>
        <v>175</v>
      </c>
      <c r="B1284" s="261" t="s">
        <v>367</v>
      </c>
      <c r="C1284" s="276" t="s">
        <v>298</v>
      </c>
      <c r="D1284" s="263"/>
      <c r="E1284" s="247"/>
    </row>
    <row r="1285" spans="1:5" ht="49.5">
      <c r="A1285" s="280" t="str">
        <f>IF(AND(B1285&lt;&gt;"",C1285&lt;&gt;""),MAX($A$1:A1284)+1,"")</f>
        <v/>
      </c>
      <c r="B1285" s="304"/>
      <c r="C1285" s="357"/>
      <c r="D1285" s="262"/>
      <c r="E1285" s="336" t="s">
        <v>1639</v>
      </c>
    </row>
    <row r="1286" spans="1:5" ht="66">
      <c r="A1286" s="280" t="str">
        <f>IF(AND(B1286&lt;&gt;"",C1286&lt;&gt;""),MAX($A$1:A1285)+1,"")</f>
        <v/>
      </c>
      <c r="B1286" s="304"/>
      <c r="C1286" s="357"/>
      <c r="D1286" s="262"/>
      <c r="E1286" s="336" t="s">
        <v>1680</v>
      </c>
    </row>
    <row r="1287" spans="1:5" ht="66">
      <c r="A1287" s="280" t="str">
        <f>IF(AND(B1287&lt;&gt;"",C1287&lt;&gt;""),MAX($A$1:A1286)+1,"")</f>
        <v/>
      </c>
      <c r="B1287" s="304"/>
      <c r="C1287" s="357"/>
      <c r="D1287" s="262"/>
      <c r="E1287" s="336" t="s">
        <v>1714</v>
      </c>
    </row>
    <row r="1288" spans="1:5" ht="82.5">
      <c r="A1288" s="280" t="str">
        <f>IF(AND(B1288&lt;&gt;"",C1288&lt;&gt;""),MAX($A$1:A1287)+1,"")</f>
        <v/>
      </c>
      <c r="B1288" s="304"/>
      <c r="C1288" s="357"/>
      <c r="D1288" s="262"/>
      <c r="E1288" s="336" t="s">
        <v>1749</v>
      </c>
    </row>
    <row r="1289" spans="1:5" ht="82.5">
      <c r="A1289" s="280" t="str">
        <f>IF(AND(B1289&lt;&gt;"",C1289&lt;&gt;""),MAX($A$1:A1288)+1,"")</f>
        <v/>
      </c>
      <c r="B1289" s="304"/>
      <c r="C1289" s="357"/>
      <c r="D1289" s="262"/>
      <c r="E1289" s="336" t="s">
        <v>628</v>
      </c>
    </row>
    <row r="1290" spans="1:5" ht="66">
      <c r="A1290" s="280" t="str">
        <f>IF(AND(B1290&lt;&gt;"",C1290&lt;&gt;""),MAX($A$1:A1289)+1,"")</f>
        <v/>
      </c>
      <c r="B1290" s="304"/>
      <c r="C1290" s="357"/>
      <c r="D1290" s="262"/>
      <c r="E1290" s="336" t="s">
        <v>1782</v>
      </c>
    </row>
    <row r="1291" spans="1:5" ht="99">
      <c r="A1291" s="280" t="str">
        <f>IF(AND(B1291&lt;&gt;"",C1291&lt;&gt;""),MAX($A$1:A1290)+1,"")</f>
        <v/>
      </c>
      <c r="B1291" s="304"/>
      <c r="C1291" s="357"/>
      <c r="D1291" s="262"/>
      <c r="E1291" s="336" t="s">
        <v>629</v>
      </c>
    </row>
    <row r="1292" spans="1:5" ht="82.5">
      <c r="A1292" s="280" t="str">
        <f>IF(AND(B1292&lt;&gt;"",C1292&lt;&gt;""),MAX($A$1:A1291)+1,"")</f>
        <v/>
      </c>
      <c r="B1292" s="304"/>
      <c r="C1292" s="357"/>
      <c r="D1292" s="262"/>
      <c r="E1292" s="336" t="s">
        <v>1817</v>
      </c>
    </row>
    <row r="1293" spans="1:5" ht="115.5">
      <c r="A1293" s="280">
        <f>IF(AND(B1293&lt;&gt;"",C1293&lt;&gt;""),MAX($A$1:A1292)+1,"")</f>
        <v>176</v>
      </c>
      <c r="B1293" s="261" t="s">
        <v>368</v>
      </c>
      <c r="C1293" s="276" t="s">
        <v>298</v>
      </c>
      <c r="D1293" s="263"/>
      <c r="E1293" s="247"/>
    </row>
    <row r="1294" spans="1:5" ht="49.5">
      <c r="A1294" s="280" t="str">
        <f>IF(AND(B1294&lt;&gt;"",C1294&lt;&gt;""),MAX($A$1:A1293)+1,"")</f>
        <v/>
      </c>
      <c r="B1294" s="304"/>
      <c r="C1294" s="357"/>
      <c r="D1294" s="262"/>
      <c r="E1294" s="336" t="s">
        <v>1640</v>
      </c>
    </row>
    <row r="1295" spans="1:5" ht="66">
      <c r="A1295" s="280" t="str">
        <f>IF(AND(B1295&lt;&gt;"",C1295&lt;&gt;""),MAX($A$1:A1294)+1,"")</f>
        <v/>
      </c>
      <c r="B1295" s="304"/>
      <c r="C1295" s="357"/>
      <c r="D1295" s="262"/>
      <c r="E1295" s="336" t="s">
        <v>1681</v>
      </c>
    </row>
    <row r="1296" spans="1:5" ht="66">
      <c r="A1296" s="280" t="str">
        <f>IF(AND(B1296&lt;&gt;"",C1296&lt;&gt;""),MAX($A$1:A1295)+1,"")</f>
        <v/>
      </c>
      <c r="B1296" s="304"/>
      <c r="C1296" s="357"/>
      <c r="D1296" s="262"/>
      <c r="E1296" s="336" t="s">
        <v>1715</v>
      </c>
    </row>
    <row r="1297" spans="1:5" ht="82.5">
      <c r="A1297" s="280" t="str">
        <f>IF(AND(B1297&lt;&gt;"",C1297&lt;&gt;""),MAX($A$1:A1296)+1,"")</f>
        <v/>
      </c>
      <c r="B1297" s="304"/>
      <c r="C1297" s="357"/>
      <c r="D1297" s="262"/>
      <c r="E1297" s="336" t="s">
        <v>1750</v>
      </c>
    </row>
    <row r="1298" spans="1:5" ht="82.5">
      <c r="A1298" s="280" t="str">
        <f>IF(AND(B1298&lt;&gt;"",C1298&lt;&gt;""),MAX($A$1:A1297)+1,"")</f>
        <v/>
      </c>
      <c r="B1298" s="304"/>
      <c r="C1298" s="357"/>
      <c r="D1298" s="262"/>
      <c r="E1298" s="336" t="s">
        <v>630</v>
      </c>
    </row>
    <row r="1299" spans="1:5" ht="66">
      <c r="A1299" s="280" t="str">
        <f>IF(AND(B1299&lt;&gt;"",C1299&lt;&gt;""),MAX($A$1:A1298)+1,"")</f>
        <v/>
      </c>
      <c r="B1299" s="304"/>
      <c r="C1299" s="357"/>
      <c r="D1299" s="262"/>
      <c r="E1299" s="336" t="s">
        <v>1783</v>
      </c>
    </row>
    <row r="1300" spans="1:5" ht="82.5">
      <c r="A1300" s="280" t="str">
        <f>IF(AND(B1300&lt;&gt;"",C1300&lt;&gt;""),MAX($A$1:A1299)+1,"")</f>
        <v/>
      </c>
      <c r="B1300" s="304"/>
      <c r="C1300" s="357"/>
      <c r="D1300" s="262"/>
      <c r="E1300" s="336" t="s">
        <v>631</v>
      </c>
    </row>
    <row r="1301" spans="1:5" ht="82.5">
      <c r="A1301" s="280" t="str">
        <f>IF(AND(B1301&lt;&gt;"",C1301&lt;&gt;""),MAX($A$1:A1300)+1,"")</f>
        <v/>
      </c>
      <c r="B1301" s="304"/>
      <c r="C1301" s="357"/>
      <c r="D1301" s="262"/>
      <c r="E1301" s="336" t="s">
        <v>1818</v>
      </c>
    </row>
    <row r="1302" spans="1:5" ht="99">
      <c r="A1302" s="280">
        <f>IF(AND(B1302&lt;&gt;"",C1302&lt;&gt;""),MAX($A$1:A1301)+1,"")</f>
        <v>177</v>
      </c>
      <c r="B1302" s="261" t="s">
        <v>369</v>
      </c>
      <c r="C1302" s="276" t="s">
        <v>298</v>
      </c>
      <c r="D1302" s="263"/>
      <c r="E1302" s="247"/>
    </row>
    <row r="1303" spans="1:5" ht="49.5">
      <c r="A1303" s="280" t="str">
        <f>IF(AND(B1303&lt;&gt;"",C1303&lt;&gt;""),MAX($A$1:A1302)+1,"")</f>
        <v/>
      </c>
      <c r="B1303" s="304"/>
      <c r="C1303" s="357"/>
      <c r="D1303" s="262"/>
      <c r="E1303" s="336" t="s">
        <v>1641</v>
      </c>
    </row>
    <row r="1304" spans="1:5" ht="66">
      <c r="A1304" s="280" t="str">
        <f>IF(AND(B1304&lt;&gt;"",C1304&lt;&gt;""),MAX($A$1:A1303)+1,"")</f>
        <v/>
      </c>
      <c r="B1304" s="304"/>
      <c r="C1304" s="357"/>
      <c r="D1304" s="262"/>
      <c r="E1304" s="336" t="s">
        <v>1682</v>
      </c>
    </row>
    <row r="1305" spans="1:5" ht="66">
      <c r="A1305" s="280" t="str">
        <f>IF(AND(B1305&lt;&gt;"",C1305&lt;&gt;""),MAX($A$1:A1304)+1,"")</f>
        <v/>
      </c>
      <c r="B1305" s="304"/>
      <c r="C1305" s="357"/>
      <c r="D1305" s="262"/>
      <c r="E1305" s="336" t="s">
        <v>1716</v>
      </c>
    </row>
    <row r="1306" spans="1:5" ht="82.5">
      <c r="A1306" s="280" t="str">
        <f>IF(AND(B1306&lt;&gt;"",C1306&lt;&gt;""),MAX($A$1:A1305)+1,"")</f>
        <v/>
      </c>
      <c r="B1306" s="304"/>
      <c r="C1306" s="357"/>
      <c r="D1306" s="262"/>
      <c r="E1306" s="336" t="s">
        <v>1751</v>
      </c>
    </row>
    <row r="1307" spans="1:5" ht="82.5">
      <c r="A1307" s="280" t="str">
        <f>IF(AND(B1307&lt;&gt;"",C1307&lt;&gt;""),MAX($A$1:A1306)+1,"")</f>
        <v/>
      </c>
      <c r="B1307" s="304"/>
      <c r="C1307" s="357"/>
      <c r="D1307" s="262"/>
      <c r="E1307" s="336" t="s">
        <v>632</v>
      </c>
    </row>
    <row r="1308" spans="1:5" ht="66">
      <c r="A1308" s="280" t="str">
        <f>IF(AND(B1308&lt;&gt;"",C1308&lt;&gt;""),MAX($A$1:A1307)+1,"")</f>
        <v/>
      </c>
      <c r="B1308" s="304"/>
      <c r="C1308" s="357"/>
      <c r="D1308" s="262"/>
      <c r="E1308" s="336" t="s">
        <v>1784</v>
      </c>
    </row>
    <row r="1309" spans="1:5" ht="82.5">
      <c r="A1309" s="280" t="str">
        <f>IF(AND(B1309&lt;&gt;"",C1309&lt;&gt;""),MAX($A$1:A1308)+1,"")</f>
        <v/>
      </c>
      <c r="B1309" s="304"/>
      <c r="C1309" s="357"/>
      <c r="D1309" s="262"/>
      <c r="E1309" s="336" t="s">
        <v>633</v>
      </c>
    </row>
    <row r="1310" spans="1:5" ht="82.5">
      <c r="A1310" s="280" t="str">
        <f>IF(AND(B1310&lt;&gt;"",C1310&lt;&gt;""),MAX($A$1:A1309)+1,"")</f>
        <v/>
      </c>
      <c r="B1310" s="304"/>
      <c r="C1310" s="357"/>
      <c r="D1310" s="262"/>
      <c r="E1310" s="336" t="s">
        <v>1819</v>
      </c>
    </row>
    <row r="1311" spans="1:5" ht="132">
      <c r="A1311" s="280">
        <f>IF(AND(B1311&lt;&gt;"",C1311&lt;&gt;""),MAX($A$1:A1310)+1,"")</f>
        <v>178</v>
      </c>
      <c r="B1311" s="261" t="s">
        <v>370</v>
      </c>
      <c r="C1311" s="276" t="s">
        <v>298</v>
      </c>
      <c r="D1311" s="263"/>
      <c r="E1311" s="247"/>
    </row>
    <row r="1312" spans="1:5" ht="66">
      <c r="A1312" s="280" t="str">
        <f>IF(AND(B1312&lt;&gt;"",C1312&lt;&gt;""),MAX($A$1:A1311)+1,"")</f>
        <v/>
      </c>
      <c r="B1312" s="304"/>
      <c r="C1312" s="357"/>
      <c r="D1312" s="262"/>
      <c r="E1312" s="336" t="s">
        <v>1642</v>
      </c>
    </row>
    <row r="1313" spans="1:5" ht="82.5">
      <c r="A1313" s="280" t="str">
        <f>IF(AND(B1313&lt;&gt;"",C1313&lt;&gt;""),MAX($A$1:A1312)+1,"")</f>
        <v/>
      </c>
      <c r="B1313" s="304"/>
      <c r="C1313" s="357"/>
      <c r="D1313" s="262"/>
      <c r="E1313" s="336" t="s">
        <v>1683</v>
      </c>
    </row>
    <row r="1314" spans="1:5" ht="66">
      <c r="A1314" s="280" t="str">
        <f>IF(AND(B1314&lt;&gt;"",C1314&lt;&gt;""),MAX($A$1:A1313)+1,"")</f>
        <v/>
      </c>
      <c r="B1314" s="304"/>
      <c r="C1314" s="357"/>
      <c r="D1314" s="262"/>
      <c r="E1314" s="336" t="s">
        <v>1717</v>
      </c>
    </row>
    <row r="1315" spans="1:5" ht="99">
      <c r="A1315" s="280" t="str">
        <f>IF(AND(B1315&lt;&gt;"",C1315&lt;&gt;""),MAX($A$1:A1314)+1,"")</f>
        <v/>
      </c>
      <c r="B1315" s="304"/>
      <c r="C1315" s="357"/>
      <c r="D1315" s="262"/>
      <c r="E1315" s="336" t="s">
        <v>1752</v>
      </c>
    </row>
    <row r="1316" spans="1:5" ht="82.5">
      <c r="A1316" s="280" t="str">
        <f>IF(AND(B1316&lt;&gt;"",C1316&lt;&gt;""),MAX($A$1:A1315)+1,"")</f>
        <v/>
      </c>
      <c r="B1316" s="304"/>
      <c r="C1316" s="357"/>
      <c r="D1316" s="262"/>
      <c r="E1316" s="336" t="s">
        <v>634</v>
      </c>
    </row>
    <row r="1317" spans="1:5" ht="66">
      <c r="A1317" s="280" t="str">
        <f>IF(AND(B1317&lt;&gt;"",C1317&lt;&gt;""),MAX($A$1:A1316)+1,"")</f>
        <v/>
      </c>
      <c r="B1317" s="304"/>
      <c r="C1317" s="357"/>
      <c r="D1317" s="262"/>
      <c r="E1317" s="336" t="s">
        <v>1785</v>
      </c>
    </row>
    <row r="1318" spans="1:5" ht="99">
      <c r="A1318" s="280" t="str">
        <f>IF(AND(B1318&lt;&gt;"",C1318&lt;&gt;""),MAX($A$1:A1317)+1,"")</f>
        <v/>
      </c>
      <c r="B1318" s="304"/>
      <c r="C1318" s="357"/>
      <c r="D1318" s="262"/>
      <c r="E1318" s="336" t="s">
        <v>635</v>
      </c>
    </row>
    <row r="1319" spans="1:5" ht="82.5">
      <c r="A1319" s="280" t="str">
        <f>IF(AND(B1319&lt;&gt;"",C1319&lt;&gt;""),MAX($A$1:A1318)+1,"")</f>
        <v/>
      </c>
      <c r="B1319" s="304"/>
      <c r="C1319" s="357"/>
      <c r="D1319" s="262"/>
      <c r="E1319" s="336" t="s">
        <v>1820</v>
      </c>
    </row>
    <row r="1320" spans="1:5" ht="115.5">
      <c r="A1320" s="280">
        <f>IF(AND(B1320&lt;&gt;"",C1320&lt;&gt;""),MAX($A$1:A1319)+1,"")</f>
        <v>179</v>
      </c>
      <c r="B1320" s="261" t="s">
        <v>371</v>
      </c>
      <c r="C1320" s="276" t="s">
        <v>298</v>
      </c>
      <c r="D1320" s="263"/>
      <c r="E1320" s="247"/>
    </row>
    <row r="1321" spans="1:5" ht="66">
      <c r="A1321" s="280" t="str">
        <f>IF(AND(B1321&lt;&gt;"",C1321&lt;&gt;""),MAX($A$1:A1320)+1,"")</f>
        <v/>
      </c>
      <c r="B1321" s="304"/>
      <c r="C1321" s="357"/>
      <c r="D1321" s="262"/>
      <c r="E1321" s="336" t="s">
        <v>1643</v>
      </c>
    </row>
    <row r="1322" spans="1:5" ht="66">
      <c r="A1322" s="280" t="str">
        <f>IF(AND(B1322&lt;&gt;"",C1322&lt;&gt;""),MAX($A$1:A1321)+1,"")</f>
        <v/>
      </c>
      <c r="B1322" s="304"/>
      <c r="C1322" s="357"/>
      <c r="D1322" s="262"/>
      <c r="E1322" s="336" t="s">
        <v>1684</v>
      </c>
    </row>
    <row r="1323" spans="1:5" ht="66">
      <c r="A1323" s="280" t="str">
        <f>IF(AND(B1323&lt;&gt;"",C1323&lt;&gt;""),MAX($A$1:A1322)+1,"")</f>
        <v/>
      </c>
      <c r="B1323" s="304"/>
      <c r="C1323" s="357"/>
      <c r="D1323" s="262"/>
      <c r="E1323" s="336" t="s">
        <v>1718</v>
      </c>
    </row>
    <row r="1324" spans="1:5" ht="82.5">
      <c r="A1324" s="280" t="str">
        <f>IF(AND(B1324&lt;&gt;"",C1324&lt;&gt;""),MAX($A$1:A1323)+1,"")</f>
        <v/>
      </c>
      <c r="B1324" s="304"/>
      <c r="C1324" s="357"/>
      <c r="D1324" s="262"/>
      <c r="E1324" s="336" t="s">
        <v>1753</v>
      </c>
    </row>
    <row r="1325" spans="1:5" ht="82.5">
      <c r="A1325" s="280" t="str">
        <f>IF(AND(B1325&lt;&gt;"",C1325&lt;&gt;""),MAX($A$1:A1324)+1,"")</f>
        <v/>
      </c>
      <c r="B1325" s="304"/>
      <c r="C1325" s="357"/>
      <c r="D1325" s="262"/>
      <c r="E1325" s="336" t="s">
        <v>636</v>
      </c>
    </row>
    <row r="1326" spans="1:5" ht="66">
      <c r="A1326" s="280" t="str">
        <f>IF(AND(B1326&lt;&gt;"",C1326&lt;&gt;""),MAX($A$1:A1325)+1,"")</f>
        <v/>
      </c>
      <c r="B1326" s="304"/>
      <c r="C1326" s="357"/>
      <c r="D1326" s="262"/>
      <c r="E1326" s="336" t="s">
        <v>1786</v>
      </c>
    </row>
    <row r="1327" spans="1:5" ht="99">
      <c r="A1327" s="280" t="str">
        <f>IF(AND(B1327&lt;&gt;"",C1327&lt;&gt;""),MAX($A$1:A1326)+1,"")</f>
        <v/>
      </c>
      <c r="B1327" s="304"/>
      <c r="C1327" s="357"/>
      <c r="D1327" s="262"/>
      <c r="E1327" s="336" t="s">
        <v>637</v>
      </c>
    </row>
    <row r="1328" spans="1:5" ht="82.5">
      <c r="A1328" s="280" t="str">
        <f>IF(AND(B1328&lt;&gt;"",C1328&lt;&gt;""),MAX($A$1:A1327)+1,"")</f>
        <v/>
      </c>
      <c r="B1328" s="304"/>
      <c r="C1328" s="357"/>
      <c r="D1328" s="262"/>
      <c r="E1328" s="336" t="s">
        <v>1821</v>
      </c>
    </row>
    <row r="1329" spans="1:5" ht="132">
      <c r="A1329" s="280">
        <f>IF(AND(B1329&lt;&gt;"",C1329&lt;&gt;""),MAX($A$1:A1328)+1,"")</f>
        <v>180</v>
      </c>
      <c r="B1329" s="261" t="s">
        <v>372</v>
      </c>
      <c r="C1329" s="276" t="s">
        <v>298</v>
      </c>
      <c r="D1329" s="263"/>
      <c r="E1329" s="247"/>
    </row>
    <row r="1330" spans="1:5" ht="66">
      <c r="A1330" s="280" t="str">
        <f>IF(AND(B1330&lt;&gt;"",C1330&lt;&gt;""),MAX($A$1:A1329)+1,"")</f>
        <v/>
      </c>
      <c r="B1330" s="304"/>
      <c r="C1330" s="357"/>
      <c r="D1330" s="262"/>
      <c r="E1330" s="336" t="s">
        <v>1644</v>
      </c>
    </row>
    <row r="1331" spans="1:5" ht="82.5">
      <c r="A1331" s="280" t="str">
        <f>IF(AND(B1331&lt;&gt;"",C1331&lt;&gt;""),MAX($A$1:A1330)+1,"")</f>
        <v/>
      </c>
      <c r="B1331" s="304"/>
      <c r="C1331" s="357"/>
      <c r="D1331" s="262"/>
      <c r="E1331" s="336" t="s">
        <v>1685</v>
      </c>
    </row>
    <row r="1332" spans="1:5" ht="66">
      <c r="A1332" s="280" t="str">
        <f>IF(AND(B1332&lt;&gt;"",C1332&lt;&gt;""),MAX($A$1:A1331)+1,"")</f>
        <v/>
      </c>
      <c r="B1332" s="304"/>
      <c r="C1332" s="357"/>
      <c r="D1332" s="262"/>
      <c r="E1332" s="336" t="s">
        <v>1719</v>
      </c>
    </row>
    <row r="1333" spans="1:5" ht="99">
      <c r="A1333" s="280" t="str">
        <f>IF(AND(B1333&lt;&gt;"",C1333&lt;&gt;""),MAX($A$1:A1332)+1,"")</f>
        <v/>
      </c>
      <c r="B1333" s="304"/>
      <c r="C1333" s="357"/>
      <c r="D1333" s="262"/>
      <c r="E1333" s="336" t="s">
        <v>1754</v>
      </c>
    </row>
    <row r="1334" spans="1:5" ht="82.5">
      <c r="A1334" s="280" t="str">
        <f>IF(AND(B1334&lt;&gt;"",C1334&lt;&gt;""),MAX($A$1:A1333)+1,"")</f>
        <v/>
      </c>
      <c r="B1334" s="304"/>
      <c r="C1334" s="357"/>
      <c r="D1334" s="262"/>
      <c r="E1334" s="336" t="s">
        <v>638</v>
      </c>
    </row>
    <row r="1335" spans="1:5" ht="66">
      <c r="A1335" s="280" t="str">
        <f>IF(AND(B1335&lt;&gt;"",C1335&lt;&gt;""),MAX($A$1:A1334)+1,"")</f>
        <v/>
      </c>
      <c r="B1335" s="304"/>
      <c r="C1335" s="357"/>
      <c r="D1335" s="262"/>
      <c r="E1335" s="336" t="s">
        <v>1787</v>
      </c>
    </row>
    <row r="1336" spans="1:5" ht="99">
      <c r="A1336" s="280" t="str">
        <f>IF(AND(B1336&lt;&gt;"",C1336&lt;&gt;""),MAX($A$1:A1335)+1,"")</f>
        <v/>
      </c>
      <c r="B1336" s="304"/>
      <c r="C1336" s="357"/>
      <c r="D1336" s="262"/>
      <c r="E1336" s="336" t="s">
        <v>639</v>
      </c>
    </row>
    <row r="1337" spans="1:5" ht="82.5">
      <c r="A1337" s="280" t="str">
        <f>IF(AND(B1337&lt;&gt;"",C1337&lt;&gt;""),MAX($A$1:A1336)+1,"")</f>
        <v/>
      </c>
      <c r="B1337" s="304"/>
      <c r="C1337" s="357"/>
      <c r="D1337" s="262"/>
      <c r="E1337" s="336" t="s">
        <v>1822</v>
      </c>
    </row>
    <row r="1338" spans="1:5" ht="99">
      <c r="A1338" s="280">
        <f>IF(AND(B1338&lt;&gt;"",C1338&lt;&gt;""),MAX($A$1:A1337)+1,"")</f>
        <v>181</v>
      </c>
      <c r="B1338" s="261" t="s">
        <v>373</v>
      </c>
      <c r="C1338" s="276" t="s">
        <v>298</v>
      </c>
      <c r="D1338" s="263"/>
      <c r="E1338" s="247"/>
    </row>
    <row r="1339" spans="1:5" ht="49.5">
      <c r="A1339" s="280" t="str">
        <f>IF(AND(B1339&lt;&gt;"",C1339&lt;&gt;""),MAX($A$1:A1338)+1,"")</f>
        <v/>
      </c>
      <c r="B1339" s="304"/>
      <c r="C1339" s="357"/>
      <c r="D1339" s="262"/>
      <c r="E1339" s="336" t="s">
        <v>1645</v>
      </c>
    </row>
    <row r="1340" spans="1:5" ht="66">
      <c r="A1340" s="280" t="str">
        <f>IF(AND(B1340&lt;&gt;"",C1340&lt;&gt;""),MAX($A$1:A1339)+1,"")</f>
        <v/>
      </c>
      <c r="B1340" s="304"/>
      <c r="C1340" s="357"/>
      <c r="D1340" s="262"/>
      <c r="E1340" s="336" t="s">
        <v>1686</v>
      </c>
    </row>
    <row r="1341" spans="1:5" ht="66">
      <c r="A1341" s="280" t="str">
        <f>IF(AND(B1341&lt;&gt;"",C1341&lt;&gt;""),MAX($A$1:A1340)+1,"")</f>
        <v/>
      </c>
      <c r="B1341" s="304"/>
      <c r="C1341" s="357"/>
      <c r="D1341" s="262"/>
      <c r="E1341" s="336" t="s">
        <v>1720</v>
      </c>
    </row>
    <row r="1342" spans="1:5" ht="82.5">
      <c r="A1342" s="280" t="str">
        <f>IF(AND(B1342&lt;&gt;"",C1342&lt;&gt;""),MAX($A$1:A1341)+1,"")</f>
        <v/>
      </c>
      <c r="B1342" s="304"/>
      <c r="C1342" s="357"/>
      <c r="D1342" s="262"/>
      <c r="E1342" s="336" t="s">
        <v>1755</v>
      </c>
    </row>
    <row r="1343" spans="1:5" ht="66">
      <c r="A1343" s="280" t="str">
        <f>IF(AND(B1343&lt;&gt;"",C1343&lt;&gt;""),MAX($A$1:A1342)+1,"")</f>
        <v/>
      </c>
      <c r="B1343" s="304"/>
      <c r="C1343" s="357"/>
      <c r="D1343" s="262"/>
      <c r="E1343" s="336" t="s">
        <v>640</v>
      </c>
    </row>
    <row r="1344" spans="1:5" ht="66">
      <c r="A1344" s="280" t="str">
        <f>IF(AND(B1344&lt;&gt;"",C1344&lt;&gt;""),MAX($A$1:A1343)+1,"")</f>
        <v/>
      </c>
      <c r="B1344" s="304"/>
      <c r="C1344" s="357"/>
      <c r="D1344" s="262"/>
      <c r="E1344" s="336" t="s">
        <v>1788</v>
      </c>
    </row>
    <row r="1345" spans="1:5" ht="82.5">
      <c r="A1345" s="280" t="str">
        <f>IF(AND(B1345&lt;&gt;"",C1345&lt;&gt;""),MAX($A$1:A1344)+1,"")</f>
        <v/>
      </c>
      <c r="B1345" s="304"/>
      <c r="C1345" s="357"/>
      <c r="D1345" s="262"/>
      <c r="E1345" s="336" t="s">
        <v>641</v>
      </c>
    </row>
    <row r="1346" spans="1:5" ht="66">
      <c r="A1346" s="280" t="str">
        <f>IF(AND(B1346&lt;&gt;"",C1346&lt;&gt;""),MAX($A$1:A1345)+1,"")</f>
        <v/>
      </c>
      <c r="B1346" s="304"/>
      <c r="C1346" s="357"/>
      <c r="D1346" s="262"/>
      <c r="E1346" s="336" t="s">
        <v>1823</v>
      </c>
    </row>
    <row r="1347" spans="1:5" ht="115.5">
      <c r="A1347" s="280">
        <f>IF(AND(B1347&lt;&gt;"",C1347&lt;&gt;""),MAX($A$1:A1346)+1,"")</f>
        <v>182</v>
      </c>
      <c r="B1347" s="261" t="s">
        <v>374</v>
      </c>
      <c r="C1347" s="276" t="s">
        <v>298</v>
      </c>
      <c r="D1347" s="263"/>
      <c r="E1347" s="247"/>
    </row>
    <row r="1348" spans="1:5" ht="49.5">
      <c r="A1348" s="280" t="str">
        <f>IF(AND(B1348&lt;&gt;"",C1348&lt;&gt;""),MAX($A$1:A1347)+1,"")</f>
        <v/>
      </c>
      <c r="B1348" s="304"/>
      <c r="C1348" s="357"/>
      <c r="D1348" s="262"/>
      <c r="E1348" s="336" t="s">
        <v>1646</v>
      </c>
    </row>
    <row r="1349" spans="1:5" ht="66">
      <c r="A1349" s="280" t="str">
        <f>IF(AND(B1349&lt;&gt;"",C1349&lt;&gt;""),MAX($A$1:A1348)+1,"")</f>
        <v/>
      </c>
      <c r="B1349" s="304"/>
      <c r="C1349" s="357"/>
      <c r="D1349" s="262"/>
      <c r="E1349" s="336" t="s">
        <v>1687</v>
      </c>
    </row>
    <row r="1350" spans="1:5" ht="66">
      <c r="A1350" s="280" t="str">
        <f>IF(AND(B1350&lt;&gt;"",C1350&lt;&gt;""),MAX($A$1:A1349)+1,"")</f>
        <v/>
      </c>
      <c r="B1350" s="304"/>
      <c r="C1350" s="357"/>
      <c r="D1350" s="262"/>
      <c r="E1350" s="336" t="s">
        <v>1721</v>
      </c>
    </row>
    <row r="1351" spans="1:5" ht="82.5">
      <c r="A1351" s="280" t="str">
        <f>IF(AND(B1351&lt;&gt;"",C1351&lt;&gt;""),MAX($A$1:A1350)+1,"")</f>
        <v/>
      </c>
      <c r="B1351" s="304"/>
      <c r="C1351" s="357"/>
      <c r="D1351" s="262"/>
      <c r="E1351" s="336" t="s">
        <v>1756</v>
      </c>
    </row>
    <row r="1352" spans="1:5" ht="82.5">
      <c r="A1352" s="280" t="str">
        <f>IF(AND(B1352&lt;&gt;"",C1352&lt;&gt;""),MAX($A$1:A1351)+1,"")</f>
        <v/>
      </c>
      <c r="B1352" s="304"/>
      <c r="C1352" s="357"/>
      <c r="D1352" s="262"/>
      <c r="E1352" s="336" t="s">
        <v>642</v>
      </c>
    </row>
    <row r="1353" spans="1:5" ht="66">
      <c r="A1353" s="280" t="str">
        <f>IF(AND(B1353&lt;&gt;"",C1353&lt;&gt;""),MAX($A$1:A1352)+1,"")</f>
        <v/>
      </c>
      <c r="B1353" s="304"/>
      <c r="C1353" s="357"/>
      <c r="D1353" s="262"/>
      <c r="E1353" s="336" t="s">
        <v>1789</v>
      </c>
    </row>
    <row r="1354" spans="1:5" ht="99">
      <c r="A1354" s="280" t="str">
        <f>IF(AND(B1354&lt;&gt;"",C1354&lt;&gt;""),MAX($A$1:A1353)+1,"")</f>
        <v/>
      </c>
      <c r="B1354" s="304"/>
      <c r="C1354" s="357"/>
      <c r="D1354" s="262"/>
      <c r="E1354" s="336" t="s">
        <v>643</v>
      </c>
    </row>
    <row r="1355" spans="1:5" ht="82.5">
      <c r="A1355" s="280" t="str">
        <f>IF(AND(B1355&lt;&gt;"",C1355&lt;&gt;""),MAX($A$1:A1354)+1,"")</f>
        <v/>
      </c>
      <c r="B1355" s="304"/>
      <c r="C1355" s="357"/>
      <c r="D1355" s="262"/>
      <c r="E1355" s="336" t="s">
        <v>1824</v>
      </c>
    </row>
    <row r="1356" spans="1:5" ht="115.5">
      <c r="A1356" s="280">
        <f>IF(AND(B1356&lt;&gt;"",C1356&lt;&gt;""),MAX($A$1:A1355)+1,"")</f>
        <v>183</v>
      </c>
      <c r="B1356" s="261" t="s">
        <v>375</v>
      </c>
      <c r="C1356" s="276" t="s">
        <v>298</v>
      </c>
      <c r="D1356" s="263"/>
      <c r="E1356" s="247"/>
    </row>
    <row r="1357" spans="1:5" ht="49.5">
      <c r="A1357" s="280" t="str">
        <f>IF(AND(B1357&lt;&gt;"",C1357&lt;&gt;""),MAX($A$1:A1356)+1,"")</f>
        <v/>
      </c>
      <c r="B1357" s="304"/>
      <c r="C1357" s="357"/>
      <c r="D1357" s="262"/>
      <c r="E1357" s="336" t="s">
        <v>1647</v>
      </c>
    </row>
    <row r="1358" spans="1:5" ht="66">
      <c r="A1358" s="280" t="str">
        <f>IF(AND(B1358&lt;&gt;"",C1358&lt;&gt;""),MAX($A$1:A1357)+1,"")</f>
        <v/>
      </c>
      <c r="B1358" s="304"/>
      <c r="C1358" s="357"/>
      <c r="D1358" s="262"/>
      <c r="E1358" s="336" t="s">
        <v>1688</v>
      </c>
    </row>
    <row r="1359" spans="1:5" ht="66">
      <c r="A1359" s="280" t="str">
        <f>IF(AND(B1359&lt;&gt;"",C1359&lt;&gt;""),MAX($A$1:A1358)+1,"")</f>
        <v/>
      </c>
      <c r="B1359" s="304"/>
      <c r="C1359" s="357"/>
      <c r="D1359" s="262"/>
      <c r="E1359" s="336" t="s">
        <v>1722</v>
      </c>
    </row>
    <row r="1360" spans="1:5" ht="82.5">
      <c r="A1360" s="280" t="str">
        <f>IF(AND(B1360&lt;&gt;"",C1360&lt;&gt;""),MAX($A$1:A1359)+1,"")</f>
        <v/>
      </c>
      <c r="B1360" s="304"/>
      <c r="C1360" s="357"/>
      <c r="D1360" s="262"/>
      <c r="E1360" s="336" t="s">
        <v>1757</v>
      </c>
    </row>
    <row r="1361" spans="1:5" ht="82.5">
      <c r="A1361" s="280" t="str">
        <f>IF(AND(B1361&lt;&gt;"",C1361&lt;&gt;""),MAX($A$1:A1360)+1,"")</f>
        <v/>
      </c>
      <c r="B1361" s="304"/>
      <c r="C1361" s="357"/>
      <c r="D1361" s="262"/>
      <c r="E1361" s="336" t="s">
        <v>644</v>
      </c>
    </row>
    <row r="1362" spans="1:5" ht="66">
      <c r="A1362" s="280" t="str">
        <f>IF(AND(B1362&lt;&gt;"",C1362&lt;&gt;""),MAX($A$1:A1361)+1,"")</f>
        <v/>
      </c>
      <c r="B1362" s="304"/>
      <c r="C1362" s="357"/>
      <c r="D1362" s="262"/>
      <c r="E1362" s="336" t="s">
        <v>1790</v>
      </c>
    </row>
    <row r="1363" spans="1:5" ht="99">
      <c r="A1363" s="280" t="str">
        <f>IF(AND(B1363&lt;&gt;"",C1363&lt;&gt;""),MAX($A$1:A1362)+1,"")</f>
        <v/>
      </c>
      <c r="B1363" s="304"/>
      <c r="C1363" s="357"/>
      <c r="D1363" s="262"/>
      <c r="E1363" s="336" t="s">
        <v>645</v>
      </c>
    </row>
    <row r="1364" spans="1:5" ht="82.5">
      <c r="A1364" s="280" t="str">
        <f>IF(AND(B1364&lt;&gt;"",C1364&lt;&gt;""),MAX($A$1:A1363)+1,"")</f>
        <v/>
      </c>
      <c r="B1364" s="304"/>
      <c r="C1364" s="357"/>
      <c r="D1364" s="262"/>
      <c r="E1364" s="336" t="s">
        <v>1825</v>
      </c>
    </row>
    <row r="1365" spans="1:5" ht="99">
      <c r="A1365" s="280">
        <f>IF(AND(B1365&lt;&gt;"",C1365&lt;&gt;""),MAX($A$1:A1364)+1,"")</f>
        <v>184</v>
      </c>
      <c r="B1365" s="261" t="s">
        <v>376</v>
      </c>
      <c r="C1365" s="276" t="s">
        <v>298</v>
      </c>
      <c r="D1365" s="263"/>
      <c r="E1365" s="247"/>
    </row>
    <row r="1366" spans="1:5" ht="49.5">
      <c r="A1366" s="280" t="str">
        <f>IF(AND(B1366&lt;&gt;"",C1366&lt;&gt;""),MAX($A$1:A1365)+1,"")</f>
        <v/>
      </c>
      <c r="B1366" s="304"/>
      <c r="C1366" s="357"/>
      <c r="D1366" s="262"/>
      <c r="E1366" s="336" t="s">
        <v>1648</v>
      </c>
    </row>
    <row r="1367" spans="1:5" ht="66">
      <c r="A1367" s="280" t="str">
        <f>IF(AND(B1367&lt;&gt;"",C1367&lt;&gt;""),MAX($A$1:A1366)+1,"")</f>
        <v/>
      </c>
      <c r="B1367" s="304"/>
      <c r="C1367" s="357"/>
      <c r="D1367" s="262"/>
      <c r="E1367" s="336" t="s">
        <v>1689</v>
      </c>
    </row>
    <row r="1368" spans="1:5" ht="66">
      <c r="A1368" s="280" t="str">
        <f>IF(AND(B1368&lt;&gt;"",C1368&lt;&gt;""),MAX($A$1:A1367)+1,"")</f>
        <v/>
      </c>
      <c r="B1368" s="304"/>
      <c r="C1368" s="357"/>
      <c r="D1368" s="262"/>
      <c r="E1368" s="336" t="s">
        <v>1723</v>
      </c>
    </row>
    <row r="1369" spans="1:5" ht="82.5">
      <c r="A1369" s="280" t="str">
        <f>IF(AND(B1369&lt;&gt;"",C1369&lt;&gt;""),MAX($A$1:A1368)+1,"")</f>
        <v/>
      </c>
      <c r="B1369" s="304"/>
      <c r="C1369" s="357"/>
      <c r="D1369" s="262"/>
      <c r="E1369" s="336" t="s">
        <v>1758</v>
      </c>
    </row>
    <row r="1370" spans="1:5" ht="66">
      <c r="A1370" s="280" t="str">
        <f>IF(AND(B1370&lt;&gt;"",C1370&lt;&gt;""),MAX($A$1:A1369)+1,"")</f>
        <v/>
      </c>
      <c r="B1370" s="304"/>
      <c r="C1370" s="357"/>
      <c r="D1370" s="262"/>
      <c r="E1370" s="336" t="s">
        <v>646</v>
      </c>
    </row>
    <row r="1371" spans="1:5" ht="66">
      <c r="A1371" s="280" t="str">
        <f>IF(AND(B1371&lt;&gt;"",C1371&lt;&gt;""),MAX($A$1:A1370)+1,"")</f>
        <v/>
      </c>
      <c r="B1371" s="304"/>
      <c r="C1371" s="357"/>
      <c r="D1371" s="262"/>
      <c r="E1371" s="336" t="s">
        <v>1791</v>
      </c>
    </row>
    <row r="1372" spans="1:5" ht="82.5">
      <c r="A1372" s="280" t="str">
        <f>IF(AND(B1372&lt;&gt;"",C1372&lt;&gt;""),MAX($A$1:A1371)+1,"")</f>
        <v/>
      </c>
      <c r="B1372" s="304"/>
      <c r="C1372" s="357"/>
      <c r="D1372" s="262"/>
      <c r="E1372" s="336" t="s">
        <v>647</v>
      </c>
    </row>
    <row r="1373" spans="1:5" ht="66">
      <c r="A1373" s="280" t="str">
        <f>IF(AND(B1373&lt;&gt;"",C1373&lt;&gt;""),MAX($A$1:A1372)+1,"")</f>
        <v/>
      </c>
      <c r="B1373" s="304"/>
      <c r="C1373" s="357"/>
      <c r="D1373" s="262"/>
      <c r="E1373" s="336" t="s">
        <v>1826</v>
      </c>
    </row>
    <row r="1374" spans="1:5" ht="66">
      <c r="A1374" s="280">
        <f>IF(AND(B1374&lt;&gt;"",C1374&lt;&gt;""),MAX($A$1:A1373)+1,"")</f>
        <v>185</v>
      </c>
      <c r="B1374" s="261" t="s">
        <v>377</v>
      </c>
      <c r="C1374" s="276" t="s">
        <v>298</v>
      </c>
      <c r="D1374" s="263"/>
      <c r="E1374" s="247"/>
    </row>
    <row r="1375" spans="1:5" ht="49.5">
      <c r="A1375" s="280" t="str">
        <f>IF(AND(B1375&lt;&gt;"",C1375&lt;&gt;""),MAX($A$1:A1374)+1,"")</f>
        <v/>
      </c>
      <c r="B1375" s="304"/>
      <c r="C1375" s="357"/>
      <c r="D1375" s="262"/>
      <c r="E1375" s="336" t="s">
        <v>1649</v>
      </c>
    </row>
    <row r="1376" spans="1:5" ht="66">
      <c r="A1376" s="280" t="str">
        <f>IF(AND(B1376&lt;&gt;"",C1376&lt;&gt;""),MAX($A$1:A1375)+1,"")</f>
        <v/>
      </c>
      <c r="B1376" s="304"/>
      <c r="C1376" s="357"/>
      <c r="D1376" s="262"/>
      <c r="E1376" s="336" t="s">
        <v>1690</v>
      </c>
    </row>
    <row r="1377" spans="1:5" ht="49.5">
      <c r="A1377" s="280" t="str">
        <f>IF(AND(B1377&lt;&gt;"",C1377&lt;&gt;""),MAX($A$1:A1376)+1,"")</f>
        <v/>
      </c>
      <c r="B1377" s="304"/>
      <c r="C1377" s="357"/>
      <c r="D1377" s="262"/>
      <c r="E1377" s="336" t="s">
        <v>1724</v>
      </c>
    </row>
    <row r="1378" spans="1:5" ht="82.5">
      <c r="A1378" s="280" t="str">
        <f>IF(AND(B1378&lt;&gt;"",C1378&lt;&gt;""),MAX($A$1:A1377)+1,"")</f>
        <v/>
      </c>
      <c r="B1378" s="304"/>
      <c r="C1378" s="357"/>
      <c r="D1378" s="262"/>
      <c r="E1378" s="336" t="s">
        <v>1759</v>
      </c>
    </row>
    <row r="1379" spans="1:5" ht="66">
      <c r="A1379" s="280" t="str">
        <f>IF(AND(B1379&lt;&gt;"",C1379&lt;&gt;""),MAX($A$1:A1378)+1,"")</f>
        <v/>
      </c>
      <c r="B1379" s="304"/>
      <c r="C1379" s="357"/>
      <c r="D1379" s="262"/>
      <c r="E1379" s="336" t="s">
        <v>648</v>
      </c>
    </row>
    <row r="1380" spans="1:5" ht="49.5">
      <c r="A1380" s="280" t="str">
        <f>IF(AND(B1380&lt;&gt;"",C1380&lt;&gt;""),MAX($A$1:A1379)+1,"")</f>
        <v/>
      </c>
      <c r="B1380" s="304"/>
      <c r="C1380" s="357"/>
      <c r="D1380" s="262"/>
      <c r="E1380" s="336" t="s">
        <v>1792</v>
      </c>
    </row>
    <row r="1381" spans="1:5" ht="82.5">
      <c r="A1381" s="280" t="str">
        <f>IF(AND(B1381&lt;&gt;"",C1381&lt;&gt;""),MAX($A$1:A1380)+1,"")</f>
        <v/>
      </c>
      <c r="B1381" s="304"/>
      <c r="C1381" s="357"/>
      <c r="D1381" s="262"/>
      <c r="E1381" s="336" t="s">
        <v>649</v>
      </c>
    </row>
    <row r="1382" spans="1:5" ht="66">
      <c r="A1382" s="280" t="str">
        <f>IF(AND(B1382&lt;&gt;"",C1382&lt;&gt;""),MAX($A$1:A1381)+1,"")</f>
        <v/>
      </c>
      <c r="B1382" s="304"/>
      <c r="C1382" s="357"/>
      <c r="D1382" s="262"/>
      <c r="E1382" s="336" t="s">
        <v>1827</v>
      </c>
    </row>
    <row r="1383" spans="1:5" ht="115.5">
      <c r="A1383" s="280">
        <f>IF(AND(B1383&lt;&gt;"",C1383&lt;&gt;""),MAX($A$1:A1382)+1,"")</f>
        <v>186</v>
      </c>
      <c r="B1383" s="261" t="s">
        <v>378</v>
      </c>
      <c r="C1383" s="276" t="s">
        <v>298</v>
      </c>
      <c r="D1383" s="263"/>
      <c r="E1383" s="247"/>
    </row>
    <row r="1384" spans="1:5" ht="66">
      <c r="A1384" s="280" t="str">
        <f>IF(AND(B1384&lt;&gt;"",C1384&lt;&gt;""),MAX($A$1:A1383)+1,"")</f>
        <v/>
      </c>
      <c r="B1384" s="304"/>
      <c r="C1384" s="357"/>
      <c r="D1384" s="262"/>
      <c r="E1384" s="336" t="s">
        <v>1650</v>
      </c>
    </row>
    <row r="1385" spans="1:5" ht="66">
      <c r="A1385" s="280" t="str">
        <f>IF(AND(B1385&lt;&gt;"",C1385&lt;&gt;""),MAX($A$1:A1384)+1,"")</f>
        <v/>
      </c>
      <c r="B1385" s="304"/>
      <c r="C1385" s="357"/>
      <c r="D1385" s="262"/>
      <c r="E1385" s="336" t="s">
        <v>1691</v>
      </c>
    </row>
    <row r="1386" spans="1:5" ht="66">
      <c r="A1386" s="280" t="str">
        <f>IF(AND(B1386&lt;&gt;"",C1386&lt;&gt;""),MAX($A$1:A1385)+1,"")</f>
        <v/>
      </c>
      <c r="B1386" s="304"/>
      <c r="C1386" s="357"/>
      <c r="D1386" s="262"/>
      <c r="E1386" s="336" t="s">
        <v>1725</v>
      </c>
    </row>
    <row r="1387" spans="1:5" ht="82.5">
      <c r="A1387" s="280" t="str">
        <f>IF(AND(B1387&lt;&gt;"",C1387&lt;&gt;""),MAX($A$1:A1386)+1,"")</f>
        <v/>
      </c>
      <c r="B1387" s="304"/>
      <c r="C1387" s="357"/>
      <c r="D1387" s="262"/>
      <c r="E1387" s="336" t="s">
        <v>1760</v>
      </c>
    </row>
    <row r="1388" spans="1:5" ht="82.5">
      <c r="A1388" s="280" t="str">
        <f>IF(AND(B1388&lt;&gt;"",C1388&lt;&gt;""),MAX($A$1:A1387)+1,"")</f>
        <v/>
      </c>
      <c r="B1388" s="304"/>
      <c r="C1388" s="357"/>
      <c r="D1388" s="262"/>
      <c r="E1388" s="336" t="s">
        <v>650</v>
      </c>
    </row>
    <row r="1389" spans="1:5" ht="66">
      <c r="A1389" s="280" t="str">
        <f>IF(AND(B1389&lt;&gt;"",C1389&lt;&gt;""),MAX($A$1:A1388)+1,"")</f>
        <v/>
      </c>
      <c r="B1389" s="304"/>
      <c r="C1389" s="357"/>
      <c r="D1389" s="262"/>
      <c r="E1389" s="336" t="s">
        <v>1793</v>
      </c>
    </row>
    <row r="1390" spans="1:5" ht="99">
      <c r="A1390" s="280" t="str">
        <f>IF(AND(B1390&lt;&gt;"",C1390&lt;&gt;""),MAX($A$1:A1389)+1,"")</f>
        <v/>
      </c>
      <c r="B1390" s="304"/>
      <c r="C1390" s="357"/>
      <c r="D1390" s="262"/>
      <c r="E1390" s="336" t="s">
        <v>651</v>
      </c>
    </row>
    <row r="1391" spans="1:5" ht="82.5">
      <c r="A1391" s="280" t="str">
        <f>IF(AND(B1391&lt;&gt;"",C1391&lt;&gt;""),MAX($A$1:A1390)+1,"")</f>
        <v/>
      </c>
      <c r="B1391" s="304"/>
      <c r="C1391" s="357"/>
      <c r="D1391" s="262"/>
      <c r="E1391" s="336" t="s">
        <v>1828</v>
      </c>
    </row>
    <row r="1392" spans="1:5" ht="115.5">
      <c r="A1392" s="280">
        <f>IF(AND(B1392&lt;&gt;"",C1392&lt;&gt;""),MAX($A$1:A1391)+1,"")</f>
        <v>187</v>
      </c>
      <c r="B1392" s="261" t="s">
        <v>379</v>
      </c>
      <c r="C1392" s="276" t="s">
        <v>298</v>
      </c>
      <c r="D1392" s="263"/>
      <c r="E1392" s="247"/>
    </row>
    <row r="1393" spans="1:5" ht="66">
      <c r="A1393" s="280" t="str">
        <f>IF(AND(B1393&lt;&gt;"",C1393&lt;&gt;""),MAX($A$1:A1392)+1,"")</f>
        <v/>
      </c>
      <c r="B1393" s="304"/>
      <c r="C1393" s="357"/>
      <c r="D1393" s="262"/>
      <c r="E1393" s="336" t="s">
        <v>1651</v>
      </c>
    </row>
    <row r="1394" spans="1:5" ht="66">
      <c r="A1394" s="280" t="str">
        <f>IF(AND(B1394&lt;&gt;"",C1394&lt;&gt;""),MAX($A$1:A1393)+1,"")</f>
        <v/>
      </c>
      <c r="B1394" s="304"/>
      <c r="C1394" s="357"/>
      <c r="D1394" s="262"/>
      <c r="E1394" s="336" t="s">
        <v>1692</v>
      </c>
    </row>
    <row r="1395" spans="1:5" ht="66">
      <c r="A1395" s="280" t="str">
        <f>IF(AND(B1395&lt;&gt;"",C1395&lt;&gt;""),MAX($A$1:A1394)+1,"")</f>
        <v/>
      </c>
      <c r="B1395" s="304"/>
      <c r="C1395" s="357"/>
      <c r="D1395" s="262"/>
      <c r="E1395" s="336" t="s">
        <v>1726</v>
      </c>
    </row>
    <row r="1396" spans="1:5" ht="82.5">
      <c r="A1396" s="280" t="str">
        <f>IF(AND(B1396&lt;&gt;"",C1396&lt;&gt;""),MAX($A$1:A1395)+1,"")</f>
        <v/>
      </c>
      <c r="B1396" s="304"/>
      <c r="C1396" s="357"/>
      <c r="D1396" s="262"/>
      <c r="E1396" s="336" t="s">
        <v>1761</v>
      </c>
    </row>
    <row r="1397" spans="1:5" ht="82.5">
      <c r="A1397" s="280" t="str">
        <f>IF(AND(B1397&lt;&gt;"",C1397&lt;&gt;""),MAX($A$1:A1396)+1,"")</f>
        <v/>
      </c>
      <c r="B1397" s="304"/>
      <c r="C1397" s="357"/>
      <c r="D1397" s="262"/>
      <c r="E1397" s="336" t="s">
        <v>652</v>
      </c>
    </row>
    <row r="1398" spans="1:5" ht="66">
      <c r="A1398" s="280" t="str">
        <f>IF(AND(B1398&lt;&gt;"",C1398&lt;&gt;""),MAX($A$1:A1397)+1,"")</f>
        <v/>
      </c>
      <c r="B1398" s="304"/>
      <c r="C1398" s="357"/>
      <c r="D1398" s="262"/>
      <c r="E1398" s="336" t="s">
        <v>1794</v>
      </c>
    </row>
    <row r="1399" spans="1:5" ht="99">
      <c r="A1399" s="280" t="str">
        <f>IF(AND(B1399&lt;&gt;"",C1399&lt;&gt;""),MAX($A$1:A1398)+1,"")</f>
        <v/>
      </c>
      <c r="B1399" s="304"/>
      <c r="C1399" s="357"/>
      <c r="D1399" s="262"/>
      <c r="E1399" s="336" t="s">
        <v>653</v>
      </c>
    </row>
    <row r="1400" spans="1:5" ht="82.5">
      <c r="A1400" s="280" t="str">
        <f>IF(AND(B1400&lt;&gt;"",C1400&lt;&gt;""),MAX($A$1:A1399)+1,"")</f>
        <v/>
      </c>
      <c r="B1400" s="304"/>
      <c r="C1400" s="357"/>
      <c r="D1400" s="262"/>
      <c r="E1400" s="336" t="s">
        <v>1829</v>
      </c>
    </row>
    <row r="1401" spans="1:5" ht="132">
      <c r="A1401" s="280">
        <f>IF(AND(B1401&lt;&gt;"",C1401&lt;&gt;""),MAX($A$1:A1400)+1,"")</f>
        <v>188</v>
      </c>
      <c r="B1401" s="261" t="s">
        <v>380</v>
      </c>
      <c r="C1401" s="276" t="s">
        <v>298</v>
      </c>
      <c r="D1401" s="263"/>
      <c r="E1401" s="247"/>
    </row>
    <row r="1402" spans="1:5" ht="66">
      <c r="A1402" s="280" t="str">
        <f>IF(AND(B1402&lt;&gt;"",C1402&lt;&gt;""),MAX($A$1:A1401)+1,"")</f>
        <v/>
      </c>
      <c r="B1402" s="304"/>
      <c r="C1402" s="357"/>
      <c r="D1402" s="262"/>
      <c r="E1402" s="336" t="s">
        <v>1652</v>
      </c>
    </row>
    <row r="1403" spans="1:5" ht="82.5">
      <c r="A1403" s="280" t="str">
        <f>IF(AND(B1403&lt;&gt;"",C1403&lt;&gt;""),MAX($A$1:A1402)+1,"")</f>
        <v/>
      </c>
      <c r="B1403" s="304"/>
      <c r="C1403" s="357"/>
      <c r="D1403" s="262"/>
      <c r="E1403" s="336" t="s">
        <v>1693</v>
      </c>
    </row>
    <row r="1404" spans="1:5" ht="66">
      <c r="A1404" s="280" t="str">
        <f>IF(AND(B1404&lt;&gt;"",C1404&lt;&gt;""),MAX($A$1:A1403)+1,"")</f>
        <v/>
      </c>
      <c r="B1404" s="304"/>
      <c r="C1404" s="357"/>
      <c r="D1404" s="262"/>
      <c r="E1404" s="336" t="s">
        <v>1727</v>
      </c>
    </row>
    <row r="1405" spans="1:5" ht="82.5">
      <c r="A1405" s="280" t="str">
        <f>IF(AND(B1405&lt;&gt;"",C1405&lt;&gt;""),MAX($A$1:A1404)+1,"")</f>
        <v/>
      </c>
      <c r="B1405" s="304"/>
      <c r="C1405" s="357"/>
      <c r="D1405" s="262"/>
      <c r="E1405" s="336" t="s">
        <v>1762</v>
      </c>
    </row>
    <row r="1406" spans="1:5" ht="82.5">
      <c r="A1406" s="280" t="str">
        <f>IF(AND(B1406&lt;&gt;"",C1406&lt;&gt;""),MAX($A$1:A1405)+1,"")</f>
        <v/>
      </c>
      <c r="B1406" s="304"/>
      <c r="C1406" s="357"/>
      <c r="D1406" s="262"/>
      <c r="E1406" s="336" t="s">
        <v>654</v>
      </c>
    </row>
    <row r="1407" spans="1:5" ht="66">
      <c r="A1407" s="280" t="str">
        <f>IF(AND(B1407&lt;&gt;"",C1407&lt;&gt;""),MAX($A$1:A1406)+1,"")</f>
        <v/>
      </c>
      <c r="B1407" s="304"/>
      <c r="C1407" s="357"/>
      <c r="D1407" s="262"/>
      <c r="E1407" s="336" t="s">
        <v>1795</v>
      </c>
    </row>
    <row r="1408" spans="1:5" ht="99">
      <c r="A1408" s="280" t="str">
        <f>IF(AND(B1408&lt;&gt;"",C1408&lt;&gt;""),MAX($A$1:A1407)+1,"")</f>
        <v/>
      </c>
      <c r="B1408" s="304"/>
      <c r="C1408" s="357"/>
      <c r="D1408" s="262"/>
      <c r="E1408" s="336" t="s">
        <v>655</v>
      </c>
    </row>
    <row r="1409" spans="1:5" ht="82.5">
      <c r="A1409" s="280" t="str">
        <f>IF(AND(B1409&lt;&gt;"",C1409&lt;&gt;""),MAX($A$1:A1408)+1,"")</f>
        <v/>
      </c>
      <c r="B1409" s="304"/>
      <c r="C1409" s="357"/>
      <c r="D1409" s="262"/>
      <c r="E1409" s="336" t="s">
        <v>1830</v>
      </c>
    </row>
    <row r="1410" spans="1:5" ht="132">
      <c r="A1410" s="280">
        <f>IF(AND(B1410&lt;&gt;"",C1410&lt;&gt;""),MAX($A$1:A1409)+1,"")</f>
        <v>189</v>
      </c>
      <c r="B1410" s="261" t="s">
        <v>381</v>
      </c>
      <c r="C1410" s="276" t="s">
        <v>298</v>
      </c>
      <c r="D1410" s="263"/>
      <c r="E1410" s="247"/>
    </row>
    <row r="1411" spans="1:5" ht="66">
      <c r="A1411" s="280" t="str">
        <f>IF(AND(B1411&lt;&gt;"",C1411&lt;&gt;""),MAX($A$1:A1410)+1,"")</f>
        <v/>
      </c>
      <c r="B1411" s="304"/>
      <c r="C1411" s="357"/>
      <c r="D1411" s="262"/>
      <c r="E1411" s="336" t="s">
        <v>1653</v>
      </c>
    </row>
    <row r="1412" spans="1:5" ht="82.5">
      <c r="A1412" s="280" t="str">
        <f>IF(AND(B1412&lt;&gt;"",C1412&lt;&gt;""),MAX($A$1:A1411)+1,"")</f>
        <v/>
      </c>
      <c r="B1412" s="304"/>
      <c r="C1412" s="357"/>
      <c r="D1412" s="262"/>
      <c r="E1412" s="336" t="s">
        <v>1694</v>
      </c>
    </row>
    <row r="1413" spans="1:5" ht="66">
      <c r="A1413" s="280" t="str">
        <f>IF(AND(B1413&lt;&gt;"",C1413&lt;&gt;""),MAX($A$1:A1412)+1,"")</f>
        <v/>
      </c>
      <c r="B1413" s="304"/>
      <c r="C1413" s="357"/>
      <c r="D1413" s="262"/>
      <c r="E1413" s="336" t="s">
        <v>1728</v>
      </c>
    </row>
    <row r="1414" spans="1:5" ht="82.5">
      <c r="A1414" s="280" t="str">
        <f>IF(AND(B1414&lt;&gt;"",C1414&lt;&gt;""),MAX($A$1:A1413)+1,"")</f>
        <v/>
      </c>
      <c r="B1414" s="304"/>
      <c r="C1414" s="357"/>
      <c r="D1414" s="262"/>
      <c r="E1414" s="336" t="s">
        <v>1763</v>
      </c>
    </row>
    <row r="1415" spans="1:5" ht="82.5">
      <c r="A1415" s="280" t="str">
        <f>IF(AND(B1415&lt;&gt;"",C1415&lt;&gt;""),MAX($A$1:A1414)+1,"")</f>
        <v/>
      </c>
      <c r="B1415" s="304"/>
      <c r="C1415" s="357"/>
      <c r="D1415" s="262"/>
      <c r="E1415" s="336" t="s">
        <v>656</v>
      </c>
    </row>
    <row r="1416" spans="1:5" ht="66">
      <c r="A1416" s="280" t="str">
        <f>IF(AND(B1416&lt;&gt;"",C1416&lt;&gt;""),MAX($A$1:A1415)+1,"")</f>
        <v/>
      </c>
      <c r="B1416" s="304"/>
      <c r="C1416" s="357"/>
      <c r="D1416" s="262"/>
      <c r="E1416" s="336" t="s">
        <v>1796</v>
      </c>
    </row>
    <row r="1417" spans="1:5" ht="99">
      <c r="A1417" s="280" t="str">
        <f>IF(AND(B1417&lt;&gt;"",C1417&lt;&gt;""),MAX($A$1:A1416)+1,"")</f>
        <v/>
      </c>
      <c r="B1417" s="304"/>
      <c r="C1417" s="357"/>
      <c r="D1417" s="262"/>
      <c r="E1417" s="336" t="s">
        <v>657</v>
      </c>
    </row>
    <row r="1418" spans="1:5" ht="82.5">
      <c r="A1418" s="280" t="str">
        <f>IF(AND(B1418&lt;&gt;"",C1418&lt;&gt;""),MAX($A$1:A1417)+1,"")</f>
        <v/>
      </c>
      <c r="B1418" s="304"/>
      <c r="C1418" s="357"/>
      <c r="D1418" s="262"/>
      <c r="E1418" s="336" t="s">
        <v>1831</v>
      </c>
    </row>
    <row r="1419" spans="1:5" ht="115.5">
      <c r="A1419" s="307">
        <f>IF(AND(B1419&lt;&gt;"",C1419&lt;&gt;""),MAX($A$5:A1417)+1,"")</f>
        <v>190</v>
      </c>
      <c r="B1419" s="317" t="s">
        <v>779</v>
      </c>
      <c r="C1419" s="317" t="s">
        <v>298</v>
      </c>
      <c r="D1419" s="237"/>
      <c r="E1419" s="237"/>
    </row>
    <row r="1420" spans="1:5" ht="66">
      <c r="A1420" s="307" t="str">
        <f>IF(AND(B1420&lt;&gt;"",C1420&lt;&gt;""),MAX($A$5:A1418)+1,"")</f>
        <v/>
      </c>
      <c r="B1420" s="317"/>
      <c r="C1420" s="275"/>
      <c r="D1420" s="232"/>
      <c r="E1420" s="336" t="s">
        <v>1654</v>
      </c>
    </row>
    <row r="1421" spans="1:5" ht="66">
      <c r="A1421" s="307" t="str">
        <f>IF(AND(B1421&lt;&gt;"",C1421&lt;&gt;""),MAX($A$5:A1420)+1,"")</f>
        <v/>
      </c>
      <c r="B1421" s="317"/>
      <c r="C1421" s="275"/>
      <c r="D1421" s="232"/>
      <c r="E1421" s="336" t="s">
        <v>1695</v>
      </c>
    </row>
    <row r="1422" spans="1:5" ht="66">
      <c r="A1422" s="307" t="str">
        <f>IF(AND(B1422&lt;&gt;"",C1422&lt;&gt;""),MAX($A$5:A1420)+1,"")</f>
        <v/>
      </c>
      <c r="B1422" s="317"/>
      <c r="C1422" s="275"/>
      <c r="D1422" s="232"/>
      <c r="E1422" s="336" t="s">
        <v>1729</v>
      </c>
    </row>
    <row r="1423" spans="1:5" ht="82.5">
      <c r="A1423" s="307" t="str">
        <f>IF(AND(B1423&lt;&gt;"",C1423&lt;&gt;""),MAX($A$5:A1421)+1,"")</f>
        <v/>
      </c>
      <c r="B1423" s="317"/>
      <c r="C1423" s="275"/>
      <c r="D1423" s="232"/>
      <c r="E1423" s="336" t="s">
        <v>1764</v>
      </c>
    </row>
    <row r="1424" spans="1:5" ht="82.5">
      <c r="A1424" s="307" t="str">
        <f>IF(AND(B1424&lt;&gt;"",C1424&lt;&gt;""),MAX($A$5:A1422)+1,"")</f>
        <v/>
      </c>
      <c r="B1424" s="317"/>
      <c r="C1424" s="275"/>
      <c r="D1424" s="232"/>
      <c r="E1424" s="336" t="s">
        <v>782</v>
      </c>
    </row>
    <row r="1425" spans="1:5" ht="66">
      <c r="A1425" s="307" t="str">
        <f>IF(AND(B1425&lt;&gt;"",C1425&lt;&gt;""),MAX($A$5:A1424)+1,"")</f>
        <v/>
      </c>
      <c r="B1425" s="317"/>
      <c r="C1425" s="275"/>
      <c r="D1425" s="318"/>
      <c r="E1425" s="336" t="s">
        <v>1797</v>
      </c>
    </row>
    <row r="1426" spans="1:5" ht="99">
      <c r="A1426" s="307" t="str">
        <f>IF(AND(B1426&lt;&gt;"",C1426&lt;&gt;""),MAX($A$5:A1424)+1,"")</f>
        <v/>
      </c>
      <c r="B1426" s="317"/>
      <c r="C1426" s="275"/>
      <c r="D1426" s="318"/>
      <c r="E1426" s="336" t="s">
        <v>783</v>
      </c>
    </row>
    <row r="1427" spans="1:5" ht="82.5">
      <c r="A1427" s="307" t="str">
        <f>IF(AND(B1427&lt;&gt;"",C1427&lt;&gt;""),MAX($A$5:A1425)+1,"")</f>
        <v/>
      </c>
      <c r="B1427" s="317"/>
      <c r="C1427" s="275"/>
      <c r="D1427" s="318"/>
      <c r="E1427" s="336" t="s">
        <v>1832</v>
      </c>
    </row>
    <row r="1428" spans="1:5" ht="148.5">
      <c r="A1428" s="307">
        <f>IF(AND(B1428&lt;&gt;"",C1428&lt;&gt;""),MAX($A$5:A1426)+1,"")</f>
        <v>191</v>
      </c>
      <c r="B1428" s="317" t="s">
        <v>780</v>
      </c>
      <c r="C1428" s="317" t="s">
        <v>298</v>
      </c>
      <c r="D1428" s="237"/>
      <c r="E1428" s="237"/>
    </row>
    <row r="1429" spans="1:5" ht="82.5">
      <c r="A1429" s="307" t="str">
        <f>IF(AND(B1429&lt;&gt;"",C1429&lt;&gt;""),MAX($A$5:A1427)+1,"")</f>
        <v/>
      </c>
      <c r="B1429" s="317"/>
      <c r="C1429" s="275"/>
      <c r="D1429" s="232"/>
      <c r="E1429" s="336" t="s">
        <v>1655</v>
      </c>
    </row>
    <row r="1430" spans="1:5" ht="82.5">
      <c r="A1430" s="307" t="str">
        <f>IF(AND(B1430&lt;&gt;"",C1430&lt;&gt;""),MAX($A$5:A1429)+1,"")</f>
        <v/>
      </c>
      <c r="B1430" s="317"/>
      <c r="C1430" s="275"/>
      <c r="D1430" s="232"/>
      <c r="E1430" s="336" t="s">
        <v>1696</v>
      </c>
    </row>
    <row r="1431" spans="1:5" ht="82.5">
      <c r="A1431" s="307" t="str">
        <f>IF(AND(B1431&lt;&gt;"",C1431&lt;&gt;""),MAX($A$5:A1429)+1,"")</f>
        <v/>
      </c>
      <c r="B1431" s="317"/>
      <c r="C1431" s="275"/>
      <c r="D1431" s="232"/>
      <c r="E1431" s="336" t="s">
        <v>1730</v>
      </c>
    </row>
    <row r="1432" spans="1:5" ht="99">
      <c r="A1432" s="307" t="str">
        <f>IF(AND(B1432&lt;&gt;"",C1432&lt;&gt;""),MAX($A$5:A1430)+1,"")</f>
        <v/>
      </c>
      <c r="B1432" s="317"/>
      <c r="C1432" s="275"/>
      <c r="D1432" s="232"/>
      <c r="E1432" s="336" t="s">
        <v>1765</v>
      </c>
    </row>
    <row r="1433" spans="1:5" ht="99">
      <c r="A1433" s="307" t="str">
        <f>IF(AND(B1433&lt;&gt;"",C1433&lt;&gt;""),MAX($A$5:A1431)+1,"")</f>
        <v/>
      </c>
      <c r="B1433" s="317"/>
      <c r="C1433" s="275"/>
      <c r="D1433" s="318"/>
      <c r="E1433" s="336" t="s">
        <v>784</v>
      </c>
    </row>
    <row r="1434" spans="1:5" ht="82.5">
      <c r="A1434" s="307" t="str">
        <f>IF(AND(B1434&lt;&gt;"",C1434&lt;&gt;""),MAX($A$5:A1433)+1,"")</f>
        <v/>
      </c>
      <c r="B1434" s="317"/>
      <c r="C1434" s="275"/>
      <c r="D1434" s="318"/>
      <c r="E1434" s="336" t="s">
        <v>1798</v>
      </c>
    </row>
    <row r="1435" spans="1:5" ht="115.5">
      <c r="A1435" s="307" t="str">
        <f>IF(AND(B1435&lt;&gt;"",C1435&lt;&gt;""),MAX($A$5:A1433)+1,"")</f>
        <v/>
      </c>
      <c r="B1435" s="317"/>
      <c r="C1435" s="275"/>
      <c r="D1435" s="318"/>
      <c r="E1435" s="336" t="s">
        <v>785</v>
      </c>
    </row>
    <row r="1436" spans="1:5" ht="99">
      <c r="A1436" s="307"/>
      <c r="B1436" s="317"/>
      <c r="C1436" s="275"/>
      <c r="D1436" s="318"/>
      <c r="E1436" s="336" t="s">
        <v>1800</v>
      </c>
    </row>
    <row r="1437" spans="1:5" ht="148.5">
      <c r="A1437" s="307">
        <f>IF(AND(B1437&lt;&gt;"",C1437&lt;&gt;""),MAX($A$5:A1434)+1,"")</f>
        <v>192</v>
      </c>
      <c r="B1437" s="317" t="s">
        <v>781</v>
      </c>
      <c r="C1437" s="317" t="s">
        <v>298</v>
      </c>
      <c r="D1437" s="237"/>
      <c r="E1437" s="225"/>
    </row>
    <row r="1438" spans="1:5" ht="66">
      <c r="A1438" s="307" t="str">
        <f>IF(AND(B1438&lt;&gt;"",C1438&lt;&gt;""),MAX($A$5:A1435)+1,"")</f>
        <v/>
      </c>
      <c r="B1438" s="317"/>
      <c r="C1438" s="275"/>
      <c r="D1438" s="232"/>
      <c r="E1438" s="336" t="s">
        <v>1656</v>
      </c>
    </row>
    <row r="1439" spans="1:5" ht="82.5">
      <c r="A1439" s="307"/>
      <c r="B1439" s="317"/>
      <c r="C1439" s="275"/>
      <c r="D1439" s="232"/>
      <c r="E1439" s="336" t="s">
        <v>1697</v>
      </c>
    </row>
    <row r="1440" spans="1:5" ht="82.5">
      <c r="A1440" s="307"/>
      <c r="B1440" s="317"/>
      <c r="C1440" s="275"/>
      <c r="D1440" s="232"/>
      <c r="E1440" s="336" t="s">
        <v>1731</v>
      </c>
    </row>
    <row r="1441" spans="1:5" ht="99">
      <c r="A1441" s="307"/>
      <c r="B1441" s="317"/>
      <c r="C1441" s="275"/>
      <c r="D1441" s="232"/>
      <c r="E1441" s="336" t="s">
        <v>1766</v>
      </c>
    </row>
    <row r="1442" spans="1:5" ht="82.5">
      <c r="A1442" s="307" t="str">
        <f>IF(AND(B1442&lt;&gt;"",C1442&lt;&gt;""),MAX($A$5:A1438)+1,"")</f>
        <v/>
      </c>
      <c r="B1442" s="317"/>
      <c r="C1442" s="275"/>
      <c r="D1442" s="232"/>
      <c r="E1442" s="336" t="s">
        <v>786</v>
      </c>
    </row>
    <row r="1443" spans="1:5" ht="82.5">
      <c r="A1443" s="307" t="str">
        <f>IF(AND(B1443&lt;&gt;"",C1443&lt;&gt;""),MAX($A$5:A1442)+1,"")</f>
        <v/>
      </c>
      <c r="B1443" s="317"/>
      <c r="C1443" s="275"/>
      <c r="D1443" s="232"/>
      <c r="E1443" s="336" t="s">
        <v>1799</v>
      </c>
    </row>
    <row r="1444" spans="1:5" ht="99">
      <c r="A1444" s="307" t="str">
        <f>IF(AND(B1444&lt;&gt;"",C1444&lt;&gt;""),MAX($A$5:A1442)+1,"")</f>
        <v/>
      </c>
      <c r="B1444" s="317"/>
      <c r="C1444" s="275"/>
      <c r="D1444" s="318"/>
      <c r="E1444" s="336" t="s">
        <v>787</v>
      </c>
    </row>
    <row r="1445" spans="1:5" ht="82.5">
      <c r="A1445" s="307" t="str">
        <f>IF(AND(B1445&lt;&gt;"",C1445&lt;&gt;""),MAX($A$5:A1443)+1,"")</f>
        <v/>
      </c>
      <c r="B1445" s="317"/>
      <c r="C1445" s="275"/>
      <c r="D1445" s="318"/>
      <c r="E1445" s="336" t="s">
        <v>1801</v>
      </c>
    </row>
    <row r="1446" spans="1:5" ht="66">
      <c r="A1446" s="315" t="s">
        <v>758</v>
      </c>
      <c r="B1446" s="300" t="s">
        <v>660</v>
      </c>
      <c r="C1446" s="273"/>
      <c r="D1446" s="273"/>
      <c r="E1446" s="273"/>
    </row>
    <row r="1447" spans="1:5" ht="82.5">
      <c r="A1447" s="310">
        <f>IF(AND(B1447&lt;&gt;"",C1447&lt;&gt;""),MAX($A$5:A1446)+1,"")</f>
        <v>193</v>
      </c>
      <c r="B1447" s="305" t="s">
        <v>661</v>
      </c>
      <c r="C1447" s="279" t="s">
        <v>383</v>
      </c>
      <c r="D1447" s="279"/>
    </row>
    <row r="1448" spans="1:5" ht="66">
      <c r="A1448" s="310" t="str">
        <f>IF(AND(B1448&lt;&gt;"",C1448&lt;&gt;""),MAX($A$5:A1446)+1,"")</f>
        <v/>
      </c>
      <c r="B1448" s="305"/>
      <c r="C1448" s="362"/>
      <c r="D1448" s="281"/>
      <c r="E1448" s="345" t="s">
        <v>760</v>
      </c>
    </row>
    <row r="1449" spans="1:5" ht="49.5">
      <c r="A1449" s="310" t="str">
        <f>IF(AND(B1449&lt;&gt;"",C1449&lt;&gt;""),MAX($A$5:A1447)+1,"")</f>
        <v/>
      </c>
      <c r="B1449" s="305"/>
      <c r="C1449" s="362"/>
      <c r="D1449" s="281"/>
      <c r="E1449" s="340" t="s">
        <v>662</v>
      </c>
    </row>
    <row r="1450" spans="1:5" ht="82.5">
      <c r="A1450" s="310">
        <f>IF(AND(B1450&lt;&gt;"",C1450&lt;&gt;""),MAX($A$5:A1449)+1,"")</f>
        <v>194</v>
      </c>
      <c r="B1450" s="308" t="s">
        <v>1138</v>
      </c>
      <c r="C1450" s="275" t="s">
        <v>711</v>
      </c>
      <c r="D1450" s="275"/>
      <c r="E1450" s="336"/>
    </row>
    <row r="1451" spans="1:5" s="274" customFormat="1" ht="99">
      <c r="A1451" s="310" t="str">
        <f>IF(AND(B1451&lt;&gt;"",C1451&lt;&gt;""),MAX($A$5:A1449)+1,"")</f>
        <v/>
      </c>
      <c r="B1451" s="247"/>
      <c r="C1451" s="275"/>
      <c r="D1451" s="275"/>
      <c r="E1451" s="336" t="s">
        <v>761</v>
      </c>
    </row>
    <row r="1452" spans="1:5" ht="99">
      <c r="A1452" s="310" t="str">
        <f>IF(AND(B1452&lt;&gt;"",C1452&lt;&gt;""),MAX($A$5:A1449)+1,"")</f>
        <v/>
      </c>
      <c r="B1452" s="308"/>
      <c r="C1452" s="275"/>
      <c r="D1452" s="275"/>
      <c r="E1452" s="336" t="s">
        <v>762</v>
      </c>
    </row>
    <row r="1453" spans="1:5" ht="82.5">
      <c r="A1453" s="310">
        <f>IF(AND(B1453&lt;&gt;"",C1453&lt;&gt;""),MAX($A$5:A1452)+1,"")</f>
        <v>195</v>
      </c>
      <c r="B1453" s="238" t="s">
        <v>1139</v>
      </c>
      <c r="C1453" s="275" t="s">
        <v>711</v>
      </c>
      <c r="D1453" s="275"/>
      <c r="E1453" s="336"/>
    </row>
    <row r="1454" spans="1:5" s="274" customFormat="1" ht="99">
      <c r="A1454" s="310" t="str">
        <f>IF(AND(B1454&lt;&gt;"",C1454&lt;&gt;""),MAX($A$5:A1452)+1,"")</f>
        <v/>
      </c>
      <c r="B1454" s="260"/>
      <c r="C1454" s="275"/>
      <c r="D1454" s="275"/>
      <c r="E1454" s="336" t="s">
        <v>763</v>
      </c>
    </row>
    <row r="1455" spans="1:5" ht="99">
      <c r="A1455" s="310" t="str">
        <f>IF(AND(B1455&lt;&gt;"",C1455&lt;&gt;""),MAX($A$5:A1452)+1,"")</f>
        <v/>
      </c>
      <c r="B1455" s="247"/>
      <c r="C1455" s="275"/>
      <c r="D1455" s="275"/>
      <c r="E1455" s="336" t="s">
        <v>764</v>
      </c>
    </row>
    <row r="1456" spans="1:5" ht="82.5">
      <c r="A1456" s="310">
        <f>IF(AND(B1456&lt;&gt;"",C1456&lt;&gt;""),MAX($A$5:A1455)+1,"")</f>
        <v>196</v>
      </c>
      <c r="B1456" s="238" t="s">
        <v>1140</v>
      </c>
      <c r="C1456" s="275" t="s">
        <v>711</v>
      </c>
      <c r="D1456" s="275"/>
      <c r="E1456" s="336"/>
    </row>
    <row r="1457" spans="1:5" ht="99">
      <c r="A1457" s="310" t="str">
        <f>IF(AND(B1457&lt;&gt;"",C1457&lt;&gt;""),MAX($A$5:A1447)+1,"")</f>
        <v/>
      </c>
      <c r="B1457" s="260"/>
      <c r="C1457" s="275"/>
      <c r="D1457" s="275"/>
      <c r="E1457" s="336" t="s">
        <v>765</v>
      </c>
    </row>
    <row r="1458" spans="1:5" ht="99">
      <c r="A1458" s="310"/>
      <c r="B1458" s="260"/>
      <c r="C1458" s="275"/>
      <c r="D1458" s="275"/>
      <c r="E1458" s="336" t="s">
        <v>766</v>
      </c>
    </row>
    <row r="1459" spans="1:5" ht="82.5">
      <c r="A1459" s="310">
        <f>IF(AND(B1459&lt;&gt;"",C1459&lt;&gt;""),MAX($A$5:A1458)+1,"")</f>
        <v>197</v>
      </c>
      <c r="B1459" s="308" t="s">
        <v>1141</v>
      </c>
      <c r="C1459" s="275" t="s">
        <v>711</v>
      </c>
      <c r="D1459" s="275"/>
      <c r="E1459" s="336"/>
    </row>
    <row r="1460" spans="1:5" ht="99">
      <c r="A1460" s="310" t="str">
        <f>IF(AND(B1460&lt;&gt;"",C1460&lt;&gt;""),MAX($A$5:A1459)+1,"")</f>
        <v/>
      </c>
      <c r="B1460" s="247"/>
      <c r="C1460" s="275"/>
      <c r="D1460" s="275"/>
      <c r="E1460" s="336" t="s">
        <v>767</v>
      </c>
    </row>
    <row r="1461" spans="1:5" ht="99">
      <c r="A1461" s="310" t="str">
        <f>IF(AND(B1461&lt;&gt;"",C1461&lt;&gt;""),MAX($A$5:A1460)+1,"")</f>
        <v/>
      </c>
      <c r="B1461" s="308"/>
      <c r="C1461" s="275"/>
      <c r="D1461" s="275"/>
      <c r="E1461" s="336" t="s">
        <v>768</v>
      </c>
    </row>
    <row r="1462" spans="1:5" s="319" customFormat="1" ht="75" outlineLevel="1">
      <c r="A1462" s="310">
        <f>IF(AND(B1462&lt;&gt;"",C1462&lt;&gt;""),MAX($A$5:A1461)+1,"")</f>
        <v>198</v>
      </c>
      <c r="B1462" s="326" t="s">
        <v>802</v>
      </c>
      <c r="C1462" s="275" t="s">
        <v>255</v>
      </c>
      <c r="D1462" s="317" t="s">
        <v>711</v>
      </c>
      <c r="E1462" s="346"/>
    </row>
    <row r="1463" spans="1:5" s="319" customFormat="1" ht="56.25" outlineLevel="1">
      <c r="A1463" s="310" t="str">
        <f>IF(AND(B1463&lt;&gt;"",C1463&lt;&gt;""),MAX($A$5:A1557)+1,"")</f>
        <v/>
      </c>
      <c r="B1463" s="320"/>
      <c r="C1463" s="363"/>
      <c r="D1463" s="321"/>
      <c r="E1463" s="346" t="s">
        <v>792</v>
      </c>
    </row>
    <row r="1464" spans="1:5" s="319" customFormat="1" ht="56.25" outlineLevel="1">
      <c r="A1464" s="310" t="str">
        <f>IF(AND(B1464&lt;&gt;"",C1464&lt;&gt;""),MAX($A$5:A1462)+1,"")</f>
        <v/>
      </c>
      <c r="B1464" s="320"/>
      <c r="C1464" s="363"/>
      <c r="D1464" s="321"/>
      <c r="E1464" s="346" t="s">
        <v>793</v>
      </c>
    </row>
    <row r="1465" spans="1:5" s="319" customFormat="1" ht="56.25" outlineLevel="1">
      <c r="A1465" s="310" t="str">
        <f>IF(AND(B1465&lt;&gt;"",C1465&lt;&gt;""),MAX($A$5:A1463)+1,"")</f>
        <v/>
      </c>
      <c r="B1465" s="320"/>
      <c r="C1465" s="363"/>
      <c r="D1465" s="321"/>
      <c r="E1465" s="346" t="s">
        <v>794</v>
      </c>
    </row>
    <row r="1466" spans="1:5" s="319" customFormat="1" ht="93.75" outlineLevel="1">
      <c r="A1466" s="310" t="str">
        <f>IF(AND(B1466&lt;&gt;"",C1466&lt;&gt;""),MAX($A$5:A1464)+1,"")</f>
        <v/>
      </c>
      <c r="B1466" s="320"/>
      <c r="C1466" s="363"/>
      <c r="D1466" s="321"/>
      <c r="E1466" s="346" t="s">
        <v>952</v>
      </c>
    </row>
    <row r="1467" spans="1:5" s="319" customFormat="1" ht="93.75" outlineLevel="1">
      <c r="A1467" s="310" t="str">
        <f>IF(AND(B1467&lt;&gt;"",C1467&lt;&gt;""),MAX($A$5:A1465)+1,"")</f>
        <v/>
      </c>
      <c r="B1467" s="322"/>
      <c r="C1467" s="364"/>
      <c r="D1467" s="323"/>
      <c r="E1467" s="347" t="s">
        <v>953</v>
      </c>
    </row>
    <row r="1468" spans="1:5" s="319" customFormat="1" ht="66" outlineLevel="1">
      <c r="A1468" s="310">
        <f>IF(AND(B1468&lt;&gt;"",C1468&lt;&gt;""),MAX($A$5:A1466)+1,"")</f>
        <v>199</v>
      </c>
      <c r="B1468" s="330" t="s">
        <v>788</v>
      </c>
      <c r="C1468" s="317" t="s">
        <v>711</v>
      </c>
      <c r="D1468" s="325"/>
      <c r="E1468" s="348"/>
    </row>
    <row r="1469" spans="1:5" s="319" customFormat="1" ht="131.25" outlineLevel="1">
      <c r="A1469" s="310" t="str">
        <f>IF(AND(B1469&lt;&gt;"",C1469&lt;&gt;""),MAX($A$5:A1467)+1,"")</f>
        <v/>
      </c>
      <c r="B1469" s="324"/>
      <c r="C1469" s="324"/>
      <c r="D1469" s="325"/>
      <c r="E1469" s="347" t="s">
        <v>1082</v>
      </c>
    </row>
    <row r="1470" spans="1:5" s="319" customFormat="1" ht="37.5" outlineLevel="1">
      <c r="A1470" s="310" t="str">
        <f>IF(AND(B1470&lt;&gt;"",C1470&lt;&gt;""),MAX($A$5:A1468)+1,"")</f>
        <v/>
      </c>
      <c r="B1470" s="324"/>
      <c r="C1470" s="324"/>
      <c r="D1470" s="325"/>
      <c r="E1470" s="347" t="s">
        <v>1083</v>
      </c>
    </row>
    <row r="1471" spans="1:5" s="319" customFormat="1" ht="93.75" outlineLevel="1">
      <c r="A1471" s="310">
        <f>IF(AND(B1471&lt;&gt;"",C1471&lt;&gt;""),MAX($A$5:A1469)+1,"")</f>
        <v>200</v>
      </c>
      <c r="B1471" s="331" t="s">
        <v>791</v>
      </c>
      <c r="C1471" s="275" t="s">
        <v>255</v>
      </c>
      <c r="D1471" s="327"/>
      <c r="E1471" s="348"/>
    </row>
    <row r="1472" spans="1:5" s="319" customFormat="1" ht="56.25" outlineLevel="1">
      <c r="A1472" s="310" t="str">
        <f>IF(AND(B1472&lt;&gt;"",C1472&lt;&gt;""),MAX($A$5:A1557)+1,"")</f>
        <v/>
      </c>
      <c r="B1472" s="320"/>
      <c r="C1472" s="363"/>
      <c r="D1472" s="321"/>
      <c r="E1472" s="349" t="s">
        <v>795</v>
      </c>
    </row>
    <row r="1473" spans="1:5" s="319" customFormat="1" ht="56.25" outlineLevel="1">
      <c r="A1473" s="310" t="str">
        <f>IF(AND(B1473&lt;&gt;"",C1473&lt;&gt;""),MAX($A$5:A1471)+1,"")</f>
        <v/>
      </c>
      <c r="B1473" s="320"/>
      <c r="C1473" s="363"/>
      <c r="D1473" s="321"/>
      <c r="E1473" s="350" t="s">
        <v>796</v>
      </c>
    </row>
    <row r="1474" spans="1:5" s="319" customFormat="1" ht="56.25" outlineLevel="1">
      <c r="A1474" s="310" t="str">
        <f>IF(AND(B1474&lt;&gt;"",C1474&lt;&gt;""),MAX($A$5:A1472)+1,"")</f>
        <v/>
      </c>
      <c r="B1474" s="320"/>
      <c r="C1474" s="363"/>
      <c r="D1474" s="321"/>
      <c r="E1474" s="350" t="s">
        <v>797</v>
      </c>
    </row>
    <row r="1475" spans="1:5" s="319" customFormat="1" ht="56.25" outlineLevel="1">
      <c r="A1475" s="310" t="str">
        <f>IF(AND(B1475&lt;&gt;"",C1475&lt;&gt;""),MAX($A$5:A1473)+1,"")</f>
        <v/>
      </c>
      <c r="B1475" s="320"/>
      <c r="C1475" s="363"/>
      <c r="D1475" s="321"/>
      <c r="E1475" s="351" t="s">
        <v>798</v>
      </c>
    </row>
    <row r="1476" spans="1:5" s="319" customFormat="1" ht="56.25" outlineLevel="1">
      <c r="A1476" s="310">
        <f>IF(AND(B1476&lt;&gt;"",C1476&lt;&gt;""),MAX($A$5:A1474)+1,"")</f>
        <v>201</v>
      </c>
      <c r="B1476" s="326" t="s">
        <v>789</v>
      </c>
      <c r="C1476" s="275" t="s">
        <v>255</v>
      </c>
      <c r="D1476" s="328"/>
      <c r="E1476" s="324"/>
    </row>
    <row r="1477" spans="1:5" s="319" customFormat="1" ht="56.25" outlineLevel="1">
      <c r="A1477" s="310" t="str">
        <f>IF(AND(B1477&lt;&gt;"",C1477&lt;&gt;""),MAX($A$5:A1475)+1,"")</f>
        <v/>
      </c>
      <c r="B1477" s="320"/>
      <c r="C1477" s="363"/>
      <c r="D1477" s="321"/>
      <c r="E1477" s="352" t="s">
        <v>799</v>
      </c>
    </row>
    <row r="1478" spans="1:5" s="319" customFormat="1" ht="93.75" outlineLevel="1">
      <c r="A1478" s="310" t="str">
        <f>IF(AND(B1478&lt;&gt;"",C1478&lt;&gt;""),MAX($A$5:A1476)+1,"")</f>
        <v/>
      </c>
      <c r="B1478" s="320"/>
      <c r="C1478" s="363"/>
      <c r="D1478" s="321"/>
      <c r="E1478" s="346" t="s">
        <v>800</v>
      </c>
    </row>
    <row r="1479" spans="1:5" s="319" customFormat="1" ht="56.25" outlineLevel="1">
      <c r="A1479" s="310" t="str">
        <f>IF(AND(B1479&lt;&gt;"",C1479&lt;&gt;""),MAX($A$5:A1477)+1,"")</f>
        <v/>
      </c>
      <c r="B1479" s="320"/>
      <c r="C1479" s="363"/>
      <c r="D1479" s="321"/>
      <c r="E1479" s="346" t="s">
        <v>801</v>
      </c>
    </row>
    <row r="1480" spans="1:5" s="319" customFormat="1" ht="75" outlineLevel="1">
      <c r="A1480" s="310" t="str">
        <f>IF(AND(B1480&lt;&gt;"",C1480&lt;&gt;""),MAX($A$5:A1478)+1,"")</f>
        <v/>
      </c>
      <c r="B1480" s="320"/>
      <c r="C1480" s="363"/>
      <c r="D1480" s="321"/>
      <c r="E1480" s="347" t="s">
        <v>954</v>
      </c>
    </row>
    <row r="1481" spans="1:5" s="319" customFormat="1" ht="214.5" outlineLevel="1">
      <c r="A1481" s="310">
        <f>IF(AND(B1481&lt;&gt;"",C1481&lt;&gt;""),MAX($A$5:A1479)+1,"")</f>
        <v>202</v>
      </c>
      <c r="B1481" s="326" t="s">
        <v>790</v>
      </c>
      <c r="C1481" s="357" t="s">
        <v>971</v>
      </c>
      <c r="D1481" s="329" t="s">
        <v>711</v>
      </c>
      <c r="E1481" s="325"/>
    </row>
    <row r="1482" spans="1:5" s="319" customFormat="1" ht="112.5" outlineLevel="1">
      <c r="A1482" s="310" t="str">
        <f>IF(AND(B1482&lt;&gt;"",C1482&lt;&gt;""),MAX($A$5:A1480)+1,"")</f>
        <v/>
      </c>
      <c r="B1482" s="320"/>
      <c r="C1482" s="365"/>
      <c r="D1482" s="321"/>
      <c r="E1482" s="352" t="s">
        <v>996</v>
      </c>
    </row>
    <row r="1483" spans="1:5" s="319" customFormat="1" ht="131.25" outlineLevel="1">
      <c r="A1483" s="310" t="str">
        <f>IF(AND(B1483&lt;&gt;"",C1483&lt;&gt;""),MAX($A$5:A1481)+1,"")</f>
        <v/>
      </c>
      <c r="B1483" s="320"/>
      <c r="C1483" s="363"/>
      <c r="D1483" s="321"/>
      <c r="E1483" s="346" t="s">
        <v>997</v>
      </c>
    </row>
    <row r="1484" spans="1:5" ht="66">
      <c r="A1484" s="310">
        <f>IF(AND(B1484&lt;&gt;"",C1484&lt;&gt;""),MAX($A$5:A1482)+1,"")</f>
        <v>203</v>
      </c>
      <c r="B1484" s="308" t="s">
        <v>745</v>
      </c>
      <c r="C1484" s="275" t="s">
        <v>711</v>
      </c>
      <c r="D1484" s="237"/>
      <c r="E1484" s="309"/>
    </row>
    <row r="1485" spans="1:5" ht="82.5">
      <c r="A1485" s="310" t="str">
        <f>IF(AND(B1485&lt;&gt;"",C1485&lt;&gt;""),MAX($A$5:A1484)+1,"")</f>
        <v/>
      </c>
      <c r="B1485" s="275"/>
      <c r="C1485" s="275"/>
      <c r="D1485" s="275"/>
      <c r="E1485" s="309" t="s">
        <v>746</v>
      </c>
    </row>
    <row r="1486" spans="1:5" ht="99">
      <c r="A1486" s="310" t="str">
        <f>IF(AND(B1486&lt;&gt;"",C1486&lt;&gt;""),MAX($A$5:A1485)+1,"")</f>
        <v/>
      </c>
      <c r="B1486" s="308"/>
      <c r="C1486" s="275"/>
      <c r="D1486" s="275"/>
      <c r="E1486" s="309" t="s">
        <v>747</v>
      </c>
    </row>
    <row r="1487" spans="1:5" ht="66">
      <c r="A1487" s="307">
        <f>IF(AND(B1484&lt;&gt;"",C1484&lt;&gt;""),MAX($A$5:A1484)+1,"")</f>
        <v>204</v>
      </c>
      <c r="B1487" s="308" t="s">
        <v>748</v>
      </c>
      <c r="C1487" s="275" t="s">
        <v>711</v>
      </c>
      <c r="D1487" s="237"/>
      <c r="E1487" s="309"/>
    </row>
    <row r="1488" spans="1:5" ht="82.5">
      <c r="A1488" s="307" t="str">
        <f>IF(AND(B1485&lt;&gt;"",C1485&lt;&gt;""),MAX($A$5:A1485)+1,"")</f>
        <v/>
      </c>
      <c r="B1488" s="275"/>
      <c r="C1488" s="275"/>
      <c r="D1488" s="275"/>
      <c r="E1488" s="309" t="s">
        <v>749</v>
      </c>
    </row>
    <row r="1489" spans="1:5" ht="99">
      <c r="A1489" s="307" t="str">
        <f>IF(AND(B1486&lt;&gt;"",C1486&lt;&gt;""),MAX($A$5:A1486)+1,"")</f>
        <v/>
      </c>
      <c r="B1489" s="308"/>
      <c r="C1489" s="275"/>
      <c r="D1489" s="275"/>
      <c r="E1489" s="309" t="s">
        <v>750</v>
      </c>
    </row>
    <row r="1490" spans="1:5" ht="66">
      <c r="A1490" s="307">
        <f>IF(AND(B1487&lt;&gt;"",C1487&lt;&gt;""),MAX($A$5:A1487)+1,"")</f>
        <v>205</v>
      </c>
      <c r="B1490" s="275" t="s">
        <v>769</v>
      </c>
      <c r="C1490" s="317" t="s">
        <v>711</v>
      </c>
      <c r="D1490" s="317"/>
      <c r="E1490" s="309"/>
    </row>
    <row r="1491" spans="1:5" ht="82.5">
      <c r="A1491" s="307" t="str">
        <f>IF(AND(B1485&lt;&gt;"",C1485&lt;&gt;""),MAX($A$5:A1485)+1,"")</f>
        <v/>
      </c>
      <c r="B1491" s="308"/>
      <c r="C1491" s="275"/>
      <c r="D1491" s="275"/>
      <c r="E1491" s="309" t="s">
        <v>770</v>
      </c>
    </row>
    <row r="1492" spans="1:5" ht="99">
      <c r="A1492" s="307" t="str">
        <f>IF(AND(B1486&lt;&gt;"",C1486&lt;&gt;""),MAX($A$5:A1486)+1,"")</f>
        <v/>
      </c>
      <c r="B1492" s="308"/>
      <c r="C1492" s="275"/>
      <c r="D1492" s="275"/>
      <c r="E1492" s="309" t="s">
        <v>771</v>
      </c>
    </row>
    <row r="1493" spans="1:5" ht="66">
      <c r="A1493" s="315" t="s">
        <v>759</v>
      </c>
      <c r="B1493" s="300" t="s">
        <v>663</v>
      </c>
      <c r="C1493" s="273"/>
      <c r="D1493" s="273"/>
      <c r="E1493" s="273"/>
    </row>
    <row r="1494" spans="1:5" ht="33">
      <c r="A1494" s="294" t="s">
        <v>956</v>
      </c>
      <c r="B1494" s="306" t="s">
        <v>664</v>
      </c>
      <c r="C1494" s="366"/>
      <c r="D1494" s="283"/>
      <c r="E1494" s="283"/>
    </row>
    <row r="1495" spans="1:5" ht="49.5">
      <c r="A1495" s="280">
        <f>IF(AND(B1495&lt;&gt;"",C1495&lt;&gt;""),MAX($A$1:A1494)+1,"")</f>
        <v>206</v>
      </c>
      <c r="B1495" s="284" t="s">
        <v>666</v>
      </c>
      <c r="C1495" s="357" t="s">
        <v>255</v>
      </c>
      <c r="D1495" s="282"/>
      <c r="E1495" s="147"/>
    </row>
    <row r="1496" spans="1:5" ht="49.5">
      <c r="A1496" s="280" t="str">
        <f>IF(AND(B1496&lt;&gt;"",C1496&lt;&gt;""),MAX($A$1:A1495)+1,"")</f>
        <v/>
      </c>
      <c r="B1496" s="284"/>
      <c r="C1496" s="357"/>
      <c r="D1496" s="282"/>
      <c r="E1496" s="147" t="s">
        <v>667</v>
      </c>
    </row>
    <row r="1497" spans="1:5" ht="66">
      <c r="A1497" s="280" t="str">
        <f>IF(AND(B1497&lt;&gt;"",C1497&lt;&gt;""),MAX($A$1:A1496)+1,"")</f>
        <v/>
      </c>
      <c r="B1497" s="284"/>
      <c r="C1497" s="261"/>
      <c r="D1497" s="284"/>
      <c r="E1497" s="147" t="s">
        <v>668</v>
      </c>
    </row>
    <row r="1498" spans="1:5" ht="49.5">
      <c r="A1498" s="280" t="str">
        <f>IF(AND(B1498&lt;&gt;"",C1498&lt;&gt;""),MAX($A$1:A1497)+1,"")</f>
        <v/>
      </c>
      <c r="B1498" s="284"/>
      <c r="C1498" s="357"/>
      <c r="D1498" s="282"/>
      <c r="E1498" s="147" t="s">
        <v>669</v>
      </c>
    </row>
    <row r="1499" spans="1:5" ht="49.5">
      <c r="A1499" s="280" t="str">
        <f>IF(AND(B1499&lt;&gt;"",C1499&lt;&gt;""),MAX($A$1:A1498)+1,"")</f>
        <v/>
      </c>
      <c r="B1499" s="284"/>
      <c r="C1499" s="357"/>
      <c r="D1499" s="282"/>
      <c r="E1499" s="147" t="s">
        <v>670</v>
      </c>
    </row>
    <row r="1500" spans="1:5" ht="49.5">
      <c r="A1500" s="280" t="str">
        <f>IF(AND(B1500&lt;&gt;"",C1500&lt;&gt;""),MAX($A$1:A1499)+1,"")</f>
        <v/>
      </c>
      <c r="B1500" s="284"/>
      <c r="C1500" s="357"/>
      <c r="D1500" s="282"/>
      <c r="E1500" s="147" t="s">
        <v>671</v>
      </c>
    </row>
    <row r="1501" spans="1:5" ht="66">
      <c r="A1501" s="280" t="str">
        <f>IF(AND(B1501&lt;&gt;"",C1501&lt;&gt;""),MAX($A$1:A1500)+1,"")</f>
        <v/>
      </c>
      <c r="B1501" s="284"/>
      <c r="C1501" s="357"/>
      <c r="D1501" s="282"/>
      <c r="E1501" s="147" t="s">
        <v>672</v>
      </c>
    </row>
    <row r="1502" spans="1:5" ht="66">
      <c r="A1502" s="280" t="str">
        <f>IF(AND(B1502&lt;&gt;"",C1502&lt;&gt;""),MAX($A$1:A1501)+1,"")</f>
        <v/>
      </c>
      <c r="B1502" s="284"/>
      <c r="C1502" s="357"/>
      <c r="D1502" s="282"/>
      <c r="E1502" s="147" t="s">
        <v>673</v>
      </c>
    </row>
    <row r="1503" spans="1:5" ht="66">
      <c r="A1503" s="280" t="str">
        <f>IF(AND(B1503&lt;&gt;"",C1503&lt;&gt;""),MAX($A$1:A1502)+1,"")</f>
        <v/>
      </c>
      <c r="B1503" s="284"/>
      <c r="C1503" s="261"/>
      <c r="D1503" s="284"/>
      <c r="E1503" s="147" t="s">
        <v>674</v>
      </c>
    </row>
    <row r="1504" spans="1:5" ht="49.5">
      <c r="A1504" s="280">
        <f>IF(AND(B1504&lt;&gt;"",C1504&lt;&gt;""),MAX($A$1:A1503)+1,"")</f>
        <v>207</v>
      </c>
      <c r="B1504" s="284" t="s">
        <v>675</v>
      </c>
      <c r="C1504" s="357" t="s">
        <v>255</v>
      </c>
      <c r="D1504" s="282"/>
      <c r="E1504" s="147"/>
    </row>
    <row r="1505" spans="1:5" ht="33">
      <c r="A1505" s="280" t="str">
        <f>IF(AND(B1505&lt;&gt;"",C1505&lt;&gt;""),MAX($A$1:A1504)+1,"")</f>
        <v/>
      </c>
      <c r="B1505" s="284"/>
      <c r="C1505" s="357"/>
      <c r="D1505" s="282"/>
      <c r="E1505" s="147" t="s">
        <v>676</v>
      </c>
    </row>
    <row r="1506" spans="1:5" ht="66">
      <c r="A1506" s="280" t="str">
        <f>IF(AND(B1506&lt;&gt;"",C1506&lt;&gt;""),MAX($A$1:A1505)+1,"")</f>
        <v/>
      </c>
      <c r="B1506" s="284"/>
      <c r="C1506" s="357"/>
      <c r="D1506" s="282"/>
      <c r="E1506" s="147" t="s">
        <v>677</v>
      </c>
    </row>
    <row r="1507" spans="1:5" ht="66">
      <c r="A1507" s="280" t="str">
        <f>IF(AND(B1507&lt;&gt;"",C1507&lt;&gt;""),MAX($A$1:A1506)+1,"")</f>
        <v/>
      </c>
      <c r="B1507" s="284"/>
      <c r="C1507" s="357"/>
      <c r="D1507" s="282"/>
      <c r="E1507" s="147" t="s">
        <v>678</v>
      </c>
    </row>
    <row r="1508" spans="1:5" ht="214.5">
      <c r="A1508" s="280">
        <f>IF(AND(B1508&lt;&gt;"",C1508&lt;&gt;""),MAX($A$1:A1507)+1,"")</f>
        <v>208</v>
      </c>
      <c r="B1508" s="284" t="s">
        <v>1142</v>
      </c>
      <c r="C1508" s="261" t="s">
        <v>971</v>
      </c>
      <c r="D1508" s="282"/>
      <c r="E1508" s="147"/>
    </row>
    <row r="1509" spans="1:5" ht="66">
      <c r="A1509" s="280" t="str">
        <f>IF(AND(B1509&lt;&gt;"",C1509&lt;&gt;""),MAX($A$1:A1508)+1,"")</f>
        <v/>
      </c>
      <c r="B1509" s="284"/>
      <c r="C1509" s="357"/>
      <c r="D1509" s="282"/>
      <c r="E1509" s="147" t="s">
        <v>998</v>
      </c>
    </row>
    <row r="1510" spans="1:5" ht="82.5">
      <c r="A1510" s="280" t="str">
        <f>IF(AND(B1510&lt;&gt;"",C1510&lt;&gt;""),MAX($A$1:A1509)+1,"")</f>
        <v/>
      </c>
      <c r="B1510" s="284"/>
      <c r="C1510" s="261"/>
      <c r="D1510" s="284"/>
      <c r="E1510" s="338" t="s">
        <v>999</v>
      </c>
    </row>
    <row r="1511" spans="1:5" ht="82.5">
      <c r="A1511" s="280" t="str">
        <f>IF(AND(B1511&lt;&gt;"",C1511&lt;&gt;""),MAX($A$1:A1510)+1,"")</f>
        <v/>
      </c>
      <c r="B1511" s="284"/>
      <c r="C1511" s="261"/>
      <c r="D1511" s="284"/>
      <c r="E1511" s="338" t="s">
        <v>1000</v>
      </c>
    </row>
    <row r="1512" spans="1:5" ht="214.5">
      <c r="A1512" s="280">
        <f>IF(AND(B1512&lt;&gt;"",C1512&lt;&gt;""),MAX($A$1:A1511)+1,"")</f>
        <v>209</v>
      </c>
      <c r="B1512" s="284" t="s">
        <v>681</v>
      </c>
      <c r="C1512" s="261" t="s">
        <v>971</v>
      </c>
      <c r="D1512" s="282"/>
      <c r="E1512" s="147"/>
    </row>
    <row r="1513" spans="1:5" ht="66">
      <c r="A1513" s="280" t="str">
        <f>IF(AND(B1513&lt;&gt;"",C1513&lt;&gt;""),MAX($A$1:A1512)+1,"")</f>
        <v/>
      </c>
      <c r="B1513" s="284"/>
      <c r="C1513" s="261"/>
      <c r="D1513" s="284"/>
      <c r="E1513" s="147" t="s">
        <v>1001</v>
      </c>
    </row>
    <row r="1514" spans="1:5" ht="115.5">
      <c r="A1514" s="280" t="str">
        <f>IF(AND(B1514&lt;&gt;"",C1514&lt;&gt;""),MAX($A$1:A1513)+1,"")</f>
        <v/>
      </c>
      <c r="B1514" s="284"/>
      <c r="C1514" s="261"/>
      <c r="D1514" s="284"/>
      <c r="E1514" s="147" t="s">
        <v>1002</v>
      </c>
    </row>
    <row r="1515" spans="1:5" ht="99">
      <c r="A1515" s="280" t="str">
        <f>IF(AND(B1515&lt;&gt;"",C1515&lt;&gt;""),MAX($A$1:A1514)+1,"")</f>
        <v/>
      </c>
      <c r="B1515" s="284"/>
      <c r="C1515" s="261"/>
      <c r="D1515" s="284"/>
      <c r="E1515" s="147" t="s">
        <v>1003</v>
      </c>
    </row>
    <row r="1516" spans="1:5" ht="115.5">
      <c r="A1516" s="280" t="str">
        <f>IF(AND(B1516&lt;&gt;"",C1516&lt;&gt;""),MAX($A$1:A1515)+1,"")</f>
        <v/>
      </c>
      <c r="B1516" s="284"/>
      <c r="C1516" s="261"/>
      <c r="D1516" s="284"/>
      <c r="E1516" s="147" t="s">
        <v>1004</v>
      </c>
    </row>
    <row r="1517" spans="1:5" ht="99">
      <c r="A1517" s="280" t="str">
        <f>IF(AND(B1517&lt;&gt;"",C1517&lt;&gt;""),MAX($A$1:A1516)+1,"")</f>
        <v/>
      </c>
      <c r="B1517" s="284"/>
      <c r="C1517" s="261"/>
      <c r="D1517" s="284"/>
      <c r="E1517" s="147" t="s">
        <v>1005</v>
      </c>
    </row>
    <row r="1518" spans="1:5" ht="115.5">
      <c r="A1518" s="280" t="str">
        <f>IF(AND(B1518&lt;&gt;"",C1518&lt;&gt;""),MAX($A$1:A1517)+1,"")</f>
        <v/>
      </c>
      <c r="B1518" s="284"/>
      <c r="C1518" s="261"/>
      <c r="D1518" s="284"/>
      <c r="E1518" s="147" t="s">
        <v>1006</v>
      </c>
    </row>
    <row r="1519" spans="1:5" ht="214.5">
      <c r="A1519" s="280">
        <f>IF(AND(B1519&lt;&gt;"",C1519&lt;&gt;""),MAX($A$1:A1518)+1,"")</f>
        <v>210</v>
      </c>
      <c r="B1519" s="285" t="s">
        <v>682</v>
      </c>
      <c r="C1519" s="261" t="s">
        <v>971</v>
      </c>
      <c r="D1519" s="246"/>
      <c r="E1519" s="147"/>
    </row>
    <row r="1520" spans="1:5" ht="66">
      <c r="A1520" s="280" t="str">
        <f>IF(AND(B1520&lt;&gt;"",C1520&lt;&gt;""),MAX($A$1:A1519)+1,"")</f>
        <v/>
      </c>
      <c r="B1520" s="285"/>
      <c r="C1520" s="247"/>
      <c r="D1520" s="246"/>
      <c r="E1520" s="147" t="s">
        <v>1007</v>
      </c>
    </row>
    <row r="1521" spans="1:5" ht="66">
      <c r="A1521" s="280"/>
      <c r="B1521" s="285"/>
      <c r="C1521" s="247"/>
      <c r="D1521" s="246"/>
      <c r="E1521" s="147" t="s">
        <v>1008</v>
      </c>
    </row>
    <row r="1522" spans="1:5">
      <c r="A1522" s="294" t="s">
        <v>957</v>
      </c>
      <c r="B1522" s="306" t="s">
        <v>683</v>
      </c>
      <c r="C1522" s="366"/>
      <c r="D1522" s="283"/>
      <c r="E1522" s="283"/>
    </row>
    <row r="1523" spans="1:5" ht="33">
      <c r="A1523" s="280">
        <f>IF(AND(B1523&lt;&gt;"",C1523&lt;&gt;""),MAX($A$1:A1522)+1,"")</f>
        <v>211</v>
      </c>
      <c r="B1523" s="261" t="s">
        <v>684</v>
      </c>
      <c r="C1523" s="357" t="s">
        <v>255</v>
      </c>
      <c r="D1523" s="265"/>
      <c r="E1523" s="339"/>
    </row>
    <row r="1524" spans="1:5" ht="33">
      <c r="A1524" s="280" t="str">
        <f>IF(AND(B1524&lt;&gt;"",C1524&lt;&gt;""),MAX($A$1:A1523)+1,"")</f>
        <v/>
      </c>
      <c r="B1524" s="261"/>
      <c r="C1524" s="261"/>
      <c r="D1524" s="265"/>
      <c r="E1524" s="353" t="s">
        <v>685</v>
      </c>
    </row>
    <row r="1525" spans="1:5" ht="49.5">
      <c r="A1525" s="280" t="str">
        <f>IF(AND(B1525&lt;&gt;"",C1525&lt;&gt;""),MAX($A$1:A1524)+1,"")</f>
        <v/>
      </c>
      <c r="B1525" s="286"/>
      <c r="C1525" s="367"/>
      <c r="D1525" s="287"/>
      <c r="E1525" s="353" t="s">
        <v>686</v>
      </c>
    </row>
    <row r="1526" spans="1:5" ht="49.5">
      <c r="A1526" s="280" t="str">
        <f>IF(AND(B1526&lt;&gt;"",C1526&lt;&gt;""),MAX($A$1:A1525)+1,"")</f>
        <v/>
      </c>
      <c r="B1526" s="286"/>
      <c r="C1526" s="367"/>
      <c r="D1526" s="287"/>
      <c r="E1526" s="353" t="s">
        <v>687</v>
      </c>
    </row>
    <row r="1527" spans="1:5" ht="49.5">
      <c r="A1527" s="280" t="str">
        <f>IF(AND(B1527&lt;&gt;"",C1527&lt;&gt;""),MAX($A$1:A1526)+1,"")</f>
        <v/>
      </c>
      <c r="B1527" s="286"/>
      <c r="C1527" s="367"/>
      <c r="D1527" s="287"/>
      <c r="E1527" s="353" t="s">
        <v>688</v>
      </c>
    </row>
    <row r="1528" spans="1:5" ht="33">
      <c r="A1528" s="280" t="str">
        <f>IF(AND(B1528&lt;&gt;"",C1528&lt;&gt;""),MAX($A$1:A1527)+1,"")</f>
        <v/>
      </c>
      <c r="B1528" s="286"/>
      <c r="C1528" s="367"/>
      <c r="D1528" s="287"/>
      <c r="E1528" s="353" t="s">
        <v>689</v>
      </c>
    </row>
    <row r="1529" spans="1:5" ht="49.5">
      <c r="A1529" s="280" t="str">
        <f>IF(AND(B1529&lt;&gt;"",C1529&lt;&gt;""),MAX($A$1:A1528)+1,"")</f>
        <v/>
      </c>
      <c r="B1529" s="261"/>
      <c r="C1529" s="261"/>
      <c r="D1529" s="265"/>
      <c r="E1529" s="353" t="s">
        <v>690</v>
      </c>
    </row>
    <row r="1530" spans="1:5" ht="49.5">
      <c r="A1530" s="280" t="str">
        <f>IF(AND(B1530&lt;&gt;"",C1530&lt;&gt;""),MAX($A$1:A1529)+1,"")</f>
        <v/>
      </c>
      <c r="B1530" s="286"/>
      <c r="C1530" s="367"/>
      <c r="D1530" s="287"/>
      <c r="E1530" s="353" t="s">
        <v>691</v>
      </c>
    </row>
    <row r="1531" spans="1:5" ht="49.5">
      <c r="A1531" s="280" t="str">
        <f>IF(AND(B1531&lt;&gt;"",C1531&lt;&gt;""),MAX($A$1:A1530)+1,"")</f>
        <v/>
      </c>
      <c r="B1531" s="286"/>
      <c r="C1531" s="367"/>
      <c r="D1531" s="287"/>
      <c r="E1531" s="353" t="s">
        <v>692</v>
      </c>
    </row>
    <row r="1532" spans="1:5" ht="33">
      <c r="A1532" s="310">
        <f>IF(AND(B1532&lt;&gt;"",C1532&lt;&gt;""),MAX($A$5:A1530)+1,"")</f>
        <v>212</v>
      </c>
      <c r="B1532" s="311" t="s">
        <v>751</v>
      </c>
      <c r="C1532" s="275" t="s">
        <v>255</v>
      </c>
      <c r="D1532" s="312"/>
      <c r="E1532" s="353"/>
    </row>
    <row r="1533" spans="1:5" ht="33">
      <c r="A1533" s="310" t="str">
        <f>IF(AND(B1533&lt;&gt;"",C1533&lt;&gt;""),MAX($A$5:A1531)+1,"")</f>
        <v/>
      </c>
      <c r="B1533" s="313"/>
      <c r="C1533" s="368"/>
      <c r="D1533" s="312"/>
      <c r="E1533" s="353" t="s">
        <v>752</v>
      </c>
    </row>
    <row r="1534" spans="1:5" ht="33">
      <c r="A1534" s="310" t="str">
        <f>IF(AND(B1534&lt;&gt;"",C1534&lt;&gt;""),MAX($A$5:A1532)+1,"")</f>
        <v/>
      </c>
      <c r="B1534" s="309"/>
      <c r="C1534" s="336"/>
      <c r="D1534" s="234"/>
      <c r="E1534" s="353" t="s">
        <v>753</v>
      </c>
    </row>
    <row r="1535" spans="1:5" ht="33">
      <c r="A1535" s="310" t="str">
        <f>IF(AND(B1535&lt;&gt;"",C1535&lt;&gt;""),MAX($A$5:A1533)+1,"")</f>
        <v/>
      </c>
      <c r="B1535" s="313"/>
      <c r="C1535" s="368"/>
      <c r="D1535" s="312"/>
      <c r="E1535" s="353" t="s">
        <v>754</v>
      </c>
    </row>
    <row r="1536" spans="1:5" ht="33">
      <c r="A1536" s="310" t="str">
        <f>IF(AND(B1536&lt;&gt;"",C1536&lt;&gt;""),MAX($A$5:A1534)+1,"")</f>
        <v/>
      </c>
      <c r="B1536" s="309"/>
      <c r="C1536" s="336"/>
      <c r="D1536" s="234"/>
      <c r="E1536" s="353" t="s">
        <v>755</v>
      </c>
    </row>
    <row r="1537" spans="1:5" ht="33">
      <c r="A1537" s="310" t="str">
        <f>IF(AND(B1537&lt;&gt;"",C1537&lt;&gt;""),MAX($A$5:A1535)+1,"")</f>
        <v/>
      </c>
      <c r="B1537" s="309"/>
      <c r="C1537" s="336"/>
      <c r="D1537" s="234"/>
      <c r="E1537" s="353" t="s">
        <v>774</v>
      </c>
    </row>
    <row r="1538" spans="1:5" ht="33">
      <c r="A1538" s="310">
        <f>IF(AND(B1538&lt;&gt;"",C1538&lt;&gt;""),MAX($A$5:A1536)+1,"")</f>
        <v>213</v>
      </c>
      <c r="B1538" s="261" t="s">
        <v>693</v>
      </c>
      <c r="C1538" s="357" t="s">
        <v>255</v>
      </c>
      <c r="D1538" s="265"/>
      <c r="E1538" s="234"/>
    </row>
    <row r="1539" spans="1:5" ht="33">
      <c r="A1539" s="280" t="str">
        <f>IF(AND(B1539&lt;&gt;"",C1539&lt;&gt;""),MAX($A$1:A1538)+1,"")</f>
        <v/>
      </c>
      <c r="B1539" s="261"/>
      <c r="C1539" s="261"/>
      <c r="D1539" s="265"/>
      <c r="E1539" s="353" t="s">
        <v>694</v>
      </c>
    </row>
    <row r="1540" spans="1:5" ht="33">
      <c r="A1540" s="280" t="str">
        <f>IF(AND(B1540&lt;&gt;"",C1540&lt;&gt;""),MAX($A$1:A1539)+1,"")</f>
        <v/>
      </c>
      <c r="B1540" s="286"/>
      <c r="C1540" s="367"/>
      <c r="D1540" s="287"/>
      <c r="E1540" s="353" t="s">
        <v>695</v>
      </c>
    </row>
    <row r="1541" spans="1:5" ht="33">
      <c r="A1541" s="280" t="str">
        <f>IF(AND(B1541&lt;&gt;"",C1541&lt;&gt;""),MAX($A$1:A1540)+1,"")</f>
        <v/>
      </c>
      <c r="B1541" s="286"/>
      <c r="C1541" s="367"/>
      <c r="D1541" s="287"/>
      <c r="E1541" s="353" t="s">
        <v>696</v>
      </c>
    </row>
    <row r="1542" spans="1:5" ht="49.5">
      <c r="A1542" s="280" t="str">
        <f>IF(AND(B1542&lt;&gt;"",C1542&lt;&gt;""),MAX($A$1:A1541)+1,"")</f>
        <v/>
      </c>
      <c r="B1542" s="261"/>
      <c r="C1542" s="261"/>
      <c r="D1542" s="265"/>
      <c r="E1542" s="353" t="s">
        <v>697</v>
      </c>
    </row>
    <row r="1543" spans="1:5" ht="49.5">
      <c r="A1543" s="280">
        <f>IF(AND(B1543&lt;&gt;"",C1543&lt;&gt;""),MAX($A$1:A1542)+1,"")</f>
        <v>214</v>
      </c>
      <c r="B1543" s="261" t="s">
        <v>698</v>
      </c>
      <c r="C1543" s="357" t="s">
        <v>255</v>
      </c>
      <c r="D1543" s="265"/>
      <c r="E1543" s="353"/>
    </row>
    <row r="1544" spans="1:5" ht="49.5">
      <c r="A1544" s="280" t="str">
        <f>IF(AND(B1544&lt;&gt;"",C1544&lt;&gt;""),MAX($A$1:A1543)+1,"")</f>
        <v/>
      </c>
      <c r="B1544" s="286"/>
      <c r="C1544" s="367"/>
      <c r="D1544" s="287"/>
      <c r="E1544" s="353" t="s">
        <v>699</v>
      </c>
    </row>
    <row r="1545" spans="1:5" ht="33">
      <c r="A1545" s="280" t="str">
        <f>IF(AND(B1545&lt;&gt;"",C1545&lt;&gt;""),MAX($A$1:A1544)+1,"")</f>
        <v/>
      </c>
      <c r="B1545" s="286"/>
      <c r="C1545" s="367"/>
      <c r="D1545" s="287"/>
      <c r="E1545" s="353" t="s">
        <v>700</v>
      </c>
    </row>
    <row r="1546" spans="1:5" ht="49.5">
      <c r="A1546" s="280" t="str">
        <f>IF(AND(B1546&lt;&gt;"",C1546&lt;&gt;""),MAX($A$1:A1545)+1,"")</f>
        <v/>
      </c>
      <c r="B1546" s="261"/>
      <c r="C1546" s="261"/>
      <c r="D1546" s="265"/>
      <c r="E1546" s="353" t="s">
        <v>701</v>
      </c>
    </row>
    <row r="1547" spans="1:5" ht="49.5">
      <c r="A1547" s="280" t="str">
        <f>IF(AND(B1547&lt;&gt;"",C1547&lt;&gt;""),MAX($A$1:A1546)+1,"")</f>
        <v/>
      </c>
      <c r="B1547" s="288"/>
      <c r="C1547" s="369"/>
      <c r="D1547" s="289"/>
      <c r="E1547" s="353" t="s">
        <v>702</v>
      </c>
    </row>
    <row r="1548" spans="1:5" ht="49.5">
      <c r="A1548" s="280" t="str">
        <f>IF(AND(B1548&lt;&gt;"",C1548&lt;&gt;""),MAX($A$1:A1547)+1,"")</f>
        <v/>
      </c>
      <c r="B1548" s="288"/>
      <c r="C1548" s="369"/>
      <c r="D1548" s="289"/>
      <c r="E1548" s="353" t="s">
        <v>703</v>
      </c>
    </row>
    <row r="1549" spans="1:5" ht="33">
      <c r="A1549" s="280" t="str">
        <f>IF(AND(B1549&lt;&gt;"",C1549&lt;&gt;""),MAX($A$1:A1548)+1,"")</f>
        <v/>
      </c>
      <c r="B1549" s="288"/>
      <c r="C1549" s="369"/>
      <c r="D1549" s="289"/>
      <c r="E1549" s="353" t="s">
        <v>704</v>
      </c>
    </row>
    <row r="1550" spans="1:5" ht="33">
      <c r="A1550" s="280" t="str">
        <f>IF(AND(B1550&lt;&gt;"",C1550&lt;&gt;""),MAX($A$1:A1549)+1,"")</f>
        <v/>
      </c>
      <c r="B1550" s="261"/>
      <c r="C1550" s="370"/>
      <c r="D1550" s="290"/>
      <c r="E1550" s="353" t="s">
        <v>705</v>
      </c>
    </row>
    <row r="1551" spans="1:5" ht="82.5">
      <c r="A1551" s="310">
        <f>IF(AND(B1551&lt;&gt;"",C1551&lt;&gt;""),MAX($A$5:A1550)+1,"")</f>
        <v>215</v>
      </c>
      <c r="B1551" s="247" t="s">
        <v>706</v>
      </c>
      <c r="C1551" s="276" t="s">
        <v>711</v>
      </c>
      <c r="D1551" s="276"/>
      <c r="E1551" s="234"/>
    </row>
    <row r="1552" spans="1:5" ht="33">
      <c r="A1552" s="310" t="str">
        <f>IF(AND(B1552&lt;&gt;"",C1552&lt;&gt;""),MAX($A$5:A1550)+1,"")</f>
        <v/>
      </c>
      <c r="B1552" s="288"/>
      <c r="C1552" s="369"/>
      <c r="D1552" s="289"/>
      <c r="E1552" s="336" t="s">
        <v>775</v>
      </c>
    </row>
    <row r="1553" spans="1:5" ht="66">
      <c r="A1553" s="310" t="str">
        <f>IF(AND(B1553&lt;&gt;"",C1553&lt;&gt;""),MAX($A$5:A1551)+1,"")</f>
        <v/>
      </c>
      <c r="B1553" s="288"/>
      <c r="C1553" s="369"/>
      <c r="D1553" s="289"/>
      <c r="E1553" s="336" t="s">
        <v>776</v>
      </c>
    </row>
    <row r="1554" spans="1:5" ht="33">
      <c r="A1554" s="310" t="str">
        <f>IF(AND(B1554&lt;&gt;"",C1554&lt;&gt;""),MAX($A$5:A1552)+1,"")</f>
        <v/>
      </c>
      <c r="B1554" s="285"/>
      <c r="C1554" s="247"/>
      <c r="D1554" s="285"/>
      <c r="E1554" s="336" t="s">
        <v>777</v>
      </c>
    </row>
    <row r="1555" spans="1:5" ht="49.5">
      <c r="A1555" s="310">
        <f>IF(AND(B1555&lt;&gt;"",C1555&lt;&gt;""),MAX($A$5:A1553)+1,"")</f>
        <v>216</v>
      </c>
      <c r="B1555" s="285" t="s">
        <v>707</v>
      </c>
      <c r="C1555" s="275" t="s">
        <v>255</v>
      </c>
      <c r="D1555" s="285"/>
      <c r="E1555" s="147"/>
    </row>
    <row r="1556" spans="1:5" ht="33">
      <c r="A1556" s="310" t="str">
        <f>IF(AND(B1556&lt;&gt;"",C1556&lt;&gt;""),MAX($A$5:A1554)+1,"")</f>
        <v/>
      </c>
      <c r="B1556" s="285"/>
      <c r="C1556" s="247"/>
      <c r="D1556" s="285"/>
      <c r="E1556" s="147" t="s">
        <v>708</v>
      </c>
    </row>
    <row r="1557" spans="1:5" ht="66">
      <c r="A1557" s="310" t="str">
        <f>IF(AND(B1557&lt;&gt;"",C1557&lt;&gt;""),MAX($A$5:A1555)+1,"")</f>
        <v/>
      </c>
      <c r="B1557" s="285"/>
      <c r="C1557" s="247"/>
      <c r="D1557" s="285"/>
      <c r="E1557" s="147" t="s">
        <v>709</v>
      </c>
    </row>
  </sheetData>
  <autoFilter ref="A1:E1557" xr:uid="{00000000-0009-0000-0000-000005000000}"/>
  <phoneticPr fontId="110" type="noConversion"/>
  <conditionalFormatting sqref="A311">
    <cfRule type="duplicateValues" dxfId="58" priority="111"/>
  </conditionalFormatting>
  <conditionalFormatting sqref="A353">
    <cfRule type="duplicateValues" dxfId="57" priority="102"/>
  </conditionalFormatting>
  <conditionalFormatting sqref="A433">
    <cfRule type="duplicateValues" dxfId="56" priority="101"/>
  </conditionalFormatting>
  <conditionalFormatting sqref="A501">
    <cfRule type="duplicateValues" dxfId="55" priority="100"/>
  </conditionalFormatting>
  <conditionalFormatting sqref="A564">
    <cfRule type="duplicateValues" dxfId="54" priority="99"/>
  </conditionalFormatting>
  <conditionalFormatting sqref="A670">
    <cfRule type="duplicateValues" dxfId="53" priority="103"/>
    <cfRule type="duplicateValues" dxfId="52" priority="104"/>
  </conditionalFormatting>
  <conditionalFormatting sqref="A1130">
    <cfRule type="duplicateValues" dxfId="51" priority="105"/>
    <cfRule type="duplicateValues" dxfId="50" priority="106"/>
  </conditionalFormatting>
  <conditionalFormatting sqref="A1446">
    <cfRule type="duplicateValues" dxfId="49" priority="107"/>
  </conditionalFormatting>
  <conditionalFormatting sqref="A1493">
    <cfRule type="duplicateValues" dxfId="48" priority="108"/>
  </conditionalFormatting>
  <conditionalFormatting sqref="A1494">
    <cfRule type="duplicateValues" dxfId="47" priority="109"/>
  </conditionalFormatting>
  <conditionalFormatting sqref="A1522">
    <cfRule type="duplicateValues" dxfId="46" priority="110"/>
  </conditionalFormatting>
  <conditionalFormatting sqref="B1:B1048576">
    <cfRule type="duplicateValues" dxfId="45" priority="3"/>
  </conditionalFormatting>
  <conditionalFormatting sqref="B51:B62">
    <cfRule type="duplicateValues" dxfId="44" priority="93"/>
  </conditionalFormatting>
  <conditionalFormatting sqref="B93:B104">
    <cfRule type="duplicateValues" dxfId="43" priority="17"/>
    <cfRule type="duplicateValues" dxfId="42" priority="18"/>
    <cfRule type="duplicateValues" dxfId="41" priority="19"/>
  </conditionalFormatting>
  <conditionalFormatting sqref="B107">
    <cfRule type="duplicateValues" dxfId="40" priority="13"/>
    <cfRule type="duplicateValues" dxfId="39" priority="14"/>
    <cfRule type="duplicateValues" dxfId="38" priority="15"/>
  </conditionalFormatting>
  <conditionalFormatting sqref="B158 B160">
    <cfRule type="duplicateValues" dxfId="37" priority="384"/>
    <cfRule type="duplicateValues" dxfId="36" priority="385"/>
  </conditionalFormatting>
  <conditionalFormatting sqref="B159">
    <cfRule type="duplicateValues" dxfId="35" priority="25"/>
    <cfRule type="duplicateValues" dxfId="34" priority="26"/>
    <cfRule type="duplicateValues" dxfId="33" priority="27"/>
  </conditionalFormatting>
  <conditionalFormatting sqref="B177:B181">
    <cfRule type="duplicateValues" dxfId="32" priority="1780"/>
  </conditionalFormatting>
  <conditionalFormatting sqref="B589:B669">
    <cfRule type="duplicateValues" dxfId="31" priority="1262"/>
  </conditionalFormatting>
  <conditionalFormatting sqref="B1103:B1111">
    <cfRule type="duplicateValues" dxfId="30" priority="1736"/>
  </conditionalFormatting>
  <conditionalFormatting sqref="B1103:B1129">
    <cfRule type="duplicateValues" dxfId="29" priority="1751"/>
  </conditionalFormatting>
  <conditionalFormatting sqref="B1112:B1120">
    <cfRule type="duplicateValues" dxfId="28" priority="1627"/>
  </conditionalFormatting>
  <conditionalFormatting sqref="B1121:B1129">
    <cfRule type="duplicateValues" dxfId="27" priority="1676"/>
  </conditionalFormatting>
  <conditionalFormatting sqref="B1419:B1427">
    <cfRule type="duplicateValues" dxfId="26" priority="1873"/>
  </conditionalFormatting>
  <conditionalFormatting sqref="B1428:B1436">
    <cfRule type="duplicateValues" dxfId="25" priority="1872"/>
  </conditionalFormatting>
  <conditionalFormatting sqref="B1437:B1445">
    <cfRule type="duplicateValues" dxfId="24" priority="1871"/>
  </conditionalFormatting>
  <conditionalFormatting sqref="B1453:B1455">
    <cfRule type="duplicateValues" dxfId="23" priority="96"/>
  </conditionalFormatting>
  <conditionalFormatting sqref="B1456:B1458">
    <cfRule type="duplicateValues" dxfId="22" priority="95"/>
  </conditionalFormatting>
  <conditionalFormatting sqref="B1471:B1475 B1462:B1467">
    <cfRule type="duplicateValues" dxfId="21" priority="39"/>
  </conditionalFormatting>
  <conditionalFormatting sqref="B1476:B1480">
    <cfRule type="duplicateValues" dxfId="20" priority="37"/>
  </conditionalFormatting>
  <conditionalFormatting sqref="B1481:B1483">
    <cfRule type="duplicateValues" dxfId="19" priority="33"/>
  </conditionalFormatting>
  <conditionalFormatting sqref="B1484:B1486 B1447:B1449 B1490:B1492">
    <cfRule type="duplicateValues" dxfId="18" priority="98"/>
  </conditionalFormatting>
  <conditionalFormatting sqref="B1487:B1489">
    <cfRule type="duplicateValues" dxfId="17" priority="94"/>
  </conditionalFormatting>
  <conditionalFormatting sqref="B1551:B1557">
    <cfRule type="duplicateValues" dxfId="16" priority="90"/>
  </conditionalFormatting>
  <conditionalFormatting sqref="B1558:B1048576 B1:B50 B670:B1102 B63:B92 B182:B588 B1130:B1418 B160:B176 B105:B106 B108:B158">
    <cfRule type="duplicateValues" dxfId="15" priority="195"/>
  </conditionalFormatting>
  <conditionalFormatting sqref="B1558:B1048576 B1:B92 B182:B1102 B1130:B1461 B1484:B1550 B160:B176 B105:B106 B108:B158">
    <cfRule type="duplicateValues" dxfId="14" priority="92"/>
  </conditionalFormatting>
  <conditionalFormatting sqref="B1558:B1048576 B1538:B1550 B1446 B1:B50 B1493:B1531 B670:B1102 B63:B92 B182:B588 B1130:B1418 B160:B176 B105:B106 B108:B158">
    <cfRule type="duplicateValues" dxfId="13" priority="183"/>
  </conditionalFormatting>
  <conditionalFormatting sqref="E1:E1048576">
    <cfRule type="duplicateValues" dxfId="12" priority="1"/>
    <cfRule type="duplicateValues" dxfId="11" priority="2"/>
    <cfRule type="duplicateValues" dxfId="10" priority="4"/>
  </conditionalFormatting>
  <conditionalFormatting sqref="E93:E104">
    <cfRule type="duplicateValues" dxfId="9" priority="16"/>
  </conditionalFormatting>
  <conditionalFormatting sqref="E107">
    <cfRule type="duplicateValues" dxfId="8" priority="12"/>
  </conditionalFormatting>
  <conditionalFormatting sqref="E1319">
    <cfRule type="duplicateValues" dxfId="7" priority="7"/>
    <cfRule type="duplicateValues" dxfId="6" priority="8"/>
    <cfRule type="duplicateValues" dxfId="5" priority="9"/>
    <cfRule type="duplicateValues" dxfId="4" priority="10"/>
    <cfRule type="duplicateValues" dxfId="3" priority="11"/>
  </conditionalFormatting>
  <conditionalFormatting sqref="E1523:E1048576 E1131:E1445 E312:E352 E1 E1495:E1521 E1447:E1492 E671:E1129 E565:E669 E502:E563 E434:E500 E3:E170 E172:E310 E354:E432">
    <cfRule type="duplicateValues" dxfId="2" priority="5"/>
  </conditionalFormatting>
  <conditionalFormatting sqref="E1523:E1048576 E1131:E1445 E312:E352 E3:E170 E1495:E1521 E1447:E1492 E671:E1129 E565:E669 E502:E563 E434:E500 E172:E310 E354:E432">
    <cfRule type="duplicateValues" dxfId="1" priority="6"/>
  </conditionalFormatting>
  <conditionalFormatting sqref="E1523:E1048576 E1320:E1445 E105:E106 E3:E92 E108:E170 E312:E352 E1131:E1318 E1495:E1521 E1447:E1492 E671:E1129 E565:E669 E502:E563 E434:E500 E172:E310 E354:E432">
    <cfRule type="duplicateValues" dxfId="0" priority="20"/>
  </conditionalFormatting>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I12"/>
  <sheetViews>
    <sheetView zoomScale="82" zoomScaleNormal="82" workbookViewId="0">
      <selection activeCell="F23" sqref="F23"/>
    </sheetView>
  </sheetViews>
  <sheetFormatPr defaultColWidth="15.42578125" defaultRowHeight="15.75"/>
  <cols>
    <col min="1" max="1" width="5.28515625" style="126" bestFit="1" customWidth="1"/>
    <col min="2" max="2" width="37.7109375" style="126" customWidth="1"/>
    <col min="3" max="3" width="14" style="128" customWidth="1"/>
    <col min="4" max="4" width="13.42578125" style="129" customWidth="1"/>
    <col min="5" max="5" width="14.7109375" style="129" customWidth="1"/>
    <col min="6" max="6" width="18.42578125" style="129" bestFit="1" customWidth="1"/>
    <col min="7" max="7" width="20.42578125" style="130" customWidth="1"/>
    <col min="8" max="8" width="18.28515625" style="126" customWidth="1"/>
    <col min="9" max="9" width="9.28515625" style="126" customWidth="1"/>
    <col min="10" max="10" width="16.42578125" style="126" customWidth="1"/>
    <col min="11" max="245" width="9.28515625" style="126" customWidth="1"/>
    <col min="246" max="246" width="5.28515625" style="126" bestFit="1" customWidth="1"/>
    <col min="247" max="247" width="22.42578125" style="126" bestFit="1" customWidth="1"/>
    <col min="248" max="248" width="12.42578125" style="126" bestFit="1" customWidth="1"/>
    <col min="249" max="250" width="11.42578125" style="126" bestFit="1" customWidth="1"/>
    <col min="251" max="253" width="15.42578125" style="126"/>
    <col min="254" max="254" width="5.28515625" style="126" bestFit="1" customWidth="1"/>
    <col min="255" max="255" width="34.42578125" style="126" customWidth="1"/>
    <col min="256" max="256" width="14" style="126" customWidth="1"/>
    <col min="257" max="257" width="13.42578125" style="126" customWidth="1"/>
    <col min="258" max="258" width="14.7109375" style="126" customWidth="1"/>
    <col min="259" max="259" width="18.42578125" style="126" bestFit="1" customWidth="1"/>
    <col min="260" max="260" width="22.42578125" style="126" customWidth="1"/>
    <col min="261" max="261" width="21.7109375" style="126" bestFit="1" customWidth="1"/>
    <col min="262" max="501" width="9.28515625" style="126" customWidth="1"/>
    <col min="502" max="502" width="5.28515625" style="126" bestFit="1" customWidth="1"/>
    <col min="503" max="503" width="22.42578125" style="126" bestFit="1" customWidth="1"/>
    <col min="504" max="504" width="12.42578125" style="126" bestFit="1" customWidth="1"/>
    <col min="505" max="506" width="11.42578125" style="126" bestFit="1" customWidth="1"/>
    <col min="507" max="509" width="15.42578125" style="126"/>
    <col min="510" max="510" width="5.28515625" style="126" bestFit="1" customWidth="1"/>
    <col min="511" max="511" width="34.42578125" style="126" customWidth="1"/>
    <col min="512" max="512" width="14" style="126" customWidth="1"/>
    <col min="513" max="513" width="13.42578125" style="126" customWidth="1"/>
    <col min="514" max="514" width="14.7109375" style="126" customWidth="1"/>
    <col min="515" max="515" width="18.42578125" style="126" bestFit="1" customWidth="1"/>
    <col min="516" max="516" width="22.42578125" style="126" customWidth="1"/>
    <col min="517" max="517" width="21.7109375" style="126" bestFit="1" customWidth="1"/>
    <col min="518" max="757" width="9.28515625" style="126" customWidth="1"/>
    <col min="758" max="758" width="5.28515625" style="126" bestFit="1" customWidth="1"/>
    <col min="759" max="759" width="22.42578125" style="126" bestFit="1" customWidth="1"/>
    <col min="760" max="760" width="12.42578125" style="126" bestFit="1" customWidth="1"/>
    <col min="761" max="762" width="11.42578125" style="126" bestFit="1" customWidth="1"/>
    <col min="763" max="765" width="15.42578125" style="126"/>
    <col min="766" max="766" width="5.28515625" style="126" bestFit="1" customWidth="1"/>
    <col min="767" max="767" width="34.42578125" style="126" customWidth="1"/>
    <col min="768" max="768" width="14" style="126" customWidth="1"/>
    <col min="769" max="769" width="13.42578125" style="126" customWidth="1"/>
    <col min="770" max="770" width="14.7109375" style="126" customWidth="1"/>
    <col min="771" max="771" width="18.42578125" style="126" bestFit="1" customWidth="1"/>
    <col min="772" max="772" width="22.42578125" style="126" customWidth="1"/>
    <col min="773" max="773" width="21.7109375" style="126" bestFit="1" customWidth="1"/>
    <col min="774" max="1013" width="9.28515625" style="126" customWidth="1"/>
    <col min="1014" max="1014" width="5.28515625" style="126" bestFit="1" customWidth="1"/>
    <col min="1015" max="1015" width="22.42578125" style="126" bestFit="1" customWidth="1"/>
    <col min="1016" max="1016" width="12.42578125" style="126" bestFit="1" customWidth="1"/>
    <col min="1017" max="1018" width="11.42578125" style="126" bestFit="1" customWidth="1"/>
    <col min="1019" max="1021" width="15.42578125" style="126"/>
    <col min="1022" max="1022" width="5.28515625" style="126" bestFit="1" customWidth="1"/>
    <col min="1023" max="1023" width="34.42578125" style="126" customWidth="1"/>
    <col min="1024" max="1024" width="14" style="126" customWidth="1"/>
    <col min="1025" max="1025" width="13.42578125" style="126" customWidth="1"/>
    <col min="1026" max="1026" width="14.7109375" style="126" customWidth="1"/>
    <col min="1027" max="1027" width="18.42578125" style="126" bestFit="1" customWidth="1"/>
    <col min="1028" max="1028" width="22.42578125" style="126" customWidth="1"/>
    <col min="1029" max="1029" width="21.7109375" style="126" bestFit="1" customWidth="1"/>
    <col min="1030" max="1269" width="9.28515625" style="126" customWidth="1"/>
    <col min="1270" max="1270" width="5.28515625" style="126" bestFit="1" customWidth="1"/>
    <col min="1271" max="1271" width="22.42578125" style="126" bestFit="1" customWidth="1"/>
    <col min="1272" max="1272" width="12.42578125" style="126" bestFit="1" customWidth="1"/>
    <col min="1273" max="1274" width="11.42578125" style="126" bestFit="1" customWidth="1"/>
    <col min="1275" max="1277" width="15.42578125" style="126"/>
    <col min="1278" max="1278" width="5.28515625" style="126" bestFit="1" customWidth="1"/>
    <col min="1279" max="1279" width="34.42578125" style="126" customWidth="1"/>
    <col min="1280" max="1280" width="14" style="126" customWidth="1"/>
    <col min="1281" max="1281" width="13.42578125" style="126" customWidth="1"/>
    <col min="1282" max="1282" width="14.7109375" style="126" customWidth="1"/>
    <col min="1283" max="1283" width="18.42578125" style="126" bestFit="1" customWidth="1"/>
    <col min="1284" max="1284" width="22.42578125" style="126" customWidth="1"/>
    <col min="1285" max="1285" width="21.7109375" style="126" bestFit="1" customWidth="1"/>
    <col min="1286" max="1525" width="9.28515625" style="126" customWidth="1"/>
    <col min="1526" max="1526" width="5.28515625" style="126" bestFit="1" customWidth="1"/>
    <col min="1527" max="1527" width="22.42578125" style="126" bestFit="1" customWidth="1"/>
    <col min="1528" max="1528" width="12.42578125" style="126" bestFit="1" customWidth="1"/>
    <col min="1529" max="1530" width="11.42578125" style="126" bestFit="1" customWidth="1"/>
    <col min="1531" max="1533" width="15.42578125" style="126"/>
    <col min="1534" max="1534" width="5.28515625" style="126" bestFit="1" customWidth="1"/>
    <col min="1535" max="1535" width="34.42578125" style="126" customWidth="1"/>
    <col min="1536" max="1536" width="14" style="126" customWidth="1"/>
    <col min="1537" max="1537" width="13.42578125" style="126" customWidth="1"/>
    <col min="1538" max="1538" width="14.7109375" style="126" customWidth="1"/>
    <col min="1539" max="1539" width="18.42578125" style="126" bestFit="1" customWidth="1"/>
    <col min="1540" max="1540" width="22.42578125" style="126" customWidth="1"/>
    <col min="1541" max="1541" width="21.7109375" style="126" bestFit="1" customWidth="1"/>
    <col min="1542" max="1781" width="9.28515625" style="126" customWidth="1"/>
    <col min="1782" max="1782" width="5.28515625" style="126" bestFit="1" customWidth="1"/>
    <col min="1783" max="1783" width="22.42578125" style="126" bestFit="1" customWidth="1"/>
    <col min="1784" max="1784" width="12.42578125" style="126" bestFit="1" customWidth="1"/>
    <col min="1785" max="1786" width="11.42578125" style="126" bestFit="1" customWidth="1"/>
    <col min="1787" max="1789" width="15.42578125" style="126"/>
    <col min="1790" max="1790" width="5.28515625" style="126" bestFit="1" customWidth="1"/>
    <col min="1791" max="1791" width="34.42578125" style="126" customWidth="1"/>
    <col min="1792" max="1792" width="14" style="126" customWidth="1"/>
    <col min="1793" max="1793" width="13.42578125" style="126" customWidth="1"/>
    <col min="1794" max="1794" width="14.7109375" style="126" customWidth="1"/>
    <col min="1795" max="1795" width="18.42578125" style="126" bestFit="1" customWidth="1"/>
    <col min="1796" max="1796" width="22.42578125" style="126" customWidth="1"/>
    <col min="1797" max="1797" width="21.7109375" style="126" bestFit="1" customWidth="1"/>
    <col min="1798" max="2037" width="9.28515625" style="126" customWidth="1"/>
    <col min="2038" max="2038" width="5.28515625" style="126" bestFit="1" customWidth="1"/>
    <col min="2039" max="2039" width="22.42578125" style="126" bestFit="1" customWidth="1"/>
    <col min="2040" max="2040" width="12.42578125" style="126" bestFit="1" customWidth="1"/>
    <col min="2041" max="2042" width="11.42578125" style="126" bestFit="1" customWidth="1"/>
    <col min="2043" max="2045" width="15.42578125" style="126"/>
    <col min="2046" max="2046" width="5.28515625" style="126" bestFit="1" customWidth="1"/>
    <col min="2047" max="2047" width="34.42578125" style="126" customWidth="1"/>
    <col min="2048" max="2048" width="14" style="126" customWidth="1"/>
    <col min="2049" max="2049" width="13.42578125" style="126" customWidth="1"/>
    <col min="2050" max="2050" width="14.7109375" style="126" customWidth="1"/>
    <col min="2051" max="2051" width="18.42578125" style="126" bestFit="1" customWidth="1"/>
    <col min="2052" max="2052" width="22.42578125" style="126" customWidth="1"/>
    <col min="2053" max="2053" width="21.7109375" style="126" bestFit="1" customWidth="1"/>
    <col min="2054" max="2293" width="9.28515625" style="126" customWidth="1"/>
    <col min="2294" max="2294" width="5.28515625" style="126" bestFit="1" customWidth="1"/>
    <col min="2295" max="2295" width="22.42578125" style="126" bestFit="1" customWidth="1"/>
    <col min="2296" max="2296" width="12.42578125" style="126" bestFit="1" customWidth="1"/>
    <col min="2297" max="2298" width="11.42578125" style="126" bestFit="1" customWidth="1"/>
    <col min="2299" max="2301" width="15.42578125" style="126"/>
    <col min="2302" max="2302" width="5.28515625" style="126" bestFit="1" customWidth="1"/>
    <col min="2303" max="2303" width="34.42578125" style="126" customWidth="1"/>
    <col min="2304" max="2304" width="14" style="126" customWidth="1"/>
    <col min="2305" max="2305" width="13.42578125" style="126" customWidth="1"/>
    <col min="2306" max="2306" width="14.7109375" style="126" customWidth="1"/>
    <col min="2307" max="2307" width="18.42578125" style="126" bestFit="1" customWidth="1"/>
    <col min="2308" max="2308" width="22.42578125" style="126" customWidth="1"/>
    <col min="2309" max="2309" width="21.7109375" style="126" bestFit="1" customWidth="1"/>
    <col min="2310" max="2549" width="9.28515625" style="126" customWidth="1"/>
    <col min="2550" max="2550" width="5.28515625" style="126" bestFit="1" customWidth="1"/>
    <col min="2551" max="2551" width="22.42578125" style="126" bestFit="1" customWidth="1"/>
    <col min="2552" max="2552" width="12.42578125" style="126" bestFit="1" customWidth="1"/>
    <col min="2553" max="2554" width="11.42578125" style="126" bestFit="1" customWidth="1"/>
    <col min="2555" max="2557" width="15.42578125" style="126"/>
    <col min="2558" max="2558" width="5.28515625" style="126" bestFit="1" customWidth="1"/>
    <col min="2559" max="2559" width="34.42578125" style="126" customWidth="1"/>
    <col min="2560" max="2560" width="14" style="126" customWidth="1"/>
    <col min="2561" max="2561" width="13.42578125" style="126" customWidth="1"/>
    <col min="2562" max="2562" width="14.7109375" style="126" customWidth="1"/>
    <col min="2563" max="2563" width="18.42578125" style="126" bestFit="1" customWidth="1"/>
    <col min="2564" max="2564" width="22.42578125" style="126" customWidth="1"/>
    <col min="2565" max="2565" width="21.7109375" style="126" bestFit="1" customWidth="1"/>
    <col min="2566" max="2805" width="9.28515625" style="126" customWidth="1"/>
    <col min="2806" max="2806" width="5.28515625" style="126" bestFit="1" customWidth="1"/>
    <col min="2807" max="2807" width="22.42578125" style="126" bestFit="1" customWidth="1"/>
    <col min="2808" max="2808" width="12.42578125" style="126" bestFit="1" customWidth="1"/>
    <col min="2809" max="2810" width="11.42578125" style="126" bestFit="1" customWidth="1"/>
    <col min="2811" max="2813" width="15.42578125" style="126"/>
    <col min="2814" max="2814" width="5.28515625" style="126" bestFit="1" customWidth="1"/>
    <col min="2815" max="2815" width="34.42578125" style="126" customWidth="1"/>
    <col min="2816" max="2816" width="14" style="126" customWidth="1"/>
    <col min="2817" max="2817" width="13.42578125" style="126" customWidth="1"/>
    <col min="2818" max="2818" width="14.7109375" style="126" customWidth="1"/>
    <col min="2819" max="2819" width="18.42578125" style="126" bestFit="1" customWidth="1"/>
    <col min="2820" max="2820" width="22.42578125" style="126" customWidth="1"/>
    <col min="2821" max="2821" width="21.7109375" style="126" bestFit="1" customWidth="1"/>
    <col min="2822" max="3061" width="9.28515625" style="126" customWidth="1"/>
    <col min="3062" max="3062" width="5.28515625" style="126" bestFit="1" customWidth="1"/>
    <col min="3063" max="3063" width="22.42578125" style="126" bestFit="1" customWidth="1"/>
    <col min="3064" max="3064" width="12.42578125" style="126" bestFit="1" customWidth="1"/>
    <col min="3065" max="3066" width="11.42578125" style="126" bestFit="1" customWidth="1"/>
    <col min="3067" max="3069" width="15.42578125" style="126"/>
    <col min="3070" max="3070" width="5.28515625" style="126" bestFit="1" customWidth="1"/>
    <col min="3071" max="3071" width="34.42578125" style="126" customWidth="1"/>
    <col min="3072" max="3072" width="14" style="126" customWidth="1"/>
    <col min="3073" max="3073" width="13.42578125" style="126" customWidth="1"/>
    <col min="3074" max="3074" width="14.7109375" style="126" customWidth="1"/>
    <col min="3075" max="3075" width="18.42578125" style="126" bestFit="1" customWidth="1"/>
    <col min="3076" max="3076" width="22.42578125" style="126" customWidth="1"/>
    <col min="3077" max="3077" width="21.7109375" style="126" bestFit="1" customWidth="1"/>
    <col min="3078" max="3317" width="9.28515625" style="126" customWidth="1"/>
    <col min="3318" max="3318" width="5.28515625" style="126" bestFit="1" customWidth="1"/>
    <col min="3319" max="3319" width="22.42578125" style="126" bestFit="1" customWidth="1"/>
    <col min="3320" max="3320" width="12.42578125" style="126" bestFit="1" customWidth="1"/>
    <col min="3321" max="3322" width="11.42578125" style="126" bestFit="1" customWidth="1"/>
    <col min="3323" max="3325" width="15.42578125" style="126"/>
    <col min="3326" max="3326" width="5.28515625" style="126" bestFit="1" customWidth="1"/>
    <col min="3327" max="3327" width="34.42578125" style="126" customWidth="1"/>
    <col min="3328" max="3328" width="14" style="126" customWidth="1"/>
    <col min="3329" max="3329" width="13.42578125" style="126" customWidth="1"/>
    <col min="3330" max="3330" width="14.7109375" style="126" customWidth="1"/>
    <col min="3331" max="3331" width="18.42578125" style="126" bestFit="1" customWidth="1"/>
    <col min="3332" max="3332" width="22.42578125" style="126" customWidth="1"/>
    <col min="3333" max="3333" width="21.7109375" style="126" bestFit="1" customWidth="1"/>
    <col min="3334" max="3573" width="9.28515625" style="126" customWidth="1"/>
    <col min="3574" max="3574" width="5.28515625" style="126" bestFit="1" customWidth="1"/>
    <col min="3575" max="3575" width="22.42578125" style="126" bestFit="1" customWidth="1"/>
    <col min="3576" max="3576" width="12.42578125" style="126" bestFit="1" customWidth="1"/>
    <col min="3577" max="3578" width="11.42578125" style="126" bestFit="1" customWidth="1"/>
    <col min="3579" max="3581" width="15.42578125" style="126"/>
    <col min="3582" max="3582" width="5.28515625" style="126" bestFit="1" customWidth="1"/>
    <col min="3583" max="3583" width="34.42578125" style="126" customWidth="1"/>
    <col min="3584" max="3584" width="14" style="126" customWidth="1"/>
    <col min="3585" max="3585" width="13.42578125" style="126" customWidth="1"/>
    <col min="3586" max="3586" width="14.7109375" style="126" customWidth="1"/>
    <col min="3587" max="3587" width="18.42578125" style="126" bestFit="1" customWidth="1"/>
    <col min="3588" max="3588" width="22.42578125" style="126" customWidth="1"/>
    <col min="3589" max="3589" width="21.7109375" style="126" bestFit="1" customWidth="1"/>
    <col min="3590" max="3829" width="9.28515625" style="126" customWidth="1"/>
    <col min="3830" max="3830" width="5.28515625" style="126" bestFit="1" customWidth="1"/>
    <col min="3831" max="3831" width="22.42578125" style="126" bestFit="1" customWidth="1"/>
    <col min="3832" max="3832" width="12.42578125" style="126" bestFit="1" customWidth="1"/>
    <col min="3833" max="3834" width="11.42578125" style="126" bestFit="1" customWidth="1"/>
    <col min="3835" max="3837" width="15.42578125" style="126"/>
    <col min="3838" max="3838" width="5.28515625" style="126" bestFit="1" customWidth="1"/>
    <col min="3839" max="3839" width="34.42578125" style="126" customWidth="1"/>
    <col min="3840" max="3840" width="14" style="126" customWidth="1"/>
    <col min="3841" max="3841" width="13.42578125" style="126" customWidth="1"/>
    <col min="3842" max="3842" width="14.7109375" style="126" customWidth="1"/>
    <col min="3843" max="3843" width="18.42578125" style="126" bestFit="1" customWidth="1"/>
    <col min="3844" max="3844" width="22.42578125" style="126" customWidth="1"/>
    <col min="3845" max="3845" width="21.7109375" style="126" bestFit="1" customWidth="1"/>
    <col min="3846" max="4085" width="9.28515625" style="126" customWidth="1"/>
    <col min="4086" max="4086" width="5.28515625" style="126" bestFit="1" customWidth="1"/>
    <col min="4087" max="4087" width="22.42578125" style="126" bestFit="1" customWidth="1"/>
    <col min="4088" max="4088" width="12.42578125" style="126" bestFit="1" customWidth="1"/>
    <col min="4089" max="4090" width="11.42578125" style="126" bestFit="1" customWidth="1"/>
    <col min="4091" max="4093" width="15.42578125" style="126"/>
    <col min="4094" max="4094" width="5.28515625" style="126" bestFit="1" customWidth="1"/>
    <col min="4095" max="4095" width="34.42578125" style="126" customWidth="1"/>
    <col min="4096" max="4096" width="14" style="126" customWidth="1"/>
    <col min="4097" max="4097" width="13.42578125" style="126" customWidth="1"/>
    <col min="4098" max="4098" width="14.7109375" style="126" customWidth="1"/>
    <col min="4099" max="4099" width="18.42578125" style="126" bestFit="1" customWidth="1"/>
    <col min="4100" max="4100" width="22.42578125" style="126" customWidth="1"/>
    <col min="4101" max="4101" width="21.7109375" style="126" bestFit="1" customWidth="1"/>
    <col min="4102" max="4341" width="9.28515625" style="126" customWidth="1"/>
    <col min="4342" max="4342" width="5.28515625" style="126" bestFit="1" customWidth="1"/>
    <col min="4343" max="4343" width="22.42578125" style="126" bestFit="1" customWidth="1"/>
    <col min="4344" max="4344" width="12.42578125" style="126" bestFit="1" customWidth="1"/>
    <col min="4345" max="4346" width="11.42578125" style="126" bestFit="1" customWidth="1"/>
    <col min="4347" max="4349" width="15.42578125" style="126"/>
    <col min="4350" max="4350" width="5.28515625" style="126" bestFit="1" customWidth="1"/>
    <col min="4351" max="4351" width="34.42578125" style="126" customWidth="1"/>
    <col min="4352" max="4352" width="14" style="126" customWidth="1"/>
    <col min="4353" max="4353" width="13.42578125" style="126" customWidth="1"/>
    <col min="4354" max="4354" width="14.7109375" style="126" customWidth="1"/>
    <col min="4355" max="4355" width="18.42578125" style="126" bestFit="1" customWidth="1"/>
    <col min="4356" max="4356" width="22.42578125" style="126" customWidth="1"/>
    <col min="4357" max="4357" width="21.7109375" style="126" bestFit="1" customWidth="1"/>
    <col min="4358" max="4597" width="9.28515625" style="126" customWidth="1"/>
    <col min="4598" max="4598" width="5.28515625" style="126" bestFit="1" customWidth="1"/>
    <col min="4599" max="4599" width="22.42578125" style="126" bestFit="1" customWidth="1"/>
    <col min="4600" max="4600" width="12.42578125" style="126" bestFit="1" customWidth="1"/>
    <col min="4601" max="4602" width="11.42578125" style="126" bestFit="1" customWidth="1"/>
    <col min="4603" max="4605" width="15.42578125" style="126"/>
    <col min="4606" max="4606" width="5.28515625" style="126" bestFit="1" customWidth="1"/>
    <col min="4607" max="4607" width="34.42578125" style="126" customWidth="1"/>
    <col min="4608" max="4608" width="14" style="126" customWidth="1"/>
    <col min="4609" max="4609" width="13.42578125" style="126" customWidth="1"/>
    <col min="4610" max="4610" width="14.7109375" style="126" customWidth="1"/>
    <col min="4611" max="4611" width="18.42578125" style="126" bestFit="1" customWidth="1"/>
    <col min="4612" max="4612" width="22.42578125" style="126" customWidth="1"/>
    <col min="4613" max="4613" width="21.7109375" style="126" bestFit="1" customWidth="1"/>
    <col min="4614" max="4853" width="9.28515625" style="126" customWidth="1"/>
    <col min="4854" max="4854" width="5.28515625" style="126" bestFit="1" customWidth="1"/>
    <col min="4855" max="4855" width="22.42578125" style="126" bestFit="1" customWidth="1"/>
    <col min="4856" max="4856" width="12.42578125" style="126" bestFit="1" customWidth="1"/>
    <col min="4857" max="4858" width="11.42578125" style="126" bestFit="1" customWidth="1"/>
    <col min="4859" max="4861" width="15.42578125" style="126"/>
    <col min="4862" max="4862" width="5.28515625" style="126" bestFit="1" customWidth="1"/>
    <col min="4863" max="4863" width="34.42578125" style="126" customWidth="1"/>
    <col min="4864" max="4864" width="14" style="126" customWidth="1"/>
    <col min="4865" max="4865" width="13.42578125" style="126" customWidth="1"/>
    <col min="4866" max="4866" width="14.7109375" style="126" customWidth="1"/>
    <col min="4867" max="4867" width="18.42578125" style="126" bestFit="1" customWidth="1"/>
    <col min="4868" max="4868" width="22.42578125" style="126" customWidth="1"/>
    <col min="4869" max="4869" width="21.7109375" style="126" bestFit="1" customWidth="1"/>
    <col min="4870" max="5109" width="9.28515625" style="126" customWidth="1"/>
    <col min="5110" max="5110" width="5.28515625" style="126" bestFit="1" customWidth="1"/>
    <col min="5111" max="5111" width="22.42578125" style="126" bestFit="1" customWidth="1"/>
    <col min="5112" max="5112" width="12.42578125" style="126" bestFit="1" customWidth="1"/>
    <col min="5113" max="5114" width="11.42578125" style="126" bestFit="1" customWidth="1"/>
    <col min="5115" max="5117" width="15.42578125" style="126"/>
    <col min="5118" max="5118" width="5.28515625" style="126" bestFit="1" customWidth="1"/>
    <col min="5119" max="5119" width="34.42578125" style="126" customWidth="1"/>
    <col min="5120" max="5120" width="14" style="126" customWidth="1"/>
    <col min="5121" max="5121" width="13.42578125" style="126" customWidth="1"/>
    <col min="5122" max="5122" width="14.7109375" style="126" customWidth="1"/>
    <col min="5123" max="5123" width="18.42578125" style="126" bestFit="1" customWidth="1"/>
    <col min="5124" max="5124" width="22.42578125" style="126" customWidth="1"/>
    <col min="5125" max="5125" width="21.7109375" style="126" bestFit="1" customWidth="1"/>
    <col min="5126" max="5365" width="9.28515625" style="126" customWidth="1"/>
    <col min="5366" max="5366" width="5.28515625" style="126" bestFit="1" customWidth="1"/>
    <col min="5367" max="5367" width="22.42578125" style="126" bestFit="1" customWidth="1"/>
    <col min="5368" max="5368" width="12.42578125" style="126" bestFit="1" customWidth="1"/>
    <col min="5369" max="5370" width="11.42578125" style="126" bestFit="1" customWidth="1"/>
    <col min="5371" max="5373" width="15.42578125" style="126"/>
    <col min="5374" max="5374" width="5.28515625" style="126" bestFit="1" customWidth="1"/>
    <col min="5375" max="5375" width="34.42578125" style="126" customWidth="1"/>
    <col min="5376" max="5376" width="14" style="126" customWidth="1"/>
    <col min="5377" max="5377" width="13.42578125" style="126" customWidth="1"/>
    <col min="5378" max="5378" width="14.7109375" style="126" customWidth="1"/>
    <col min="5379" max="5379" width="18.42578125" style="126" bestFit="1" customWidth="1"/>
    <col min="5380" max="5380" width="22.42578125" style="126" customWidth="1"/>
    <col min="5381" max="5381" width="21.7109375" style="126" bestFit="1" customWidth="1"/>
    <col min="5382" max="5621" width="9.28515625" style="126" customWidth="1"/>
    <col min="5622" max="5622" width="5.28515625" style="126" bestFit="1" customWidth="1"/>
    <col min="5623" max="5623" width="22.42578125" style="126" bestFit="1" customWidth="1"/>
    <col min="5624" max="5624" width="12.42578125" style="126" bestFit="1" customWidth="1"/>
    <col min="5625" max="5626" width="11.42578125" style="126" bestFit="1" customWidth="1"/>
    <col min="5627" max="5629" width="15.42578125" style="126"/>
    <col min="5630" max="5630" width="5.28515625" style="126" bestFit="1" customWidth="1"/>
    <col min="5631" max="5631" width="34.42578125" style="126" customWidth="1"/>
    <col min="5632" max="5632" width="14" style="126" customWidth="1"/>
    <col min="5633" max="5633" width="13.42578125" style="126" customWidth="1"/>
    <col min="5634" max="5634" width="14.7109375" style="126" customWidth="1"/>
    <col min="5635" max="5635" width="18.42578125" style="126" bestFit="1" customWidth="1"/>
    <col min="5636" max="5636" width="22.42578125" style="126" customWidth="1"/>
    <col min="5637" max="5637" width="21.7109375" style="126" bestFit="1" customWidth="1"/>
    <col min="5638" max="5877" width="9.28515625" style="126" customWidth="1"/>
    <col min="5878" max="5878" width="5.28515625" style="126" bestFit="1" customWidth="1"/>
    <col min="5879" max="5879" width="22.42578125" style="126" bestFit="1" customWidth="1"/>
    <col min="5880" max="5880" width="12.42578125" style="126" bestFit="1" customWidth="1"/>
    <col min="5881" max="5882" width="11.42578125" style="126" bestFit="1" customWidth="1"/>
    <col min="5883" max="5885" width="15.42578125" style="126"/>
    <col min="5886" max="5886" width="5.28515625" style="126" bestFit="1" customWidth="1"/>
    <col min="5887" max="5887" width="34.42578125" style="126" customWidth="1"/>
    <col min="5888" max="5888" width="14" style="126" customWidth="1"/>
    <col min="5889" max="5889" width="13.42578125" style="126" customWidth="1"/>
    <col min="5890" max="5890" width="14.7109375" style="126" customWidth="1"/>
    <col min="5891" max="5891" width="18.42578125" style="126" bestFit="1" customWidth="1"/>
    <col min="5892" max="5892" width="22.42578125" style="126" customWidth="1"/>
    <col min="5893" max="5893" width="21.7109375" style="126" bestFit="1" customWidth="1"/>
    <col min="5894" max="6133" width="9.28515625" style="126" customWidth="1"/>
    <col min="6134" max="6134" width="5.28515625" style="126" bestFit="1" customWidth="1"/>
    <col min="6135" max="6135" width="22.42578125" style="126" bestFit="1" customWidth="1"/>
    <col min="6136" max="6136" width="12.42578125" style="126" bestFit="1" customWidth="1"/>
    <col min="6137" max="6138" width="11.42578125" style="126" bestFit="1" customWidth="1"/>
    <col min="6139" max="6141" width="15.42578125" style="126"/>
    <col min="6142" max="6142" width="5.28515625" style="126" bestFit="1" customWidth="1"/>
    <col min="6143" max="6143" width="34.42578125" style="126" customWidth="1"/>
    <col min="6144" max="6144" width="14" style="126" customWidth="1"/>
    <col min="6145" max="6145" width="13.42578125" style="126" customWidth="1"/>
    <col min="6146" max="6146" width="14.7109375" style="126" customWidth="1"/>
    <col min="6147" max="6147" width="18.42578125" style="126" bestFit="1" customWidth="1"/>
    <col min="6148" max="6148" width="22.42578125" style="126" customWidth="1"/>
    <col min="6149" max="6149" width="21.7109375" style="126" bestFit="1" customWidth="1"/>
    <col min="6150" max="6389" width="9.28515625" style="126" customWidth="1"/>
    <col min="6390" max="6390" width="5.28515625" style="126" bestFit="1" customWidth="1"/>
    <col min="6391" max="6391" width="22.42578125" style="126" bestFit="1" customWidth="1"/>
    <col min="6392" max="6392" width="12.42578125" style="126" bestFit="1" customWidth="1"/>
    <col min="6393" max="6394" width="11.42578125" style="126" bestFit="1" customWidth="1"/>
    <col min="6395" max="6397" width="15.42578125" style="126"/>
    <col min="6398" max="6398" width="5.28515625" style="126" bestFit="1" customWidth="1"/>
    <col min="6399" max="6399" width="34.42578125" style="126" customWidth="1"/>
    <col min="6400" max="6400" width="14" style="126" customWidth="1"/>
    <col min="6401" max="6401" width="13.42578125" style="126" customWidth="1"/>
    <col min="6402" max="6402" width="14.7109375" style="126" customWidth="1"/>
    <col min="6403" max="6403" width="18.42578125" style="126" bestFit="1" customWidth="1"/>
    <col min="6404" max="6404" width="22.42578125" style="126" customWidth="1"/>
    <col min="6405" max="6405" width="21.7109375" style="126" bestFit="1" customWidth="1"/>
    <col min="6406" max="6645" width="9.28515625" style="126" customWidth="1"/>
    <col min="6646" max="6646" width="5.28515625" style="126" bestFit="1" customWidth="1"/>
    <col min="6647" max="6647" width="22.42578125" style="126" bestFit="1" customWidth="1"/>
    <col min="6648" max="6648" width="12.42578125" style="126" bestFit="1" customWidth="1"/>
    <col min="6649" max="6650" width="11.42578125" style="126" bestFit="1" customWidth="1"/>
    <col min="6651" max="6653" width="15.42578125" style="126"/>
    <col min="6654" max="6654" width="5.28515625" style="126" bestFit="1" customWidth="1"/>
    <col min="6655" max="6655" width="34.42578125" style="126" customWidth="1"/>
    <col min="6656" max="6656" width="14" style="126" customWidth="1"/>
    <col min="6657" max="6657" width="13.42578125" style="126" customWidth="1"/>
    <col min="6658" max="6658" width="14.7109375" style="126" customWidth="1"/>
    <col min="6659" max="6659" width="18.42578125" style="126" bestFit="1" customWidth="1"/>
    <col min="6660" max="6660" width="22.42578125" style="126" customWidth="1"/>
    <col min="6661" max="6661" width="21.7109375" style="126" bestFit="1" customWidth="1"/>
    <col min="6662" max="6901" width="9.28515625" style="126" customWidth="1"/>
    <col min="6902" max="6902" width="5.28515625" style="126" bestFit="1" customWidth="1"/>
    <col min="6903" max="6903" width="22.42578125" style="126" bestFit="1" customWidth="1"/>
    <col min="6904" max="6904" width="12.42578125" style="126" bestFit="1" customWidth="1"/>
    <col min="6905" max="6906" width="11.42578125" style="126" bestFit="1" customWidth="1"/>
    <col min="6907" max="6909" width="15.42578125" style="126"/>
    <col min="6910" max="6910" width="5.28515625" style="126" bestFit="1" customWidth="1"/>
    <col min="6911" max="6911" width="34.42578125" style="126" customWidth="1"/>
    <col min="6912" max="6912" width="14" style="126" customWidth="1"/>
    <col min="6913" max="6913" width="13.42578125" style="126" customWidth="1"/>
    <col min="6914" max="6914" width="14.7109375" style="126" customWidth="1"/>
    <col min="6915" max="6915" width="18.42578125" style="126" bestFit="1" customWidth="1"/>
    <col min="6916" max="6916" width="22.42578125" style="126" customWidth="1"/>
    <col min="6917" max="6917" width="21.7109375" style="126" bestFit="1" customWidth="1"/>
    <col min="6918" max="7157" width="9.28515625" style="126" customWidth="1"/>
    <col min="7158" max="7158" width="5.28515625" style="126" bestFit="1" customWidth="1"/>
    <col min="7159" max="7159" width="22.42578125" style="126" bestFit="1" customWidth="1"/>
    <col min="7160" max="7160" width="12.42578125" style="126" bestFit="1" customWidth="1"/>
    <col min="7161" max="7162" width="11.42578125" style="126" bestFit="1" customWidth="1"/>
    <col min="7163" max="7165" width="15.42578125" style="126"/>
    <col min="7166" max="7166" width="5.28515625" style="126" bestFit="1" customWidth="1"/>
    <col min="7167" max="7167" width="34.42578125" style="126" customWidth="1"/>
    <col min="7168" max="7168" width="14" style="126" customWidth="1"/>
    <col min="7169" max="7169" width="13.42578125" style="126" customWidth="1"/>
    <col min="7170" max="7170" width="14.7109375" style="126" customWidth="1"/>
    <col min="7171" max="7171" width="18.42578125" style="126" bestFit="1" customWidth="1"/>
    <col min="7172" max="7172" width="22.42578125" style="126" customWidth="1"/>
    <col min="7173" max="7173" width="21.7109375" style="126" bestFit="1" customWidth="1"/>
    <col min="7174" max="7413" width="9.28515625" style="126" customWidth="1"/>
    <col min="7414" max="7414" width="5.28515625" style="126" bestFit="1" customWidth="1"/>
    <col min="7415" max="7415" width="22.42578125" style="126" bestFit="1" customWidth="1"/>
    <col min="7416" max="7416" width="12.42578125" style="126" bestFit="1" customWidth="1"/>
    <col min="7417" max="7418" width="11.42578125" style="126" bestFit="1" customWidth="1"/>
    <col min="7419" max="7421" width="15.42578125" style="126"/>
    <col min="7422" max="7422" width="5.28515625" style="126" bestFit="1" customWidth="1"/>
    <col min="7423" max="7423" width="34.42578125" style="126" customWidth="1"/>
    <col min="7424" max="7424" width="14" style="126" customWidth="1"/>
    <col min="7425" max="7425" width="13.42578125" style="126" customWidth="1"/>
    <col min="7426" max="7426" width="14.7109375" style="126" customWidth="1"/>
    <col min="7427" max="7427" width="18.42578125" style="126" bestFit="1" customWidth="1"/>
    <col min="7428" max="7428" width="22.42578125" style="126" customWidth="1"/>
    <col min="7429" max="7429" width="21.7109375" style="126" bestFit="1" customWidth="1"/>
    <col min="7430" max="7669" width="9.28515625" style="126" customWidth="1"/>
    <col min="7670" max="7670" width="5.28515625" style="126" bestFit="1" customWidth="1"/>
    <col min="7671" max="7671" width="22.42578125" style="126" bestFit="1" customWidth="1"/>
    <col min="7672" max="7672" width="12.42578125" style="126" bestFit="1" customWidth="1"/>
    <col min="7673" max="7674" width="11.42578125" style="126" bestFit="1" customWidth="1"/>
    <col min="7675" max="7677" width="15.42578125" style="126"/>
    <col min="7678" max="7678" width="5.28515625" style="126" bestFit="1" customWidth="1"/>
    <col min="7679" max="7679" width="34.42578125" style="126" customWidth="1"/>
    <col min="7680" max="7680" width="14" style="126" customWidth="1"/>
    <col min="7681" max="7681" width="13.42578125" style="126" customWidth="1"/>
    <col min="7682" max="7682" width="14.7109375" style="126" customWidth="1"/>
    <col min="7683" max="7683" width="18.42578125" style="126" bestFit="1" customWidth="1"/>
    <col min="7684" max="7684" width="22.42578125" style="126" customWidth="1"/>
    <col min="7685" max="7685" width="21.7109375" style="126" bestFit="1" customWidth="1"/>
    <col min="7686" max="7925" width="9.28515625" style="126" customWidth="1"/>
    <col min="7926" max="7926" width="5.28515625" style="126" bestFit="1" customWidth="1"/>
    <col min="7927" max="7927" width="22.42578125" style="126" bestFit="1" customWidth="1"/>
    <col min="7928" max="7928" width="12.42578125" style="126" bestFit="1" customWidth="1"/>
    <col min="7929" max="7930" width="11.42578125" style="126" bestFit="1" customWidth="1"/>
    <col min="7931" max="7933" width="15.42578125" style="126"/>
    <col min="7934" max="7934" width="5.28515625" style="126" bestFit="1" customWidth="1"/>
    <col min="7935" max="7935" width="34.42578125" style="126" customWidth="1"/>
    <col min="7936" max="7936" width="14" style="126" customWidth="1"/>
    <col min="7937" max="7937" width="13.42578125" style="126" customWidth="1"/>
    <col min="7938" max="7938" width="14.7109375" style="126" customWidth="1"/>
    <col min="7939" max="7939" width="18.42578125" style="126" bestFit="1" customWidth="1"/>
    <col min="7940" max="7940" width="22.42578125" style="126" customWidth="1"/>
    <col min="7941" max="7941" width="21.7109375" style="126" bestFit="1" customWidth="1"/>
    <col min="7942" max="8181" width="9.28515625" style="126" customWidth="1"/>
    <col min="8182" max="8182" width="5.28515625" style="126" bestFit="1" customWidth="1"/>
    <col min="8183" max="8183" width="22.42578125" style="126" bestFit="1" customWidth="1"/>
    <col min="8184" max="8184" width="12.42578125" style="126" bestFit="1" customWidth="1"/>
    <col min="8185" max="8186" width="11.42578125" style="126" bestFit="1" customWidth="1"/>
    <col min="8187" max="8189" width="15.42578125" style="126"/>
    <col min="8190" max="8190" width="5.28515625" style="126" bestFit="1" customWidth="1"/>
    <col min="8191" max="8191" width="34.42578125" style="126" customWidth="1"/>
    <col min="8192" max="8192" width="14" style="126" customWidth="1"/>
    <col min="8193" max="8193" width="13.42578125" style="126" customWidth="1"/>
    <col min="8194" max="8194" width="14.7109375" style="126" customWidth="1"/>
    <col min="8195" max="8195" width="18.42578125" style="126" bestFit="1" customWidth="1"/>
    <col min="8196" max="8196" width="22.42578125" style="126" customWidth="1"/>
    <col min="8197" max="8197" width="21.7109375" style="126" bestFit="1" customWidth="1"/>
    <col min="8198" max="8437" width="9.28515625" style="126" customWidth="1"/>
    <col min="8438" max="8438" width="5.28515625" style="126" bestFit="1" customWidth="1"/>
    <col min="8439" max="8439" width="22.42578125" style="126" bestFit="1" customWidth="1"/>
    <col min="8440" max="8440" width="12.42578125" style="126" bestFit="1" customWidth="1"/>
    <col min="8441" max="8442" width="11.42578125" style="126" bestFit="1" customWidth="1"/>
    <col min="8443" max="8445" width="15.42578125" style="126"/>
    <col min="8446" max="8446" width="5.28515625" style="126" bestFit="1" customWidth="1"/>
    <col min="8447" max="8447" width="34.42578125" style="126" customWidth="1"/>
    <col min="8448" max="8448" width="14" style="126" customWidth="1"/>
    <col min="8449" max="8449" width="13.42578125" style="126" customWidth="1"/>
    <col min="8450" max="8450" width="14.7109375" style="126" customWidth="1"/>
    <col min="8451" max="8451" width="18.42578125" style="126" bestFit="1" customWidth="1"/>
    <col min="8452" max="8452" width="22.42578125" style="126" customWidth="1"/>
    <col min="8453" max="8453" width="21.7109375" style="126" bestFit="1" customWidth="1"/>
    <col min="8454" max="8693" width="9.28515625" style="126" customWidth="1"/>
    <col min="8694" max="8694" width="5.28515625" style="126" bestFit="1" customWidth="1"/>
    <col min="8695" max="8695" width="22.42578125" style="126" bestFit="1" customWidth="1"/>
    <col min="8696" max="8696" width="12.42578125" style="126" bestFit="1" customWidth="1"/>
    <col min="8697" max="8698" width="11.42578125" style="126" bestFit="1" customWidth="1"/>
    <col min="8699" max="8701" width="15.42578125" style="126"/>
    <col min="8702" max="8702" width="5.28515625" style="126" bestFit="1" customWidth="1"/>
    <col min="8703" max="8703" width="34.42578125" style="126" customWidth="1"/>
    <col min="8704" max="8704" width="14" style="126" customWidth="1"/>
    <col min="8705" max="8705" width="13.42578125" style="126" customWidth="1"/>
    <col min="8706" max="8706" width="14.7109375" style="126" customWidth="1"/>
    <col min="8707" max="8707" width="18.42578125" style="126" bestFit="1" customWidth="1"/>
    <col min="8708" max="8708" width="22.42578125" style="126" customWidth="1"/>
    <col min="8709" max="8709" width="21.7109375" style="126" bestFit="1" customWidth="1"/>
    <col min="8710" max="8949" width="9.28515625" style="126" customWidth="1"/>
    <col min="8950" max="8950" width="5.28515625" style="126" bestFit="1" customWidth="1"/>
    <col min="8951" max="8951" width="22.42578125" style="126" bestFit="1" customWidth="1"/>
    <col min="8952" max="8952" width="12.42578125" style="126" bestFit="1" customWidth="1"/>
    <col min="8953" max="8954" width="11.42578125" style="126" bestFit="1" customWidth="1"/>
    <col min="8955" max="8957" width="15.42578125" style="126"/>
    <col min="8958" max="8958" width="5.28515625" style="126" bestFit="1" customWidth="1"/>
    <col min="8959" max="8959" width="34.42578125" style="126" customWidth="1"/>
    <col min="8960" max="8960" width="14" style="126" customWidth="1"/>
    <col min="8961" max="8961" width="13.42578125" style="126" customWidth="1"/>
    <col min="8962" max="8962" width="14.7109375" style="126" customWidth="1"/>
    <col min="8963" max="8963" width="18.42578125" style="126" bestFit="1" customWidth="1"/>
    <col min="8964" max="8964" width="22.42578125" style="126" customWidth="1"/>
    <col min="8965" max="8965" width="21.7109375" style="126" bestFit="1" customWidth="1"/>
    <col min="8966" max="9205" width="9.28515625" style="126" customWidth="1"/>
    <col min="9206" max="9206" width="5.28515625" style="126" bestFit="1" customWidth="1"/>
    <col min="9207" max="9207" width="22.42578125" style="126" bestFit="1" customWidth="1"/>
    <col min="9208" max="9208" width="12.42578125" style="126" bestFit="1" customWidth="1"/>
    <col min="9209" max="9210" width="11.42578125" style="126" bestFit="1" customWidth="1"/>
    <col min="9211" max="9213" width="15.42578125" style="126"/>
    <col min="9214" max="9214" width="5.28515625" style="126" bestFit="1" customWidth="1"/>
    <col min="9215" max="9215" width="34.42578125" style="126" customWidth="1"/>
    <col min="9216" max="9216" width="14" style="126" customWidth="1"/>
    <col min="9217" max="9217" width="13.42578125" style="126" customWidth="1"/>
    <col min="9218" max="9218" width="14.7109375" style="126" customWidth="1"/>
    <col min="9219" max="9219" width="18.42578125" style="126" bestFit="1" customWidth="1"/>
    <col min="9220" max="9220" width="22.42578125" style="126" customWidth="1"/>
    <col min="9221" max="9221" width="21.7109375" style="126" bestFit="1" customWidth="1"/>
    <col min="9222" max="9461" width="9.28515625" style="126" customWidth="1"/>
    <col min="9462" max="9462" width="5.28515625" style="126" bestFit="1" customWidth="1"/>
    <col min="9463" max="9463" width="22.42578125" style="126" bestFit="1" customWidth="1"/>
    <col min="9464" max="9464" width="12.42578125" style="126" bestFit="1" customWidth="1"/>
    <col min="9465" max="9466" width="11.42578125" style="126" bestFit="1" customWidth="1"/>
    <col min="9467" max="9469" width="15.42578125" style="126"/>
    <col min="9470" max="9470" width="5.28515625" style="126" bestFit="1" customWidth="1"/>
    <col min="9471" max="9471" width="34.42578125" style="126" customWidth="1"/>
    <col min="9472" max="9472" width="14" style="126" customWidth="1"/>
    <col min="9473" max="9473" width="13.42578125" style="126" customWidth="1"/>
    <col min="9474" max="9474" width="14.7109375" style="126" customWidth="1"/>
    <col min="9475" max="9475" width="18.42578125" style="126" bestFit="1" customWidth="1"/>
    <col min="9476" max="9476" width="22.42578125" style="126" customWidth="1"/>
    <col min="9477" max="9477" width="21.7109375" style="126" bestFit="1" customWidth="1"/>
    <col min="9478" max="9717" width="9.28515625" style="126" customWidth="1"/>
    <col min="9718" max="9718" width="5.28515625" style="126" bestFit="1" customWidth="1"/>
    <col min="9719" max="9719" width="22.42578125" style="126" bestFit="1" customWidth="1"/>
    <col min="9720" max="9720" width="12.42578125" style="126" bestFit="1" customWidth="1"/>
    <col min="9721" max="9722" width="11.42578125" style="126" bestFit="1" customWidth="1"/>
    <col min="9723" max="9725" width="15.42578125" style="126"/>
    <col min="9726" max="9726" width="5.28515625" style="126" bestFit="1" customWidth="1"/>
    <col min="9727" max="9727" width="34.42578125" style="126" customWidth="1"/>
    <col min="9728" max="9728" width="14" style="126" customWidth="1"/>
    <col min="9729" max="9729" width="13.42578125" style="126" customWidth="1"/>
    <col min="9730" max="9730" width="14.7109375" style="126" customWidth="1"/>
    <col min="9731" max="9731" width="18.42578125" style="126" bestFit="1" customWidth="1"/>
    <col min="9732" max="9732" width="22.42578125" style="126" customWidth="1"/>
    <col min="9733" max="9733" width="21.7109375" style="126" bestFit="1" customWidth="1"/>
    <col min="9734" max="9973" width="9.28515625" style="126" customWidth="1"/>
    <col min="9974" max="9974" width="5.28515625" style="126" bestFit="1" customWidth="1"/>
    <col min="9975" max="9975" width="22.42578125" style="126" bestFit="1" customWidth="1"/>
    <col min="9976" max="9976" width="12.42578125" style="126" bestFit="1" customWidth="1"/>
    <col min="9977" max="9978" width="11.42578125" style="126" bestFit="1" customWidth="1"/>
    <col min="9979" max="9981" width="15.42578125" style="126"/>
    <col min="9982" max="9982" width="5.28515625" style="126" bestFit="1" customWidth="1"/>
    <col min="9983" max="9983" width="34.42578125" style="126" customWidth="1"/>
    <col min="9984" max="9984" width="14" style="126" customWidth="1"/>
    <col min="9985" max="9985" width="13.42578125" style="126" customWidth="1"/>
    <col min="9986" max="9986" width="14.7109375" style="126" customWidth="1"/>
    <col min="9987" max="9987" width="18.42578125" style="126" bestFit="1" customWidth="1"/>
    <col min="9988" max="9988" width="22.42578125" style="126" customWidth="1"/>
    <col min="9989" max="9989" width="21.7109375" style="126" bestFit="1" customWidth="1"/>
    <col min="9990" max="10229" width="9.28515625" style="126" customWidth="1"/>
    <col min="10230" max="10230" width="5.28515625" style="126" bestFit="1" customWidth="1"/>
    <col min="10231" max="10231" width="22.42578125" style="126" bestFit="1" customWidth="1"/>
    <col min="10232" max="10232" width="12.42578125" style="126" bestFit="1" customWidth="1"/>
    <col min="10233" max="10234" width="11.42578125" style="126" bestFit="1" customWidth="1"/>
    <col min="10235" max="10237" width="15.42578125" style="126"/>
    <col min="10238" max="10238" width="5.28515625" style="126" bestFit="1" customWidth="1"/>
    <col min="10239" max="10239" width="34.42578125" style="126" customWidth="1"/>
    <col min="10240" max="10240" width="14" style="126" customWidth="1"/>
    <col min="10241" max="10241" width="13.42578125" style="126" customWidth="1"/>
    <col min="10242" max="10242" width="14.7109375" style="126" customWidth="1"/>
    <col min="10243" max="10243" width="18.42578125" style="126" bestFit="1" customWidth="1"/>
    <col min="10244" max="10244" width="22.42578125" style="126" customWidth="1"/>
    <col min="10245" max="10245" width="21.7109375" style="126" bestFit="1" customWidth="1"/>
    <col min="10246" max="10485" width="9.28515625" style="126" customWidth="1"/>
    <col min="10486" max="10486" width="5.28515625" style="126" bestFit="1" customWidth="1"/>
    <col min="10487" max="10487" width="22.42578125" style="126" bestFit="1" customWidth="1"/>
    <col min="10488" max="10488" width="12.42578125" style="126" bestFit="1" customWidth="1"/>
    <col min="10489" max="10490" width="11.42578125" style="126" bestFit="1" customWidth="1"/>
    <col min="10491" max="10493" width="15.42578125" style="126"/>
    <col min="10494" max="10494" width="5.28515625" style="126" bestFit="1" customWidth="1"/>
    <col min="10495" max="10495" width="34.42578125" style="126" customWidth="1"/>
    <col min="10496" max="10496" width="14" style="126" customWidth="1"/>
    <col min="10497" max="10497" width="13.42578125" style="126" customWidth="1"/>
    <col min="10498" max="10498" width="14.7109375" style="126" customWidth="1"/>
    <col min="10499" max="10499" width="18.42578125" style="126" bestFit="1" customWidth="1"/>
    <col min="10500" max="10500" width="22.42578125" style="126" customWidth="1"/>
    <col min="10501" max="10501" width="21.7109375" style="126" bestFit="1" customWidth="1"/>
    <col min="10502" max="10741" width="9.28515625" style="126" customWidth="1"/>
    <col min="10742" max="10742" width="5.28515625" style="126" bestFit="1" customWidth="1"/>
    <col min="10743" max="10743" width="22.42578125" style="126" bestFit="1" customWidth="1"/>
    <col min="10744" max="10744" width="12.42578125" style="126" bestFit="1" customWidth="1"/>
    <col min="10745" max="10746" width="11.42578125" style="126" bestFit="1" customWidth="1"/>
    <col min="10747" max="10749" width="15.42578125" style="126"/>
    <col min="10750" max="10750" width="5.28515625" style="126" bestFit="1" customWidth="1"/>
    <col min="10751" max="10751" width="34.42578125" style="126" customWidth="1"/>
    <col min="10752" max="10752" width="14" style="126" customWidth="1"/>
    <col min="10753" max="10753" width="13.42578125" style="126" customWidth="1"/>
    <col min="10754" max="10754" width="14.7109375" style="126" customWidth="1"/>
    <col min="10755" max="10755" width="18.42578125" style="126" bestFit="1" customWidth="1"/>
    <col min="10756" max="10756" width="22.42578125" style="126" customWidth="1"/>
    <col min="10757" max="10757" width="21.7109375" style="126" bestFit="1" customWidth="1"/>
    <col min="10758" max="10997" width="9.28515625" style="126" customWidth="1"/>
    <col min="10998" max="10998" width="5.28515625" style="126" bestFit="1" customWidth="1"/>
    <col min="10999" max="10999" width="22.42578125" style="126" bestFit="1" customWidth="1"/>
    <col min="11000" max="11000" width="12.42578125" style="126" bestFit="1" customWidth="1"/>
    <col min="11001" max="11002" width="11.42578125" style="126" bestFit="1" customWidth="1"/>
    <col min="11003" max="11005" width="15.42578125" style="126"/>
    <col min="11006" max="11006" width="5.28515625" style="126" bestFit="1" customWidth="1"/>
    <col min="11007" max="11007" width="34.42578125" style="126" customWidth="1"/>
    <col min="11008" max="11008" width="14" style="126" customWidth="1"/>
    <col min="11009" max="11009" width="13.42578125" style="126" customWidth="1"/>
    <col min="11010" max="11010" width="14.7109375" style="126" customWidth="1"/>
    <col min="11011" max="11011" width="18.42578125" style="126" bestFit="1" customWidth="1"/>
    <col min="11012" max="11012" width="22.42578125" style="126" customWidth="1"/>
    <col min="11013" max="11013" width="21.7109375" style="126" bestFit="1" customWidth="1"/>
    <col min="11014" max="11253" width="9.28515625" style="126" customWidth="1"/>
    <col min="11254" max="11254" width="5.28515625" style="126" bestFit="1" customWidth="1"/>
    <col min="11255" max="11255" width="22.42578125" style="126" bestFit="1" customWidth="1"/>
    <col min="11256" max="11256" width="12.42578125" style="126" bestFit="1" customWidth="1"/>
    <col min="11257" max="11258" width="11.42578125" style="126" bestFit="1" customWidth="1"/>
    <col min="11259" max="11261" width="15.42578125" style="126"/>
    <col min="11262" max="11262" width="5.28515625" style="126" bestFit="1" customWidth="1"/>
    <col min="11263" max="11263" width="34.42578125" style="126" customWidth="1"/>
    <col min="11264" max="11264" width="14" style="126" customWidth="1"/>
    <col min="11265" max="11265" width="13.42578125" style="126" customWidth="1"/>
    <col min="11266" max="11266" width="14.7109375" style="126" customWidth="1"/>
    <col min="11267" max="11267" width="18.42578125" style="126" bestFit="1" customWidth="1"/>
    <col min="11268" max="11268" width="22.42578125" style="126" customWidth="1"/>
    <col min="11269" max="11269" width="21.7109375" style="126" bestFit="1" customWidth="1"/>
    <col min="11270" max="11509" width="9.28515625" style="126" customWidth="1"/>
    <col min="11510" max="11510" width="5.28515625" style="126" bestFit="1" customWidth="1"/>
    <col min="11511" max="11511" width="22.42578125" style="126" bestFit="1" customWidth="1"/>
    <col min="11512" max="11512" width="12.42578125" style="126" bestFit="1" customWidth="1"/>
    <col min="11513" max="11514" width="11.42578125" style="126" bestFit="1" customWidth="1"/>
    <col min="11515" max="11517" width="15.42578125" style="126"/>
    <col min="11518" max="11518" width="5.28515625" style="126" bestFit="1" customWidth="1"/>
    <col min="11519" max="11519" width="34.42578125" style="126" customWidth="1"/>
    <col min="11520" max="11520" width="14" style="126" customWidth="1"/>
    <col min="11521" max="11521" width="13.42578125" style="126" customWidth="1"/>
    <col min="11522" max="11522" width="14.7109375" style="126" customWidth="1"/>
    <col min="11523" max="11523" width="18.42578125" style="126" bestFit="1" customWidth="1"/>
    <col min="11524" max="11524" width="22.42578125" style="126" customWidth="1"/>
    <col min="11525" max="11525" width="21.7109375" style="126" bestFit="1" customWidth="1"/>
    <col min="11526" max="11765" width="9.28515625" style="126" customWidth="1"/>
    <col min="11766" max="11766" width="5.28515625" style="126" bestFit="1" customWidth="1"/>
    <col min="11767" max="11767" width="22.42578125" style="126" bestFit="1" customWidth="1"/>
    <col min="11768" max="11768" width="12.42578125" style="126" bestFit="1" customWidth="1"/>
    <col min="11769" max="11770" width="11.42578125" style="126" bestFit="1" customWidth="1"/>
    <col min="11771" max="11773" width="15.42578125" style="126"/>
    <col min="11774" max="11774" width="5.28515625" style="126" bestFit="1" customWidth="1"/>
    <col min="11775" max="11775" width="34.42578125" style="126" customWidth="1"/>
    <col min="11776" max="11776" width="14" style="126" customWidth="1"/>
    <col min="11777" max="11777" width="13.42578125" style="126" customWidth="1"/>
    <col min="11778" max="11778" width="14.7109375" style="126" customWidth="1"/>
    <col min="11779" max="11779" width="18.42578125" style="126" bestFit="1" customWidth="1"/>
    <col min="11780" max="11780" width="22.42578125" style="126" customWidth="1"/>
    <col min="11781" max="11781" width="21.7109375" style="126" bestFit="1" customWidth="1"/>
    <col min="11782" max="12021" width="9.28515625" style="126" customWidth="1"/>
    <col min="12022" max="12022" width="5.28515625" style="126" bestFit="1" customWidth="1"/>
    <col min="12023" max="12023" width="22.42578125" style="126" bestFit="1" customWidth="1"/>
    <col min="12024" max="12024" width="12.42578125" style="126" bestFit="1" customWidth="1"/>
    <col min="12025" max="12026" width="11.42578125" style="126" bestFit="1" customWidth="1"/>
    <col min="12027" max="12029" width="15.42578125" style="126"/>
    <col min="12030" max="12030" width="5.28515625" style="126" bestFit="1" customWidth="1"/>
    <col min="12031" max="12031" width="34.42578125" style="126" customWidth="1"/>
    <col min="12032" max="12032" width="14" style="126" customWidth="1"/>
    <col min="12033" max="12033" width="13.42578125" style="126" customWidth="1"/>
    <col min="12034" max="12034" width="14.7109375" style="126" customWidth="1"/>
    <col min="12035" max="12035" width="18.42578125" style="126" bestFit="1" customWidth="1"/>
    <col min="12036" max="12036" width="22.42578125" style="126" customWidth="1"/>
    <col min="12037" max="12037" width="21.7109375" style="126" bestFit="1" customWidth="1"/>
    <col min="12038" max="12277" width="9.28515625" style="126" customWidth="1"/>
    <col min="12278" max="12278" width="5.28515625" style="126" bestFit="1" customWidth="1"/>
    <col min="12279" max="12279" width="22.42578125" style="126" bestFit="1" customWidth="1"/>
    <col min="12280" max="12280" width="12.42578125" style="126" bestFit="1" customWidth="1"/>
    <col min="12281" max="12282" width="11.42578125" style="126" bestFit="1" customWidth="1"/>
    <col min="12283" max="12285" width="15.42578125" style="126"/>
    <col min="12286" max="12286" width="5.28515625" style="126" bestFit="1" customWidth="1"/>
    <col min="12287" max="12287" width="34.42578125" style="126" customWidth="1"/>
    <col min="12288" max="12288" width="14" style="126" customWidth="1"/>
    <col min="12289" max="12289" width="13.42578125" style="126" customWidth="1"/>
    <col min="12290" max="12290" width="14.7109375" style="126" customWidth="1"/>
    <col min="12291" max="12291" width="18.42578125" style="126" bestFit="1" customWidth="1"/>
    <col min="12292" max="12292" width="22.42578125" style="126" customWidth="1"/>
    <col min="12293" max="12293" width="21.7109375" style="126" bestFit="1" customWidth="1"/>
    <col min="12294" max="12533" width="9.28515625" style="126" customWidth="1"/>
    <col min="12534" max="12534" width="5.28515625" style="126" bestFit="1" customWidth="1"/>
    <col min="12535" max="12535" width="22.42578125" style="126" bestFit="1" customWidth="1"/>
    <col min="12536" max="12536" width="12.42578125" style="126" bestFit="1" customWidth="1"/>
    <col min="12537" max="12538" width="11.42578125" style="126" bestFit="1" customWidth="1"/>
    <col min="12539" max="12541" width="15.42578125" style="126"/>
    <col min="12542" max="12542" width="5.28515625" style="126" bestFit="1" customWidth="1"/>
    <col min="12543" max="12543" width="34.42578125" style="126" customWidth="1"/>
    <col min="12544" max="12544" width="14" style="126" customWidth="1"/>
    <col min="12545" max="12545" width="13.42578125" style="126" customWidth="1"/>
    <col min="12546" max="12546" width="14.7109375" style="126" customWidth="1"/>
    <col min="12547" max="12547" width="18.42578125" style="126" bestFit="1" customWidth="1"/>
    <col min="12548" max="12548" width="22.42578125" style="126" customWidth="1"/>
    <col min="12549" max="12549" width="21.7109375" style="126" bestFit="1" customWidth="1"/>
    <col min="12550" max="12789" width="9.28515625" style="126" customWidth="1"/>
    <col min="12790" max="12790" width="5.28515625" style="126" bestFit="1" customWidth="1"/>
    <col min="12791" max="12791" width="22.42578125" style="126" bestFit="1" customWidth="1"/>
    <col min="12792" max="12792" width="12.42578125" style="126" bestFit="1" customWidth="1"/>
    <col min="12793" max="12794" width="11.42578125" style="126" bestFit="1" customWidth="1"/>
    <col min="12795" max="12797" width="15.42578125" style="126"/>
    <col min="12798" max="12798" width="5.28515625" style="126" bestFit="1" customWidth="1"/>
    <col min="12799" max="12799" width="34.42578125" style="126" customWidth="1"/>
    <col min="12800" max="12800" width="14" style="126" customWidth="1"/>
    <col min="12801" max="12801" width="13.42578125" style="126" customWidth="1"/>
    <col min="12802" max="12802" width="14.7109375" style="126" customWidth="1"/>
    <col min="12803" max="12803" width="18.42578125" style="126" bestFit="1" customWidth="1"/>
    <col min="12804" max="12804" width="22.42578125" style="126" customWidth="1"/>
    <col min="12805" max="12805" width="21.7109375" style="126" bestFit="1" customWidth="1"/>
    <col min="12806" max="13045" width="9.28515625" style="126" customWidth="1"/>
    <col min="13046" max="13046" width="5.28515625" style="126" bestFit="1" customWidth="1"/>
    <col min="13047" max="13047" width="22.42578125" style="126" bestFit="1" customWidth="1"/>
    <col min="13048" max="13048" width="12.42578125" style="126" bestFit="1" customWidth="1"/>
    <col min="13049" max="13050" width="11.42578125" style="126" bestFit="1" customWidth="1"/>
    <col min="13051" max="13053" width="15.42578125" style="126"/>
    <col min="13054" max="13054" width="5.28515625" style="126" bestFit="1" customWidth="1"/>
    <col min="13055" max="13055" width="34.42578125" style="126" customWidth="1"/>
    <col min="13056" max="13056" width="14" style="126" customWidth="1"/>
    <col min="13057" max="13057" width="13.42578125" style="126" customWidth="1"/>
    <col min="13058" max="13058" width="14.7109375" style="126" customWidth="1"/>
    <col min="13059" max="13059" width="18.42578125" style="126" bestFit="1" customWidth="1"/>
    <col min="13060" max="13060" width="22.42578125" style="126" customWidth="1"/>
    <col min="13061" max="13061" width="21.7109375" style="126" bestFit="1" customWidth="1"/>
    <col min="13062" max="13301" width="9.28515625" style="126" customWidth="1"/>
    <col min="13302" max="13302" width="5.28515625" style="126" bestFit="1" customWidth="1"/>
    <col min="13303" max="13303" width="22.42578125" style="126" bestFit="1" customWidth="1"/>
    <col min="13304" max="13304" width="12.42578125" style="126" bestFit="1" customWidth="1"/>
    <col min="13305" max="13306" width="11.42578125" style="126" bestFit="1" customWidth="1"/>
    <col min="13307" max="13309" width="15.42578125" style="126"/>
    <col min="13310" max="13310" width="5.28515625" style="126" bestFit="1" customWidth="1"/>
    <col min="13311" max="13311" width="34.42578125" style="126" customWidth="1"/>
    <col min="13312" max="13312" width="14" style="126" customWidth="1"/>
    <col min="13313" max="13313" width="13.42578125" style="126" customWidth="1"/>
    <col min="13314" max="13314" width="14.7109375" style="126" customWidth="1"/>
    <col min="13315" max="13315" width="18.42578125" style="126" bestFit="1" customWidth="1"/>
    <col min="13316" max="13316" width="22.42578125" style="126" customWidth="1"/>
    <col min="13317" max="13317" width="21.7109375" style="126" bestFit="1" customWidth="1"/>
    <col min="13318" max="13557" width="9.28515625" style="126" customWidth="1"/>
    <col min="13558" max="13558" width="5.28515625" style="126" bestFit="1" customWidth="1"/>
    <col min="13559" max="13559" width="22.42578125" style="126" bestFit="1" customWidth="1"/>
    <col min="13560" max="13560" width="12.42578125" style="126" bestFit="1" customWidth="1"/>
    <col min="13561" max="13562" width="11.42578125" style="126" bestFit="1" customWidth="1"/>
    <col min="13563" max="13565" width="15.42578125" style="126"/>
    <col min="13566" max="13566" width="5.28515625" style="126" bestFit="1" customWidth="1"/>
    <col min="13567" max="13567" width="34.42578125" style="126" customWidth="1"/>
    <col min="13568" max="13568" width="14" style="126" customWidth="1"/>
    <col min="13569" max="13569" width="13.42578125" style="126" customWidth="1"/>
    <col min="13570" max="13570" width="14.7109375" style="126" customWidth="1"/>
    <col min="13571" max="13571" width="18.42578125" style="126" bestFit="1" customWidth="1"/>
    <col min="13572" max="13572" width="22.42578125" style="126" customWidth="1"/>
    <col min="13573" max="13573" width="21.7109375" style="126" bestFit="1" customWidth="1"/>
    <col min="13574" max="13813" width="9.28515625" style="126" customWidth="1"/>
    <col min="13814" max="13814" width="5.28515625" style="126" bestFit="1" customWidth="1"/>
    <col min="13815" max="13815" width="22.42578125" style="126" bestFit="1" customWidth="1"/>
    <col min="13816" max="13816" width="12.42578125" style="126" bestFit="1" customWidth="1"/>
    <col min="13817" max="13818" width="11.42578125" style="126" bestFit="1" customWidth="1"/>
    <col min="13819" max="13821" width="15.42578125" style="126"/>
    <col min="13822" max="13822" width="5.28515625" style="126" bestFit="1" customWidth="1"/>
    <col min="13823" max="13823" width="34.42578125" style="126" customWidth="1"/>
    <col min="13824" max="13824" width="14" style="126" customWidth="1"/>
    <col min="13825" max="13825" width="13.42578125" style="126" customWidth="1"/>
    <col min="13826" max="13826" width="14.7109375" style="126" customWidth="1"/>
    <col min="13827" max="13827" width="18.42578125" style="126" bestFit="1" customWidth="1"/>
    <col min="13828" max="13828" width="22.42578125" style="126" customWidth="1"/>
    <col min="13829" max="13829" width="21.7109375" style="126" bestFit="1" customWidth="1"/>
    <col min="13830" max="14069" width="9.28515625" style="126" customWidth="1"/>
    <col min="14070" max="14070" width="5.28515625" style="126" bestFit="1" customWidth="1"/>
    <col min="14071" max="14071" width="22.42578125" style="126" bestFit="1" customWidth="1"/>
    <col min="14072" max="14072" width="12.42578125" style="126" bestFit="1" customWidth="1"/>
    <col min="14073" max="14074" width="11.42578125" style="126" bestFit="1" customWidth="1"/>
    <col min="14075" max="14077" width="15.42578125" style="126"/>
    <col min="14078" max="14078" width="5.28515625" style="126" bestFit="1" customWidth="1"/>
    <col min="14079" max="14079" width="34.42578125" style="126" customWidth="1"/>
    <col min="14080" max="14080" width="14" style="126" customWidth="1"/>
    <col min="14081" max="14081" width="13.42578125" style="126" customWidth="1"/>
    <col min="14082" max="14082" width="14.7109375" style="126" customWidth="1"/>
    <col min="14083" max="14083" width="18.42578125" style="126" bestFit="1" customWidth="1"/>
    <col min="14084" max="14084" width="22.42578125" style="126" customWidth="1"/>
    <col min="14085" max="14085" width="21.7109375" style="126" bestFit="1" customWidth="1"/>
    <col min="14086" max="14325" width="9.28515625" style="126" customWidth="1"/>
    <col min="14326" max="14326" width="5.28515625" style="126" bestFit="1" customWidth="1"/>
    <col min="14327" max="14327" width="22.42578125" style="126" bestFit="1" customWidth="1"/>
    <col min="14328" max="14328" width="12.42578125" style="126" bestFit="1" customWidth="1"/>
    <col min="14329" max="14330" width="11.42578125" style="126" bestFit="1" customWidth="1"/>
    <col min="14331" max="14333" width="15.42578125" style="126"/>
    <col min="14334" max="14334" width="5.28515625" style="126" bestFit="1" customWidth="1"/>
    <col min="14335" max="14335" width="34.42578125" style="126" customWidth="1"/>
    <col min="14336" max="14336" width="14" style="126" customWidth="1"/>
    <col min="14337" max="14337" width="13.42578125" style="126" customWidth="1"/>
    <col min="14338" max="14338" width="14.7109375" style="126" customWidth="1"/>
    <col min="14339" max="14339" width="18.42578125" style="126" bestFit="1" customWidth="1"/>
    <col min="14340" max="14340" width="22.42578125" style="126" customWidth="1"/>
    <col min="14341" max="14341" width="21.7109375" style="126" bestFit="1" customWidth="1"/>
    <col min="14342" max="14581" width="9.28515625" style="126" customWidth="1"/>
    <col min="14582" max="14582" width="5.28515625" style="126" bestFit="1" customWidth="1"/>
    <col min="14583" max="14583" width="22.42578125" style="126" bestFit="1" customWidth="1"/>
    <col min="14584" max="14584" width="12.42578125" style="126" bestFit="1" customWidth="1"/>
    <col min="14585" max="14586" width="11.42578125" style="126" bestFit="1" customWidth="1"/>
    <col min="14587" max="14589" width="15.42578125" style="126"/>
    <col min="14590" max="14590" width="5.28515625" style="126" bestFit="1" customWidth="1"/>
    <col min="14591" max="14591" width="34.42578125" style="126" customWidth="1"/>
    <col min="14592" max="14592" width="14" style="126" customWidth="1"/>
    <col min="14593" max="14593" width="13.42578125" style="126" customWidth="1"/>
    <col min="14594" max="14594" width="14.7109375" style="126" customWidth="1"/>
    <col min="14595" max="14595" width="18.42578125" style="126" bestFit="1" customWidth="1"/>
    <col min="14596" max="14596" width="22.42578125" style="126" customWidth="1"/>
    <col min="14597" max="14597" width="21.7109375" style="126" bestFit="1" customWidth="1"/>
    <col min="14598" max="14837" width="9.28515625" style="126" customWidth="1"/>
    <col min="14838" max="14838" width="5.28515625" style="126" bestFit="1" customWidth="1"/>
    <col min="14839" max="14839" width="22.42578125" style="126" bestFit="1" customWidth="1"/>
    <col min="14840" max="14840" width="12.42578125" style="126" bestFit="1" customWidth="1"/>
    <col min="14841" max="14842" width="11.42578125" style="126" bestFit="1" customWidth="1"/>
    <col min="14843" max="14845" width="15.42578125" style="126"/>
    <col min="14846" max="14846" width="5.28515625" style="126" bestFit="1" customWidth="1"/>
    <col min="14847" max="14847" width="34.42578125" style="126" customWidth="1"/>
    <col min="14848" max="14848" width="14" style="126" customWidth="1"/>
    <col min="14849" max="14849" width="13.42578125" style="126" customWidth="1"/>
    <col min="14850" max="14850" width="14.7109375" style="126" customWidth="1"/>
    <col min="14851" max="14851" width="18.42578125" style="126" bestFit="1" customWidth="1"/>
    <col min="14852" max="14852" width="22.42578125" style="126" customWidth="1"/>
    <col min="14853" max="14853" width="21.7109375" style="126" bestFit="1" customWidth="1"/>
    <col min="14854" max="15093" width="9.28515625" style="126" customWidth="1"/>
    <col min="15094" max="15094" width="5.28515625" style="126" bestFit="1" customWidth="1"/>
    <col min="15095" max="15095" width="22.42578125" style="126" bestFit="1" customWidth="1"/>
    <col min="15096" max="15096" width="12.42578125" style="126" bestFit="1" customWidth="1"/>
    <col min="15097" max="15098" width="11.42578125" style="126" bestFit="1" customWidth="1"/>
    <col min="15099" max="15101" width="15.42578125" style="126"/>
    <col min="15102" max="15102" width="5.28515625" style="126" bestFit="1" customWidth="1"/>
    <col min="15103" max="15103" width="34.42578125" style="126" customWidth="1"/>
    <col min="15104" max="15104" width="14" style="126" customWidth="1"/>
    <col min="15105" max="15105" width="13.42578125" style="126" customWidth="1"/>
    <col min="15106" max="15106" width="14.7109375" style="126" customWidth="1"/>
    <col min="15107" max="15107" width="18.42578125" style="126" bestFit="1" customWidth="1"/>
    <col min="15108" max="15108" width="22.42578125" style="126" customWidth="1"/>
    <col min="15109" max="15109" width="21.7109375" style="126" bestFit="1" customWidth="1"/>
    <col min="15110" max="15349" width="9.28515625" style="126" customWidth="1"/>
    <col min="15350" max="15350" width="5.28515625" style="126" bestFit="1" customWidth="1"/>
    <col min="15351" max="15351" width="22.42578125" style="126" bestFit="1" customWidth="1"/>
    <col min="15352" max="15352" width="12.42578125" style="126" bestFit="1" customWidth="1"/>
    <col min="15353" max="15354" width="11.42578125" style="126" bestFit="1" customWidth="1"/>
    <col min="15355" max="15357" width="15.42578125" style="126"/>
    <col min="15358" max="15358" width="5.28515625" style="126" bestFit="1" customWidth="1"/>
    <col min="15359" max="15359" width="34.42578125" style="126" customWidth="1"/>
    <col min="15360" max="15360" width="14" style="126" customWidth="1"/>
    <col min="15361" max="15361" width="13.42578125" style="126" customWidth="1"/>
    <col min="15362" max="15362" width="14.7109375" style="126" customWidth="1"/>
    <col min="15363" max="15363" width="18.42578125" style="126" bestFit="1" customWidth="1"/>
    <col min="15364" max="15364" width="22.42578125" style="126" customWidth="1"/>
    <col min="15365" max="15365" width="21.7109375" style="126" bestFit="1" customWidth="1"/>
    <col min="15366" max="15605" width="9.28515625" style="126" customWidth="1"/>
    <col min="15606" max="15606" width="5.28515625" style="126" bestFit="1" customWidth="1"/>
    <col min="15607" max="15607" width="22.42578125" style="126" bestFit="1" customWidth="1"/>
    <col min="15608" max="15608" width="12.42578125" style="126" bestFit="1" customWidth="1"/>
    <col min="15609" max="15610" width="11.42578125" style="126" bestFit="1" customWidth="1"/>
    <col min="15611" max="15613" width="15.42578125" style="126"/>
    <col min="15614" max="15614" width="5.28515625" style="126" bestFit="1" customWidth="1"/>
    <col min="15615" max="15615" width="34.42578125" style="126" customWidth="1"/>
    <col min="15616" max="15616" width="14" style="126" customWidth="1"/>
    <col min="15617" max="15617" width="13.42578125" style="126" customWidth="1"/>
    <col min="15618" max="15618" width="14.7109375" style="126" customWidth="1"/>
    <col min="15619" max="15619" width="18.42578125" style="126" bestFit="1" customWidth="1"/>
    <col min="15620" max="15620" width="22.42578125" style="126" customWidth="1"/>
    <col min="15621" max="15621" width="21.7109375" style="126" bestFit="1" customWidth="1"/>
    <col min="15622" max="15861" width="9.28515625" style="126" customWidth="1"/>
    <col min="15862" max="15862" width="5.28515625" style="126" bestFit="1" customWidth="1"/>
    <col min="15863" max="15863" width="22.42578125" style="126" bestFit="1" customWidth="1"/>
    <col min="15864" max="15864" width="12.42578125" style="126" bestFit="1" customWidth="1"/>
    <col min="15865" max="15866" width="11.42578125" style="126" bestFit="1" customWidth="1"/>
    <col min="15867" max="15869" width="15.42578125" style="126"/>
    <col min="15870" max="15870" width="5.28515625" style="126" bestFit="1" customWidth="1"/>
    <col min="15871" max="15871" width="34.42578125" style="126" customWidth="1"/>
    <col min="15872" max="15872" width="14" style="126" customWidth="1"/>
    <col min="15873" max="15873" width="13.42578125" style="126" customWidth="1"/>
    <col min="15874" max="15874" width="14.7109375" style="126" customWidth="1"/>
    <col min="15875" max="15875" width="18.42578125" style="126" bestFit="1" customWidth="1"/>
    <col min="15876" max="15876" width="22.42578125" style="126" customWidth="1"/>
    <col min="15877" max="15877" width="21.7109375" style="126" bestFit="1" customWidth="1"/>
    <col min="15878" max="16117" width="9.28515625" style="126" customWidth="1"/>
    <col min="16118" max="16118" width="5.28515625" style="126" bestFit="1" customWidth="1"/>
    <col min="16119" max="16119" width="22.42578125" style="126" bestFit="1" customWidth="1"/>
    <col min="16120" max="16120" width="12.42578125" style="126" bestFit="1" customWidth="1"/>
    <col min="16121" max="16122" width="11.42578125" style="126" bestFit="1" customWidth="1"/>
    <col min="16123" max="16125" width="15.42578125" style="126"/>
    <col min="16126" max="16126" width="5.28515625" style="126" bestFit="1" customWidth="1"/>
    <col min="16127" max="16127" width="34.42578125" style="126" customWidth="1"/>
    <col min="16128" max="16128" width="14" style="126" customWidth="1"/>
    <col min="16129" max="16129" width="13.42578125" style="126" customWidth="1"/>
    <col min="16130" max="16130" width="14.7109375" style="126" customWidth="1"/>
    <col min="16131" max="16131" width="18.42578125" style="126" bestFit="1" customWidth="1"/>
    <col min="16132" max="16132" width="22.42578125" style="126" customWidth="1"/>
    <col min="16133" max="16133" width="21.7109375" style="126" bestFit="1" customWidth="1"/>
    <col min="16134" max="16373" width="9.28515625" style="126" customWidth="1"/>
    <col min="16374" max="16374" width="5.28515625" style="126" bestFit="1" customWidth="1"/>
    <col min="16375" max="16375" width="22.42578125" style="126" bestFit="1" customWidth="1"/>
    <col min="16376" max="16376" width="12.42578125" style="126" bestFit="1" customWidth="1"/>
    <col min="16377" max="16378" width="11.42578125" style="126" bestFit="1" customWidth="1"/>
    <col min="16379" max="16384" width="15.42578125" style="126"/>
  </cols>
  <sheetData>
    <row r="1" spans="1:9" ht="31.5" customHeight="1">
      <c r="A1" s="394" t="s">
        <v>176</v>
      </c>
      <c r="B1" s="394"/>
      <c r="C1" s="394"/>
      <c r="D1" s="394"/>
      <c r="E1" s="394"/>
      <c r="F1" s="394"/>
      <c r="G1" s="394"/>
      <c r="H1" s="394"/>
    </row>
    <row r="2" spans="1:9">
      <c r="A2" s="168" t="s">
        <v>0</v>
      </c>
      <c r="B2" s="168" t="s">
        <v>177</v>
      </c>
      <c r="C2" s="169" t="s">
        <v>178</v>
      </c>
      <c r="D2" s="170" t="s">
        <v>179</v>
      </c>
      <c r="E2" s="170" t="s">
        <v>180</v>
      </c>
      <c r="F2" s="171" t="s">
        <v>181</v>
      </c>
      <c r="G2" s="171" t="s">
        <v>182</v>
      </c>
      <c r="H2" s="168" t="s">
        <v>54</v>
      </c>
      <c r="I2" s="168" t="s">
        <v>183</v>
      </c>
    </row>
    <row r="3" spans="1:9" s="127" customFormat="1" ht="23.25" customHeight="1">
      <c r="A3" s="172" t="s">
        <v>55</v>
      </c>
      <c r="B3" s="173" t="s">
        <v>184</v>
      </c>
      <c r="C3" s="174"/>
      <c r="D3" s="175"/>
      <c r="E3" s="176"/>
      <c r="F3" s="176">
        <f>F4</f>
        <v>180601544.86154231</v>
      </c>
      <c r="G3" s="177"/>
      <c r="H3" s="172"/>
      <c r="I3" s="173"/>
    </row>
    <row r="4" spans="1:9" s="127" customFormat="1">
      <c r="A4" s="178">
        <v>1</v>
      </c>
      <c r="B4" s="179" t="s">
        <v>185</v>
      </c>
      <c r="C4" s="180" t="s">
        <v>186</v>
      </c>
      <c r="D4" s="181"/>
      <c r="E4" s="182"/>
      <c r="F4" s="182">
        <f>F5</f>
        <v>180601544.86154231</v>
      </c>
      <c r="G4" s="395"/>
      <c r="H4" s="178"/>
      <c r="I4" s="179"/>
    </row>
    <row r="5" spans="1:9" s="127" customFormat="1">
      <c r="A5" s="183"/>
      <c r="B5" s="184" t="s">
        <v>187</v>
      </c>
      <c r="C5" s="185" t="s">
        <v>188</v>
      </c>
      <c r="D5" s="186">
        <v>86709.415192507804</v>
      </c>
      <c r="E5" s="187">
        <v>2082.8366153846155</v>
      </c>
      <c r="F5" s="187">
        <f>D5*E5</f>
        <v>180601544.86154231</v>
      </c>
      <c r="G5" s="395"/>
      <c r="H5" s="188"/>
      <c r="I5" s="178"/>
    </row>
    <row r="6" spans="1:9" s="127" customFormat="1">
      <c r="A6" s="172" t="s">
        <v>62</v>
      </c>
      <c r="B6" s="173" t="s">
        <v>189</v>
      </c>
      <c r="C6" s="174"/>
      <c r="D6" s="189"/>
      <c r="E6" s="190"/>
      <c r="F6" s="176">
        <f>SUM(F7:F8)</f>
        <v>95821034.937965244</v>
      </c>
      <c r="G6" s="177"/>
      <c r="H6" s="172"/>
      <c r="I6" s="173"/>
    </row>
    <row r="7" spans="1:9" s="127" customFormat="1">
      <c r="A7" s="178">
        <v>1</v>
      </c>
      <c r="B7" s="179" t="s">
        <v>190</v>
      </c>
      <c r="C7" s="185" t="s">
        <v>191</v>
      </c>
      <c r="D7" s="181">
        <v>1</v>
      </c>
      <c r="E7" s="182">
        <v>3035244.6153846155</v>
      </c>
      <c r="F7" s="182">
        <f>D7*E7</f>
        <v>3035244.6153846155</v>
      </c>
      <c r="G7" s="191" t="s">
        <v>192</v>
      </c>
      <c r="H7" s="178"/>
      <c r="I7" s="179"/>
    </row>
    <row r="8" spans="1:9" s="127" customFormat="1">
      <c r="A8" s="178">
        <v>2</v>
      </c>
      <c r="B8" s="179" t="s">
        <v>193</v>
      </c>
      <c r="C8" s="185" t="s">
        <v>194</v>
      </c>
      <c r="D8" s="192">
        <v>247428.77419354836</v>
      </c>
      <c r="E8" s="182">
        <v>375</v>
      </c>
      <c r="F8" s="182">
        <f>D8*E8</f>
        <v>92785790.322580636</v>
      </c>
      <c r="G8" s="191" t="s">
        <v>195</v>
      </c>
      <c r="H8" s="193"/>
      <c r="I8" s="179"/>
    </row>
    <row r="9" spans="1:9" s="127" customFormat="1">
      <c r="A9" s="194"/>
      <c r="B9" s="195" t="s">
        <v>196</v>
      </c>
      <c r="C9" s="196"/>
      <c r="D9" s="197"/>
      <c r="E9" s="198"/>
      <c r="F9" s="199">
        <f>F3+F6</f>
        <v>276422579.79950756</v>
      </c>
      <c r="G9" s="200"/>
      <c r="H9" s="201"/>
      <c r="I9" s="201"/>
    </row>
    <row r="10" spans="1:9" s="127" customFormat="1">
      <c r="A10" s="194"/>
      <c r="B10" s="195" t="s">
        <v>197</v>
      </c>
      <c r="C10" s="196"/>
      <c r="D10" s="197"/>
      <c r="E10" s="198"/>
      <c r="F10" s="199">
        <f>ROUND(F9,-3)</f>
        <v>276423000</v>
      </c>
      <c r="G10" s="200"/>
      <c r="H10" s="201"/>
      <c r="I10" s="201"/>
    </row>
    <row r="11" spans="1:9" s="127" customFormat="1">
      <c r="A11" s="194"/>
      <c r="B11" s="195" t="s">
        <v>198</v>
      </c>
      <c r="C11" s="202"/>
      <c r="D11" s="197"/>
      <c r="E11" s="198"/>
      <c r="F11" s="199">
        <f>F10*10%</f>
        <v>27642300</v>
      </c>
      <c r="G11" s="200"/>
      <c r="H11" s="201"/>
      <c r="I11" s="201"/>
    </row>
    <row r="12" spans="1:9" ht="16.5" customHeight="1">
      <c r="A12" s="203"/>
      <c r="B12" s="204" t="s">
        <v>199</v>
      </c>
      <c r="C12" s="205"/>
      <c r="D12" s="206"/>
      <c r="E12" s="206"/>
      <c r="F12" s="175">
        <f>F10+F11</f>
        <v>304065300</v>
      </c>
      <c r="G12" s="207"/>
      <c r="H12" s="208"/>
      <c r="I12" s="208"/>
    </row>
  </sheetData>
  <mergeCells count="2">
    <mergeCell ref="A1:H1"/>
    <mergeCell ref="G4:G5"/>
  </mergeCells>
  <hyperlinks>
    <hyperlink ref="B3" location="TTDL!A1" display="Thu thập bản gốc" xr:uid="{00000000-0004-0000-0C00-000000000000}"/>
  </hyperlinks>
  <pageMargins left="0.45" right="0.45" top="0.5" bottom="0.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
  <sheetViews>
    <sheetView workbookViewId="0">
      <selection activeCell="D11" sqref="D11"/>
    </sheetView>
  </sheetViews>
  <sheetFormatPr defaultColWidth="8.7109375" defaultRowHeight="15"/>
  <cols>
    <col min="1" max="1" width="22.42578125" customWidth="1"/>
    <col min="2" max="2" width="17.42578125" customWidth="1"/>
    <col min="3" max="3" width="22.42578125" customWidth="1"/>
    <col min="4" max="4" width="20.7109375" customWidth="1"/>
    <col min="5" max="5" width="17.42578125" customWidth="1"/>
    <col min="7" max="7" width="15.42578125" customWidth="1"/>
    <col min="8" max="8" width="12.42578125" customWidth="1"/>
    <col min="9" max="9" width="14.28515625" customWidth="1"/>
  </cols>
  <sheetData>
    <row r="1" spans="1:9" ht="60.6" customHeight="1">
      <c r="A1" s="144" t="s">
        <v>174</v>
      </c>
      <c r="B1" s="145" t="s">
        <v>200</v>
      </c>
      <c r="C1" s="145" t="s">
        <v>201</v>
      </c>
      <c r="D1" s="145" t="s">
        <v>202</v>
      </c>
      <c r="E1" s="145" t="s">
        <v>203</v>
      </c>
      <c r="F1" s="145" t="s">
        <v>204</v>
      </c>
      <c r="G1" s="145" t="s">
        <v>205</v>
      </c>
      <c r="H1" s="144" t="s">
        <v>186</v>
      </c>
      <c r="I1" s="144" t="s">
        <v>206</v>
      </c>
    </row>
    <row r="2" spans="1:9" ht="16.5">
      <c r="A2" s="146" t="s">
        <v>207</v>
      </c>
      <c r="B2" s="147" t="s">
        <v>208</v>
      </c>
      <c r="C2" s="148"/>
      <c r="D2" s="149">
        <v>7.064516129032258</v>
      </c>
      <c r="E2" s="149">
        <v>6.903225806451613</v>
      </c>
      <c r="F2" s="150">
        <v>1778</v>
      </c>
      <c r="G2" s="150">
        <f t="shared" ref="G2:H3" si="0">F2*D2</f>
        <v>12560.709677419354</v>
      </c>
      <c r="H2" s="151">
        <f t="shared" si="0"/>
        <v>86709.415192507804</v>
      </c>
      <c r="I2" s="151">
        <f t="shared" ref="I2:I3" si="1">F2*12+G2*18</f>
        <v>247428.77419354836</v>
      </c>
    </row>
    <row r="3" spans="1:9" ht="16.5">
      <c r="A3" s="146" t="s">
        <v>209</v>
      </c>
      <c r="B3" s="147" t="s">
        <v>210</v>
      </c>
      <c r="C3" s="148"/>
      <c r="D3" s="149">
        <v>7.064516129032258</v>
      </c>
      <c r="E3" s="149">
        <v>6.903225806451613</v>
      </c>
      <c r="F3" s="150">
        <v>0</v>
      </c>
      <c r="G3" s="150">
        <v>0</v>
      </c>
      <c r="H3" s="151">
        <f t="shared" si="0"/>
        <v>0</v>
      </c>
      <c r="I3" s="151">
        <f t="shared" si="1"/>
        <v>0</v>
      </c>
    </row>
    <row r="4" spans="1:9" ht="17.25">
      <c r="A4" s="223"/>
      <c r="B4" s="223"/>
      <c r="C4" s="223"/>
      <c r="D4" s="223"/>
      <c r="E4" s="223"/>
      <c r="F4" s="224">
        <f>F2+F3</f>
        <v>1778</v>
      </c>
      <c r="G4" s="224">
        <f t="shared" ref="G4:I4" si="2">G2+G3</f>
        <v>12560.709677419354</v>
      </c>
      <c r="H4" s="224">
        <f t="shared" si="2"/>
        <v>86709.415192507804</v>
      </c>
      <c r="I4" s="224">
        <f t="shared" si="2"/>
        <v>247428.77419354836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4"/>
  <sheetViews>
    <sheetView workbookViewId="0">
      <selection activeCell="G7" sqref="G7"/>
    </sheetView>
  </sheetViews>
  <sheetFormatPr defaultColWidth="8.7109375" defaultRowHeight="15"/>
  <cols>
    <col min="3" max="3" width="43.42578125" customWidth="1"/>
    <col min="4" max="4" width="42.28515625" style="209" customWidth="1"/>
    <col min="5" max="6" width="14.28515625" customWidth="1"/>
    <col min="7" max="7" width="14.42578125" customWidth="1"/>
    <col min="8" max="8" width="14" customWidth="1"/>
    <col min="9" max="9" width="16.28515625" customWidth="1"/>
    <col min="10" max="10" width="15.7109375" customWidth="1"/>
    <col min="11" max="11" width="13.28515625" customWidth="1"/>
    <col min="12" max="12" width="15.7109375" customWidth="1"/>
  </cols>
  <sheetData>
    <row r="1" spans="1:12" ht="16.5">
      <c r="A1" s="397" t="s">
        <v>211</v>
      </c>
      <c r="B1" s="398"/>
      <c r="C1" s="398"/>
      <c r="D1" s="398"/>
      <c r="E1" s="398"/>
      <c r="F1" s="398"/>
      <c r="G1" s="398"/>
      <c r="H1" s="398"/>
      <c r="I1" s="398"/>
      <c r="J1" s="398"/>
      <c r="K1" s="398"/>
      <c r="L1" s="399"/>
    </row>
    <row r="2" spans="1:12" ht="66">
      <c r="A2" s="144" t="s">
        <v>48</v>
      </c>
      <c r="B2" s="144" t="s">
        <v>212</v>
      </c>
      <c r="C2" s="144" t="s">
        <v>213</v>
      </c>
      <c r="D2" s="145" t="s">
        <v>174</v>
      </c>
      <c r="E2" s="145" t="s">
        <v>200</v>
      </c>
      <c r="F2" s="145" t="s">
        <v>201</v>
      </c>
      <c r="G2" s="145" t="s">
        <v>202</v>
      </c>
      <c r="H2" s="145" t="s">
        <v>203</v>
      </c>
      <c r="I2" s="145" t="s">
        <v>204</v>
      </c>
      <c r="J2" s="145" t="s">
        <v>205</v>
      </c>
      <c r="K2" s="144" t="s">
        <v>186</v>
      </c>
      <c r="L2" s="152" t="s">
        <v>206</v>
      </c>
    </row>
    <row r="3" spans="1:12" ht="17.25">
      <c r="A3" s="144"/>
      <c r="B3" s="153"/>
      <c r="C3" s="153"/>
      <c r="D3" s="154"/>
      <c r="E3" s="154"/>
      <c r="F3" s="154"/>
      <c r="G3" s="154"/>
      <c r="H3" s="154"/>
      <c r="I3" s="155">
        <v>1</v>
      </c>
      <c r="J3" s="155">
        <v>2</v>
      </c>
      <c r="K3" s="144">
        <v>3</v>
      </c>
      <c r="L3" s="152">
        <v>4</v>
      </c>
    </row>
    <row r="4" spans="1:12" ht="16.5">
      <c r="A4" s="400">
        <v>1</v>
      </c>
      <c r="B4" s="402" t="s">
        <v>214</v>
      </c>
      <c r="C4" s="146" t="s">
        <v>215</v>
      </c>
      <c r="D4" s="147" t="s">
        <v>216</v>
      </c>
      <c r="E4" s="156" t="s">
        <v>208</v>
      </c>
      <c r="F4" s="148"/>
      <c r="G4" s="149">
        <v>8.5384615384615383</v>
      </c>
      <c r="H4" s="149">
        <v>6.5714285714285712</v>
      </c>
      <c r="I4" s="150">
        <v>0</v>
      </c>
      <c r="J4" s="150">
        <f>I4*G4</f>
        <v>0</v>
      </c>
      <c r="K4" s="151">
        <f>J4*H4</f>
        <v>0</v>
      </c>
      <c r="L4" s="157">
        <f>I4*12+J4*18</f>
        <v>0</v>
      </c>
    </row>
    <row r="5" spans="1:12" ht="16.5">
      <c r="A5" s="401"/>
      <c r="B5" s="403"/>
      <c r="C5" s="404" t="s">
        <v>217</v>
      </c>
      <c r="D5" s="147" t="s">
        <v>207</v>
      </c>
      <c r="E5" s="156" t="s">
        <v>208</v>
      </c>
      <c r="F5" s="148"/>
      <c r="G5" s="149">
        <v>7.064516129032258</v>
      </c>
      <c r="H5" s="149">
        <v>6.903225806451613</v>
      </c>
      <c r="I5" s="150">
        <v>32000</v>
      </c>
      <c r="J5" s="150">
        <f t="shared" ref="J5:K7" si="0">I5*G5</f>
        <v>226064.51612903224</v>
      </c>
      <c r="K5" s="151">
        <f t="shared" si="0"/>
        <v>1560574.4016649323</v>
      </c>
      <c r="L5" s="157">
        <f t="shared" ref="L5:L7" si="1">I5*12+J5*18</f>
        <v>4453161.2903225804</v>
      </c>
    </row>
    <row r="6" spans="1:12" ht="16.5">
      <c r="A6" s="401"/>
      <c r="B6" s="403"/>
      <c r="C6" s="405"/>
      <c r="D6" s="147" t="s">
        <v>209</v>
      </c>
      <c r="E6" s="158" t="s">
        <v>210</v>
      </c>
      <c r="F6" s="148"/>
      <c r="G6" s="149"/>
      <c r="H6" s="149"/>
      <c r="I6" s="150">
        <v>35000</v>
      </c>
      <c r="J6" s="150"/>
      <c r="K6" s="151"/>
      <c r="L6" s="157"/>
    </row>
    <row r="7" spans="1:12" ht="16.5">
      <c r="A7" s="401"/>
      <c r="B7" s="403"/>
      <c r="C7" s="404" t="s">
        <v>218</v>
      </c>
      <c r="D7" s="147" t="s">
        <v>207</v>
      </c>
      <c r="E7" s="156" t="s">
        <v>208</v>
      </c>
      <c r="F7" s="148"/>
      <c r="G7" s="149">
        <v>43.523809523809526</v>
      </c>
      <c r="H7" s="149">
        <v>1.7619047619047619</v>
      </c>
      <c r="I7" s="150">
        <v>30000</v>
      </c>
      <c r="J7" s="150">
        <f t="shared" si="0"/>
        <v>1305714.2857142857</v>
      </c>
      <c r="K7" s="151">
        <f t="shared" si="0"/>
        <v>2300544.2176870746</v>
      </c>
      <c r="L7" s="157">
        <f t="shared" si="1"/>
        <v>23862857.142857142</v>
      </c>
    </row>
    <row r="8" spans="1:12" ht="16.5">
      <c r="A8" s="401"/>
      <c r="B8" s="403"/>
      <c r="C8" s="405"/>
      <c r="D8" s="147" t="s">
        <v>209</v>
      </c>
      <c r="E8" s="158" t="s">
        <v>210</v>
      </c>
      <c r="F8" s="159"/>
      <c r="G8" s="160"/>
      <c r="H8" s="160"/>
      <c r="I8" s="161">
        <v>35000</v>
      </c>
      <c r="J8" s="161"/>
      <c r="K8" s="151"/>
      <c r="L8" s="157"/>
    </row>
    <row r="9" spans="1:12" ht="16.5">
      <c r="A9" s="401"/>
      <c r="B9" s="403"/>
      <c r="C9" s="404" t="s">
        <v>219</v>
      </c>
      <c r="D9" s="147" t="s">
        <v>207</v>
      </c>
      <c r="E9" s="156" t="s">
        <v>208</v>
      </c>
      <c r="F9" s="159"/>
      <c r="G9" s="160"/>
      <c r="H9" s="160"/>
      <c r="I9" s="161">
        <v>500000</v>
      </c>
      <c r="J9" s="161"/>
      <c r="K9" s="151"/>
      <c r="L9" s="157"/>
    </row>
    <row r="10" spans="1:12" ht="16.5">
      <c r="A10" s="401"/>
      <c r="B10" s="403"/>
      <c r="C10" s="405"/>
      <c r="D10" s="147" t="s">
        <v>209</v>
      </c>
      <c r="E10" s="158" t="s">
        <v>210</v>
      </c>
      <c r="F10" s="159"/>
      <c r="G10" s="160"/>
      <c r="H10" s="160"/>
      <c r="I10" s="161">
        <v>300000</v>
      </c>
      <c r="J10" s="161"/>
      <c r="K10" s="151"/>
      <c r="L10" s="157"/>
    </row>
    <row r="11" spans="1:12" ht="16.5">
      <c r="A11" s="401"/>
      <c r="B11" s="403"/>
      <c r="C11" s="404" t="s">
        <v>220</v>
      </c>
      <c r="D11" s="147" t="s">
        <v>207</v>
      </c>
      <c r="E11" s="156" t="s">
        <v>208</v>
      </c>
      <c r="F11" s="159"/>
      <c r="G11" s="160"/>
      <c r="H11" s="160"/>
      <c r="I11" s="161"/>
      <c r="J11" s="161"/>
      <c r="K11" s="151"/>
      <c r="L11" s="157"/>
    </row>
    <row r="12" spans="1:12" ht="16.5">
      <c r="A12" s="401"/>
      <c r="B12" s="403"/>
      <c r="C12" s="405"/>
      <c r="D12" s="147" t="s">
        <v>209</v>
      </c>
      <c r="E12" s="158" t="s">
        <v>210</v>
      </c>
      <c r="F12" s="159"/>
      <c r="G12" s="160"/>
      <c r="H12" s="160"/>
      <c r="I12" s="161"/>
      <c r="J12" s="161"/>
      <c r="K12" s="151"/>
      <c r="L12" s="157"/>
    </row>
    <row r="13" spans="1:12" ht="16.5">
      <c r="A13" s="401"/>
      <c r="B13" s="403"/>
      <c r="C13" s="162" t="s">
        <v>221</v>
      </c>
      <c r="D13" s="147"/>
      <c r="E13" s="156" t="s">
        <v>208</v>
      </c>
      <c r="F13" s="159"/>
      <c r="G13" s="160"/>
      <c r="H13" s="160"/>
      <c r="I13" s="161">
        <v>100</v>
      </c>
      <c r="J13" s="161"/>
      <c r="K13" s="151"/>
      <c r="L13" s="157"/>
    </row>
    <row r="14" spans="1:12" ht="16.5">
      <c r="A14" s="396" t="s">
        <v>222</v>
      </c>
      <c r="B14" s="396"/>
      <c r="C14" s="396"/>
      <c r="D14" s="396"/>
      <c r="E14" s="396"/>
      <c r="F14" s="163"/>
      <c r="G14" s="164"/>
      <c r="H14" s="164"/>
      <c r="I14" s="165">
        <f>SUM(I4:I13)</f>
        <v>932100</v>
      </c>
      <c r="J14" s="165">
        <f>SUM(J4:J7)</f>
        <v>1531778.8018433179</v>
      </c>
      <c r="K14" s="166">
        <f>SUM(K4:K7)</f>
        <v>3861118.6193520068</v>
      </c>
      <c r="L14" s="167">
        <f>SUM(L4:L7)</f>
        <v>28316018.433179721</v>
      </c>
    </row>
  </sheetData>
  <mergeCells count="8">
    <mergeCell ref="A14:E14"/>
    <mergeCell ref="A1:L1"/>
    <mergeCell ref="A4:A13"/>
    <mergeCell ref="B4:B13"/>
    <mergeCell ref="C5:C6"/>
    <mergeCell ref="C7:C8"/>
    <mergeCell ref="C9:C10"/>
    <mergeCell ref="C11:C1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
  <sheetViews>
    <sheetView workbookViewId="0">
      <selection activeCell="G13" sqref="G13"/>
    </sheetView>
  </sheetViews>
  <sheetFormatPr defaultColWidth="8.42578125" defaultRowHeight="15.75"/>
  <cols>
    <col min="1" max="1" width="6.42578125" style="211" bestFit="1" customWidth="1"/>
    <col min="2" max="2" width="33.28515625" style="211" customWidth="1"/>
    <col min="3" max="3" width="29.42578125" style="211" customWidth="1"/>
    <col min="4" max="4" width="14" style="211" customWidth="1"/>
    <col min="5" max="5" width="11.42578125" style="211" customWidth="1"/>
    <col min="6" max="6" width="18" style="211" customWidth="1"/>
    <col min="7" max="7" width="18" style="211" bestFit="1" customWidth="1"/>
    <col min="8" max="8" width="19.28515625" style="211" customWidth="1"/>
    <col min="9" max="9" width="18.42578125" style="211" customWidth="1"/>
    <col min="10" max="16384" width="8.42578125" style="211"/>
  </cols>
  <sheetData>
    <row r="1" spans="1:9">
      <c r="B1" s="212" t="s">
        <v>223</v>
      </c>
    </row>
    <row r="3" spans="1:9" ht="47.25">
      <c r="A3" s="213" t="s">
        <v>0</v>
      </c>
      <c r="B3" s="213" t="s">
        <v>224</v>
      </c>
      <c r="C3" s="213" t="s">
        <v>54</v>
      </c>
      <c r="D3" s="213" t="s">
        <v>225</v>
      </c>
      <c r="E3" s="213" t="s">
        <v>226</v>
      </c>
      <c r="F3" s="214" t="s">
        <v>227</v>
      </c>
      <c r="G3" s="214" t="s">
        <v>228</v>
      </c>
      <c r="H3" s="214" t="s">
        <v>51</v>
      </c>
      <c r="I3" s="214" t="s">
        <v>229</v>
      </c>
    </row>
    <row r="4" spans="1:9">
      <c r="A4" s="215"/>
      <c r="B4" s="216" t="s">
        <v>230</v>
      </c>
      <c r="C4" s="216"/>
      <c r="D4" s="216"/>
      <c r="E4" s="215"/>
      <c r="F4" s="217"/>
      <c r="G4" s="217">
        <f>SUM(G5)</f>
        <v>220800000</v>
      </c>
      <c r="H4" s="217">
        <f>SUM(H5)</f>
        <v>22080000</v>
      </c>
      <c r="I4" s="217">
        <f>SUM(I5)</f>
        <v>242880000</v>
      </c>
    </row>
    <row r="5" spans="1:9" ht="31.5">
      <c r="A5" s="218">
        <v>1</v>
      </c>
      <c r="B5" s="219" t="s">
        <v>231</v>
      </c>
      <c r="C5" s="219" t="s">
        <v>232</v>
      </c>
      <c r="D5" s="218" t="s">
        <v>233</v>
      </c>
      <c r="E5" s="220">
        <v>12</v>
      </c>
      <c r="F5" s="221">
        <f>9200000*2</f>
        <v>18400000</v>
      </c>
      <c r="G5" s="221">
        <f>F5*E5</f>
        <v>220800000</v>
      </c>
      <c r="H5" s="221">
        <f>G5*10%</f>
        <v>22080000</v>
      </c>
      <c r="I5" s="221">
        <f>G5+H5</f>
        <v>242880000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T39"/>
  <sheetViews>
    <sheetView workbookViewId="0"/>
  </sheetViews>
  <sheetFormatPr defaultColWidth="9.28515625" defaultRowHeight="15"/>
  <cols>
    <col min="1" max="1" width="48" style="13" bestFit="1" customWidth="1"/>
    <col min="2" max="2" width="13.42578125" style="67" bestFit="1" customWidth="1"/>
    <col min="3" max="3" width="18.7109375" style="13" customWidth="1"/>
    <col min="4" max="4" width="7.42578125" style="13" bestFit="1" customWidth="1"/>
    <col min="5" max="5" width="7.7109375" style="13" bestFit="1" customWidth="1"/>
    <col min="6" max="6" width="15" style="14" bestFit="1" customWidth="1"/>
    <col min="7" max="8" width="16" style="13" bestFit="1" customWidth="1"/>
    <col min="9" max="9" width="5.42578125" style="83" customWidth="1"/>
    <col min="10" max="10" width="39.42578125" style="13" customWidth="1"/>
    <col min="11" max="11" width="15.42578125" style="13" bestFit="1" customWidth="1"/>
    <col min="12" max="13" width="16.42578125" style="13" customWidth="1"/>
    <col min="14" max="15" width="17.7109375" style="13" bestFit="1" customWidth="1"/>
    <col min="16" max="16" width="19.42578125" style="13" bestFit="1" customWidth="1"/>
    <col min="17" max="17" width="20.7109375" style="13" bestFit="1" customWidth="1"/>
    <col min="18" max="18" width="17.7109375" style="13" bestFit="1" customWidth="1"/>
    <col min="19" max="19" width="20.7109375" style="13" bestFit="1" customWidth="1"/>
    <col min="20" max="20" width="19.42578125" style="13" bestFit="1" customWidth="1"/>
    <col min="21" max="16384" width="9.28515625" style="13"/>
  </cols>
  <sheetData>
    <row r="2" spans="1:20">
      <c r="A2" s="10" t="s">
        <v>234</v>
      </c>
      <c r="B2" s="11"/>
      <c r="C2" s="12"/>
    </row>
    <row r="3" spans="1:20">
      <c r="A3" s="10" t="s">
        <v>235</v>
      </c>
      <c r="B3" s="11"/>
      <c r="C3" s="15">
        <v>0</v>
      </c>
    </row>
    <row r="4" spans="1:20">
      <c r="A4" s="10" t="s">
        <v>236</v>
      </c>
      <c r="B4" s="11"/>
      <c r="C4" s="12" t="e">
        <f>#REF!</f>
        <v>#REF!</v>
      </c>
    </row>
    <row r="6" spans="1:20" s="16" customFormat="1" ht="14.25">
      <c r="A6" s="385" t="s">
        <v>89</v>
      </c>
      <c r="B6" s="385"/>
      <c r="C6" s="385"/>
      <c r="D6" s="385"/>
      <c r="E6" s="385"/>
      <c r="F6" s="385"/>
      <c r="G6" s="385"/>
      <c r="H6" s="385"/>
      <c r="I6" s="82"/>
      <c r="J6" s="386" t="s">
        <v>237</v>
      </c>
      <c r="K6" s="387"/>
      <c r="L6" s="387"/>
      <c r="M6" s="387"/>
      <c r="N6" s="387"/>
    </row>
    <row r="8" spans="1:20" ht="28.5">
      <c r="A8" s="17"/>
      <c r="B8" s="18" t="s">
        <v>91</v>
      </c>
      <c r="C8" s="19" t="s">
        <v>93</v>
      </c>
      <c r="D8" s="19" t="s">
        <v>94</v>
      </c>
      <c r="E8" s="19" t="s">
        <v>95</v>
      </c>
      <c r="F8" s="20" t="s">
        <v>96</v>
      </c>
      <c r="G8" s="19" t="s">
        <v>97</v>
      </c>
      <c r="H8" s="19" t="s">
        <v>98</v>
      </c>
      <c r="J8" s="19" t="s">
        <v>99</v>
      </c>
      <c r="K8" s="388" t="s">
        <v>100</v>
      </c>
      <c r="L8" s="389"/>
      <c r="M8" s="389"/>
      <c r="N8" s="389"/>
      <c r="O8" s="389"/>
      <c r="P8" s="389"/>
      <c r="Q8" s="389"/>
      <c r="R8" s="389"/>
      <c r="S8" s="389"/>
      <c r="T8" s="390"/>
    </row>
    <row r="9" spans="1:20" ht="28.5">
      <c r="A9" s="21" t="s">
        <v>101</v>
      </c>
      <c r="B9" s="22" t="e">
        <f>SUM(B10:B11)</f>
        <v>#REF!</v>
      </c>
      <c r="C9" s="21"/>
      <c r="D9" s="21"/>
      <c r="E9" s="21"/>
      <c r="F9" s="23"/>
      <c r="G9" s="21"/>
      <c r="H9" s="21"/>
      <c r="I9" s="83">
        <v>1</v>
      </c>
      <c r="J9" s="24" t="s">
        <v>238</v>
      </c>
      <c r="K9" s="25">
        <v>7000000000</v>
      </c>
      <c r="L9" s="25">
        <v>15000000000</v>
      </c>
      <c r="M9" s="25">
        <v>20000000000</v>
      </c>
      <c r="N9" s="25">
        <v>30000000000</v>
      </c>
      <c r="O9" s="25">
        <v>50000000000</v>
      </c>
      <c r="P9" s="25">
        <v>100000000000</v>
      </c>
      <c r="Q9" s="25">
        <v>150000000000</v>
      </c>
      <c r="R9" s="25">
        <v>200000000000</v>
      </c>
      <c r="S9" s="25">
        <v>500000000000</v>
      </c>
      <c r="T9" s="25">
        <v>1000000000000</v>
      </c>
    </row>
    <row r="10" spans="1:20">
      <c r="A10" s="26" t="s">
        <v>103</v>
      </c>
      <c r="B10" s="27">
        <f>C10*H10/100</f>
        <v>0</v>
      </c>
      <c r="C10" s="28">
        <f>E10-(E10-D10)*(H10-G10)/(F10-G10)</f>
        <v>2.6440000000000001</v>
      </c>
      <c r="D10" s="28">
        <f>IF(F10=0,K10,HLOOKUP(F10,dinhmuc,$I10,TRUE))</f>
        <v>2.6440000000000001</v>
      </c>
      <c r="E10" s="28">
        <f>IF(G10=0,L10,HLOOKUP(G10,dinhmuc,$I10,TRUE))</f>
        <v>2.6440000000000001</v>
      </c>
      <c r="F10" s="29">
        <f>IF(H10&lt;$K$9,0,INDEX(budget,MATCH(H10,budget,1)))</f>
        <v>0</v>
      </c>
      <c r="G10" s="27">
        <f>IF(H10&lt;$K$9,$K$9,INDEX(budget,MATCH(H10,budget,1)+1))</f>
        <v>7000000000</v>
      </c>
      <c r="H10" s="27">
        <f>C3</f>
        <v>0</v>
      </c>
      <c r="I10" s="83">
        <v>2</v>
      </c>
      <c r="J10" s="26" t="s">
        <v>104</v>
      </c>
      <c r="K10" s="28">
        <v>2.6440000000000001</v>
      </c>
      <c r="L10" s="28">
        <v>2.1840000000000002</v>
      </c>
      <c r="M10" s="28">
        <v>1.913</v>
      </c>
      <c r="N10" s="28">
        <v>1.7470000000000001</v>
      </c>
      <c r="O10" s="30">
        <v>1.3240000000000001</v>
      </c>
      <c r="P10" s="28">
        <v>1.0449999999999999</v>
      </c>
      <c r="Q10" s="28">
        <v>1.0069999999999999</v>
      </c>
      <c r="R10" s="28">
        <v>0.97499999999999998</v>
      </c>
      <c r="S10" s="28">
        <v>0.84099999999999997</v>
      </c>
      <c r="T10" s="28">
        <v>0.69599999999999995</v>
      </c>
    </row>
    <row r="11" spans="1:20">
      <c r="A11" s="26" t="s">
        <v>105</v>
      </c>
      <c r="B11" s="27" t="e">
        <f>C11*H11/100</f>
        <v>#REF!</v>
      </c>
      <c r="C11" s="28" t="e">
        <f>E11-(E11-D11)*(H11-G11)/(F11-G11)</f>
        <v>#REF!</v>
      </c>
      <c r="D11" s="28" t="e">
        <f>IF(F11=0,K11,HLOOKUP(F11,dinhmuc,$I11,TRUE))</f>
        <v>#REF!</v>
      </c>
      <c r="E11" s="28" t="e">
        <f>IF(G11=0,L11,HLOOKUP(G11,dinhmuc,$I11,TRUE))</f>
        <v>#REF!</v>
      </c>
      <c r="F11" s="29" t="e">
        <f>IF(H11&lt;$K$9,0,INDEX(budget,MATCH(H11,budget,1)))</f>
        <v>#REF!</v>
      </c>
      <c r="G11" s="27" t="e">
        <f>IF(H11&lt;$K$9,$K$9,INDEX(budget,MATCH(H11,budget,1)+1))</f>
        <v>#REF!</v>
      </c>
      <c r="H11" s="27" t="e">
        <f>C4</f>
        <v>#REF!</v>
      </c>
      <c r="I11" s="83">
        <v>3</v>
      </c>
      <c r="J11" s="26" t="s">
        <v>106</v>
      </c>
      <c r="K11" s="28">
        <v>2.8090000000000002</v>
      </c>
      <c r="L11" s="28">
        <v>2.133</v>
      </c>
      <c r="M11" s="28">
        <v>1.964</v>
      </c>
      <c r="N11" s="28">
        <v>1.782</v>
      </c>
      <c r="O11" s="30">
        <v>1.71</v>
      </c>
      <c r="P11" s="28">
        <v>1.3460000000000001</v>
      </c>
      <c r="Q11" s="28">
        <v>1.2869999999999999</v>
      </c>
      <c r="R11" s="28">
        <v>1.248</v>
      </c>
      <c r="S11" s="28"/>
      <c r="T11" s="28"/>
    </row>
    <row r="12" spans="1:20" ht="28.5">
      <c r="A12" s="21" t="s">
        <v>239</v>
      </c>
      <c r="B12" s="22" t="e">
        <f>SUM(B13:B14)</f>
        <v>#REF!</v>
      </c>
      <c r="C12" s="31"/>
      <c r="D12" s="31"/>
      <c r="E12" s="31"/>
      <c r="F12" s="32"/>
      <c r="G12" s="22"/>
      <c r="H12" s="22"/>
      <c r="I12" s="83">
        <v>4</v>
      </c>
      <c r="J12" s="21" t="s">
        <v>240</v>
      </c>
      <c r="K12" s="21"/>
      <c r="L12" s="21"/>
      <c r="M12" s="21"/>
      <c r="N12" s="21"/>
      <c r="O12" s="21"/>
      <c r="P12" s="21"/>
      <c r="Q12" s="21"/>
      <c r="R12" s="21"/>
      <c r="S12" s="21"/>
      <c r="T12" s="21"/>
    </row>
    <row r="13" spans="1:20">
      <c r="A13" s="26" t="s">
        <v>103</v>
      </c>
      <c r="B13" s="27">
        <f>C13*H13/100</f>
        <v>0</v>
      </c>
      <c r="C13" s="28">
        <f>E13-(E13-D13)*(H13-G13)/(F13-G13)</f>
        <v>0.99200000000000021</v>
      </c>
      <c r="D13" s="28">
        <f>IF(F13=0,K13,HLOOKUP(F13,dinhmuc,$I13,TRUE))</f>
        <v>0.99199999999999999</v>
      </c>
      <c r="E13" s="28">
        <f>IF(G13=0,L13,HLOOKUP(G13,dinhmuc,$I13,TRUE))</f>
        <v>2.6440000000000001</v>
      </c>
      <c r="F13" s="29">
        <f>IF(H13&lt;$K$9,0,INDEX(budget,MATCH(H13,budget,1)))</f>
        <v>0</v>
      </c>
      <c r="G13" s="27">
        <f>IF(H13&lt;$K$9,$K$9,INDEX(budget,MATCH(H13,budget,1)+1))</f>
        <v>7000000000</v>
      </c>
      <c r="H13" s="27">
        <f>C3</f>
        <v>0</v>
      </c>
      <c r="I13" s="83">
        <v>5</v>
      </c>
      <c r="J13" s="26" t="s">
        <v>104</v>
      </c>
      <c r="K13" s="28">
        <v>0.99199999999999999</v>
      </c>
      <c r="L13" s="28">
        <v>0.73899999999999999</v>
      </c>
      <c r="M13" s="28">
        <v>0.65200000000000002</v>
      </c>
      <c r="N13" s="28">
        <v>0.53300000000000003</v>
      </c>
      <c r="O13" s="30">
        <v>0.42</v>
      </c>
      <c r="P13" s="28">
        <v>0.31</v>
      </c>
      <c r="Q13" s="28">
        <v>0.253</v>
      </c>
      <c r="R13" s="28">
        <v>0.20499999999999999</v>
      </c>
      <c r="S13" s="28">
        <v>0.16400000000000001</v>
      </c>
      <c r="T13" s="28">
        <v>0.14399999999999999</v>
      </c>
    </row>
    <row r="14" spans="1:20">
      <c r="A14" s="33" t="s">
        <v>105</v>
      </c>
      <c r="B14" s="27" t="e">
        <f>C14*H14/100</f>
        <v>#REF!</v>
      </c>
      <c r="C14" s="28" t="e">
        <f>E14-(E14-D14)*(H14-G14)/(F14-G14)</f>
        <v>#REF!</v>
      </c>
      <c r="D14" s="28" t="e">
        <f>IF(F14=0,K14,HLOOKUP(F14,dinhmuc,$I14,TRUE))</f>
        <v>#REF!</v>
      </c>
      <c r="E14" s="28" t="e">
        <f>IF(G14=0,L14,HLOOKUP(G14,dinhmuc,$I14,TRUE))</f>
        <v>#REF!</v>
      </c>
      <c r="F14" s="29" t="e">
        <f>IF(H14&lt;$K$9,0,INDEX(budget,MATCH(H14,budget,1)))</f>
        <v>#REF!</v>
      </c>
      <c r="G14" s="27" t="e">
        <f>IF(H14&lt;$K$9,$K$9,INDEX(budget,MATCH(H14,budget,1)+1))</f>
        <v>#REF!</v>
      </c>
      <c r="H14" s="27" t="e">
        <f>C4</f>
        <v>#REF!</v>
      </c>
      <c r="I14" s="83">
        <v>6</v>
      </c>
      <c r="J14" s="26" t="s">
        <v>106</v>
      </c>
      <c r="K14" s="28">
        <v>0.99199999999999999</v>
      </c>
      <c r="L14" s="28">
        <v>0.90600000000000003</v>
      </c>
      <c r="M14" s="28">
        <v>0.81200000000000006</v>
      </c>
      <c r="N14" s="28">
        <v>0.76300000000000001</v>
      </c>
      <c r="O14" s="30">
        <v>0.64800000000000002</v>
      </c>
      <c r="P14" s="28">
        <v>0.48499999999999999</v>
      </c>
      <c r="Q14" s="28">
        <v>0.437</v>
      </c>
      <c r="R14" s="28">
        <v>0.38100000000000001</v>
      </c>
      <c r="S14" s="28"/>
      <c r="T14" s="28"/>
    </row>
    <row r="15" spans="1:20" ht="28.5">
      <c r="A15" s="35" t="s">
        <v>241</v>
      </c>
      <c r="B15" s="22" t="e">
        <f>SUM(B16:B17)</f>
        <v>#REF!</v>
      </c>
      <c r="C15" s="36"/>
      <c r="D15" s="36"/>
      <c r="E15" s="36"/>
      <c r="F15" s="37"/>
      <c r="G15" s="38"/>
      <c r="H15" s="38"/>
      <c r="I15" s="83">
        <v>7</v>
      </c>
      <c r="J15" s="21" t="s">
        <v>242</v>
      </c>
      <c r="K15" s="21"/>
      <c r="L15" s="21"/>
      <c r="M15" s="21"/>
      <c r="N15" s="21"/>
      <c r="O15" s="21"/>
      <c r="P15" s="21"/>
      <c r="Q15" s="21"/>
      <c r="R15" s="21"/>
      <c r="S15" s="21"/>
      <c r="T15" s="21"/>
    </row>
    <row r="16" spans="1:20">
      <c r="A16" s="26" t="s">
        <v>103</v>
      </c>
      <c r="B16" s="27">
        <v>0</v>
      </c>
      <c r="C16" s="28">
        <f>E16-(E16-D16)*(H16-G16)/(F16-G16)</f>
        <v>1.4990000000000001</v>
      </c>
      <c r="D16" s="28">
        <f>IF(F16=0,K16,HLOOKUP(F16,dinhmuc,$I16,TRUE))</f>
        <v>1.4990000000000001</v>
      </c>
      <c r="E16" s="28">
        <f>IF(G16=0,L16,HLOOKUP(G16,dinhmuc,$I16,TRUE))</f>
        <v>0.99199999999999999</v>
      </c>
      <c r="F16" s="29">
        <f>IF(H16&lt;$K$9,0,INDEX(budget,MATCH(H16,budget,1)))</f>
        <v>0</v>
      </c>
      <c r="G16" s="27">
        <f>IF(H16&lt;$K$9,$K$9,INDEX(budget,MATCH(H16,budget,1)+1))</f>
        <v>7000000000</v>
      </c>
      <c r="H16" s="27">
        <f>C3</f>
        <v>0</v>
      </c>
      <c r="I16" s="83">
        <v>8</v>
      </c>
      <c r="J16" s="26" t="s">
        <v>104</v>
      </c>
      <c r="K16" s="28">
        <v>1.4990000000000001</v>
      </c>
      <c r="L16" s="28">
        <v>1.198</v>
      </c>
      <c r="M16" s="28">
        <v>0.99099999999999999</v>
      </c>
      <c r="N16" s="28">
        <v>0.82</v>
      </c>
      <c r="O16" s="30">
        <v>0.64600000000000002</v>
      </c>
      <c r="P16" s="28">
        <v>0.52200000000000002</v>
      </c>
      <c r="Q16" s="28">
        <v>0.46100000000000002</v>
      </c>
      <c r="R16" s="28">
        <v>0.41099999999999998</v>
      </c>
      <c r="S16" s="28">
        <v>0.32100000000000001</v>
      </c>
      <c r="T16" s="28">
        <v>0.24</v>
      </c>
    </row>
    <row r="17" spans="1:20">
      <c r="A17" s="26" t="s">
        <v>105</v>
      </c>
      <c r="B17" s="27" t="e">
        <f>IF(C17*H17/100&lt;2000000,2000000,C17*H17/100)</f>
        <v>#REF!</v>
      </c>
      <c r="C17" s="28" t="e">
        <f>E17-(E17-D17)*(H17-G17)/(F17-G17)</f>
        <v>#REF!</v>
      </c>
      <c r="D17" s="28" t="e">
        <f>IF(F17=0,K17,HLOOKUP(F17,dinhmuc,$I17,TRUE))</f>
        <v>#REF!</v>
      </c>
      <c r="E17" s="28" t="e">
        <f>IF(G17=0,L17,HLOOKUP(G17,dinhmuc,$I17,TRUE))</f>
        <v>#REF!</v>
      </c>
      <c r="F17" s="29" t="e">
        <f>IF(H17&lt;$K$9,0,INDEX(budget,MATCH(H17,budget,1)))</f>
        <v>#REF!</v>
      </c>
      <c r="G17" s="27" t="e">
        <f>IF(H17&lt;$K$9,$K$9,INDEX(budget,MATCH(H17,budget,1)+1))</f>
        <v>#REF!</v>
      </c>
      <c r="H17" s="27" t="e">
        <f>C4</f>
        <v>#REF!</v>
      </c>
      <c r="I17" s="83">
        <v>9</v>
      </c>
      <c r="J17" s="33" t="s">
        <v>106</v>
      </c>
      <c r="K17" s="34">
        <v>3.3759999999999999</v>
      </c>
      <c r="L17" s="34">
        <v>3.1549999999999998</v>
      </c>
      <c r="M17" s="34">
        <v>3.0230000000000001</v>
      </c>
      <c r="N17" s="34">
        <v>2.847</v>
      </c>
      <c r="O17" s="40">
        <v>2.5059999999999998</v>
      </c>
      <c r="P17" s="34">
        <v>2.2109999999999999</v>
      </c>
      <c r="Q17" s="34">
        <v>2.0910000000000002</v>
      </c>
      <c r="R17" s="34">
        <v>1.9750000000000001</v>
      </c>
      <c r="S17" s="34"/>
      <c r="T17" s="34"/>
    </row>
    <row r="18" spans="1:20" ht="42.75">
      <c r="A18" s="35" t="s">
        <v>115</v>
      </c>
      <c r="B18" s="22" t="e">
        <f>SUM(B19:B20)</f>
        <v>#REF!</v>
      </c>
      <c r="C18" s="36"/>
      <c r="D18" s="36"/>
      <c r="E18" s="36"/>
      <c r="F18" s="37"/>
      <c r="G18" s="38"/>
      <c r="H18" s="38"/>
      <c r="I18" s="83">
        <v>10</v>
      </c>
      <c r="J18" s="35" t="s">
        <v>243</v>
      </c>
      <c r="K18" s="41"/>
      <c r="L18" s="41"/>
      <c r="M18" s="41"/>
      <c r="N18" s="41"/>
      <c r="O18" s="41"/>
      <c r="P18" s="41"/>
      <c r="Q18" s="41"/>
      <c r="R18" s="41"/>
      <c r="S18" s="41"/>
      <c r="T18" s="42"/>
    </row>
    <row r="19" spans="1:20">
      <c r="A19" s="26" t="s">
        <v>103</v>
      </c>
      <c r="B19" s="27">
        <v>0</v>
      </c>
      <c r="C19" s="28">
        <f>E19-(E19-D19)*(H19-G19)/(F19-G19)</f>
        <v>0.10499999999999998</v>
      </c>
      <c r="D19" s="28">
        <f>IF(F19=0,K19,HLOOKUP(F19,dinhmuc,$I19,TRUE))</f>
        <v>0.105</v>
      </c>
      <c r="E19" s="28">
        <f>IF(G19=0,L19,HLOOKUP(G19,dinhmuc,$I19,TRUE))</f>
        <v>0.99199999999999999</v>
      </c>
      <c r="F19" s="29">
        <f>IF(H19&lt;$K$9,0,INDEX(budget,MATCH(H19,budget,1)))</f>
        <v>0</v>
      </c>
      <c r="G19" s="27">
        <f>IF(H19&lt;$K$9,$K$9,INDEX(budget,MATCH(H19,budget,1)+1))</f>
        <v>7000000000</v>
      </c>
      <c r="H19" s="27">
        <f>C3</f>
        <v>0</v>
      </c>
      <c r="I19" s="83">
        <v>11</v>
      </c>
      <c r="J19" s="26" t="s">
        <v>104</v>
      </c>
      <c r="K19" s="39">
        <v>0.105</v>
      </c>
      <c r="L19" s="39">
        <v>7.3999999999999996E-2</v>
      </c>
      <c r="M19" s="39">
        <v>6.6000000000000003E-2</v>
      </c>
      <c r="N19" s="39">
        <v>5.8999999999999997E-2</v>
      </c>
      <c r="O19" s="43">
        <v>4.7E-2</v>
      </c>
      <c r="P19" s="39">
        <v>3.5000000000000003E-2</v>
      </c>
      <c r="Q19" s="39">
        <v>0.03</v>
      </c>
      <c r="R19" s="39">
        <v>2.5999999999999999E-2</v>
      </c>
      <c r="S19" s="39">
        <v>1.52E-2</v>
      </c>
      <c r="T19" s="39">
        <v>1.4200000000000001E-2</v>
      </c>
    </row>
    <row r="20" spans="1:20">
      <c r="A20" s="26" t="s">
        <v>105</v>
      </c>
      <c r="B20" s="27" t="e">
        <f>IF(C20*H20/100&lt;2000000,2000000,C20*H20/100)</f>
        <v>#REF!</v>
      </c>
      <c r="C20" s="28" t="e">
        <f>E20-(E20-D20)*(H20-G20)/(F20-G20)</f>
        <v>#REF!</v>
      </c>
      <c r="D20" s="28" t="e">
        <f>IF(F20=0,K20,HLOOKUP(F20,dinhmuc,$I20,TRUE))</f>
        <v>#REF!</v>
      </c>
      <c r="E20" s="28" t="e">
        <f>IF(G20=0,L20,HLOOKUP(G20,dinhmuc,$I20,TRUE))</f>
        <v>#REF!</v>
      </c>
      <c r="F20" s="29" t="e">
        <f>IF(H20&lt;$K$9,0,INDEX(budget,MATCH(H20,budget,1)))</f>
        <v>#REF!</v>
      </c>
      <c r="G20" s="27" t="e">
        <f>IF(H20&lt;$K$9,$K$9,INDEX(budget,MATCH(H20,budget,1)+1))</f>
        <v>#REF!</v>
      </c>
      <c r="H20" s="27" t="e">
        <f>C4</f>
        <v>#REF!</v>
      </c>
      <c r="I20" s="83">
        <v>12</v>
      </c>
      <c r="J20" s="26" t="s">
        <v>106</v>
      </c>
      <c r="K20" s="39">
        <v>0.126</v>
      </c>
      <c r="L20" s="39">
        <v>8.7999999999999995E-2</v>
      </c>
      <c r="M20" s="39">
        <v>8.5000000000000006E-2</v>
      </c>
      <c r="N20" s="39">
        <v>7.6999999999999999E-2</v>
      </c>
      <c r="O20" s="43">
        <v>6.5000000000000002E-2</v>
      </c>
      <c r="P20" s="39">
        <v>5.0999999999999997E-2</v>
      </c>
      <c r="Q20" s="39">
        <v>4.2000000000000003E-2</v>
      </c>
      <c r="R20" s="39">
        <v>3.5999999999999997E-2</v>
      </c>
      <c r="S20" s="39" t="s">
        <v>117</v>
      </c>
      <c r="T20" s="39"/>
    </row>
    <row r="21" spans="1:20" ht="42.75">
      <c r="A21" s="21" t="s">
        <v>119</v>
      </c>
      <c r="B21" s="22" t="e">
        <f>SUM(B22:B23)</f>
        <v>#REF!</v>
      </c>
      <c r="C21" s="31"/>
      <c r="D21" s="31"/>
      <c r="E21" s="31"/>
      <c r="F21" s="32"/>
      <c r="G21" s="22"/>
      <c r="H21" s="22"/>
      <c r="I21" s="83">
        <v>13</v>
      </c>
      <c r="J21" s="35" t="s">
        <v>244</v>
      </c>
      <c r="K21" s="41"/>
      <c r="L21" s="41"/>
      <c r="M21" s="41"/>
      <c r="N21" s="41"/>
      <c r="O21" s="41"/>
      <c r="P21" s="41"/>
      <c r="Q21" s="41"/>
      <c r="R21" s="41"/>
      <c r="S21" s="41"/>
      <c r="T21" s="42"/>
    </row>
    <row r="22" spans="1:20">
      <c r="A22" s="26" t="s">
        <v>103</v>
      </c>
      <c r="B22" s="27">
        <v>0</v>
      </c>
      <c r="C22" s="28">
        <f>E22-(E22-D22)*(H22-G22)/(F22-G22)</f>
        <v>8.6999999999999744E-2</v>
      </c>
      <c r="D22" s="28">
        <f>IF(F22=0,K22,HLOOKUP(F22,dinhmuc,$I22,TRUE))</f>
        <v>8.6999999999999994E-2</v>
      </c>
      <c r="E22" s="28">
        <f>IF(G22=0,L22,HLOOKUP(G22,dinhmuc,$I22,TRUE))</f>
        <v>1.4990000000000001</v>
      </c>
      <c r="F22" s="29">
        <f>IF(H22&lt;$K$9,0,INDEX(budget,MATCH(H22,budget,1)))</f>
        <v>0</v>
      </c>
      <c r="G22" s="27">
        <f>IF(H22&lt;$K$9,$K$9,INDEX(budget,MATCH(H22,budget,1)+1))</f>
        <v>7000000000</v>
      </c>
      <c r="H22" s="27">
        <f>C3</f>
        <v>0</v>
      </c>
      <c r="I22" s="83">
        <v>14</v>
      </c>
      <c r="J22" s="26" t="s">
        <v>104</v>
      </c>
      <c r="K22" s="39">
        <v>8.6999999999999994E-2</v>
      </c>
      <c r="L22" s="39">
        <v>6.0999999999999999E-2</v>
      </c>
      <c r="M22" s="39">
        <v>5.3999999999999999E-2</v>
      </c>
      <c r="N22" s="39">
        <v>4.2999999999999997E-2</v>
      </c>
      <c r="O22" s="39">
        <v>0.03</v>
      </c>
      <c r="P22" s="39">
        <v>2.1999999999999999E-2</v>
      </c>
      <c r="Q22" s="39">
        <v>1.9E-2</v>
      </c>
      <c r="R22" s="39">
        <v>1.6E-2</v>
      </c>
      <c r="S22" s="39">
        <v>1.0999999999999999E-2</v>
      </c>
      <c r="T22" s="39">
        <v>8.0000000000000002E-3</v>
      </c>
    </row>
    <row r="23" spans="1:20">
      <c r="A23" s="26" t="s">
        <v>105</v>
      </c>
      <c r="B23" s="27" t="e">
        <f>IF(C23*H23/100&lt;2000000,2000000,C23*H23/100)</f>
        <v>#REF!</v>
      </c>
      <c r="C23" s="28" t="e">
        <f>E23-(E23-D23)*(H23-G23)/(F23-G23)</f>
        <v>#REF!</v>
      </c>
      <c r="D23" s="28" t="e">
        <f>IF(F23=0,K23,HLOOKUP(F23,dinhmuc,$I23,TRUE))</f>
        <v>#REF!</v>
      </c>
      <c r="E23" s="28" t="e">
        <f>IF(G23=0,L23,HLOOKUP(G23,dinhmuc,$I23,TRUE))</f>
        <v>#REF!</v>
      </c>
      <c r="F23" s="29" t="e">
        <f>IF(H23&lt;$K$9,0,INDEX(budget,MATCH(H23,budget,1)))</f>
        <v>#REF!</v>
      </c>
      <c r="G23" s="27" t="e">
        <f>IF(H23&lt;$K$9,$K$9,INDEX(budget,MATCH(H23,budget,1)+1))</f>
        <v>#REF!</v>
      </c>
      <c r="H23" s="27" t="e">
        <f>H11</f>
        <v>#REF!</v>
      </c>
      <c r="I23" s="83">
        <v>15</v>
      </c>
      <c r="J23" s="26" t="s">
        <v>106</v>
      </c>
      <c r="K23" s="39">
        <v>9.5000000000000001E-2</v>
      </c>
      <c r="L23" s="39">
        <v>6.6000000000000003E-2</v>
      </c>
      <c r="M23" s="39">
        <v>5.8999999999999997E-2</v>
      </c>
      <c r="N23" s="39">
        <v>4.7E-2</v>
      </c>
      <c r="O23" s="39">
        <v>3.2000000000000001E-2</v>
      </c>
      <c r="P23" s="39">
        <v>2.4E-2</v>
      </c>
      <c r="Q23" s="39">
        <v>0.02</v>
      </c>
      <c r="R23" s="39">
        <v>1.7000000000000001E-2</v>
      </c>
      <c r="S23" s="39"/>
      <c r="T23" s="39"/>
    </row>
    <row r="24" spans="1:20" ht="42.75">
      <c r="A24" s="21" t="s">
        <v>121</v>
      </c>
      <c r="B24" s="22" t="e">
        <f>SUM(B25:B26)</f>
        <v>#REF!</v>
      </c>
      <c r="C24" s="31"/>
      <c r="D24" s="31"/>
      <c r="E24" s="31"/>
      <c r="F24" s="32"/>
      <c r="G24" s="22"/>
      <c r="H24" s="22"/>
      <c r="I24" s="83">
        <v>16</v>
      </c>
      <c r="J24" s="21" t="s">
        <v>245</v>
      </c>
      <c r="K24" s="21"/>
      <c r="L24" s="21"/>
      <c r="M24" s="21"/>
      <c r="N24" s="21"/>
      <c r="O24" s="21"/>
      <c r="P24" s="21"/>
      <c r="Q24" s="21"/>
      <c r="R24" s="21"/>
      <c r="S24" s="21"/>
      <c r="T24" s="21"/>
    </row>
    <row r="25" spans="1:20">
      <c r="A25" s="26" t="s">
        <v>103</v>
      </c>
      <c r="B25" s="27">
        <v>0</v>
      </c>
      <c r="C25" s="39">
        <f>E25-(E25-D25)*(H25-G25)/(F25-G25)</f>
        <v>7.8E-2</v>
      </c>
      <c r="D25" s="28">
        <f>IF(F25=0,K25,HLOOKUP(F25,dinhmuc,$I25,TRUE))</f>
        <v>7.8E-2</v>
      </c>
      <c r="E25" s="28">
        <f>IF(G25=0,L25,HLOOKUP(G25,dinhmuc,$I25,TRUE))</f>
        <v>0.105</v>
      </c>
      <c r="F25" s="29">
        <f>IF(H25&lt;$K$9,0,INDEX(budget,MATCH(H25,budget,1)))</f>
        <v>0</v>
      </c>
      <c r="G25" s="27">
        <f>IF(H25&lt;$K$9,$K$9,INDEX(budget,MATCH(H25,budget,1)+1))</f>
        <v>7000000000</v>
      </c>
      <c r="H25" s="27">
        <f>C3</f>
        <v>0</v>
      </c>
      <c r="I25" s="83">
        <v>17</v>
      </c>
      <c r="J25" s="26" t="s">
        <v>104</v>
      </c>
      <c r="K25" s="39">
        <v>7.8E-2</v>
      </c>
      <c r="L25" s="39">
        <v>0.05</v>
      </c>
      <c r="M25" s="39">
        <v>4.3999999999999997E-2</v>
      </c>
      <c r="N25" s="39">
        <v>3.4000000000000002E-2</v>
      </c>
      <c r="O25" s="39">
        <v>2.5999999999999999E-2</v>
      </c>
      <c r="P25" s="39">
        <v>1.7999999999999999E-2</v>
      </c>
      <c r="Q25" s="39">
        <v>1.4999999999999999E-2</v>
      </c>
      <c r="R25" s="39">
        <v>1.2999999999999999E-2</v>
      </c>
      <c r="S25" s="39">
        <v>0.01</v>
      </c>
      <c r="T25" s="39">
        <v>7.0000000000000001E-3</v>
      </c>
    </row>
    <row r="26" spans="1:20">
      <c r="A26" s="26" t="s">
        <v>105</v>
      </c>
      <c r="B26" s="27" t="e">
        <f>IF(C26*H26/100&lt;2000000,2000000,C26*H26/100)</f>
        <v>#REF!</v>
      </c>
      <c r="C26" s="39" t="e">
        <f>E26-(E26-D26)*(H26-G26)/(F26-G26)</f>
        <v>#REF!</v>
      </c>
      <c r="D26" s="28" t="e">
        <f>IF(F26=0,K26,HLOOKUP(F26,dinhmuc,$I26,TRUE))</f>
        <v>#REF!</v>
      </c>
      <c r="E26" s="28" t="e">
        <f>IF(G26=0,L26,HLOOKUP(G26,dinhmuc,$I26,TRUE))</f>
        <v>#REF!</v>
      </c>
      <c r="F26" s="29" t="e">
        <f>IF(H26&lt;$K$9,0,INDEX(budget,MATCH(H26,budget,1)))</f>
        <v>#REF!</v>
      </c>
      <c r="G26" s="27" t="e">
        <f>IF(H26&lt;$K$9,$K$9,INDEX(budget,MATCH(H26,budget,1)+1))</f>
        <v>#REF!</v>
      </c>
      <c r="H26" s="44" t="e">
        <f>H11</f>
        <v>#REF!</v>
      </c>
      <c r="I26" s="83">
        <v>18</v>
      </c>
      <c r="J26" s="26" t="s">
        <v>106</v>
      </c>
      <c r="K26" s="39">
        <v>8.5000000000000006E-2</v>
      </c>
      <c r="L26" s="39">
        <v>5.3999999999999999E-2</v>
      </c>
      <c r="M26" s="39">
        <v>4.8000000000000001E-2</v>
      </c>
      <c r="N26" s="39">
        <v>3.6999999999999998E-2</v>
      </c>
      <c r="O26" s="39">
        <v>2.8000000000000001E-2</v>
      </c>
      <c r="P26" s="39">
        <v>1.9E-2</v>
      </c>
      <c r="Q26" s="39">
        <v>1.6E-2</v>
      </c>
      <c r="R26" s="39">
        <v>1.4E-2</v>
      </c>
      <c r="S26" s="39"/>
      <c r="T26" s="39"/>
    </row>
    <row r="27" spans="1:20" ht="28.5">
      <c r="A27" s="21" t="s">
        <v>123</v>
      </c>
      <c r="B27" s="45">
        <f>B28</f>
        <v>0</v>
      </c>
      <c r="C27" s="46"/>
      <c r="D27" s="46"/>
      <c r="E27" s="46"/>
      <c r="F27" s="32"/>
      <c r="G27" s="45"/>
      <c r="H27" s="45"/>
      <c r="I27" s="83">
        <v>19</v>
      </c>
      <c r="J27" s="21" t="s">
        <v>246</v>
      </c>
      <c r="K27" s="21"/>
      <c r="L27" s="21"/>
      <c r="M27" s="21"/>
      <c r="N27" s="21"/>
      <c r="O27" s="21"/>
      <c r="P27" s="21"/>
      <c r="Q27" s="21"/>
      <c r="R27" s="21"/>
      <c r="S27" s="21"/>
      <c r="T27" s="21"/>
    </row>
    <row r="28" spans="1:20">
      <c r="A28" s="26" t="s">
        <v>103</v>
      </c>
      <c r="B28" s="27">
        <f>C28*H28/100</f>
        <v>0</v>
      </c>
      <c r="C28" s="39">
        <f>E28-(E28-D28)*(H28-G28)/(F28-G28)</f>
        <v>0.36199999999999999</v>
      </c>
      <c r="D28" s="28">
        <f>IF(F28=0,K28,HLOOKUP(F28,dinhmuc,$I28,TRUE))</f>
        <v>0.36199999999999999</v>
      </c>
      <c r="E28" s="28">
        <f>IF(G28=0,L28,HLOOKUP(G28,dinhmuc,$I28,TRUE))</f>
        <v>0</v>
      </c>
      <c r="F28" s="29">
        <f>IF(H28&lt;$K$9,0,INDEX(budget,MATCH(H28,budget,1)))</f>
        <v>0</v>
      </c>
      <c r="G28" s="27">
        <f>IF(H28&lt;$K$9,$K$9,INDEX(budget,MATCH(H28,budget,1)+1))</f>
        <v>7000000000</v>
      </c>
      <c r="H28" s="27">
        <v>0</v>
      </c>
      <c r="I28" s="83">
        <v>20</v>
      </c>
      <c r="J28" s="26" t="s">
        <v>104</v>
      </c>
      <c r="K28" s="39">
        <v>0.36199999999999999</v>
      </c>
      <c r="L28" s="39">
        <v>0.33900000000000002</v>
      </c>
      <c r="M28" s="39">
        <v>0.30499999999999999</v>
      </c>
      <c r="N28" s="39">
        <v>0.255</v>
      </c>
      <c r="O28" s="39">
        <v>0.16400000000000001</v>
      </c>
      <c r="P28" s="39">
        <v>9.9000000000000005E-2</v>
      </c>
      <c r="Q28" s="39">
        <v>7.9000000000000001E-2</v>
      </c>
      <c r="R28" s="39">
        <v>6.3E-2</v>
      </c>
      <c r="S28" s="39">
        <v>4.7E-2</v>
      </c>
      <c r="T28" s="39">
        <v>2.8000000000000001E-2</v>
      </c>
    </row>
    <row r="29" spans="1:20" ht="42.75">
      <c r="A29" s="35" t="s">
        <v>125</v>
      </c>
      <c r="B29" s="22" t="e">
        <f>SUM(B30:B31)</f>
        <v>#REF!</v>
      </c>
      <c r="C29" s="36"/>
      <c r="D29" s="36"/>
      <c r="E29" s="36"/>
      <c r="F29" s="37"/>
      <c r="G29" s="38"/>
      <c r="H29" s="38"/>
      <c r="I29" s="83">
        <v>21</v>
      </c>
      <c r="J29" s="21" t="s">
        <v>247</v>
      </c>
      <c r="K29" s="21"/>
      <c r="L29" s="21"/>
      <c r="M29" s="21"/>
      <c r="N29" s="21"/>
      <c r="O29" s="21"/>
      <c r="P29" s="21"/>
      <c r="Q29" s="21"/>
      <c r="R29" s="21"/>
      <c r="S29" s="21"/>
      <c r="T29" s="21"/>
    </row>
    <row r="30" spans="1:20">
      <c r="A30" s="26" t="s">
        <v>103</v>
      </c>
      <c r="B30" s="27">
        <f>C30*H30/100</f>
        <v>0</v>
      </c>
      <c r="C30" s="39">
        <f>E30-(E30-D30)*(H30-G30)/(F30-G30)</f>
        <v>0.28299999999999997</v>
      </c>
      <c r="D30" s="28">
        <f>IF(F30=0,K30,HLOOKUP(F30,dinhmuc,$I30,TRUE))</f>
        <v>0.28299999999999997</v>
      </c>
      <c r="E30" s="28">
        <f>IF(G30=0,L30,HLOOKUP(G30,dinhmuc,$I30,TRUE))</f>
        <v>0</v>
      </c>
      <c r="F30" s="29">
        <f>IF(H30&lt;$K$9,0,INDEX(budget,MATCH(H30,budget,1)))</f>
        <v>0</v>
      </c>
      <c r="G30" s="27">
        <f>IF(H30&lt;$K$9,$K$9,INDEX(budget,MATCH(H30,budget,1)+1))</f>
        <v>7000000000</v>
      </c>
      <c r="H30" s="27">
        <f>C3</f>
        <v>0</v>
      </c>
      <c r="I30" s="83">
        <v>22</v>
      </c>
      <c r="J30" s="26" t="s">
        <v>104</v>
      </c>
      <c r="K30" s="39">
        <v>0.28299999999999997</v>
      </c>
      <c r="L30" s="39">
        <v>0.22800000000000001</v>
      </c>
      <c r="M30" s="39">
        <v>0.20599999999999999</v>
      </c>
      <c r="N30" s="39">
        <v>0.17199999999999999</v>
      </c>
      <c r="O30" s="39">
        <v>0.12</v>
      </c>
      <c r="P30" s="39">
        <v>7.8E-2</v>
      </c>
      <c r="Q30" s="39">
        <v>7.1999999999999995E-2</v>
      </c>
      <c r="R30" s="39">
        <v>6.4000000000000001E-2</v>
      </c>
      <c r="S30" s="39">
        <v>5.2999999999999999E-2</v>
      </c>
      <c r="T30" s="39">
        <v>4.1000000000000002E-2</v>
      </c>
    </row>
    <row r="31" spans="1:20">
      <c r="A31" s="33" t="s">
        <v>105</v>
      </c>
      <c r="B31" s="27" t="e">
        <f>C31*H31/100</f>
        <v>#REF!</v>
      </c>
      <c r="C31" s="39" t="e">
        <f>E31-(E31-D31)*(H31-G31)/(F31-G31)</f>
        <v>#REF!</v>
      </c>
      <c r="D31" s="28" t="e">
        <f>IF(F31=0,K31,HLOOKUP(F31,dinhmuc,$I31,TRUE))</f>
        <v>#REF!</v>
      </c>
      <c r="E31" s="28" t="e">
        <f>IF(G31=0,L31,HLOOKUP(G31,dinhmuc,$I31,TRUE))</f>
        <v>#REF!</v>
      </c>
      <c r="F31" s="29" t="e">
        <f>IF(H31&lt;$K$9,0,INDEX(budget,MATCH(H31,budget,1)))</f>
        <v>#REF!</v>
      </c>
      <c r="G31" s="27" t="e">
        <f>IF(H31&lt;$K$9,$K$9,INDEX(budget,MATCH(H31,budget,1)+1))</f>
        <v>#REF!</v>
      </c>
      <c r="H31" s="47" t="e">
        <f>H11</f>
        <v>#REF!</v>
      </c>
      <c r="I31" s="83">
        <v>23</v>
      </c>
      <c r="J31" s="33" t="s">
        <v>106</v>
      </c>
      <c r="K31" s="48">
        <v>0.40500000000000003</v>
      </c>
      <c r="L31" s="48">
        <v>0.33600000000000002</v>
      </c>
      <c r="M31" s="48">
        <v>0.311</v>
      </c>
      <c r="N31" s="48">
        <v>0.26500000000000001</v>
      </c>
      <c r="O31" s="48">
        <v>0.182</v>
      </c>
      <c r="P31" s="48">
        <v>0.11899999999999999</v>
      </c>
      <c r="Q31" s="48">
        <v>0.109</v>
      </c>
      <c r="R31" s="48">
        <v>0.10199999999999999</v>
      </c>
      <c r="S31" s="48"/>
      <c r="T31" s="48"/>
    </row>
    <row r="32" spans="1:20" ht="42.75">
      <c r="A32" s="24" t="s">
        <v>248</v>
      </c>
      <c r="B32" s="49" t="e">
        <f>SUM(B33:B34)</f>
        <v>#REF!</v>
      </c>
      <c r="C32" s="50"/>
      <c r="D32" s="50"/>
      <c r="E32" s="50"/>
      <c r="F32" s="51"/>
      <c r="G32" s="49"/>
      <c r="H32" s="49"/>
      <c r="I32" s="83">
        <v>24</v>
      </c>
      <c r="J32" s="52" t="s">
        <v>249</v>
      </c>
      <c r="K32" s="53"/>
      <c r="L32" s="53"/>
      <c r="M32" s="53"/>
      <c r="N32" s="53"/>
      <c r="O32" s="53"/>
      <c r="P32" s="53"/>
      <c r="Q32" s="53"/>
      <c r="R32" s="53"/>
      <c r="S32" s="53"/>
      <c r="T32" s="54"/>
    </row>
    <row r="33" spans="1:20">
      <c r="A33" s="26" t="s">
        <v>103</v>
      </c>
      <c r="B33" s="27">
        <f>C33*H33/100</f>
        <v>0</v>
      </c>
      <c r="C33" s="28">
        <f>E33-(E33-D33)*(H33-G33)/(F33-G33)</f>
        <v>0.71799999999999997</v>
      </c>
      <c r="D33" s="28">
        <f>IF(F33=0,K33,HLOOKUP(F33,dinhmuc,$I33,TRUE))</f>
        <v>0.71799999999999997</v>
      </c>
      <c r="E33" s="28">
        <f>IF(G33=0,L33,HLOOKUP(G33,dinhmuc,$I33,TRUE))</f>
        <v>0</v>
      </c>
      <c r="F33" s="29">
        <f>IF(H33&lt;$K$9,0,INDEX(budget,MATCH(H33,budget,1)))</f>
        <v>0</v>
      </c>
      <c r="G33" s="27">
        <f>IF(H33&lt;$K$9,$K$9,INDEX(budget,MATCH(H33,budget,1)+1))</f>
        <v>7000000000</v>
      </c>
      <c r="H33" s="27">
        <f>C3</f>
        <v>0</v>
      </c>
      <c r="I33" s="83">
        <v>25</v>
      </c>
      <c r="J33" s="26" t="s">
        <v>104</v>
      </c>
      <c r="K33" s="39">
        <v>0.71799999999999997</v>
      </c>
      <c r="L33" s="39">
        <v>0.60199999999999998</v>
      </c>
      <c r="M33" s="39">
        <v>0.58299999999999996</v>
      </c>
      <c r="N33" s="39">
        <v>0.52329999999999999</v>
      </c>
      <c r="O33" s="39">
        <v>0.46800000000000003</v>
      </c>
      <c r="P33" s="39">
        <v>0.311</v>
      </c>
      <c r="Q33" s="39">
        <v>0.27800000000000002</v>
      </c>
      <c r="R33" s="39">
        <v>0.25</v>
      </c>
      <c r="S33" s="39">
        <v>0.217</v>
      </c>
      <c r="T33" s="39">
        <v>0.14299999999999999</v>
      </c>
    </row>
    <row r="34" spans="1:20">
      <c r="A34" s="26" t="s">
        <v>105</v>
      </c>
      <c r="B34" s="27" t="e">
        <f>C34*H34/100</f>
        <v>#REF!</v>
      </c>
      <c r="C34" s="28" t="e">
        <f>E34-(E34-D34)*(H34-G34)/(F34-G34)</f>
        <v>#REF!</v>
      </c>
      <c r="D34" s="28" t="e">
        <f>IF(F34=0,K34,HLOOKUP(F34,dinhmuc,$I34,TRUE))</f>
        <v>#REF!</v>
      </c>
      <c r="E34" s="28" t="e">
        <f>IF(G34=0,L34,HLOOKUP(G34,dinhmuc,$I34,TRUE))</f>
        <v>#REF!</v>
      </c>
      <c r="F34" s="29" t="e">
        <f>IF(H34&lt;$K$9,0,INDEX(budget,MATCH(H34,budget,1)))</f>
        <v>#REF!</v>
      </c>
      <c r="G34" s="27" t="e">
        <f>IF(H34&lt;$K$9,$K$9,INDEX(budget,MATCH(H34,budget,1)+1))</f>
        <v>#REF!</v>
      </c>
      <c r="H34" s="27" t="e">
        <f>H11</f>
        <v>#REF!</v>
      </c>
      <c r="I34" s="83">
        <v>26</v>
      </c>
      <c r="J34" s="26" t="s">
        <v>106</v>
      </c>
      <c r="K34" s="39">
        <v>2.0630000000000002</v>
      </c>
      <c r="L34" s="39">
        <v>1.931</v>
      </c>
      <c r="M34" s="39">
        <v>1.833</v>
      </c>
      <c r="N34" s="39">
        <v>1.736</v>
      </c>
      <c r="O34" s="39">
        <v>1.595</v>
      </c>
      <c r="P34" s="39">
        <v>1.22</v>
      </c>
      <c r="Q34" s="39">
        <v>1.091</v>
      </c>
      <c r="R34" s="39">
        <v>0.95599999999999996</v>
      </c>
      <c r="S34" s="39"/>
      <c r="T34" s="39"/>
    </row>
    <row r="35" spans="1:20" ht="16.5">
      <c r="A35" s="7" t="s">
        <v>129</v>
      </c>
      <c r="B35" s="55" t="e">
        <f>H35*C35/100</f>
        <v>#REF!</v>
      </c>
      <c r="C35" s="56">
        <v>0.05</v>
      </c>
      <c r="D35" s="57"/>
      <c r="E35" s="57"/>
      <c r="F35" s="58"/>
      <c r="G35" s="55"/>
      <c r="H35" s="59" t="e">
        <f>#REF!</f>
        <v>#REF!</v>
      </c>
      <c r="J35" s="387" t="s">
        <v>250</v>
      </c>
      <c r="K35" s="387"/>
      <c r="L35" s="387"/>
      <c r="M35" s="387"/>
      <c r="N35" s="387"/>
    </row>
    <row r="36" spans="1:20" ht="16.5">
      <c r="A36" s="7" t="s">
        <v>131</v>
      </c>
      <c r="B36" s="55" t="e">
        <f>H36*C36/100</f>
        <v>#REF!</v>
      </c>
      <c r="C36" s="56">
        <v>0.05</v>
      </c>
      <c r="D36" s="57"/>
      <c r="E36" s="57"/>
      <c r="F36" s="58"/>
      <c r="G36" s="55"/>
      <c r="H36" s="59" t="e">
        <f>H35</f>
        <v>#REF!</v>
      </c>
      <c r="I36" s="83">
        <v>1</v>
      </c>
      <c r="J36" s="60" t="s">
        <v>132</v>
      </c>
      <c r="K36" s="61">
        <v>5000000000</v>
      </c>
      <c r="L36" s="61">
        <v>10000000000</v>
      </c>
      <c r="M36" s="61">
        <v>50000000000</v>
      </c>
      <c r="N36" s="61">
        <v>100000000000</v>
      </c>
      <c r="O36" s="61">
        <v>500000000000</v>
      </c>
      <c r="P36" s="61">
        <v>1000000000000</v>
      </c>
      <c r="Q36" s="61">
        <v>10000000000000</v>
      </c>
      <c r="R36" s="62"/>
      <c r="S36" s="61">
        <v>10000000000000</v>
      </c>
      <c r="T36" s="62"/>
    </row>
    <row r="37" spans="1:20">
      <c r="A37" s="63" t="s">
        <v>133</v>
      </c>
      <c r="B37" s="11">
        <f>H37*C37/100*70%</f>
        <v>22428000</v>
      </c>
      <c r="C37" s="64">
        <f>E37-(E37-D37)*(H37-G37)/(F37-G37)</f>
        <v>0.53400000000000003</v>
      </c>
      <c r="D37" s="28">
        <f>IF(F37=0,K37,HLOOKUP(F37,pdqt,$I37,TRUE))</f>
        <v>0.56999999999999995</v>
      </c>
      <c r="E37" s="28">
        <f>IF(G37=0,L37,HLOOKUP(G37,pdqt,$I37,TRUE))</f>
        <v>0.39</v>
      </c>
      <c r="F37" s="29">
        <f>IF(H37&lt;$K$36,0,INDEX(budget2,MATCH(H37,budget2,1)))</f>
        <v>5000000000</v>
      </c>
      <c r="G37" s="29">
        <f>IF(H37&lt;$K$36,$K$36,INDEX(budget2,MATCH(H37,budget2,1)+1))</f>
        <v>10000000000</v>
      </c>
      <c r="H37" s="65">
        <v>6000000000</v>
      </c>
      <c r="I37" s="83">
        <v>2</v>
      </c>
      <c r="J37" s="26" t="s">
        <v>134</v>
      </c>
      <c r="K37" s="66">
        <v>0.95</v>
      </c>
      <c r="L37" s="66">
        <v>0.65</v>
      </c>
      <c r="M37" s="66">
        <v>0.47499999999999998</v>
      </c>
      <c r="N37" s="66">
        <v>0.375</v>
      </c>
      <c r="O37" s="66">
        <v>0.22500000000000001</v>
      </c>
      <c r="P37" s="66">
        <v>0.15</v>
      </c>
      <c r="Q37" s="66">
        <v>0.08</v>
      </c>
      <c r="S37" s="66">
        <v>3.2000000000000001E-2</v>
      </c>
    </row>
    <row r="38" spans="1:20">
      <c r="A38" s="17" t="s">
        <v>135</v>
      </c>
      <c r="B38" s="11">
        <f>H38*C38/100*70%</f>
        <v>37674000</v>
      </c>
      <c r="C38" s="64">
        <f>E38-(E38-D38)*(H38-G38)/(F38-G38)</f>
        <v>0.89700000000000002</v>
      </c>
      <c r="D38" s="28">
        <f>IF(F38=0,K38,HLOOKUP(F38,pdqt,$I38,TRUE))</f>
        <v>0.96</v>
      </c>
      <c r="E38" s="28">
        <f>IF(G38=0,L38,HLOOKUP(G38,pdqt,$I38,TRUE))</f>
        <v>0.64500000000000002</v>
      </c>
      <c r="F38" s="29">
        <f>IF(H38&lt;$K$36,0,INDEX(budget2,MATCH(H38,budget2,1)))</f>
        <v>5000000000</v>
      </c>
      <c r="G38" s="29">
        <f>IF(H38&lt;$K$36,$K$36,INDEX(budget2,MATCH(H38,budget2,1)+1))</f>
        <v>10000000000</v>
      </c>
      <c r="H38" s="65">
        <f>H37</f>
        <v>6000000000</v>
      </c>
      <c r="I38" s="83">
        <v>3</v>
      </c>
      <c r="J38" s="26" t="s">
        <v>136</v>
      </c>
      <c r="K38" s="66">
        <v>1.6</v>
      </c>
      <c r="L38" s="66">
        <v>1.075</v>
      </c>
      <c r="M38" s="66">
        <v>0.75</v>
      </c>
      <c r="N38" s="66">
        <v>0.57499999999999996</v>
      </c>
      <c r="O38" s="66">
        <v>0.32500000000000001</v>
      </c>
      <c r="P38" s="66">
        <v>0.215</v>
      </c>
      <c r="Q38" s="66">
        <v>0.115</v>
      </c>
      <c r="S38" s="66">
        <v>4.5999999999999999E-2</v>
      </c>
    </row>
    <row r="39" spans="1:20">
      <c r="A39" s="391"/>
      <c r="B39" s="391"/>
      <c r="C39" s="391"/>
      <c r="D39" s="391"/>
      <c r="E39" s="391"/>
      <c r="F39" s="391"/>
      <c r="G39" s="391"/>
      <c r="H39" s="391"/>
    </row>
  </sheetData>
  <sheetProtection formatCells="0" formatColumns="0" formatRows="0" insertColumns="0" insertRows="0" insertHyperlinks="0" deleteColumns="0" deleteRows="0" sort="0" autoFilter="0" pivotTables="0"/>
  <mergeCells count="5">
    <mergeCell ref="A6:H6"/>
    <mergeCell ref="J6:N6"/>
    <mergeCell ref="K8:T8"/>
    <mergeCell ref="J35:N35"/>
    <mergeCell ref="A39:H39"/>
  </mergeCells>
  <pageMargins left="0.46" right="0.7" top="0.71" bottom="0.75" header="0.3" footer="0.3"/>
  <pageSetup paperSize="9" scale="6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Khối lượng tài liệu</vt:lpstr>
      <vt:lpstr>TDT</vt:lpstr>
      <vt:lpstr>Ty le tv</vt:lpstr>
      <vt:lpstr>CP Kiểm thử</vt:lpstr>
      <vt:lpstr>UC Detail</vt:lpstr>
      <vt:lpstr>CPSH</vt:lpstr>
      <vt:lpstr>Khối lượng dự toán</vt:lpstr>
      <vt:lpstr>Báo cáo khảo sát</vt:lpstr>
      <vt:lpstr>Hạ tầng</vt:lpstr>
      <vt:lpstr>Ty le tv (so hoa)</vt:lpstr>
      <vt:lpstr>budget</vt:lpstr>
      <vt:lpstr>budget2</vt:lpstr>
      <vt:lpstr>dinhmuc</vt:lpstr>
      <vt:lpstr>pdqt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2023-10-24T04:24:09Z</dcterms:created>
  <dcterms:modified xsi:type="dcterms:W3CDTF">2026-03-30T04:46:57Z</dcterms:modified>
  <cp:category/>
  <cp:contentStatus/>
</cp:coreProperties>
</file>
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VNPT\PHẦN MỀM TRIỂN KHAI\CCVC\HỒ SƠ THẦU\"/>
    </mc:Choice>
  </mc:AlternateContent>
  <xr:revisionPtr revIDLastSave="0" documentId="8_{A85E0799-D1B7-488B-918A-FF9D9EE61CDA}" xr6:coauthVersionLast="47" xr6:coauthVersionMax="47" xr10:uidLastSave="{00000000-0000-0000-0000-000000000000}"/>
  <bookViews>
    <workbookView xWindow="-120" yWindow="-120" windowWidth="19440" windowHeight="15000" firstSheet="1" activeTab="1" xr2:uid="{00000000-000D-0000-FFFF-FFFF00000000}"/>
  </bookViews>
  <sheets>
    <sheet name="Timeline" sheetId="5" state="hidden" r:id="rId1"/>
    <sheet name="Timeline (PA.2)"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6" l="1"/>
  <c r="E6" i="6" s="1"/>
  <c r="E7" i="6" s="1"/>
  <c r="E8" i="6" s="1"/>
  <c r="E9" i="6" s="1"/>
  <c r="E11" i="6" s="1"/>
  <c r="E12" i="6" s="1"/>
  <c r="E13" i="6" l="1"/>
  <c r="E14" i="6" s="1"/>
  <c r="E15" i="6" s="1"/>
  <c r="E16" i="6" s="1"/>
  <c r="E17" i="6" s="1"/>
  <c r="E18" i="6" s="1"/>
  <c r="E7" i="5"/>
  <c r="E8" i="5" s="1"/>
  <c r="E9" i="5" s="1"/>
  <c r="E21" i="6" l="1"/>
  <c r="E22" i="6" s="1"/>
  <c r="E23" i="6" s="1"/>
  <c r="E24" i="6" s="1"/>
  <c r="E25" i="6" s="1"/>
  <c r="E42" i="6" s="1"/>
  <c r="E35" i="6"/>
  <c r="E36" i="6" s="1"/>
  <c r="E37" i="6" s="1"/>
  <c r="E38" i="6" s="1"/>
  <c r="E39" i="6" s="1"/>
  <c r="E40" i="6" s="1"/>
  <c r="E28" i="6"/>
  <c r="E29" i="6" s="1"/>
  <c r="E30" i="6" s="1"/>
  <c r="E31" i="6" s="1"/>
  <c r="E32" i="6" s="1"/>
  <c r="E33" i="6" s="1"/>
  <c r="E10" i="5"/>
  <c r="E34" i="5"/>
  <c r="E20" i="5"/>
  <c r="E27" i="5"/>
  <c r="E13" i="5"/>
  <c r="E14" i="5" s="1"/>
  <c r="E15" i="5" s="1"/>
  <c r="E26" i="6" l="1"/>
  <c r="E43" i="6"/>
  <c r="E44" i="6" s="1"/>
  <c r="E16" i="5"/>
  <c r="E17" i="5" s="1"/>
  <c r="E45" i="6" l="1"/>
  <c r="E46" i="6" s="1"/>
  <c r="E47" i="6" s="1"/>
  <c r="E48" i="6" s="1"/>
  <c r="E49" i="6" s="1"/>
  <c r="E50" i="6" s="1"/>
  <c r="E51" i="6" s="1"/>
  <c r="E18" i="5"/>
  <c r="E21" i="5"/>
  <c r="E22" i="5" s="1"/>
  <c r="E23" i="5" s="1"/>
  <c r="E24" i="5" s="1"/>
  <c r="E41" i="5" s="1"/>
  <c r="E54" i="6" l="1"/>
  <c r="E55" i="6" s="1"/>
  <c r="E42" i="5"/>
  <c r="E43" i="5" s="1"/>
  <c r="E44" i="5" s="1"/>
  <c r="E45" i="5" s="1"/>
  <c r="E46" i="5" s="1"/>
  <c r="E47" i="5" s="1"/>
  <c r="E48" i="5" s="1"/>
  <c r="E51" i="5" s="1"/>
  <c r="E52" i="5" s="1"/>
  <c r="E53" i="5" s="1"/>
  <c r="E25" i="5"/>
  <c r="E28" i="5"/>
  <c r="E29" i="5" s="1"/>
  <c r="E30" i="5" s="1"/>
  <c r="E31" i="5" s="1"/>
  <c r="E56" i="6" l="1"/>
  <c r="E65" i="6" s="1"/>
  <c r="E58" i="6"/>
  <c r="E59" i="6" s="1"/>
  <c r="E60" i="6" s="1"/>
  <c r="E61" i="6" s="1"/>
  <c r="E62" i="6" s="1"/>
  <c r="E63" i="6" s="1"/>
  <c r="E55" i="5"/>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66" i="6" l="1"/>
  <c r="E67" i="6" s="1"/>
  <c r="E68" i="6" s="1"/>
  <c r="E69" i="6" s="1"/>
  <c r="E70" i="6" s="1"/>
  <c r="E78" i="5"/>
  <c r="E79" i="5" s="1"/>
  <c r="E80" i="5" s="1"/>
  <c r="E81" i="5" s="1"/>
  <c r="E82" i="5" s="1"/>
  <c r="E84" i="5" s="1"/>
  <c r="E85" i="5" s="1"/>
  <c r="E86" i="5" s="1"/>
  <c r="E87" i="5" s="1"/>
  <c r="E88" i="5" s="1"/>
  <c r="E89" i="5" s="1"/>
  <c r="E90" i="5" s="1"/>
</calcChain>
</file>

<file path=xl/sharedStrings.xml><?xml version="1.0" encoding="utf-8"?>
<sst xmlns="http://schemas.openxmlformats.org/spreadsheetml/2006/main" count="382" uniqueCount="168">
  <si>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</si>
  <si>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</si>
  <si>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</si>
  <si>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</si>
  <si>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</si>
  <si>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</si>
  <si>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</si>
  <si>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</si>
  <si>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</si>
  <si>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</si>
  <si>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</si>
  <si>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</si>
  <si>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</si>
  <si>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</si>
  <si>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</si>
  <si>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</si>
  <si>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</si>
  <si>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</si>
  <si>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</si>
  <si>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</si>
  <si>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</si>
  <si>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</si>
  <si>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</si>
  <si>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</si>
  <si>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</si>
  <si>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</si>
  <si>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</si>
  <si>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</si>
  <si>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</si>
  <si>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</si>
  <si>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</si>
  <si>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</si>
  <si>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</si>
  <si>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</si>
  <si>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</si>
  <si>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</si>
  <si>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</si>
  <si>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</si>
  <si>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</si>
  <si>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</si>
  <si>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</si>
  <si>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</si>
  <si>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</si>
  <si>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</si>
  <si>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</si>
  <si>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</si>
  <si>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</si>
  <si>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</si>
  <si>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</si>
  <si>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</si>
  <si>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</si>
  <si>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</si>
  <si>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</si>
  <si>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</si>
  <si>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</si>
  <si>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</si>
  <si>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</si>
  <si>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</si>
  <si>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</si>
  <si>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</si>
  <si>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</si>
  <si>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</si>
  <si>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</si>
  <si>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</si>
  <si>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</si>
  <si>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</si>
  <si>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</si>
  <si>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</si>
  <si>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</si>
  <si>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</si>
  <si>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</si>
  <si>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</si>
  <si>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</si>
  <si>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</si>
  <si>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</si>
  <si>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</si>
  <si>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</si>
  <si>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</si>
  <si>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</si>
  <si>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</si>
  <si>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</si>
  <si>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</si>
  <si>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</si>
  <si>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</si>
  <si>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</si>
  <si>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</si>
  <si>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</si>
  <si>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</si>
  <si>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</si>
  <si>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</si>
  <si>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</si>
  <si>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</si>
  <si>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</si>
  <si>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</si>
  <si>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</si>
  <si>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</si>
  <si>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</si>
  <si>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</si>
  <si>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</si>
  <si>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</si>
  <si>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</si>
  <si>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</si>
  <si>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</si>
  <si>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</si>
  <si>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</si>
  <si>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</si>
  <si>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</si>
  <si>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</si>
  <si>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</si>
  <si>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</si>
  <si>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</si>
  <si>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</si>
  <si>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</si>
  <si>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</si>
  <si>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</si>
  <si>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</si>
  <si>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</si>
  <si>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</si>
  <si>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</si>
  <si>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</si>
  <si>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</si>
  <si>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</si>
  <si>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</si>
  <si>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</si>
  <si>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</si>
  <si>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</si>
  <si>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</si>
  <si>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</si>
  <si>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</si>
  <si>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Tổ thẩm định của CĐT</t>
  </si>
  <si>
    <t>III.1</t>
  </si>
  <si>
    <t>III.2</t>
  </si>
  <si>
    <t>III.3</t>
  </si>
  <si>
    <t>CV mời báo giá sơ bộ các chi phí</t>
  </si>
  <si>
    <t>Công văn mời báo giá các chi phí lập BCKT-KT, thẩm tra BCKT-KT</t>
  </si>
  <si>
    <t>Dự toán bao gồm các chi phí:
- Lập BCKT-KT
- Thẩm tra BCKT-KT
- Thẩm định giá</t>
  </si>
  <si>
    <t>Bộ phận/Đơn vị được giao nhiệm vụ trình</t>
  </si>
  <si>
    <t>Công văn mời báo giá các chi phí: QLDA; GSTK.</t>
  </si>
  <si>
    <t>Báo cáo đề xuất chủ trương thực hiện nhiệm vụ</t>
  </si>
  <si>
    <t>Các đơn vị cung cấp báo giá</t>
  </si>
  <si>
    <t>Ý kiến chuyên môn của Sở KHCN và các cơ quan liên quan</t>
  </si>
  <si>
    <t>UBND tỉnh</t>
  </si>
  <si>
    <t>Báo giá sơ bộ các hạng mục</t>
  </si>
  <si>
    <t>Sở KHCN; Các cơ quan liên quan</t>
  </si>
  <si>
    <t>Phụ lục số 01 và Điều 4, Thông tư 18/2024/TT-BTTTT ngày 30/12/2024 của Bộ Thông tin và Truyền thông (nay là Bộ Khoa học và Công nghệ)
Khoản 2, Điều 10, Mục 2 của Nghị định 45/2026/NĐ-CP ngày 26/01/2026 của Chính phủ</t>
  </si>
  <si>
    <t>Đảm bảo đáp ứng theo quy định tại mục 2.4 và 2.6 của Phụ lục số 07, Thông tư 18/2024/TT-BTTTT ngày 30/12/2024</t>
  </si>
  <si>
    <t>Bước 2.1, Tiểu mục 3, mục 3, phần I của phụ lục kèm theo Công văn số 7196/UBND-KGVX ngày 13/11/2025 của UBND tỉnh</t>
  </si>
  <si>
    <t>Bước 2.2, Tiểu mục 3, mục 3, phần I của phụ lục kèm theo Công văn số 7196/UBND-KGVX ngày 13/11/2025 của UBND tỉnh</t>
  </si>
  <si>
    <t>Bước 2.3, Tiểu mục 3, mục 3, phần I của phụ lục kèm theo Công văn số 7196/UBND-KGVX ngày 13/11/2025 của UBND tỉnh</t>
  </si>
  <si>
    <t>Bước 2.4, Tiểu mục 3, mục 3, phần I của phụ lục kèm theo Công văn số 7196/UBND-KGVX ngày 13/11/2025 của UBND tỉnh</t>
  </si>
  <si>
    <t>Văn bản đồng ý chủ trương thực hiện nhiệm vụ</t>
  </si>
  <si>
    <t>Văn bản trình chủ trương thực hiện nhiệm vụ</t>
  </si>
  <si>
    <t>Đề nghị cấp vốn</t>
  </si>
  <si>
    <t>STC</t>
  </si>
  <si>
    <t>LẬP VÀ PHÊ DUYỆT KHLCNT GIAI ĐOẠN CHUẨN BỊ NHIỆM VỤ THỰC HIỆN DỰ ÁN</t>
  </si>
  <si>
    <t>CHUẨN BỊ THỰC HIỆN NHIỆM VỤ</t>
  </si>
  <si>
    <t>PHÊ DUYỆT CHỦ TRƯƠNG THỰC HIỆN NHIỆM VỤ</t>
  </si>
  <si>
    <t>Bước 4, Tiểu mục 3, mục 3, phần I của phụ lục kèm theo Công văn số 7196/UBND-KGVX ngày 13/11/2025 của UBND tỉnh</t>
  </si>
  <si>
    <t>Bước 5, Tiểu mục 3, mục 3, phần I của phụ lục kèm theo Công văn số 7196/UBND-KGVX ngày 13/11/2025 của UBND tỉnh</t>
  </si>
  <si>
    <t>THỦ TỤC CHỈ ĐỊNH THẦU ĐƠN VỊ TƯ VẤN: QUẢN LÝ DỰ ÁN; KIỂM THỬ ĐỘC LẬP PMNB</t>
  </si>
  <si>
    <t>Tờ trình phê duyệt KHLCNT, bao gồm các gói thầu:
- Quản lý dự án
- Kiểm thử độc lập PMNB
- Triển khai</t>
  </si>
  <si>
    <t>Gói thầu triển khai thực hiện Chỉ định thầu theo quy định tại điểm d, khoản 5 Điều 78, Chỉ định thầu rút gọn theo quy định tại khoản 2 Điều 80  của Nghị định 214/2025/NĐ-CP ngày 04/8/2025</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</si>
  <si>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</si>
  <si>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</si>
  <si>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</si>
  <si>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</si>
  <si>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</si>
  <si>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Sở đang chờ UBND tỉnh phân cấp phê duyệt kinh phí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</si>
</sst>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18">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10" xfId="0" applyFont="1" applyFill="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7" fillId="6" borderId="0" xfId="0" applyFont="1" applyFill="1" applyAlignment="1">
      <alignment vertical="center" wrapText="1"/>
    </xf>
    <xf numFmtId="0" fontId="2" fillId="6" borderId="1" xfId="0" applyFont="1" applyFill="1" applyBorder="1" applyAlignment="1">
      <alignment vertical="center" wrapText="1"/>
    </xf>
    <xf numFmtId="0" fontId="5" fillId="6" borderId="0" xfId="0" applyFont="1" applyFill="1" applyAlignment="1">
      <alignment vertical="center" wrapText="1"/>
    </xf>
    <xf numFmtId="0" fontId="5" fillId="6" borderId="1" xfId="0" applyFont="1" applyFill="1" applyBorder="1" applyAlignment="1">
      <alignment vertical="top" wrapText="1"/>
    </xf>
    <xf numFmtId="0" fontId="5" fillId="3" borderId="0" xfId="0" applyFont="1" applyFill="1" applyAlignment="1">
      <alignment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F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9</xdr:row>
      <xdr:rowOff>113717</xdr:rowOff>
    </xdr:from>
    <xdr:to>
      <xdr:col>19</xdr:col>
      <xdr:colOff>361679</xdr:colOff>
      <xdr:row>11</xdr:row>
      <xdr:rowOff>215688</xdr:rowOff>
    </xdr:to>
    <xdr:pic>
      <xdr:nvPicPr>
        <xdr:cNvPr id="2" name="Picture 1">
          <a:extLst>
            <a:ext uri="{FF2B5EF4-FFF2-40B4-BE49-F238E27FC236}">
              <a16:creationId xmlns:a16="http://schemas.microsoft.com/office/drawing/2014/main" id="{5368E9D9-FDEB-26EB-2C9C-5EC7407A1808}"/>
            </a:ext>
          </a:extLst>
        </xdr:cNvPr>
        <xdr:cNvPicPr>
          <a:picLocks noChangeAspect="1"/>
        </xdr:cNvPicPr>
      </xdr:nvPicPr>
      <xdr:blipFill>
        <a:blip xmlns:r="http://schemas.openxmlformats.org/officeDocument/2006/relationships" r:embed="rId1"/>
        <a:stretch>
          <a:fillRect/>
        </a:stretch>
      </xdr:blipFill>
      <xdr:spPr>
        <a:xfrm>
          <a:off x="24167566" y="1234305"/>
          <a:ext cx="6804773" cy="819148"/>
        </a:xfrm>
        <a:prstGeom prst="rect">
          <a:avLst/>
        </a:prstGeom>
      </xdr:spPr>
    </xdr:pic>
    <xdr:clientData/>
  </xdr:twoCellAnchor>
  <xdr:oneCellAnchor>
    <xdr:from>
      <xdr:col>9</xdr:col>
      <xdr:colOff>612801</xdr:colOff>
      <xdr:row>41</xdr:row>
      <xdr:rowOff>46482</xdr:rowOff>
    </xdr:from>
    <xdr:ext cx="6172761" cy="809542"/>
    <xdr:pic>
      <xdr:nvPicPr>
        <xdr:cNvPr id="3" name="Picture 2">
          <a:extLst>
            <a:ext uri="{FF2B5EF4-FFF2-40B4-BE49-F238E27FC236}">
              <a16:creationId xmlns:a16="http://schemas.microsoft.com/office/drawing/2014/main" id="{07FB79FF-ABA7-457D-B381-5770C67FEF4C}"/>
            </a:ext>
          </a:extLst>
        </xdr:cNvPr>
        <xdr:cNvPicPr>
          <a:picLocks noChangeAspect="1"/>
        </xdr:cNvPicPr>
      </xdr:nvPicPr>
      <xdr:blipFill>
        <a:blip xmlns:r="http://schemas.openxmlformats.org/officeDocument/2006/relationships" r:embed="rId1"/>
        <a:stretch>
          <a:fillRect/>
        </a:stretch>
      </xdr:blipFill>
      <xdr:spPr>
        <a:xfrm>
          <a:off x="21231625" y="11173923"/>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11" t="s">
        <v>56</v>
      </c>
      <c r="D4" s="112"/>
      <c r="E4" s="112"/>
      <c r="F4" s="112"/>
      <c r="G4" s="112"/>
      <c r="H4" s="112"/>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15" t="s">
        <v>51</v>
      </c>
      <c r="H13" s="4"/>
      <c r="I13" s="13"/>
    </row>
    <row r="14" spans="1:9" s="43" customFormat="1" outlineLevel="1" x14ac:dyDescent="0.25">
      <c r="A14" s="1">
        <v>2</v>
      </c>
      <c r="B14" s="40" t="s">
        <v>23</v>
      </c>
      <c r="C14" s="109" t="s">
        <v>60</v>
      </c>
      <c r="D14" s="110"/>
      <c r="E14" s="3">
        <f t="shared" ref="E14:E18" si="1">WORKDAY(E13,F14)</f>
        <v>45894</v>
      </c>
      <c r="F14" s="42">
        <v>1</v>
      </c>
      <c r="G14" s="116"/>
      <c r="H14" s="4"/>
      <c r="I14" s="5"/>
    </row>
    <row r="15" spans="1:9" s="43" customFormat="1" outlineLevel="1" x14ac:dyDescent="0.25">
      <c r="A15" s="1">
        <v>3</v>
      </c>
      <c r="B15" s="40" t="s">
        <v>24</v>
      </c>
      <c r="C15" s="41" t="s">
        <v>57</v>
      </c>
      <c r="D15" s="41"/>
      <c r="E15" s="3">
        <f t="shared" si="1"/>
        <v>45894</v>
      </c>
      <c r="F15" s="42">
        <v>0</v>
      </c>
      <c r="G15" s="116"/>
      <c r="H15" s="4"/>
      <c r="I15" s="5"/>
    </row>
    <row r="16" spans="1:9" s="43" customFormat="1" outlineLevel="1" x14ac:dyDescent="0.25">
      <c r="A16" s="1">
        <v>4</v>
      </c>
      <c r="B16" s="40" t="s">
        <v>25</v>
      </c>
      <c r="C16" s="44"/>
      <c r="D16" s="1" t="s">
        <v>58</v>
      </c>
      <c r="E16" s="3">
        <f>WORKDAY(E15,F16)</f>
        <v>45894</v>
      </c>
      <c r="F16" s="42">
        <v>0</v>
      </c>
      <c r="G16" s="116"/>
      <c r="H16" s="4"/>
      <c r="I16" s="13"/>
    </row>
    <row r="17" spans="1:9" s="43" customFormat="1" outlineLevel="1" x14ac:dyDescent="0.25">
      <c r="A17" s="1">
        <v>5</v>
      </c>
      <c r="B17" s="40" t="s">
        <v>16</v>
      </c>
      <c r="C17" s="109" t="s">
        <v>60</v>
      </c>
      <c r="D17" s="110"/>
      <c r="E17" s="3">
        <f t="shared" si="1"/>
        <v>45895</v>
      </c>
      <c r="F17" s="42">
        <v>1</v>
      </c>
      <c r="G17" s="116"/>
      <c r="H17" s="4"/>
      <c r="I17" s="13"/>
    </row>
    <row r="18" spans="1:9" s="43" customFormat="1" outlineLevel="1" x14ac:dyDescent="0.25">
      <c r="A18" s="1">
        <v>6</v>
      </c>
      <c r="B18" s="40" t="s">
        <v>47</v>
      </c>
      <c r="C18" s="41" t="s">
        <v>57</v>
      </c>
      <c r="D18" s="41"/>
      <c r="E18" s="3">
        <f t="shared" si="1"/>
        <v>45895</v>
      </c>
      <c r="F18" s="42">
        <v>0</v>
      </c>
      <c r="G18" s="117"/>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15" t="s">
        <v>51</v>
      </c>
      <c r="H20" s="4"/>
      <c r="I20" s="13"/>
    </row>
    <row r="21" spans="1:9" s="43" customFormat="1" outlineLevel="1" x14ac:dyDescent="0.25">
      <c r="A21" s="1">
        <v>2</v>
      </c>
      <c r="B21" s="40" t="s">
        <v>23</v>
      </c>
      <c r="C21" s="109" t="s">
        <v>60</v>
      </c>
      <c r="D21" s="110"/>
      <c r="E21" s="3">
        <f t="shared" ref="E21:E22" si="2">WORKDAY(E20,F21)</f>
        <v>45894</v>
      </c>
      <c r="F21" s="42">
        <v>1</v>
      </c>
      <c r="G21" s="116"/>
      <c r="H21" s="4"/>
      <c r="I21" s="5"/>
    </row>
    <row r="22" spans="1:9" s="43" customFormat="1" outlineLevel="1" x14ac:dyDescent="0.25">
      <c r="A22" s="1">
        <v>3</v>
      </c>
      <c r="B22" s="40" t="s">
        <v>24</v>
      </c>
      <c r="C22" s="41" t="s">
        <v>57</v>
      </c>
      <c r="D22" s="41"/>
      <c r="E22" s="3">
        <f t="shared" si="2"/>
        <v>45894</v>
      </c>
      <c r="F22" s="42">
        <v>0</v>
      </c>
      <c r="G22" s="116"/>
      <c r="H22" s="4"/>
      <c r="I22" s="5"/>
    </row>
    <row r="23" spans="1:9" s="43" customFormat="1" outlineLevel="1" x14ac:dyDescent="0.25">
      <c r="A23" s="1">
        <v>4</v>
      </c>
      <c r="B23" s="40" t="s">
        <v>25</v>
      </c>
      <c r="C23" s="44"/>
      <c r="D23" s="1" t="s">
        <v>58</v>
      </c>
      <c r="E23" s="3">
        <f>WORKDAY(E22,F23)</f>
        <v>45894</v>
      </c>
      <c r="F23" s="42">
        <v>0</v>
      </c>
      <c r="G23" s="116"/>
      <c r="H23" s="4"/>
      <c r="I23" s="13"/>
    </row>
    <row r="24" spans="1:9" s="43" customFormat="1" outlineLevel="1" x14ac:dyDescent="0.25">
      <c r="A24" s="1">
        <v>5</v>
      </c>
      <c r="B24" s="40" t="s">
        <v>16</v>
      </c>
      <c r="C24" s="109" t="s">
        <v>60</v>
      </c>
      <c r="D24" s="110"/>
      <c r="E24" s="3">
        <f t="shared" ref="E24:E25" si="3">WORKDAY(E23,F24)</f>
        <v>45895</v>
      </c>
      <c r="F24" s="42">
        <v>1</v>
      </c>
      <c r="G24" s="116"/>
      <c r="H24" s="4"/>
      <c r="I24" s="13"/>
    </row>
    <row r="25" spans="1:9" s="43" customFormat="1" outlineLevel="1" x14ac:dyDescent="0.25">
      <c r="A25" s="1">
        <v>6</v>
      </c>
      <c r="B25" s="40" t="s">
        <v>47</v>
      </c>
      <c r="C25" s="41" t="s">
        <v>57</v>
      </c>
      <c r="D25" s="41"/>
      <c r="E25" s="3">
        <f t="shared" si="3"/>
        <v>45895</v>
      </c>
      <c r="F25" s="42">
        <v>0</v>
      </c>
      <c r="G25" s="117"/>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15" t="s">
        <v>51</v>
      </c>
      <c r="H27" s="4"/>
      <c r="I27" s="13"/>
    </row>
    <row r="28" spans="1:9" s="43" customFormat="1" outlineLevel="1" x14ac:dyDescent="0.25">
      <c r="A28" s="1">
        <v>2</v>
      </c>
      <c r="B28" s="40" t="s">
        <v>23</v>
      </c>
      <c r="C28" s="109" t="s">
        <v>60</v>
      </c>
      <c r="D28" s="110"/>
      <c r="E28" s="3">
        <f t="shared" ref="E28:E29" si="4">WORKDAY(E27,F28)</f>
        <v>45894</v>
      </c>
      <c r="F28" s="42">
        <v>1</v>
      </c>
      <c r="G28" s="116"/>
      <c r="H28" s="4"/>
      <c r="I28" s="5"/>
    </row>
    <row r="29" spans="1:9" s="43" customFormat="1" outlineLevel="1" x14ac:dyDescent="0.25">
      <c r="A29" s="1">
        <v>3</v>
      </c>
      <c r="B29" s="40" t="s">
        <v>24</v>
      </c>
      <c r="C29" s="41" t="s">
        <v>57</v>
      </c>
      <c r="D29" s="41"/>
      <c r="E29" s="3">
        <f t="shared" si="4"/>
        <v>45894</v>
      </c>
      <c r="F29" s="42">
        <v>0</v>
      </c>
      <c r="G29" s="116"/>
      <c r="H29" s="4"/>
      <c r="I29" s="5"/>
    </row>
    <row r="30" spans="1:9" s="43" customFormat="1" outlineLevel="1" x14ac:dyDescent="0.25">
      <c r="A30" s="1">
        <v>4</v>
      </c>
      <c r="B30" s="40" t="s">
        <v>25</v>
      </c>
      <c r="C30" s="44"/>
      <c r="D30" s="1" t="s">
        <v>58</v>
      </c>
      <c r="E30" s="3">
        <f>WORKDAY(E29,F30)</f>
        <v>45894</v>
      </c>
      <c r="F30" s="42">
        <v>0</v>
      </c>
      <c r="G30" s="116"/>
      <c r="H30" s="4"/>
      <c r="I30" s="13"/>
    </row>
    <row r="31" spans="1:9" s="43" customFormat="1" outlineLevel="1" x14ac:dyDescent="0.25">
      <c r="A31" s="1">
        <v>5</v>
      </c>
      <c r="B31" s="40" t="s">
        <v>16</v>
      </c>
      <c r="C31" s="109" t="s">
        <v>60</v>
      </c>
      <c r="D31" s="110"/>
      <c r="E31" s="3">
        <f t="shared" ref="E31:E32" si="5">WORKDAY(E30,F31)</f>
        <v>45895</v>
      </c>
      <c r="F31" s="42">
        <v>1</v>
      </c>
      <c r="G31" s="116"/>
      <c r="H31" s="4"/>
      <c r="I31" s="13"/>
    </row>
    <row r="32" spans="1:9" s="43" customFormat="1" outlineLevel="1" x14ac:dyDescent="0.25">
      <c r="A32" s="1">
        <v>6</v>
      </c>
      <c r="B32" s="40" t="s">
        <v>47</v>
      </c>
      <c r="C32" s="41" t="s">
        <v>57</v>
      </c>
      <c r="D32" s="41"/>
      <c r="E32" s="3">
        <f t="shared" si="5"/>
        <v>45895</v>
      </c>
      <c r="F32" s="42">
        <v>0</v>
      </c>
      <c r="G32" s="117"/>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15" t="s">
        <v>51</v>
      </c>
      <c r="H34" s="4"/>
      <c r="I34" s="13"/>
    </row>
    <row r="35" spans="1:9" s="43" customFormat="1" outlineLevel="1" x14ac:dyDescent="0.25">
      <c r="A35" s="1">
        <v>2</v>
      </c>
      <c r="B35" s="40" t="s">
        <v>23</v>
      </c>
      <c r="C35" s="109" t="s">
        <v>60</v>
      </c>
      <c r="D35" s="110"/>
      <c r="E35" s="3">
        <f t="shared" ref="E35:E36" si="6">WORKDAY(E34,F35)</f>
        <v>45894</v>
      </c>
      <c r="F35" s="42">
        <v>1</v>
      </c>
      <c r="G35" s="116"/>
      <c r="H35" s="4"/>
      <c r="I35" s="5"/>
    </row>
    <row r="36" spans="1:9" s="43" customFormat="1" outlineLevel="1" x14ac:dyDescent="0.25">
      <c r="A36" s="1">
        <v>3</v>
      </c>
      <c r="B36" s="40" t="s">
        <v>24</v>
      </c>
      <c r="C36" s="41" t="s">
        <v>57</v>
      </c>
      <c r="D36" s="41"/>
      <c r="E36" s="3">
        <f t="shared" si="6"/>
        <v>45894</v>
      </c>
      <c r="F36" s="42">
        <v>0</v>
      </c>
      <c r="G36" s="116"/>
      <c r="H36" s="4"/>
      <c r="I36" s="5"/>
    </row>
    <row r="37" spans="1:9" s="43" customFormat="1" outlineLevel="1" x14ac:dyDescent="0.25">
      <c r="A37" s="1">
        <v>4</v>
      </c>
      <c r="B37" s="40" t="s">
        <v>25</v>
      </c>
      <c r="C37" s="44"/>
      <c r="D37" s="1" t="s">
        <v>58</v>
      </c>
      <c r="E37" s="3">
        <f>WORKDAY(E36,F37)</f>
        <v>45894</v>
      </c>
      <c r="F37" s="42">
        <v>0</v>
      </c>
      <c r="G37" s="116"/>
      <c r="H37" s="4"/>
      <c r="I37" s="13"/>
    </row>
    <row r="38" spans="1:9" s="43" customFormat="1" outlineLevel="1" x14ac:dyDescent="0.25">
      <c r="A38" s="1">
        <v>5</v>
      </c>
      <c r="B38" s="40" t="s">
        <v>16</v>
      </c>
      <c r="C38" s="109" t="s">
        <v>60</v>
      </c>
      <c r="D38" s="110"/>
      <c r="E38" s="3">
        <f t="shared" ref="E38:E39" si="7">WORKDAY(E37,F38)</f>
        <v>45895</v>
      </c>
      <c r="F38" s="42">
        <v>1</v>
      </c>
      <c r="G38" s="116"/>
      <c r="H38" s="4"/>
      <c r="I38" s="13"/>
    </row>
    <row r="39" spans="1:9" s="43" customFormat="1" outlineLevel="1" x14ac:dyDescent="0.25">
      <c r="A39" s="1">
        <v>6</v>
      </c>
      <c r="B39" s="40" t="s">
        <v>47</v>
      </c>
      <c r="C39" s="41" t="s">
        <v>57</v>
      </c>
      <c r="D39" s="41"/>
      <c r="E39" s="3">
        <f t="shared" si="7"/>
        <v>45895</v>
      </c>
      <c r="F39" s="42">
        <v>0</v>
      </c>
      <c r="G39" s="117"/>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109" t="s">
        <v>60</v>
      </c>
      <c r="D56" s="110"/>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109" t="s">
        <v>60</v>
      </c>
      <c r="D59" s="110"/>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13" t="s">
        <v>88</v>
      </c>
      <c r="D70" s="114"/>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13" t="s">
        <v>61</v>
      </c>
      <c r="D74" s="114"/>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13" t="s">
        <v>61</v>
      </c>
      <c r="D89" s="114"/>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G34:G39"/>
    <mergeCell ref="C35:D35"/>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 ref="C28:D28"/>
    <mergeCell ref="C31:D31"/>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BD47-DB30-49EE-9321-89C1E22BBCE4}">
  <dimension ref="A1:I71"/>
  <sheetViews>
    <sheetView tabSelected="1" zoomScale="115" zoomScaleNormal="115" workbookViewId="0">
      <pane xSplit="1" ySplit="1" topLeftCell="B62" activePane="bottomRight" state="frozen"/>
      <selection pane="topRight" activeCell="C1" sqref="C1"/>
      <selection pane="bottomLeft" activeCell="A3" sqref="A3"/>
      <selection pane="bottomRight" activeCell="G4" sqref="G4"/>
    </sheetView>
  </sheetViews>
  <sheetFormatPr defaultColWidth="8.85546875" defaultRowHeight="15" outlineLevelRow="3" x14ac:dyDescent="0.25"/>
  <cols>
    <col min="1" max="1" width="7" style="20" customWidth="1"/>
    <col min="2" max="2" width="46"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36.42578125" style="51" customWidth="1"/>
    <col min="9" max="9" width="31.85546875" style="6" customWidth="1"/>
    <col min="10"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155</v>
      </c>
      <c r="C2" s="23"/>
      <c r="D2" s="23"/>
      <c r="E2" s="23"/>
      <c r="F2" s="24"/>
      <c r="G2" s="25"/>
      <c r="H2" s="25"/>
      <c r="I2" s="26"/>
    </row>
    <row r="3" spans="1:9" s="30" customFormat="1" ht="28.5" outlineLevel="1" x14ac:dyDescent="0.25">
      <c r="A3" s="27" t="s">
        <v>3</v>
      </c>
      <c r="B3" s="28" t="s">
        <v>156</v>
      </c>
      <c r="C3" s="1"/>
      <c r="D3" s="1"/>
      <c r="E3" s="3"/>
      <c r="F3" s="29"/>
      <c r="G3" s="4"/>
      <c r="H3" s="4"/>
      <c r="I3" s="4"/>
    </row>
    <row r="4" spans="1:9" ht="78.75" customHeight="1" outlineLevel="2" x14ac:dyDescent="0.25">
      <c r="A4" s="1">
        <v>1</v>
      </c>
      <c r="B4" s="31" t="s">
        <v>133</v>
      </c>
      <c r="C4" s="1" t="s">
        <v>123</v>
      </c>
      <c r="D4" s="1"/>
      <c r="E4" s="3">
        <v>46233</v>
      </c>
      <c r="F4" s="1"/>
      <c r="G4" s="1"/>
      <c r="H4" s="81" t="s">
        <v>144</v>
      </c>
      <c r="I4" s="67"/>
    </row>
    <row r="5" spans="1:9" ht="45" outlineLevel="2" x14ac:dyDescent="0.25">
      <c r="A5" s="1">
        <v>2</v>
      </c>
      <c r="B5" s="31" t="s">
        <v>142</v>
      </c>
      <c r="C5" s="1" t="s">
        <v>139</v>
      </c>
      <c r="D5" s="1"/>
      <c r="E5" s="3">
        <f>WORKDAY(E4,F5)</f>
        <v>46238</v>
      </c>
      <c r="F5" s="77">
        <v>3</v>
      </c>
      <c r="G5" s="1"/>
      <c r="H5" s="81" t="s">
        <v>145</v>
      </c>
      <c r="I5" s="67"/>
    </row>
    <row r="6" spans="1:9" ht="54" customHeight="1" outlineLevel="2" x14ac:dyDescent="0.25">
      <c r="A6" s="1">
        <v>3</v>
      </c>
      <c r="B6" s="31" t="s">
        <v>138</v>
      </c>
      <c r="C6" s="1" t="s">
        <v>123</v>
      </c>
      <c r="D6" s="1"/>
      <c r="E6" s="3">
        <f>WORKDAY(E5,F6)</f>
        <v>46239</v>
      </c>
      <c r="F6" s="1">
        <v>1</v>
      </c>
      <c r="G6" s="1"/>
      <c r="H6" s="81" t="s">
        <v>146</v>
      </c>
      <c r="I6" s="67"/>
    </row>
    <row r="7" spans="1:9" ht="54" customHeight="1" outlineLevel="2" x14ac:dyDescent="0.25">
      <c r="A7" s="1">
        <v>4</v>
      </c>
      <c r="B7" s="31" t="s">
        <v>140</v>
      </c>
      <c r="C7" s="1" t="s">
        <v>143</v>
      </c>
      <c r="D7" s="1"/>
      <c r="E7" s="3">
        <f>WORKDAY(E6,F7)</f>
        <v>46253</v>
      </c>
      <c r="F7" s="1">
        <v>10</v>
      </c>
      <c r="G7" s="1"/>
      <c r="H7" s="81" t="s">
        <v>147</v>
      </c>
      <c r="I7" s="67"/>
    </row>
    <row r="8" spans="1:9" ht="54" customHeight="1" outlineLevel="2" x14ac:dyDescent="0.25">
      <c r="A8" s="1">
        <v>5</v>
      </c>
      <c r="B8" s="31" t="s">
        <v>151</v>
      </c>
      <c r="C8" s="1" t="s">
        <v>123</v>
      </c>
      <c r="D8" s="1"/>
      <c r="E8" s="3">
        <f>WORKDAY(E7,F8)</f>
        <v>46254</v>
      </c>
      <c r="F8" s="1">
        <v>1</v>
      </c>
      <c r="G8" s="1"/>
      <c r="H8" s="81" t="s">
        <v>148</v>
      </c>
      <c r="I8" s="67"/>
    </row>
    <row r="9" spans="1:9" ht="60" outlineLevel="2" x14ac:dyDescent="0.25">
      <c r="A9" s="1">
        <v>6</v>
      </c>
      <c r="B9" s="31" t="s">
        <v>150</v>
      </c>
      <c r="C9" s="79"/>
      <c r="D9" s="1" t="s">
        <v>141</v>
      </c>
      <c r="E9" s="3">
        <f>WORKDAY(E8,F9)</f>
        <v>46254</v>
      </c>
      <c r="F9" s="1">
        <v>0</v>
      </c>
      <c r="G9" s="79"/>
      <c r="H9" s="81" t="s">
        <v>149</v>
      </c>
      <c r="I9" s="67"/>
    </row>
    <row r="10" spans="1:9" s="30" customFormat="1" ht="28.5" outlineLevel="1" x14ac:dyDescent="0.25">
      <c r="A10" s="27" t="s">
        <v>4</v>
      </c>
      <c r="B10" s="28" t="s">
        <v>154</v>
      </c>
      <c r="C10" s="1"/>
      <c r="D10" s="1"/>
      <c r="E10" s="3"/>
      <c r="F10" s="32"/>
      <c r="G10" s="5"/>
      <c r="H10" s="13"/>
      <c r="I10" s="71"/>
    </row>
    <row r="11" spans="1:9" ht="41.45" customHeight="1" outlineLevel="2" x14ac:dyDescent="0.25">
      <c r="A11" s="100">
        <v>1</v>
      </c>
      <c r="B11" s="31" t="s">
        <v>134</v>
      </c>
      <c r="C11" s="1"/>
      <c r="D11" s="1" t="s">
        <v>123</v>
      </c>
      <c r="E11" s="3">
        <f>E9</f>
        <v>46254</v>
      </c>
      <c r="F11" s="77"/>
      <c r="G11" s="5"/>
      <c r="H11" s="47" t="s">
        <v>124</v>
      </c>
      <c r="I11" s="97" t="s">
        <v>122</v>
      </c>
    </row>
    <row r="12" spans="1:9" s="92" customFormat="1" ht="45" outlineLevel="2" x14ac:dyDescent="0.25">
      <c r="A12" s="101"/>
      <c r="B12" s="75" t="s">
        <v>116</v>
      </c>
      <c r="C12" s="67"/>
      <c r="D12" s="67" t="s">
        <v>123</v>
      </c>
      <c r="E12" s="70">
        <f>E11</f>
        <v>46254</v>
      </c>
      <c r="F12" s="76"/>
      <c r="G12" s="71" t="s">
        <v>117</v>
      </c>
      <c r="H12" s="84" t="s">
        <v>125</v>
      </c>
      <c r="I12" s="98"/>
    </row>
    <row r="13" spans="1:9" outlineLevel="2" x14ac:dyDescent="0.25">
      <c r="A13" s="33">
        <v>2</v>
      </c>
      <c r="B13" s="31" t="s">
        <v>119</v>
      </c>
      <c r="C13" s="1" t="s">
        <v>120</v>
      </c>
      <c r="D13" s="1"/>
      <c r="E13" s="3">
        <f>WORKDAY(E11,F13)</f>
        <v>46261</v>
      </c>
      <c r="F13" s="77">
        <v>5</v>
      </c>
      <c r="G13" s="5"/>
      <c r="H13" s="82"/>
      <c r="I13" s="98"/>
    </row>
    <row r="14" spans="1:9" ht="60" outlineLevel="2" x14ac:dyDescent="0.25">
      <c r="A14" s="33">
        <v>3</v>
      </c>
      <c r="B14" s="31" t="s">
        <v>115</v>
      </c>
      <c r="C14" s="1" t="s">
        <v>136</v>
      </c>
      <c r="D14" s="1"/>
      <c r="E14" s="3">
        <f t="shared" ref="E14:E18" si="0">WORKDAY(E13,F14)</f>
        <v>46266</v>
      </c>
      <c r="F14" s="77">
        <v>3</v>
      </c>
      <c r="G14" s="5" t="s">
        <v>135</v>
      </c>
      <c r="H14" s="82" t="s">
        <v>118</v>
      </c>
      <c r="I14" s="99"/>
    </row>
    <row r="15" spans="1:9" ht="30" outlineLevel="2" x14ac:dyDescent="0.25">
      <c r="A15" s="33">
        <v>4</v>
      </c>
      <c r="B15" s="31" t="s">
        <v>121</v>
      </c>
      <c r="C15" s="1"/>
      <c r="D15" s="1" t="s">
        <v>123</v>
      </c>
      <c r="E15" s="3">
        <f t="shared" si="0"/>
        <v>46267</v>
      </c>
      <c r="F15" s="77">
        <v>1</v>
      </c>
      <c r="G15" s="5"/>
      <c r="H15" s="47"/>
      <c r="I15" s="97"/>
    </row>
    <row r="16" spans="1:9" ht="45" outlineLevel="2" x14ac:dyDescent="0.25">
      <c r="A16" s="33">
        <v>5</v>
      </c>
      <c r="B16" s="31" t="s">
        <v>30</v>
      </c>
      <c r="C16" s="1" t="s">
        <v>136</v>
      </c>
      <c r="D16" s="1"/>
      <c r="E16" s="3">
        <f t="shared" si="0"/>
        <v>46267</v>
      </c>
      <c r="F16" s="77">
        <v>0</v>
      </c>
      <c r="G16" s="5"/>
      <c r="H16" s="47" t="s">
        <v>65</v>
      </c>
      <c r="I16" s="99"/>
    </row>
    <row r="17" spans="1:9" ht="30" outlineLevel="2" x14ac:dyDescent="0.25">
      <c r="A17" s="33">
        <v>6</v>
      </c>
      <c r="B17" s="31" t="s">
        <v>9</v>
      </c>
      <c r="C17" s="1"/>
      <c r="D17" s="1" t="s">
        <v>123</v>
      </c>
      <c r="E17" s="3">
        <f t="shared" si="0"/>
        <v>46267</v>
      </c>
      <c r="F17" s="77">
        <v>0</v>
      </c>
      <c r="G17" s="5"/>
      <c r="H17" s="13"/>
      <c r="I17" s="4"/>
    </row>
    <row r="18" spans="1:9" s="6" customFormat="1" ht="45" outlineLevel="2" x14ac:dyDescent="0.25">
      <c r="A18" s="33">
        <v>7</v>
      </c>
      <c r="B18" s="31" t="s">
        <v>35</v>
      </c>
      <c r="C18" s="1" t="s">
        <v>136</v>
      </c>
      <c r="D18" s="1"/>
      <c r="E18" s="3">
        <f t="shared" si="0"/>
        <v>46267</v>
      </c>
      <c r="F18" s="78">
        <v>0</v>
      </c>
      <c r="G18" s="5"/>
      <c r="H18" s="13"/>
      <c r="I18" s="5"/>
    </row>
    <row r="19" spans="1:9" s="30" customFormat="1" outlineLevel="1" x14ac:dyDescent="0.25">
      <c r="A19" s="27" t="s">
        <v>107</v>
      </c>
      <c r="B19" s="28" t="s">
        <v>49</v>
      </c>
      <c r="C19" s="1"/>
      <c r="D19" s="1"/>
      <c r="E19" s="3"/>
      <c r="F19" s="32"/>
      <c r="G19" s="5"/>
      <c r="H19" s="13"/>
      <c r="I19" s="71"/>
    </row>
    <row r="20" spans="1:9" s="12" customFormat="1" ht="28.5" outlineLevel="2" x14ac:dyDescent="0.25">
      <c r="A20" s="64" t="s">
        <v>130</v>
      </c>
      <c r="B20" s="65" t="s">
        <v>100</v>
      </c>
      <c r="C20" s="64"/>
      <c r="D20" s="64"/>
      <c r="E20" s="64"/>
      <c r="F20" s="66"/>
      <c r="G20" s="60"/>
      <c r="H20" s="83"/>
      <c r="I20" s="61"/>
    </row>
    <row r="21" spans="1:9" s="6" customFormat="1" ht="30" outlineLevel="3" x14ac:dyDescent="0.25">
      <c r="A21" s="67">
        <v>1</v>
      </c>
      <c r="B21" s="68" t="s">
        <v>31</v>
      </c>
      <c r="C21" s="69"/>
      <c r="D21" s="67" t="s">
        <v>123</v>
      </c>
      <c r="E21" s="70">
        <f>WORKDAY(E17,F21)</f>
        <v>46267</v>
      </c>
      <c r="F21" s="63">
        <v>0</v>
      </c>
      <c r="G21" s="104" t="s">
        <v>51</v>
      </c>
      <c r="H21" s="84"/>
      <c r="I21" s="72"/>
    </row>
    <row r="22" spans="1:9" s="43" customFormat="1" ht="15" customHeight="1" outlineLevel="3" x14ac:dyDescent="0.25">
      <c r="A22" s="67">
        <v>2</v>
      </c>
      <c r="B22" s="68" t="s">
        <v>23</v>
      </c>
      <c r="C22" s="102" t="s">
        <v>126</v>
      </c>
      <c r="D22" s="103"/>
      <c r="E22" s="70">
        <f t="shared" ref="E22:E23" si="1">WORKDAY(E21,F22)</f>
        <v>46272</v>
      </c>
      <c r="F22" s="63">
        <v>3</v>
      </c>
      <c r="G22" s="105"/>
      <c r="H22" s="84"/>
      <c r="I22" s="72"/>
    </row>
    <row r="23" spans="1:9" s="43" customFormat="1" ht="45" outlineLevel="3" x14ac:dyDescent="0.25">
      <c r="A23" s="67">
        <v>3</v>
      </c>
      <c r="B23" s="68" t="s">
        <v>24</v>
      </c>
      <c r="C23" s="1" t="s">
        <v>136</v>
      </c>
      <c r="D23" s="69"/>
      <c r="E23" s="70">
        <f t="shared" si="1"/>
        <v>46272</v>
      </c>
      <c r="F23" s="63">
        <v>0</v>
      </c>
      <c r="G23" s="105"/>
      <c r="H23" s="84"/>
      <c r="I23" s="72"/>
    </row>
    <row r="24" spans="1:9" s="43" customFormat="1" outlineLevel="3" x14ac:dyDescent="0.25">
      <c r="A24" s="67">
        <v>4</v>
      </c>
      <c r="B24" s="68" t="s">
        <v>25</v>
      </c>
      <c r="C24" s="73"/>
      <c r="D24" s="67" t="s">
        <v>123</v>
      </c>
      <c r="E24" s="70">
        <f>WORKDAY(E23,F24)</f>
        <v>46272</v>
      </c>
      <c r="F24" s="63">
        <v>0</v>
      </c>
      <c r="G24" s="105"/>
      <c r="H24" s="84"/>
      <c r="I24" s="72"/>
    </row>
    <row r="25" spans="1:9" s="43" customFormat="1" ht="15" customHeight="1" outlineLevel="3" x14ac:dyDescent="0.25">
      <c r="A25" s="67">
        <v>5</v>
      </c>
      <c r="B25" s="68" t="s">
        <v>16</v>
      </c>
      <c r="C25" s="102" t="s">
        <v>126</v>
      </c>
      <c r="D25" s="103"/>
      <c r="E25" s="70">
        <f t="shared" ref="E25:E26" si="2">WORKDAY(E24,F25)</f>
        <v>46272</v>
      </c>
      <c r="F25" s="63">
        <v>0</v>
      </c>
      <c r="G25" s="105"/>
      <c r="H25" s="85"/>
      <c r="I25" s="72"/>
    </row>
    <row r="26" spans="1:9" s="43" customFormat="1" ht="45" outlineLevel="3" x14ac:dyDescent="0.25">
      <c r="A26" s="67">
        <v>6</v>
      </c>
      <c r="B26" s="68" t="s">
        <v>47</v>
      </c>
      <c r="C26" s="1" t="s">
        <v>136</v>
      </c>
      <c r="D26" s="69"/>
      <c r="E26" s="70">
        <f t="shared" si="2"/>
        <v>46272</v>
      </c>
      <c r="F26" s="63">
        <v>0</v>
      </c>
      <c r="G26" s="106"/>
      <c r="H26" s="84"/>
      <c r="I26" s="72"/>
    </row>
    <row r="27" spans="1:9" s="12" customFormat="1" ht="28.5" outlineLevel="2" x14ac:dyDescent="0.25">
      <c r="A27" s="64" t="s">
        <v>131</v>
      </c>
      <c r="B27" s="65" t="s">
        <v>101</v>
      </c>
      <c r="C27" s="64"/>
      <c r="D27" s="64"/>
      <c r="E27" s="64"/>
      <c r="F27" s="66"/>
      <c r="G27" s="60"/>
      <c r="H27" s="83"/>
      <c r="I27" s="61"/>
    </row>
    <row r="28" spans="1:9" s="6" customFormat="1" ht="13.9" customHeight="1" outlineLevel="3" x14ac:dyDescent="0.25">
      <c r="A28" s="67">
        <v>1</v>
      </c>
      <c r="B28" s="68" t="s">
        <v>31</v>
      </c>
      <c r="C28" s="69"/>
      <c r="D28" s="67" t="s">
        <v>123</v>
      </c>
      <c r="E28" s="70">
        <f>WORKDAY(E17,F28)</f>
        <v>46267</v>
      </c>
      <c r="F28" s="63">
        <v>0</v>
      </c>
      <c r="G28" s="104" t="s">
        <v>51</v>
      </c>
      <c r="H28" s="84"/>
      <c r="I28" s="72"/>
    </row>
    <row r="29" spans="1:9" s="43" customFormat="1" outlineLevel="3" x14ac:dyDescent="0.25">
      <c r="A29" s="67">
        <v>2</v>
      </c>
      <c r="B29" s="68" t="s">
        <v>23</v>
      </c>
      <c r="C29" s="102" t="s">
        <v>126</v>
      </c>
      <c r="D29" s="103"/>
      <c r="E29" s="70">
        <f t="shared" ref="E29:E30" si="3">WORKDAY(E28,F29)</f>
        <v>46272</v>
      </c>
      <c r="F29" s="63">
        <v>3</v>
      </c>
      <c r="G29" s="105"/>
      <c r="H29" s="84"/>
      <c r="I29" s="72"/>
    </row>
    <row r="30" spans="1:9" s="43" customFormat="1" ht="45" outlineLevel="3" x14ac:dyDescent="0.25">
      <c r="A30" s="67">
        <v>3</v>
      </c>
      <c r="B30" s="68" t="s">
        <v>24</v>
      </c>
      <c r="C30" s="1" t="s">
        <v>136</v>
      </c>
      <c r="D30" s="69"/>
      <c r="E30" s="70">
        <f t="shared" si="3"/>
        <v>46272</v>
      </c>
      <c r="F30" s="63">
        <v>0</v>
      </c>
      <c r="G30" s="105"/>
      <c r="H30" s="84"/>
      <c r="I30" s="72"/>
    </row>
    <row r="31" spans="1:9" s="43" customFormat="1" outlineLevel="3" x14ac:dyDescent="0.25">
      <c r="A31" s="67">
        <v>4</v>
      </c>
      <c r="B31" s="68" t="s">
        <v>25</v>
      </c>
      <c r="C31" s="73"/>
      <c r="D31" s="67" t="s">
        <v>123</v>
      </c>
      <c r="E31" s="70">
        <f>WORKDAY(E30,F31)</f>
        <v>46272</v>
      </c>
      <c r="F31" s="63">
        <v>0</v>
      </c>
      <c r="G31" s="105"/>
      <c r="H31" s="84"/>
      <c r="I31" s="72"/>
    </row>
    <row r="32" spans="1:9" s="43" customFormat="1" outlineLevel="3" x14ac:dyDescent="0.25">
      <c r="A32" s="67">
        <v>5</v>
      </c>
      <c r="B32" s="68" t="s">
        <v>16</v>
      </c>
      <c r="C32" s="102" t="s">
        <v>126</v>
      </c>
      <c r="D32" s="103"/>
      <c r="E32" s="70">
        <f t="shared" ref="E32:E33" si="4">WORKDAY(E31,F32)</f>
        <v>46272</v>
      </c>
      <c r="F32" s="63">
        <v>0</v>
      </c>
      <c r="G32" s="105"/>
      <c r="H32" s="85"/>
      <c r="I32" s="72"/>
    </row>
    <row r="33" spans="1:9" s="43" customFormat="1" ht="45" outlineLevel="3" x14ac:dyDescent="0.25">
      <c r="A33" s="67">
        <v>6</v>
      </c>
      <c r="B33" s="68" t="s">
        <v>47</v>
      </c>
      <c r="C33" s="1" t="s">
        <v>136</v>
      </c>
      <c r="D33" s="69"/>
      <c r="E33" s="70">
        <f t="shared" si="4"/>
        <v>46272</v>
      </c>
      <c r="F33" s="63">
        <v>0</v>
      </c>
      <c r="G33" s="106"/>
      <c r="H33" s="84"/>
      <c r="I33" s="72"/>
    </row>
    <row r="34" spans="1:9" s="12" customFormat="1" ht="28.5" outlineLevel="2" x14ac:dyDescent="0.25">
      <c r="A34" s="64" t="s">
        <v>132</v>
      </c>
      <c r="B34" s="65" t="s">
        <v>103</v>
      </c>
      <c r="C34" s="64"/>
      <c r="D34" s="64"/>
      <c r="E34" s="64"/>
      <c r="F34" s="66"/>
      <c r="G34" s="60"/>
      <c r="H34" s="83"/>
      <c r="I34" s="61"/>
    </row>
    <row r="35" spans="1:9" s="6" customFormat="1" ht="30" outlineLevel="3" x14ac:dyDescent="0.25">
      <c r="A35" s="67">
        <v>1</v>
      </c>
      <c r="B35" s="68" t="s">
        <v>31</v>
      </c>
      <c r="C35" s="69"/>
      <c r="D35" s="67" t="s">
        <v>123</v>
      </c>
      <c r="E35" s="70">
        <f>WORKDAY(E17,F35)</f>
        <v>46267</v>
      </c>
      <c r="F35" s="63">
        <v>0</v>
      </c>
      <c r="G35" s="104" t="s">
        <v>51</v>
      </c>
      <c r="H35" s="84"/>
      <c r="I35" s="72"/>
    </row>
    <row r="36" spans="1:9" s="43" customFormat="1" outlineLevel="3" x14ac:dyDescent="0.25">
      <c r="A36" s="67">
        <v>2</v>
      </c>
      <c r="B36" s="68" t="s">
        <v>23</v>
      </c>
      <c r="C36" s="102" t="s">
        <v>126</v>
      </c>
      <c r="D36" s="103"/>
      <c r="E36" s="70">
        <f t="shared" ref="E36:E37" si="5">WORKDAY(E35,F36)</f>
        <v>46272</v>
      </c>
      <c r="F36" s="63">
        <v>3</v>
      </c>
      <c r="G36" s="105"/>
      <c r="H36" s="84"/>
      <c r="I36" s="72"/>
    </row>
    <row r="37" spans="1:9" s="43" customFormat="1" ht="45" outlineLevel="3" x14ac:dyDescent="0.25">
      <c r="A37" s="67">
        <v>3</v>
      </c>
      <c r="B37" s="68" t="s">
        <v>24</v>
      </c>
      <c r="C37" s="1" t="s">
        <v>136</v>
      </c>
      <c r="D37" s="69"/>
      <c r="E37" s="70">
        <f t="shared" si="5"/>
        <v>46272</v>
      </c>
      <c r="F37" s="63">
        <v>0</v>
      </c>
      <c r="G37" s="105"/>
      <c r="H37" s="84"/>
      <c r="I37" s="72"/>
    </row>
    <row r="38" spans="1:9" s="43" customFormat="1" outlineLevel="3" x14ac:dyDescent="0.25">
      <c r="A38" s="67">
        <v>4</v>
      </c>
      <c r="B38" s="68" t="s">
        <v>25</v>
      </c>
      <c r="C38" s="73"/>
      <c r="D38" s="67" t="s">
        <v>123</v>
      </c>
      <c r="E38" s="70">
        <f>WORKDAY(E37,F38)</f>
        <v>46272</v>
      </c>
      <c r="F38" s="63">
        <v>0</v>
      </c>
      <c r="G38" s="105"/>
      <c r="H38" s="84"/>
      <c r="I38" s="72"/>
    </row>
    <row r="39" spans="1:9" s="43" customFormat="1" outlineLevel="3" x14ac:dyDescent="0.25">
      <c r="A39" s="67">
        <v>5</v>
      </c>
      <c r="B39" s="68" t="s">
        <v>16</v>
      </c>
      <c r="C39" s="102" t="s">
        <v>126</v>
      </c>
      <c r="D39" s="103"/>
      <c r="E39" s="70">
        <f t="shared" ref="E39:E40" si="6">WORKDAY(E38,F39)</f>
        <v>46272</v>
      </c>
      <c r="F39" s="63">
        <v>0</v>
      </c>
      <c r="G39" s="105"/>
      <c r="H39" s="85"/>
      <c r="I39" s="72"/>
    </row>
    <row r="40" spans="1:9" s="43" customFormat="1" ht="45" outlineLevel="3" x14ac:dyDescent="0.25">
      <c r="A40" s="67">
        <v>6</v>
      </c>
      <c r="B40" s="68" t="s">
        <v>47</v>
      </c>
      <c r="C40" s="1" t="s">
        <v>136</v>
      </c>
      <c r="D40" s="69"/>
      <c r="E40" s="70">
        <f t="shared" si="6"/>
        <v>46272</v>
      </c>
      <c r="F40" s="63">
        <v>0</v>
      </c>
      <c r="G40" s="106"/>
      <c r="H40" s="84"/>
      <c r="I40" s="72"/>
    </row>
    <row r="41" spans="1:9" s="30" customFormat="1" outlineLevel="1" x14ac:dyDescent="0.25">
      <c r="A41" s="27" t="s">
        <v>11</v>
      </c>
      <c r="B41" s="28" t="s">
        <v>10</v>
      </c>
      <c r="C41" s="1"/>
      <c r="D41" s="1"/>
      <c r="E41" s="3"/>
      <c r="F41" s="32"/>
      <c r="G41" s="5"/>
      <c r="H41" s="13"/>
      <c r="I41" s="71"/>
    </row>
    <row r="42" spans="1:9" s="6" customFormat="1" ht="45" outlineLevel="2" x14ac:dyDescent="0.25">
      <c r="A42" s="67">
        <v>1</v>
      </c>
      <c r="B42" s="71" t="s">
        <v>19</v>
      </c>
      <c r="C42" s="67" t="s">
        <v>33</v>
      </c>
      <c r="D42" s="67"/>
      <c r="E42" s="70">
        <f>WORKDAY(E25,F42)</f>
        <v>46283</v>
      </c>
      <c r="F42" s="67">
        <v>9</v>
      </c>
      <c r="G42" s="71"/>
      <c r="H42" s="84" t="s">
        <v>127</v>
      </c>
      <c r="I42" s="72"/>
    </row>
    <row r="43" spans="1:9" s="57" customFormat="1" ht="41.45" customHeight="1" outlineLevel="2" x14ac:dyDescent="0.25">
      <c r="A43" s="74">
        <v>2</v>
      </c>
      <c r="B43" s="75" t="s">
        <v>137</v>
      </c>
      <c r="C43" s="67"/>
      <c r="D43" s="67" t="s">
        <v>123</v>
      </c>
      <c r="E43" s="70">
        <f t="shared" ref="E43:E44" si="7">WORKDAY(E42,F43)</f>
        <v>46273</v>
      </c>
      <c r="F43" s="76">
        <v>-8</v>
      </c>
      <c r="G43" s="72"/>
      <c r="H43" s="84" t="s">
        <v>124</v>
      </c>
      <c r="I43" s="72"/>
    </row>
    <row r="44" spans="1:9" s="57" customFormat="1" outlineLevel="2" x14ac:dyDescent="0.25">
      <c r="A44" s="74">
        <v>3</v>
      </c>
      <c r="B44" s="75" t="s">
        <v>119</v>
      </c>
      <c r="C44" s="67" t="s">
        <v>120</v>
      </c>
      <c r="D44" s="67"/>
      <c r="E44" s="70">
        <f t="shared" si="7"/>
        <v>46275</v>
      </c>
      <c r="F44" s="76">
        <v>2</v>
      </c>
      <c r="G44" s="72"/>
      <c r="H44" s="86"/>
      <c r="I44" s="72"/>
    </row>
    <row r="45" spans="1:9" s="6" customFormat="1" outlineLevel="2" x14ac:dyDescent="0.25">
      <c r="A45" s="67">
        <v>4</v>
      </c>
      <c r="B45" s="71" t="s">
        <v>53</v>
      </c>
      <c r="C45" s="67" t="s">
        <v>54</v>
      </c>
      <c r="D45" s="67"/>
      <c r="E45" s="70">
        <f>WORKDAY(E44,F45)</f>
        <v>46282</v>
      </c>
      <c r="F45" s="67">
        <v>5</v>
      </c>
      <c r="G45" s="71"/>
      <c r="H45" s="84"/>
      <c r="I45" s="72"/>
    </row>
    <row r="46" spans="1:9" s="6" customFormat="1" ht="30" outlineLevel="2" x14ac:dyDescent="0.25">
      <c r="A46" s="67">
        <v>5</v>
      </c>
      <c r="B46" s="71" t="s">
        <v>20</v>
      </c>
      <c r="C46" s="67" t="s">
        <v>32</v>
      </c>
      <c r="D46" s="67"/>
      <c r="E46" s="70">
        <f>WORKDAY(E45,F46)</f>
        <v>46283</v>
      </c>
      <c r="F46" s="67">
        <v>1</v>
      </c>
      <c r="G46" s="71"/>
      <c r="H46" s="84"/>
      <c r="I46" s="72"/>
    </row>
    <row r="47" spans="1:9" s="6" customFormat="1" outlineLevel="2" x14ac:dyDescent="0.25">
      <c r="A47" s="67">
        <v>6</v>
      </c>
      <c r="B47" s="71" t="s">
        <v>128</v>
      </c>
      <c r="C47" s="67" t="s">
        <v>123</v>
      </c>
      <c r="D47" s="67"/>
      <c r="E47" s="70">
        <f t="shared" ref="E47:E49" si="8">WORKDAY(E46,F47)</f>
        <v>46283</v>
      </c>
      <c r="F47" s="67">
        <v>0</v>
      </c>
      <c r="G47" s="71"/>
      <c r="H47" s="84"/>
      <c r="I47" s="72"/>
    </row>
    <row r="48" spans="1:9" s="6" customFormat="1" ht="60" outlineLevel="2" x14ac:dyDescent="0.25">
      <c r="A48" s="67">
        <v>7</v>
      </c>
      <c r="B48" s="71" t="s">
        <v>66</v>
      </c>
      <c r="C48" s="67"/>
      <c r="D48" s="67" t="s">
        <v>129</v>
      </c>
      <c r="E48" s="70">
        <f t="shared" si="8"/>
        <v>46287</v>
      </c>
      <c r="F48" s="67">
        <v>2</v>
      </c>
      <c r="G48" s="71"/>
      <c r="H48" s="81" t="s">
        <v>157</v>
      </c>
      <c r="I48" s="72"/>
    </row>
    <row r="49" spans="1:9" s="6" customFormat="1" outlineLevel="2" x14ac:dyDescent="0.25">
      <c r="A49" s="67">
        <v>8</v>
      </c>
      <c r="B49" s="71" t="s">
        <v>21</v>
      </c>
      <c r="C49" s="67"/>
      <c r="D49" s="67" t="s">
        <v>123</v>
      </c>
      <c r="E49" s="70">
        <f t="shared" si="8"/>
        <v>46290</v>
      </c>
      <c r="F49" s="67">
        <v>3</v>
      </c>
      <c r="G49" s="71"/>
      <c r="H49" s="84"/>
      <c r="I49" s="72"/>
    </row>
    <row r="50" spans="1:9" s="94" customFormat="1" ht="60" outlineLevel="2" x14ac:dyDescent="0.25">
      <c r="A50" s="90">
        <v>9</v>
      </c>
      <c r="B50" s="80" t="s">
        <v>152</v>
      </c>
      <c r="C50" s="90" t="s">
        <v>123</v>
      </c>
      <c r="D50" s="90"/>
      <c r="E50" s="15">
        <f t="shared" ref="E50:E51" si="9">WORKDAY(E49,F50)</f>
        <v>46290</v>
      </c>
      <c r="F50" s="90">
        <v>0</v>
      </c>
      <c r="G50" s="91" t="s">
        <v>167</v>
      </c>
      <c r="H50" s="95" t="s">
        <v>158</v>
      </c>
      <c r="I50" s="93"/>
    </row>
    <row r="51" spans="1:9" s="96" customFormat="1" outlineLevel="2" x14ac:dyDescent="0.25">
      <c r="A51" s="67">
        <v>10</v>
      </c>
      <c r="B51" s="71" t="s">
        <v>70</v>
      </c>
      <c r="C51" s="67" t="s">
        <v>153</v>
      </c>
      <c r="D51" s="67" t="s">
        <v>71</v>
      </c>
      <c r="E51" s="15">
        <f t="shared" si="9"/>
        <v>46295</v>
      </c>
      <c r="F51" s="67">
        <v>3</v>
      </c>
      <c r="G51" s="71"/>
      <c r="H51" s="84"/>
      <c r="I51" s="72"/>
    </row>
    <row r="52" spans="1:9" s="6" customFormat="1" x14ac:dyDescent="0.25">
      <c r="A52" s="21" t="s">
        <v>43</v>
      </c>
      <c r="B52" s="22" t="s">
        <v>44</v>
      </c>
      <c r="C52" s="23"/>
      <c r="D52" s="23"/>
      <c r="E52" s="23"/>
      <c r="F52" s="24"/>
      <c r="G52" s="25"/>
      <c r="H52" s="87"/>
      <c r="I52" s="26"/>
    </row>
    <row r="53" spans="1:9" s="30" customFormat="1" outlineLevel="1" x14ac:dyDescent="0.25">
      <c r="A53" s="27" t="s">
        <v>15</v>
      </c>
      <c r="B53" s="28" t="s">
        <v>12</v>
      </c>
      <c r="C53" s="1"/>
      <c r="D53" s="1"/>
      <c r="E53" s="3"/>
      <c r="F53" s="32"/>
      <c r="G53" s="5"/>
      <c r="H53" s="13"/>
      <c r="I53" s="71"/>
    </row>
    <row r="54" spans="1:9" s="6" customFormat="1" ht="75" outlineLevel="2" x14ac:dyDescent="0.25">
      <c r="A54" s="67">
        <v>1</v>
      </c>
      <c r="B54" s="71" t="s">
        <v>160</v>
      </c>
      <c r="C54" s="1" t="s">
        <v>136</v>
      </c>
      <c r="D54" s="67"/>
      <c r="E54" s="70">
        <f>WORKDAY(E51,F54)</f>
        <v>46297</v>
      </c>
      <c r="F54" s="67">
        <v>2</v>
      </c>
      <c r="G54" s="80" t="s">
        <v>161</v>
      </c>
      <c r="H54" s="84" t="s">
        <v>65</v>
      </c>
      <c r="I54" s="72"/>
    </row>
    <row r="55" spans="1:9" s="6" customFormat="1" outlineLevel="2" x14ac:dyDescent="0.25">
      <c r="A55" s="67">
        <v>2</v>
      </c>
      <c r="B55" s="71" t="s">
        <v>13</v>
      </c>
      <c r="C55" s="67"/>
      <c r="D55" s="67" t="s">
        <v>123</v>
      </c>
      <c r="E55" s="70">
        <f>WORKDAY(E54,F55)</f>
        <v>46297</v>
      </c>
      <c r="F55" s="67">
        <v>0</v>
      </c>
      <c r="G55" s="71"/>
      <c r="H55" s="84"/>
      <c r="I55" s="72"/>
    </row>
    <row r="56" spans="1:9" s="6" customFormat="1" ht="45" outlineLevel="2" x14ac:dyDescent="0.25">
      <c r="A56" s="67">
        <v>3</v>
      </c>
      <c r="B56" s="71" t="s">
        <v>14</v>
      </c>
      <c r="C56" s="1" t="s">
        <v>136</v>
      </c>
      <c r="D56" s="67"/>
      <c r="E56" s="70">
        <f>WORKDAY(E55,F56)</f>
        <v>46297</v>
      </c>
      <c r="F56" s="67">
        <v>0</v>
      </c>
      <c r="G56" s="71"/>
      <c r="H56" s="84"/>
      <c r="I56" s="72"/>
    </row>
    <row r="57" spans="1:9" s="30" customFormat="1" ht="66.75" customHeight="1" outlineLevel="1" x14ac:dyDescent="0.25">
      <c r="A57" s="27" t="s">
        <v>17</v>
      </c>
      <c r="B57" s="28" t="s">
        <v>159</v>
      </c>
      <c r="C57" s="1"/>
      <c r="D57" s="1"/>
      <c r="E57" s="3"/>
      <c r="F57" s="32"/>
      <c r="G57" s="5"/>
      <c r="H57" s="13"/>
      <c r="I57" s="71"/>
    </row>
    <row r="58" spans="1:9" s="6" customFormat="1" ht="30" outlineLevel="2" x14ac:dyDescent="0.25">
      <c r="A58" s="67">
        <v>1</v>
      </c>
      <c r="B58" s="68" t="s">
        <v>31</v>
      </c>
      <c r="C58" s="69"/>
      <c r="D58" s="67" t="s">
        <v>123</v>
      </c>
      <c r="E58" s="70">
        <f>WORKDAY(E55,F58)</f>
        <v>46300</v>
      </c>
      <c r="F58" s="63">
        <v>1</v>
      </c>
      <c r="G58" s="71"/>
      <c r="H58" s="84"/>
      <c r="I58" s="72"/>
    </row>
    <row r="59" spans="1:9" s="43" customFormat="1" outlineLevel="2" x14ac:dyDescent="0.25">
      <c r="A59" s="67">
        <v>2</v>
      </c>
      <c r="B59" s="68" t="s">
        <v>23</v>
      </c>
      <c r="C59" s="102" t="s">
        <v>126</v>
      </c>
      <c r="D59" s="103"/>
      <c r="E59" s="70">
        <f t="shared" ref="E59:E63" si="10">WORKDAY(E58,F59)</f>
        <v>46301</v>
      </c>
      <c r="F59" s="63">
        <v>1</v>
      </c>
      <c r="G59" s="71"/>
      <c r="H59" s="84"/>
      <c r="I59" s="72"/>
    </row>
    <row r="60" spans="1:9" s="43" customFormat="1" ht="45" outlineLevel="2" x14ac:dyDescent="0.25">
      <c r="A60" s="67">
        <v>3</v>
      </c>
      <c r="B60" s="68" t="s">
        <v>24</v>
      </c>
      <c r="C60" s="1" t="s">
        <v>136</v>
      </c>
      <c r="D60" s="69"/>
      <c r="E60" s="70">
        <f t="shared" si="10"/>
        <v>46301</v>
      </c>
      <c r="F60" s="63">
        <v>0</v>
      </c>
      <c r="G60" s="71"/>
      <c r="H60" s="84"/>
      <c r="I60" s="72"/>
    </row>
    <row r="61" spans="1:9" s="6" customFormat="1" outlineLevel="2" x14ac:dyDescent="0.25">
      <c r="A61" s="67">
        <v>4</v>
      </c>
      <c r="B61" s="68" t="s">
        <v>25</v>
      </c>
      <c r="C61" s="73"/>
      <c r="D61" s="67" t="s">
        <v>123</v>
      </c>
      <c r="E61" s="70">
        <f t="shared" si="10"/>
        <v>46302</v>
      </c>
      <c r="F61" s="63">
        <v>1</v>
      </c>
      <c r="G61" s="71"/>
      <c r="H61" s="84"/>
      <c r="I61" s="72"/>
    </row>
    <row r="62" spans="1:9" s="6" customFormat="1" outlineLevel="2" x14ac:dyDescent="0.25">
      <c r="A62" s="67">
        <v>5</v>
      </c>
      <c r="B62" s="68" t="s">
        <v>16</v>
      </c>
      <c r="C62" s="102" t="s">
        <v>126</v>
      </c>
      <c r="D62" s="103"/>
      <c r="E62" s="70">
        <f t="shared" si="10"/>
        <v>46302</v>
      </c>
      <c r="F62" s="63">
        <v>0</v>
      </c>
      <c r="G62" s="71"/>
      <c r="H62" s="84"/>
      <c r="I62" s="72"/>
    </row>
    <row r="63" spans="1:9" s="43" customFormat="1" ht="45" outlineLevel="2" x14ac:dyDescent="0.25">
      <c r="A63" s="67">
        <v>6</v>
      </c>
      <c r="B63" s="68" t="s">
        <v>26</v>
      </c>
      <c r="C63" s="1" t="s">
        <v>136</v>
      </c>
      <c r="D63" s="69"/>
      <c r="E63" s="70">
        <f t="shared" si="10"/>
        <v>46302</v>
      </c>
      <c r="F63" s="63">
        <v>0</v>
      </c>
      <c r="G63" s="71"/>
      <c r="H63" s="84"/>
      <c r="I63" s="72"/>
    </row>
    <row r="64" spans="1:9" s="30" customFormat="1" ht="40.5" customHeight="1" outlineLevel="1" x14ac:dyDescent="0.25">
      <c r="A64" s="27" t="s">
        <v>36</v>
      </c>
      <c r="B64" s="28" t="s">
        <v>162</v>
      </c>
      <c r="C64" s="1"/>
      <c r="D64" s="1"/>
      <c r="E64" s="3"/>
      <c r="F64" s="32"/>
      <c r="G64" s="5"/>
      <c r="H64" s="13"/>
      <c r="I64" s="71"/>
    </row>
    <row r="65" spans="1:9" s="58" customFormat="1" ht="45" outlineLevel="3" x14ac:dyDescent="0.25">
      <c r="A65" s="67">
        <v>1</v>
      </c>
      <c r="B65" s="68" t="s">
        <v>163</v>
      </c>
      <c r="C65" s="67"/>
      <c r="D65" s="67" t="s">
        <v>123</v>
      </c>
      <c r="E65" s="70">
        <f>WORKDAY(E56,F65)</f>
        <v>46300</v>
      </c>
      <c r="F65" s="63">
        <v>1</v>
      </c>
      <c r="G65" s="71" t="s">
        <v>164</v>
      </c>
      <c r="H65" s="88"/>
      <c r="I65" s="61"/>
    </row>
    <row r="66" spans="1:9" s="59" customFormat="1" outlineLevel="3" x14ac:dyDescent="0.25">
      <c r="A66" s="67">
        <v>2</v>
      </c>
      <c r="B66" s="71" t="s">
        <v>23</v>
      </c>
      <c r="C66" s="107" t="s">
        <v>165</v>
      </c>
      <c r="D66" s="108"/>
      <c r="E66" s="70">
        <f>WORKDAY.INTL(E65,F66,17)</f>
        <v>46301</v>
      </c>
      <c r="F66" s="63">
        <v>1</v>
      </c>
      <c r="G66" s="71"/>
      <c r="H66" s="89"/>
      <c r="I66" s="72"/>
    </row>
    <row r="67" spans="1:9" s="59" customFormat="1" ht="45" outlineLevel="3" x14ac:dyDescent="0.25">
      <c r="A67" s="67">
        <v>3</v>
      </c>
      <c r="B67" s="68" t="s">
        <v>166</v>
      </c>
      <c r="C67" s="1" t="s">
        <v>136</v>
      </c>
      <c r="D67" s="67"/>
      <c r="E67" s="70">
        <f t="shared" ref="E67:E70" si="11">WORKDAY(E66,F67)</f>
        <v>46302</v>
      </c>
      <c r="F67" s="63">
        <v>1</v>
      </c>
      <c r="G67" s="71"/>
      <c r="H67" s="89"/>
      <c r="I67" s="72"/>
    </row>
    <row r="68" spans="1:9" s="59" customFormat="1" outlineLevel="3" x14ac:dyDescent="0.25">
      <c r="A68" s="67">
        <v>4</v>
      </c>
      <c r="B68" s="68" t="s">
        <v>25</v>
      </c>
      <c r="C68" s="67"/>
      <c r="D68" s="67" t="s">
        <v>123</v>
      </c>
      <c r="E68" s="70">
        <f t="shared" si="11"/>
        <v>46302</v>
      </c>
      <c r="F68" s="63">
        <v>0</v>
      </c>
      <c r="G68" s="71"/>
      <c r="H68" s="89"/>
      <c r="I68" s="72"/>
    </row>
    <row r="69" spans="1:9" s="62" customFormat="1" outlineLevel="3" x14ac:dyDescent="0.25">
      <c r="A69" s="67">
        <v>5</v>
      </c>
      <c r="B69" s="68" t="s">
        <v>16</v>
      </c>
      <c r="C69" s="107" t="s">
        <v>165</v>
      </c>
      <c r="D69" s="108"/>
      <c r="E69" s="70">
        <f t="shared" si="11"/>
        <v>46302</v>
      </c>
      <c r="F69" s="63">
        <v>0</v>
      </c>
      <c r="G69" s="71"/>
      <c r="H69" s="89"/>
      <c r="I69" s="72"/>
    </row>
    <row r="70" spans="1:9" s="12" customFormat="1" ht="45" outlineLevel="2" x14ac:dyDescent="0.25">
      <c r="A70" s="67">
        <v>6</v>
      </c>
      <c r="B70" s="68" t="s">
        <v>26</v>
      </c>
      <c r="C70" s="1" t="s">
        <v>136</v>
      </c>
      <c r="D70" s="64"/>
      <c r="E70" s="70">
        <f t="shared" si="11"/>
        <v>46302</v>
      </c>
      <c r="F70" s="63">
        <v>0</v>
      </c>
      <c r="G70" s="72"/>
      <c r="H70" s="89"/>
      <c r="I70" s="72"/>
    </row>
    <row r="71" spans="1:9" s="30" customFormat="1" ht="28.5" outlineLevel="1" x14ac:dyDescent="0.25">
      <c r="A71" s="27" t="s">
        <v>38</v>
      </c>
      <c r="B71" s="28" t="s">
        <v>22</v>
      </c>
      <c r="C71" s="1"/>
      <c r="D71" s="1"/>
      <c r="E71" s="3"/>
      <c r="F71" s="32"/>
      <c r="G71" s="5"/>
      <c r="H71" s="13"/>
      <c r="I71" s="71"/>
    </row>
  </sheetData>
  <mergeCells count="16">
    <mergeCell ref="C66:D66"/>
    <mergeCell ref="C69:D69"/>
    <mergeCell ref="G21:G26"/>
    <mergeCell ref="C22:D22"/>
    <mergeCell ref="C25:D25"/>
    <mergeCell ref="I11:I14"/>
    <mergeCell ref="A11:A12"/>
    <mergeCell ref="I15:I16"/>
    <mergeCell ref="C59:D59"/>
    <mergeCell ref="C62:D62"/>
    <mergeCell ref="G28:G33"/>
    <mergeCell ref="C29:D29"/>
    <mergeCell ref="C32:D32"/>
    <mergeCell ref="G35:G40"/>
    <mergeCell ref="C36:D36"/>
    <mergeCell ref="C39:D39"/>
  </mergeCells>
  <printOptions horizontalCentered="1"/>
  <pageMargins left="0.2" right="0.2" top="0.2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(PA.2)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Võ Anh Tuấn</cp:lastModifiedBy>
  <cp:lastPrinted>2022-11-02T10:18:55Z</cp:lastPrinted>
  <dcterms:created xsi:type="dcterms:W3CDTF">2022-08-11T07:57:08Z</dcterms:created>
  <dcterms:modified xsi:type="dcterms:W3CDTF">2026-09-09T01:58:41Z</dcterms:modified>
</cp:coreProperties>
</file>
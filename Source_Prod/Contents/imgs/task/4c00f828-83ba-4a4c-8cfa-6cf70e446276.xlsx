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D:\CST DATA sở vhtt&amp;dl\"/>
    </mc:Choice>
  </mc:AlternateContent>
  <xr:revisionPtr revIDLastSave="0" documentId="13_ncr:1_{A9D86163-8A04-4B2F-9994-3BE54DDCBF6F}" xr6:coauthVersionLast="47" xr6:coauthVersionMax="47" xr10:uidLastSave="{00000000-0000-0000-0000-000000000000}"/>
  <bookViews>
    <workbookView xWindow="-120" yWindow="-120" windowWidth="29040" windowHeight="15720" firstSheet="1" activeTab="1" xr2:uid="{00000000-000D-0000-FFFF-FFFF00000000}"/>
  </bookViews>
  <sheets>
    <sheet name="Timeline" sheetId="5" state="hidden" r:id="rId1"/>
    <sheet name="Timeline CSDL CT"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5" l="1"/>
  <c r="E8" i="5" s="1"/>
  <c r="E9" i="5" s="1"/>
  <c r="E10" i="5" l="1"/>
  <c r="E34" i="5"/>
  <c r="E20" i="5"/>
  <c r="E27" i="5"/>
  <c r="E13" i="5"/>
  <c r="E14" i="5" s="1"/>
  <c r="E15" i="5" s="1"/>
  <c r="E16" i="5" l="1"/>
  <c r="E17" i="5" s="1"/>
  <c r="E18" i="5" l="1"/>
  <c r="E21" i="5"/>
  <c r="E22" i="5" s="1"/>
  <c r="E23" i="5" s="1"/>
  <c r="E24" i="5" s="1"/>
  <c r="E41" i="5" s="1"/>
  <c r="E42" i="5" l="1"/>
  <c r="E43" i="5" s="1"/>
  <c r="E44" i="5" s="1"/>
  <c r="E45" i="5" s="1"/>
  <c r="E46" i="5" s="1"/>
  <c r="E47" i="5" s="1"/>
  <c r="E48" i="5" s="1"/>
  <c r="E51" i="5" s="1"/>
  <c r="E52" i="5" s="1"/>
  <c r="E53" i="5" s="1"/>
  <c r="E25" i="5"/>
  <c r="E28" i="5"/>
  <c r="E29" i="5" s="1"/>
  <c r="E30" i="5" s="1"/>
  <c r="E31" i="5" s="1"/>
  <c r="E55" i="5" l="1"/>
  <c r="E56" i="5" s="1"/>
  <c r="E57" i="5" s="1"/>
  <c r="E58" i="5" s="1"/>
  <c r="E59" i="5" s="1"/>
  <c r="E60" i="5" s="1"/>
  <c r="E63" i="5" s="1"/>
  <c r="E64" i="5" s="1"/>
  <c r="E65" i="5" s="1"/>
  <c r="E66" i="5" s="1"/>
  <c r="E67" i="5" s="1"/>
  <c r="E69" i="5" s="1"/>
  <c r="E70" i="5" s="1"/>
  <c r="E71" i="5" s="1"/>
  <c r="E72" i="5" s="1"/>
  <c r="E73" i="5" s="1"/>
  <c r="E74" i="5" s="1"/>
  <c r="E75" i="5" s="1"/>
  <c r="E32" i="5"/>
  <c r="E35" i="5"/>
  <c r="E36" i="5" s="1"/>
  <c r="E37" i="5" s="1"/>
  <c r="E38" i="5" s="1"/>
  <c r="E39" i="5" s="1"/>
  <c r="E78" i="5" l="1"/>
  <c r="E79" i="5" s="1"/>
  <c r="E80" i="5" s="1"/>
  <c r="E81" i="5" s="1"/>
  <c r="E82" i="5" s="1"/>
  <c r="E84" i="5" s="1"/>
  <c r="E85" i="5" s="1"/>
  <c r="E86" i="5" s="1"/>
  <c r="E87" i="5" s="1"/>
  <c r="E88" i="5" s="1"/>
  <c r="E89" i="5" s="1"/>
  <c r="E90" i="5" s="1"/>
</calcChain>
</file>

<file path=xl/sharedStrings.xml><?xml version="1.0" encoding="utf-8"?>
<sst xmlns="http://schemas.openxmlformats.org/spreadsheetml/2006/main" count="417" uniqueCount="174">
  <si>
    <t>STT</t>
  </si>
  <si>
    <t>NỘI DUNG CÔNG VIỆC</t>
  </si>
  <si>
    <t>Tiến độ</t>
  </si>
  <si>
    <t>I</t>
  </si>
  <si>
    <t>II</t>
  </si>
  <si>
    <t>Note</t>
  </si>
  <si>
    <t>Đơn vị trình</t>
  </si>
  <si>
    <t>Lãnh đạo phê duyệt</t>
  </si>
  <si>
    <t>Ghi chú</t>
  </si>
  <si>
    <t>Quyết định phê duyệt KHLCNT giai đoạn chuẩn bị đầu tư</t>
  </si>
  <si>
    <t>LẬP VÀ PHÊ DUYỆT BCKT-KT</t>
  </si>
  <si>
    <t>IV</t>
  </si>
  <si>
    <t>LẬP KHLCNT GIAI ĐOẠN ĐẦU TƯ</t>
  </si>
  <si>
    <t>Quyết định phê duyệt KHLCNT</t>
  </si>
  <si>
    <t>Đăng kế hoạch lựa chọn nhà thầu lên Mạng đấu thầu Quốc gia</t>
  </si>
  <si>
    <t>V</t>
  </si>
  <si>
    <t>Ký hợp đồng tư vấn</t>
  </si>
  <si>
    <t>VI</t>
  </si>
  <si>
    <t>Số ngày thực hiện</t>
  </si>
  <si>
    <t>Lập BCKT-KT</t>
  </si>
  <si>
    <t>Thẩm tra BCKT-KT</t>
  </si>
  <si>
    <t>QĐ phê duyệt BCKT-KT</t>
  </si>
  <si>
    <t>TRIỂN KHAI, NGHIỆM THU, THANH TOÁN</t>
  </si>
  <si>
    <t>Hoàn thiện hợp đồng</t>
  </si>
  <si>
    <t>Tờ trình phê duyệt chỉ định thầu đơn vị tư vấn</t>
  </si>
  <si>
    <t>Quyết định phê duyệt chỉ định thầu</t>
  </si>
  <si>
    <t>Đăng tải KQ lựa chọn nhà thầu lên Hệ thống mạng đấu thầu Quốc Gia</t>
  </si>
  <si>
    <t>Từ khi ký hợp đồng đến khi tư vấn lập xong HSMT</t>
  </si>
  <si>
    <t>Tờ trình phê duyệt KQLCNT</t>
  </si>
  <si>
    <t>TỔ CHỨC ĐẤU THẦU LỰA CHỌN ĐƠN VỊ TRIỂN KHAI</t>
  </si>
  <si>
    <t>TTr phê duyệt KHLCNT CBĐT</t>
  </si>
  <si>
    <t>Thư mời tham gia gửi đơn vị tư vấn (kèm dự thảo hợp đồng)</t>
  </si>
  <si>
    <t>TV thẩm tra BCKT-KT</t>
  </si>
  <si>
    <t>TV lập BCKT-KT</t>
  </si>
  <si>
    <t>PHÊ DUYỆT CTĐT</t>
  </si>
  <si>
    <t>Đăng tải KHLCNT lên hệ thống mạng đấu thầu Quốc gia</t>
  </si>
  <si>
    <t>VII</t>
  </si>
  <si>
    <t>VII.2</t>
  </si>
  <si>
    <t>VIII</t>
  </si>
  <si>
    <t>VII.1</t>
  </si>
  <si>
    <t>LẬP VÀ PHÊ DUYỆT HSMT</t>
  </si>
  <si>
    <t>A</t>
  </si>
  <si>
    <t>CHUẨN BỊ ĐẦU TƯ (CBĐT)</t>
  </si>
  <si>
    <t>B</t>
  </si>
  <si>
    <t>GIAI ĐOẠN ĐẦU TƯ</t>
  </si>
  <si>
    <t>LẬP VÀ PHÊ DUYỆT KHLCNT GIAI ĐOẠN CBĐT</t>
  </si>
  <si>
    <t>31/12/2025</t>
  </si>
  <si>
    <t>Đăng tải KQLCNT lên Hệ thống mạng đấu thầu Quốc Gia</t>
  </si>
  <si>
    <t>Căn cứ</t>
  </si>
  <si>
    <t>TỔ CHỨC LẬP BCKT-KT</t>
  </si>
  <si>
    <t>II.1</t>
  </si>
  <si>
    <t>Theo Luật Đấu thầu.
Sử dụng trong trường hợp các gói thầu tư vấn nằm trong KHLCNT giai đoạn CBĐT</t>
  </si>
  <si>
    <t>Nội dung BCKT-KT theo Điều 22, Nghị định 73</t>
  </si>
  <si>
    <t>Chứng thư thẩm định giá</t>
  </si>
  <si>
    <t>TV Thẩm định giá</t>
  </si>
  <si>
    <t>Chủ trương thực hiện nhiệm vụ</t>
  </si>
  <si>
    <t>Đây là dự toán mua sắm hình thành dự án đầu tư, triển khai theo Điều 51 NĐ73 (không phải là Dự toán mua sắm chi tiết theo Khoản 2, Điều 3, Thông tư 35/2025/TT-BCA ngày 06/5/2025)
Chủ trương thực hiện đã được LĐBộ thông qua tại VB 6181/H01-P5 ngày 04.8.2025 của Cục KH&amp;TC BCA về việc thông báo ý kiến chỉ đạo của LĐB.
Nhiệm vụ được giao cho CAT triển khai, vốn địa phương theo quy định.
Tổng mức dự kiến 23.455.412.000 đồng</t>
  </si>
  <si>
    <t>Phòng Hậu cần</t>
  </si>
  <si>
    <t>CAT</t>
  </si>
  <si>
    <t>Trình CAT phê duyệt BCKT-KT</t>
  </si>
  <si>
    <t>Các đơn vị tư vấn + CAT</t>
  </si>
  <si>
    <t>Đơn vị triển khai + CAT</t>
  </si>
  <si>
    <t>Phê duyệt bước thiết kế theo quy định tại Khoản 3, Điều 10, Nghị định 73 (bổ sung, sửa đổi bởi Nghị định 82), lồng ghép luôn với phê duyệt dự toán CBĐT</t>
  </si>
  <si>
    <t>Quyết định phê duyệt dự toán giai đoạn chuẩn bị đầu tư và bước thiết kế</t>
  </si>
  <si>
    <t>Trong dự toán chuẩn bị đầu tư (theo định mức sơ bộ tổng mức đầu tư) đã thể hiện chi phí tư vấn theo thiết kế 1 bước.</t>
  </si>
  <si>
    <t>KHLCNT không cần thẩm định theo Điều 41 LĐT số 22, bổ sung, sửa đổi bởi Luật ĐT số 90</t>
  </si>
  <si>
    <t>Báo cáo thẩm định của tổ thẩm định</t>
  </si>
  <si>
    <t>Tổ thẩm định của CAT</t>
  </si>
  <si>
    <t>Tổ thẩm định tham khảo kết quả BCTT của đơn vị thẩm tra làm cơ sở ra BCTĐ BCKT-KT</t>
  </si>
  <si>
    <t>Trình xin cấp vốn</t>
  </si>
  <si>
    <t>QĐ giao vốn</t>
  </si>
  <si>
    <t>UBND</t>
  </si>
  <si>
    <t>Biên bản bàn giao HSMT của đơn vị lập HSMT bàn giao HSMT cho Chủ đầu tư</t>
  </si>
  <si>
    <t>Tư vấn lập HSMT</t>
  </si>
  <si>
    <t>Tờ trình phê duyệt HSMT</t>
  </si>
  <si>
    <t>Biên bản bàn giao Báo cáo thẩm định HSMT từ Đơn vị thẩm định cho Chủ đầu tư (kèm BCTĐ HSMT)</t>
  </si>
  <si>
    <t>Tư vấn thẩm định HSMT</t>
  </si>
  <si>
    <t>Quyết định phê duyệt HSMT</t>
  </si>
  <si>
    <t>Đăng thông báo mới thầu lên hệ thống mạng đấu thầu quốc gia</t>
  </si>
  <si>
    <t>Đăng tải HSMT</t>
  </si>
  <si>
    <t>Gói thầu mua sắm hàng hóa, 1 giai đoạn, 1 túi hồ sơ. Thời gian chuẩn bị HSDT là 10 ngày</t>
  </si>
  <si>
    <t>Biên bản bàn giao Báo cáo đánh giá HSDT của đơn vị lập HSMT cho Chủ đầu tư</t>
  </si>
  <si>
    <t>Biên bản đối chiếu tài liệu hoặc Biên bản thương thảo hợp đồng</t>
  </si>
  <si>
    <t>Biên bản bàn giao Báo cáo thẩm định KQLCNT của đơn vị thẩm định HSMT cho Chủ đầu tư</t>
  </si>
  <si>
    <t>Quyết định phê duyệt kết quả lựa chọn nhà thầu</t>
  </si>
  <si>
    <t>Ký kết các hợp đồng</t>
  </si>
  <si>
    <t>Đăng tải kết quả lựa chọn nhà thầu lên hệ thống mạng đấu thầu quốc gia</t>
  </si>
  <si>
    <t>Bắt đầu triển khai</t>
  </si>
  <si>
    <t>Nhà thầu + CAT</t>
  </si>
  <si>
    <t>TỔ CHỨC ĐẤU THẦU LỰA CHỌN NHÀ THẦU TRIỂN KHAI (với gói thầu không thuộc dạng MẬT)</t>
  </si>
  <si>
    <t>TỔ CHỨC LỰA CHỌN NHÀ THẦU TRIỂN KHAI (với gói thầu thuộc dạng MẬT) (chỉ định thầu thông thường)</t>
  </si>
  <si>
    <t>LẬP VÀ PHÊ DUYỆT HSYC</t>
  </si>
  <si>
    <t>Tờ trình phê duyệt HSYC</t>
  </si>
  <si>
    <t>Biên bản bàn giao Báo cáo thẩm định HSYC từ Đơn vị thẩm định cho Chủ đầu tư (kèm BCTĐ HSYC)</t>
  </si>
  <si>
    <t>Quyết định phê duyệt HSYC</t>
  </si>
  <si>
    <t>Biên bản bàn giao Báo cáo đánh giá HSĐX của đơn vị lập HSMT cho Chủ đầu tư</t>
  </si>
  <si>
    <t>Biên bản bàn giao HSYC của đơn vị lập HSMT bàn giao HSYC cho Chủ đầu tư</t>
  </si>
  <si>
    <t>Thời gian chuẩn bị HSĐX</t>
  </si>
  <si>
    <t>Quyết định phê duyệt kết quả lựa chỉ định thầu</t>
  </si>
  <si>
    <t>Biên bản thương thảo HĐ</t>
  </si>
  <si>
    <t>CHỈ ĐỊNH THẦU ĐƠN VỊ TƯ VẤN LẬP BCKT-KT</t>
  </si>
  <si>
    <t>CHỈ ĐỊNH THẦU ĐƠN VỊ TƯ VẤN THẨM TRA BCKT-KT</t>
  </si>
  <si>
    <t>CHỈ ĐỊNH THẦU ĐƠN VỊ TƯ VẤN QLDA</t>
  </si>
  <si>
    <t>CHỈ ĐỊNH THẦU ĐƠN VỊ TƯ VẤN THẨM ĐỊNH GIÁ</t>
  </si>
  <si>
    <t>II.2</t>
  </si>
  <si>
    <t>II.3</t>
  </si>
  <si>
    <t>II.4</t>
  </si>
  <si>
    <t>III</t>
  </si>
  <si>
    <t>VI.1</t>
  </si>
  <si>
    <t>VI.2</t>
  </si>
  <si>
    <t>Đã xong</t>
  </si>
  <si>
    <t>TTr phê duyệt dự toán CBĐT + bước thiết kế</t>
  </si>
  <si>
    <t>Tờ trình phê duyệt KHLCNT, bao gồm các gói thầu:
- Lập HSMT và đánh giá HSDT
- Thẩm định HSMT, thẩm định KQLCNT
- GSTK
- Gói thầu thi công</t>
  </si>
  <si>
    <t>Đề xuất thiết kế 01 bước (lập BCKT-KT)
Dự toán bao gồm các chi phí:
- Lập BCKT-KT
- Thẩm tra BCKT-KT
- Thẩm định giá
- QLDA</t>
  </si>
  <si>
    <t>THỦ TỤC CHỈ ĐỊNH THẦU ĐƠN VỊ TƯ VẤN: LẬP HSMT, ĐÁNH GIÁ HSDT; THẨM ĐỊNH HSMT, THẨM ĐỊNH KQLCNT; QLDA; GIÁM SÁT CÔNG TÁC TRIỂN KHAI</t>
  </si>
  <si>
    <t>TTr phê duyệt dự toán CBĐT</t>
  </si>
  <si>
    <t>Công văn mời báo giá chi phí Thẩm định giá</t>
  </si>
  <si>
    <t>Chi phí Thẩm định giá là chi phí khác trong Tổng mức đầu tư</t>
  </si>
  <si>
    <t>Giá dự toán được lấy giá trung bình theo quy định tại điểm d, khoản 2, Điều 18, Nghị định số 214/2015/NĐ-CP ngày 04/8/2025 của Chính phủ</t>
  </si>
  <si>
    <t>Các báo giá của các đơn vị tư vấn</t>
  </si>
  <si>
    <t>Các đơn vị tư vấn</t>
  </si>
  <si>
    <t>Quyết định phê duyệt dự toán giai đoạn chuẩn bị đầu tư</t>
  </si>
  <si>
    <t>Theo quy định là chỉ cần 01 báo giá, tuy nhiên đề xuất xin 03 báo giá mỗi nội dung.
Trong công văn báo giá ghi đủ các nội dung cần báo giá để cho 1 đơn vị có thể báo giá rất nhiều nội dung chi phí.
Giá trung bình đảm bảo không vượt quá giá đã trình trong chủ trương trước đó.</t>
  </si>
  <si>
    <t>CĐT</t>
  </si>
  <si>
    <t>Khoản 5, Điều 16, Nghị định số 45/2026/NĐ-CP ngày 26/01/2026 của Chính phủ</t>
  </si>
  <si>
    <t>Khoản 4, Điều 16, Nghị định số 45/2026/NĐ-CP ngày 26/01/2026 của Chính phủ</t>
  </si>
  <si>
    <t>Các đơn vị tư vấn + CĐT</t>
  </si>
  <si>
    <t>Nội dung BCKT-KT theo Điều 14, 15, 16 Nghị định số 45/2026/NĐ-CP và khoản 2 Điều 47 Luật Đầu tư công</t>
  </si>
  <si>
    <t>Trình CĐT phê duyệt BCKT-KT</t>
  </si>
  <si>
    <t>III.1</t>
  </si>
  <si>
    <t>III.2</t>
  </si>
  <si>
    <t>III.3</t>
  </si>
  <si>
    <t>Công văn mời báo giá các chi phí lập BCKT-KT, thẩm tra BCKT-KT</t>
  </si>
  <si>
    <t>Dự toán bao gồm các chi phí:
- Lập BCKT-KT
- Thẩm tra BCKT-KT
- Thẩm định giá</t>
  </si>
  <si>
    <t>Bộ phận/Đơn vị được giao nhiệm vụ trình</t>
  </si>
  <si>
    <t>Đề nghị cấp vốn</t>
  </si>
  <si>
    <t>STC</t>
  </si>
  <si>
    <t>LẬP VÀ PHÊ DUYỆT KHLCNT GIAI ĐOẠN CHUẨN BỊ NHIỆM VỤ THỰC HIỆN DỰ ÁN</t>
  </si>
  <si>
    <t>CHUẨN BỊ THỰC HIỆN NHIỆM VỤ</t>
  </si>
  <si>
    <t>Tờ trình phê duyệt KHLCNT, bao gồm các gói thầu:
- Quản lý dự án
- Kiểm thử độc lập PMNB
- Triển khai</t>
  </si>
  <si>
    <t>THỦ TỤC CHỈ ĐỊNH THẦU LỰA CHỌN NHÀ THẦU TRIỂN KHAI</t>
  </si>
  <si>
    <t>Thư mời tham gia gửi nhà thầu triển khai (kèm dự thảo hợp đồng)</t>
  </si>
  <si>
    <t>Nhà thầu cần đảm bảo tư cách hợp lệ theo quy định tại các điểm a, b, c, d, e, g và I, khoản 1, Điều 5 của Luật Đấu thầu</t>
  </si>
  <si>
    <t>Nhà thầu triển khai + CĐT</t>
  </si>
  <si>
    <t>Tờ trình phê duyệt chỉ định thầu đơn vị triển khai</t>
  </si>
  <si>
    <t>Tối đa 05 ngày làm việc</t>
  </si>
  <si>
    <t>Nghị định số 104/2026/NĐ-CP ngày 31/03/2026 của Chính phủ Quy định việc lập dự toán, quản lý, sử dụng và quyết toán chi thường xuyên để thực hiện các nhiệm vụ quy định tại Điều 40 Luật Ngân sách nhà nước</t>
  </si>
  <si>
    <t>Dự kiến hợp đồng triển khai 60 ngày</t>
  </si>
  <si>
    <t>Gói thầu triển khai thực hiện Chỉ định thầu theo quy định tại điểm d, khoản 3 Điều 78, Chỉ định thầu rút gọn theo quy định tại khoản 2 Điều 80  của Nghị định 214/2025/NĐ-CP ngày 04/8/2025</t>
  </si>
  <si>
    <t>Ý kiến của STC về việc phân bổ dự toán kinh phí nhiệm vụ</t>
  </si>
  <si>
    <t>Sở Tài chính</t>
  </si>
  <si>
    <t>Sở KHCN</t>
  </si>
  <si>
    <t>Ý kiến chuyên môn của Sở KHCN</t>
  </si>
  <si>
    <t>Công văn mời báo giá các chi phí:
- QLDA;
- Kiểm thử.</t>
  </si>
  <si>
    <t>Thẩm định giá cho chi phí trang thiết bị (Phần mềm, CSDL, đào tạo)</t>
  </si>
  <si>
    <t>Báo cáo thẩm định của cơ quan chuyên môn/HĐTĐ</t>
  </si>
  <si>
    <t>Cơ quan chuyên môn/HĐTĐ</t>
  </si>
  <si>
    <t>THỦ TỤC CHỈ ĐỊNH THẦU ĐƠN VỊ TƯ VẤN: QUẢN LÝ DỰ ÁN</t>
  </si>
  <si>
    <t>THỦ TỤC CHỈ ĐỊNH THẦU ĐƠN VỊ TƯ VẤN:  KIỂM THỬ ĐỘC LẬP PMNB</t>
  </si>
  <si>
    <t>PHÊ DUYỆT CHỦ TRƯƠNG</t>
  </si>
  <si>
    <t>Phê duyệt chủ trương và dự kiến kinh phí thực hiện dự án</t>
  </si>
  <si>
    <t>Nghị định số 104/2026/NĐ-CP ngày 31/03/2026 của Chính phủ Quy định việc lập dự toán</t>
  </si>
  <si>
    <t>Công văn số 6558 CAT/CSQLHC ngày 10/6/2026 của Công an
tỉnh về việc báo cáo về việc hướng dẫn thủ tục lấy ý kiến của Trung tâm Dữ liệu quốc gia rà soát các cơ sở dữ liệu chuyên ngành;</t>
  </si>
  <si>
    <t>Hướng dẫn Công văn số 4577/BKHCN-CĐSQG ngày 11/9/2025 của Bộ Khoa học và Công nghệ về việc hướng dẫn triển khai các nền tảng số dùng chung toàn quốc kèm theo Công văn này</t>
  </si>
  <si>
    <t xml:space="preserve">Số: 3617/SKHCN-TTCĐS Khánh Hòa, ngày 22 tháng 6 năm 2026
V/v triển khai thực hiện Quyết định
phê duyệt Danh mục cơ sở dữ liệu
chuyên ngành triển khai năm 2026  </t>
  </si>
  <si>
    <t>TỜ TRÌNH Phê duyệt chủ trương và dự kiến kinh phí thực hiện dự án</t>
  </si>
  <si>
    <t>Lấy ý kiến kèm hồ sơ dự án về Trung tâm
Dữ liệu quốc gia – Bộ Công an</t>
  </si>
  <si>
    <t>Báo cáo đề xuất chủ trương và dự kiến kinh phí</t>
  </si>
  <si>
    <t>Theo mục 3 của công văn 3617</t>
  </si>
  <si>
    <t>Công tác thẩm định nội bộ</t>
  </si>
  <si>
    <t>Lấy ý kiến Bộ VHTT&amp;DL</t>
  </si>
  <si>
    <t>23/07/2026</t>
  </si>
  <si>
    <t>Đang chờ setup lịch họp</t>
  </si>
  <si>
    <t>Chưa trình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</si>
</sst>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0" x14ac:knownFonts="1">
    <font>
      <sz val="11"/>
      <color theme="1"/>
      <name val="Calibri"/>
      <family val="2"/>
      <scheme val="minor"/>
    </font>
    <font>
      <sz val="11"/>
      <color theme="1"/>
      <name val="Calibri"/>
      <family val="2"/>
      <scheme val="minor"/>
    </font>
    <font>
      <sz val="11"/>
      <name val="Times New Roman"/>
      <family val="1"/>
    </font>
    <font>
      <sz val="11"/>
      <color theme="1"/>
      <name val="Times New Roman"/>
      <family val="1"/>
    </font>
    <font>
      <b/>
      <sz val="11"/>
      <name val="Times New Roman"/>
      <family val="1"/>
    </font>
    <font>
      <sz val="11"/>
      <color rgb="FFFF0000"/>
      <name val="Times New Roman"/>
      <family val="1"/>
    </font>
    <font>
      <b/>
      <sz val="11"/>
      <color theme="0" tint="-0.34998626667073579"/>
      <name val="Times New Roman"/>
      <family val="1"/>
    </font>
    <font>
      <sz val="11"/>
      <name val="Calibri"/>
      <family val="2"/>
      <scheme val="minor"/>
    </font>
    <font>
      <sz val="11"/>
      <color theme="0" tint="-0.34998626667073579"/>
      <name val="Times New Roman"/>
      <family val="1"/>
    </font>
    <font>
      <sz val="11"/>
      <color theme="0" tint="-0.249977111117893"/>
      <name val="Calibri"/>
      <family val="2"/>
      <scheme val="minor"/>
    </font>
    <font>
      <sz val="11"/>
      <color theme="2" tint="-0.249977111117893"/>
      <name val="Times New Roman"/>
      <family val="1"/>
    </font>
    <font>
      <b/>
      <sz val="11"/>
      <color rgb="FFFF0000"/>
      <name val="Times New Roman"/>
      <family val="1"/>
    </font>
    <font>
      <b/>
      <sz val="11"/>
      <color theme="0" tint="-0.249977111117893"/>
      <name val="Times New Roman"/>
      <family val="1"/>
    </font>
    <font>
      <sz val="11"/>
      <color theme="0" tint="-0.34998626667073579"/>
      <name val="Calibri"/>
      <family val="2"/>
      <scheme val="minor"/>
    </font>
    <font>
      <sz val="11"/>
      <color rgb="FF0000FF"/>
      <name val="Times New Roman"/>
      <family val="1"/>
    </font>
    <font>
      <sz val="11"/>
      <color rgb="FF0000FF"/>
      <name val="Calibri"/>
      <family val="2"/>
      <scheme val="minor"/>
    </font>
    <font>
      <sz val="11"/>
      <color rgb="FF00B050"/>
      <name val="Times New Roman"/>
      <family val="1"/>
    </font>
    <font>
      <sz val="11"/>
      <color rgb="FF00B050"/>
      <name val="Calibri"/>
      <family val="2"/>
      <scheme val="minor"/>
    </font>
    <font>
      <b/>
      <sz val="11"/>
      <color rgb="FF00B050"/>
      <name val="Times New Roman"/>
      <family val="1"/>
    </font>
    <font>
      <sz val="20"/>
      <color rgb="FFFF0000"/>
      <name val="Times New Roman"/>
      <family val="1"/>
    </font>
  </fonts>
  <fills count="8">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43" fontId="1" fillId="0" borderId="0" applyFont="0" applyFill="0" applyBorder="0" applyAlignment="0" applyProtection="0"/>
  </cellStyleXfs>
  <cellXfs count="126">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2" fillId="0" borderId="1" xfId="0" applyFont="1" applyBorder="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0" xfId="0" applyFont="1" applyAlignment="1">
      <alignment vertical="center" wrapText="1"/>
    </xf>
    <xf numFmtId="0" fontId="5" fillId="0" borderId="1" xfId="0" applyFont="1" applyBorder="1" applyAlignment="1">
      <alignment vertical="center" wrapText="1"/>
    </xf>
    <xf numFmtId="0" fontId="2" fillId="0" borderId="5" xfId="0" applyFont="1" applyBorder="1" applyAlignment="1">
      <alignment vertical="center" wrapText="1"/>
    </xf>
    <xf numFmtId="14" fontId="2" fillId="6"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14" fontId="4"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0" borderId="0" xfId="0" applyFont="1" applyAlignment="1">
      <alignmen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justify" vertical="center"/>
    </xf>
    <xf numFmtId="0" fontId="2" fillId="5" borderId="1" xfId="0" applyFont="1" applyFill="1" applyBorder="1" applyAlignment="1">
      <alignment horizontal="center" vertical="center" wrapText="1"/>
    </xf>
    <xf numFmtId="164" fontId="2" fillId="5" borderId="1" xfId="1" applyNumberFormat="1"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justify" vertical="center"/>
    </xf>
    <xf numFmtId="0" fontId="8" fillId="0" borderId="1" xfId="0" applyFont="1" applyBorder="1" applyAlignment="1">
      <alignment horizontal="center" vertical="center" wrapText="1"/>
    </xf>
    <xf numFmtId="0" fontId="9" fillId="0" borderId="0" xfId="0" applyFont="1" applyAlignment="1">
      <alignment vertical="center" wrapText="1"/>
    </xf>
    <xf numFmtId="0" fontId="2" fillId="0" borderId="1" xfId="0" applyFont="1" applyBorder="1" applyAlignment="1">
      <alignment horizontal="justify" vertical="center" wrapText="1"/>
    </xf>
    <xf numFmtId="0" fontId="8" fillId="0" borderId="4" xfId="0" applyFont="1" applyBorder="1" applyAlignment="1">
      <alignment horizontal="center" vertical="center" wrapText="1"/>
    </xf>
    <xf numFmtId="0" fontId="2" fillId="0" borderId="1" xfId="0" quotePrefix="1" applyFont="1" applyBorder="1" applyAlignment="1">
      <alignment horizontal="center" vertical="center" wrapText="1"/>
    </xf>
    <xf numFmtId="0" fontId="10" fillId="3" borderId="10" xfId="0" applyFont="1" applyFill="1" applyBorder="1" applyAlignment="1">
      <alignment horizontal="center" vertical="center" wrapText="1"/>
    </xf>
    <xf numFmtId="0" fontId="4" fillId="2" borderId="1" xfId="0" applyFont="1" applyFill="1" applyBorder="1" applyAlignment="1">
      <alignment horizontal="justify" vertical="center" wrapText="1"/>
    </xf>
    <xf numFmtId="164" fontId="10" fillId="2" borderId="1" xfId="1" applyNumberFormat="1" applyFont="1" applyFill="1" applyBorder="1" applyAlignment="1">
      <alignment horizontal="center" vertical="center" wrapText="1"/>
    </xf>
    <xf numFmtId="0" fontId="4" fillId="2" borderId="1" xfId="0" applyFont="1" applyFill="1" applyBorder="1" applyAlignment="1">
      <alignment horizontal="left" vertical="center" wrapText="1"/>
    </xf>
    <xf numFmtId="0" fontId="11" fillId="2" borderId="1" xfId="0" applyFont="1" applyFill="1" applyBorder="1" applyAlignment="1">
      <alignment vertical="center" wrapText="1"/>
    </xf>
    <xf numFmtId="164" fontId="10" fillId="0" borderId="1" xfId="1" applyNumberFormat="1" applyFont="1" applyFill="1" applyBorder="1" applyAlignment="1">
      <alignment horizontal="center" vertical="center" wrapText="1"/>
    </xf>
    <xf numFmtId="0" fontId="2" fillId="0" borderId="1" xfId="0" applyFont="1" applyBorder="1" applyAlignment="1">
      <alignment horizontal="justify" vertical="top" wrapText="1"/>
    </xf>
    <xf numFmtId="0" fontId="2" fillId="0" borderId="1" xfId="0" applyFont="1" applyBorder="1" applyAlignment="1">
      <alignment horizontal="center" vertical="top" wrapText="1"/>
    </xf>
    <xf numFmtId="0" fontId="10" fillId="3" borderId="3" xfId="0" applyFont="1" applyFill="1" applyBorder="1" applyAlignment="1">
      <alignment horizontal="center" vertical="center" wrapText="1"/>
    </xf>
    <xf numFmtId="0" fontId="5" fillId="0" borderId="0" xfId="0" applyFont="1" applyAlignment="1">
      <alignment vertical="center" wrapText="1"/>
    </xf>
    <xf numFmtId="0" fontId="4" fillId="0" borderId="1" xfId="0" applyFont="1" applyBorder="1" applyAlignment="1">
      <alignment horizontal="center" vertical="top" wrapText="1"/>
    </xf>
    <xf numFmtId="0" fontId="6" fillId="0" borderId="1" xfId="0" applyFont="1" applyBorder="1" applyAlignment="1">
      <alignment horizontal="center" vertical="center" wrapText="1"/>
    </xf>
    <xf numFmtId="0" fontId="12" fillId="0" borderId="0" xfId="0" applyFont="1" applyAlignment="1">
      <alignment vertical="center" wrapText="1"/>
    </xf>
    <xf numFmtId="0" fontId="5" fillId="0" borderId="1" xfId="0" applyFont="1" applyBorder="1" applyAlignment="1">
      <alignment horizontal="left" vertical="center" wrapText="1"/>
    </xf>
    <xf numFmtId="0" fontId="7" fillId="0" borderId="0" xfId="0" applyFont="1" applyAlignment="1">
      <alignment horizontal="center" vertical="center" wrapText="1"/>
    </xf>
    <xf numFmtId="14" fontId="7" fillId="0" borderId="0" xfId="0" applyNumberFormat="1" applyFont="1" applyAlignment="1">
      <alignment horizontal="center" vertical="center" wrapText="1"/>
    </xf>
    <xf numFmtId="0" fontId="13" fillId="0" borderId="0" xfId="0" applyFont="1" applyAlignment="1">
      <alignment horizontal="center" vertical="center" wrapText="1"/>
    </xf>
    <xf numFmtId="0" fontId="7" fillId="0" borderId="0" xfId="0" applyFont="1" applyAlignment="1">
      <alignment horizontal="left" vertical="center" wrapText="1"/>
    </xf>
    <xf numFmtId="0" fontId="5" fillId="0" borderId="1" xfId="0" applyFont="1" applyBorder="1" applyAlignment="1">
      <alignment horizontal="center" vertical="center" wrapText="1"/>
    </xf>
    <xf numFmtId="14" fontId="5"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justify" vertical="center" wrapText="1"/>
    </xf>
    <xf numFmtId="0" fontId="15"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16" fillId="0" borderId="0" xfId="0" applyFont="1" applyAlignment="1">
      <alignment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vertical="center" wrapText="1"/>
    </xf>
    <xf numFmtId="0" fontId="2" fillId="6" borderId="0" xfId="0" applyFont="1" applyFill="1" applyAlignment="1">
      <alignment vertical="center" wrapText="1"/>
    </xf>
    <xf numFmtId="0" fontId="2"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justify" vertical="center" wrapText="1"/>
    </xf>
    <xf numFmtId="164" fontId="2" fillId="3" borderId="1" xfId="1"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justify" vertical="top" wrapText="1"/>
    </xf>
    <xf numFmtId="0" fontId="2" fillId="3" borderId="1" xfId="0" applyFont="1" applyFill="1" applyBorder="1" applyAlignment="1">
      <alignment horizontal="center" vertical="top" wrapText="1"/>
    </xf>
    <xf numFmtId="14" fontId="2" fillId="3" borderId="1" xfId="0" applyNumberFormat="1"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vertical="center" wrapText="1"/>
    </xf>
    <xf numFmtId="0" fontId="4" fillId="3" borderId="1" xfId="0" applyFont="1" applyFill="1" applyBorder="1" applyAlignment="1">
      <alignment horizontal="center" vertical="top" wrapText="1"/>
    </xf>
    <xf numFmtId="0" fontId="2" fillId="3" borderId="1" xfId="0" quotePrefix="1" applyFont="1" applyFill="1" applyBorder="1" applyAlignment="1">
      <alignment horizontal="center" vertical="center" wrapText="1"/>
    </xf>
    <xf numFmtId="0" fontId="2" fillId="3" borderId="1"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vertical="top" wrapText="1"/>
    </xf>
    <xf numFmtId="0" fontId="2" fillId="6" borderId="1" xfId="0" applyFont="1" applyFill="1" applyBorder="1" applyAlignment="1">
      <alignment horizontal="left" vertical="center"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11"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164" fontId="5" fillId="3" borderId="1" xfId="1" applyNumberFormat="1" applyFont="1" applyFill="1" applyBorder="1" applyAlignment="1">
      <alignment horizontal="left" vertical="center" wrapText="1"/>
    </xf>
    <xf numFmtId="0" fontId="5" fillId="3" borderId="1" xfId="0" applyFont="1" applyFill="1" applyBorder="1" applyAlignment="1">
      <alignment horizontal="left" vertical="top" wrapText="1"/>
    </xf>
    <xf numFmtId="0" fontId="5" fillId="5" borderId="1" xfId="0" applyFont="1" applyFill="1" applyBorder="1" applyAlignment="1">
      <alignment horizontal="left" vertical="center" wrapText="1"/>
    </xf>
    <xf numFmtId="0" fontId="11" fillId="3" borderId="1" xfId="0" applyFont="1" applyFill="1" applyBorder="1" applyAlignment="1">
      <alignment vertical="center" wrapText="1"/>
    </xf>
    <xf numFmtId="0" fontId="5" fillId="3" borderId="1" xfId="0" applyFont="1" applyFill="1" applyBorder="1" applyAlignment="1">
      <alignment vertical="center" wrapText="1"/>
    </xf>
    <xf numFmtId="0" fontId="2" fillId="7" borderId="1" xfId="0" applyFont="1" applyFill="1" applyBorder="1" applyAlignment="1">
      <alignment horizontal="left" vertical="center" wrapText="1"/>
    </xf>
    <xf numFmtId="0" fontId="14" fillId="0" borderId="1" xfId="0" applyFont="1" applyBorder="1" applyAlignment="1">
      <alignment vertical="top" wrapText="1"/>
    </xf>
    <xf numFmtId="0" fontId="5" fillId="6" borderId="1" xfId="0" applyFont="1" applyFill="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5" fillId="0" borderId="2" xfId="0" applyFont="1" applyBorder="1" applyAlignment="1">
      <alignment vertical="top" wrapText="1"/>
    </xf>
    <xf numFmtId="0" fontId="4" fillId="6" borderId="1" xfId="0" applyFont="1" applyFill="1" applyBorder="1" applyAlignment="1">
      <alignment horizontal="justify" vertical="center"/>
    </xf>
    <xf numFmtId="0" fontId="2" fillId="6" borderId="1" xfId="0" applyFont="1" applyFill="1" applyBorder="1" applyAlignment="1">
      <alignment horizontal="justify" vertical="center" wrapText="1"/>
    </xf>
    <xf numFmtId="0" fontId="4"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0" borderId="4" xfId="0" applyFont="1" applyBorder="1" applyAlignment="1">
      <alignment horizontal="center" vertical="top" wrapText="1"/>
    </xf>
    <xf numFmtId="0" fontId="2" fillId="0" borderId="5" xfId="0" applyFont="1" applyBorder="1" applyAlignment="1">
      <alignment horizontal="center" vertical="top" wrapText="1"/>
    </xf>
    <xf numFmtId="0" fontId="14" fillId="0" borderId="4" xfId="0" applyFont="1" applyBorder="1" applyAlignment="1">
      <alignment horizontal="left" vertical="top" wrapText="1"/>
    </xf>
    <xf numFmtId="0" fontId="14" fillId="0" borderId="9" xfId="0" applyFont="1" applyBorder="1" applyAlignment="1">
      <alignment horizontal="left" vertical="top"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 xfId="0" quotePrefix="1" applyFont="1" applyBorder="1" applyAlignment="1">
      <alignment horizontal="center" vertical="center" wrapText="1"/>
    </xf>
    <xf numFmtId="0" fontId="2" fillId="0" borderId="11" xfId="0" quotePrefix="1" applyFont="1" applyBorder="1" applyAlignment="1">
      <alignment horizontal="center" vertical="center" wrapText="1"/>
    </xf>
    <xf numFmtId="0" fontId="2" fillId="0" borderId="2" xfId="0" applyFont="1" applyBorder="1" applyAlignment="1">
      <alignment horizontal="left" vertical="top" wrapText="1"/>
    </xf>
    <xf numFmtId="0" fontId="2" fillId="0" borderId="12" xfId="0" applyFont="1" applyBorder="1" applyAlignment="1">
      <alignment horizontal="left" vertical="top" wrapText="1"/>
    </xf>
    <xf numFmtId="0" fontId="2" fillId="0" borderId="11" xfId="0" applyFont="1" applyBorder="1" applyAlignment="1">
      <alignment horizontal="left" vertical="top"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4" xfId="0" applyFont="1" applyFill="1" applyBorder="1" applyAlignment="1">
      <alignment horizontal="center" vertical="top" wrapText="1"/>
    </xf>
    <xf numFmtId="0" fontId="2" fillId="3" borderId="5" xfId="0" applyFont="1" applyFill="1" applyBorder="1" applyAlignment="1">
      <alignment horizontal="center" vertical="top"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9" fillId="0" borderId="2" xfId="0" applyFont="1" applyBorder="1" applyAlignment="1">
      <alignment horizontal="left" vertical="top" wrapText="1"/>
    </xf>
    <xf numFmtId="0" fontId="19" fillId="0" borderId="12" xfId="0" applyFont="1" applyBorder="1" applyAlignment="1">
      <alignment horizontal="left" vertical="top" wrapText="1"/>
    </xf>
    <xf numFmtId="0" fontId="19" fillId="0" borderId="11" xfId="0" applyFont="1" applyBorder="1"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colors>
    <mruColors>
      <color rgb="FF0000FF"/>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276625</xdr:colOff>
      <xdr:row>11</xdr:row>
      <xdr:rowOff>113717</xdr:rowOff>
    </xdr:from>
    <xdr:to>
      <xdr:col>19</xdr:col>
      <xdr:colOff>361678</xdr:colOff>
      <xdr:row>13</xdr:row>
      <xdr:rowOff>208068</xdr:rowOff>
    </xdr:to>
    <xdr:pic>
      <xdr:nvPicPr>
        <xdr:cNvPr id="2" name="Picture 1">
          <a:extLst>
            <a:ext uri="{FF2B5EF4-FFF2-40B4-BE49-F238E27FC236}">
              <a16:creationId xmlns:a16="http://schemas.microsoft.com/office/drawing/2014/main" id="{86AF0239-FFC3-49FE-83D7-D44F641277FA}"/>
            </a:ext>
          </a:extLst>
        </xdr:cNvPr>
        <xdr:cNvPicPr>
          <a:picLocks noChangeAspect="1"/>
        </xdr:cNvPicPr>
      </xdr:nvPicPr>
      <xdr:blipFill>
        <a:blip xmlns:r="http://schemas.openxmlformats.org/officeDocument/2006/relationships" r:embed="rId1"/>
        <a:stretch>
          <a:fillRect/>
        </a:stretch>
      </xdr:blipFill>
      <xdr:spPr>
        <a:xfrm>
          <a:off x="15128005" y="5276267"/>
          <a:ext cx="6182959" cy="974461"/>
        </a:xfrm>
        <a:prstGeom prst="rect">
          <a:avLst/>
        </a:prstGeom>
      </xdr:spPr>
    </xdr:pic>
    <xdr:clientData/>
  </xdr:twoCellAnchor>
  <xdr:oneCellAnchor>
    <xdr:from>
      <xdr:col>9</xdr:col>
      <xdr:colOff>612801</xdr:colOff>
      <xdr:row>43</xdr:row>
      <xdr:rowOff>46482</xdr:rowOff>
    </xdr:from>
    <xdr:ext cx="6172761" cy="809542"/>
    <xdr:pic>
      <xdr:nvPicPr>
        <xdr:cNvPr id="3" name="Picture 2">
          <a:extLst>
            <a:ext uri="{FF2B5EF4-FFF2-40B4-BE49-F238E27FC236}">
              <a16:creationId xmlns:a16="http://schemas.microsoft.com/office/drawing/2014/main" id="{643959A9-BDDB-4F1D-A70E-3CD0FEAD70CE}"/>
            </a:ext>
          </a:extLst>
        </xdr:cNvPr>
        <xdr:cNvPicPr>
          <a:picLocks noChangeAspect="1"/>
        </xdr:cNvPicPr>
      </xdr:nvPicPr>
      <xdr:blipFill>
        <a:blip xmlns:r="http://schemas.openxmlformats.org/officeDocument/2006/relationships" r:embed="rId1"/>
        <a:stretch>
          <a:fillRect/>
        </a:stretch>
      </xdr:blipFill>
      <xdr:spPr>
        <a:xfrm>
          <a:off x="15462276" y="16269462"/>
          <a:ext cx="6172761" cy="809542"/>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1"/>
  <sheetViews>
    <sheetView zoomScale="85" zoomScaleNormal="85" workbookViewId="0">
      <pane xSplit="1" ySplit="1" topLeftCell="B59" activePane="bottomRight" state="frozen"/>
      <selection pane="topRight" activeCell="C1" sqref="C1"/>
      <selection pane="bottomLeft" activeCell="A3" sqref="A3"/>
      <selection pane="bottomRight" activeCell="A61" sqref="A61"/>
    </sheetView>
  </sheetViews>
  <sheetFormatPr defaultColWidth="8.85546875" defaultRowHeight="15" outlineLevelRow="1" x14ac:dyDescent="0.25"/>
  <cols>
    <col min="1" max="1" width="7" style="20" customWidth="1"/>
    <col min="2" max="2" width="90.7109375" style="20" bestFit="1" customWidth="1"/>
    <col min="3" max="3" width="17.85546875" style="20" bestFit="1" customWidth="1"/>
    <col min="4" max="4" width="19.85546875" style="48" bestFit="1" customWidth="1"/>
    <col min="5" max="5" width="11.85546875" style="49" bestFit="1" customWidth="1"/>
    <col min="6" max="6" width="10.28515625" style="50" customWidth="1"/>
    <col min="7" max="7" width="28.7109375" style="51" customWidth="1"/>
    <col min="8" max="8" width="29.140625" style="51" customWidth="1"/>
    <col min="9" max="9" width="42.85546875" style="6" bestFit="1" customWidth="1"/>
    <col min="10" max="10" width="41.140625" style="20" customWidth="1"/>
    <col min="11" max="16384" width="8.85546875" style="20"/>
  </cols>
  <sheetData>
    <row r="1" spans="1:9" ht="28.5" x14ac:dyDescent="0.25">
      <c r="A1" s="16" t="s">
        <v>0</v>
      </c>
      <c r="B1" s="16" t="s">
        <v>1</v>
      </c>
      <c r="C1" s="16" t="s">
        <v>6</v>
      </c>
      <c r="D1" s="16" t="s">
        <v>7</v>
      </c>
      <c r="E1" s="17" t="s">
        <v>2</v>
      </c>
      <c r="F1" s="18" t="s">
        <v>18</v>
      </c>
      <c r="G1" s="16" t="s">
        <v>8</v>
      </c>
      <c r="H1" s="19" t="s">
        <v>48</v>
      </c>
      <c r="I1" s="19" t="s">
        <v>5</v>
      </c>
    </row>
    <row r="2" spans="1:9" s="6" customFormat="1" x14ac:dyDescent="0.25">
      <c r="A2" s="21" t="s">
        <v>41</v>
      </c>
      <c r="B2" s="22" t="s">
        <v>42</v>
      </c>
      <c r="C2" s="23"/>
      <c r="D2" s="23"/>
      <c r="E2" s="23"/>
      <c r="F2" s="24"/>
      <c r="G2" s="25"/>
      <c r="H2" s="25"/>
      <c r="I2" s="26"/>
    </row>
    <row r="3" spans="1:9" s="30" customFormat="1" x14ac:dyDescent="0.25">
      <c r="A3" s="27">
        <v>0</v>
      </c>
      <c r="B3" s="28" t="s">
        <v>34</v>
      </c>
      <c r="C3" s="1"/>
      <c r="D3" s="1"/>
      <c r="E3" s="3"/>
      <c r="F3" s="29"/>
      <c r="G3" s="4"/>
      <c r="H3" s="4"/>
      <c r="I3" s="4"/>
    </row>
    <row r="4" spans="1:9" s="56" customFormat="1" outlineLevel="1" x14ac:dyDescent="0.25">
      <c r="A4" s="54">
        <v>1</v>
      </c>
      <c r="B4" s="55" t="s">
        <v>55</v>
      </c>
      <c r="C4" s="103" t="s">
        <v>56</v>
      </c>
      <c r="D4" s="104"/>
      <c r="E4" s="104"/>
      <c r="F4" s="104"/>
      <c r="G4" s="104"/>
      <c r="H4" s="104"/>
      <c r="I4" s="54" t="s">
        <v>110</v>
      </c>
    </row>
    <row r="5" spans="1:9" s="30" customFormat="1" x14ac:dyDescent="0.25">
      <c r="A5" s="27" t="s">
        <v>3</v>
      </c>
      <c r="B5" s="28" t="s">
        <v>45</v>
      </c>
      <c r="C5" s="1"/>
      <c r="D5" s="1"/>
      <c r="E5" s="3"/>
      <c r="F5" s="32"/>
      <c r="G5" s="5"/>
      <c r="H5" s="5"/>
      <c r="I5" s="4"/>
    </row>
    <row r="6" spans="1:9" s="30" customFormat="1" ht="105" outlineLevel="1" x14ac:dyDescent="0.25">
      <c r="A6" s="33">
        <v>1</v>
      </c>
      <c r="B6" s="31" t="s">
        <v>111</v>
      </c>
      <c r="C6" s="1" t="s">
        <v>57</v>
      </c>
      <c r="D6" s="1"/>
      <c r="E6" s="3">
        <v>45887</v>
      </c>
      <c r="F6" s="32"/>
      <c r="G6" s="5" t="s">
        <v>113</v>
      </c>
      <c r="H6" s="4" t="s">
        <v>62</v>
      </c>
      <c r="I6" s="4"/>
    </row>
    <row r="7" spans="1:9" s="30" customFormat="1" ht="60" outlineLevel="1" x14ac:dyDescent="0.25">
      <c r="A7" s="33">
        <v>2</v>
      </c>
      <c r="B7" s="31" t="s">
        <v>63</v>
      </c>
      <c r="C7" s="1"/>
      <c r="D7" s="1" t="s">
        <v>58</v>
      </c>
      <c r="E7" s="3">
        <f>WORKDAY(E6,F7)</f>
        <v>45889</v>
      </c>
      <c r="F7" s="32">
        <v>2</v>
      </c>
      <c r="G7" s="5"/>
      <c r="H7" s="4" t="s">
        <v>64</v>
      </c>
      <c r="I7" s="4"/>
    </row>
    <row r="8" spans="1:9" s="30" customFormat="1" ht="45" outlineLevel="1" x14ac:dyDescent="0.25">
      <c r="A8" s="33">
        <v>3</v>
      </c>
      <c r="B8" s="31" t="s">
        <v>30</v>
      </c>
      <c r="C8" s="1" t="s">
        <v>57</v>
      </c>
      <c r="D8" s="1"/>
      <c r="E8" s="3">
        <f t="shared" ref="E8:E10" si="0">WORKDAY(E7,F8)</f>
        <v>45889</v>
      </c>
      <c r="F8" s="32">
        <v>0</v>
      </c>
      <c r="G8" s="5"/>
      <c r="H8" s="4" t="s">
        <v>65</v>
      </c>
      <c r="I8" s="4"/>
    </row>
    <row r="9" spans="1:9" s="30" customFormat="1" outlineLevel="1" x14ac:dyDescent="0.25">
      <c r="A9" s="33">
        <v>4</v>
      </c>
      <c r="B9" s="31" t="s">
        <v>9</v>
      </c>
      <c r="C9" s="1"/>
      <c r="D9" s="1" t="s">
        <v>58</v>
      </c>
      <c r="E9" s="3">
        <f t="shared" si="0"/>
        <v>45890</v>
      </c>
      <c r="F9" s="32">
        <v>1</v>
      </c>
      <c r="G9" s="5"/>
      <c r="H9" s="5"/>
      <c r="I9" s="4"/>
    </row>
    <row r="10" spans="1:9" s="6" customFormat="1" outlineLevel="1" x14ac:dyDescent="0.25">
      <c r="A10" s="33">
        <v>5</v>
      </c>
      <c r="B10" s="31" t="s">
        <v>35</v>
      </c>
      <c r="C10" s="1" t="s">
        <v>57</v>
      </c>
      <c r="D10" s="1"/>
      <c r="E10" s="3">
        <f t="shared" si="0"/>
        <v>45890</v>
      </c>
      <c r="F10" s="34">
        <v>0</v>
      </c>
      <c r="G10" s="5"/>
      <c r="H10" s="5"/>
      <c r="I10" s="5"/>
    </row>
    <row r="11" spans="1:9" s="12" customFormat="1" x14ac:dyDescent="0.25">
      <c r="A11" s="27" t="s">
        <v>4</v>
      </c>
      <c r="B11" s="35" t="s">
        <v>49</v>
      </c>
      <c r="C11" s="27"/>
      <c r="D11" s="27"/>
      <c r="E11" s="27"/>
      <c r="F11" s="36"/>
      <c r="G11" s="37"/>
      <c r="H11" s="37"/>
      <c r="I11" s="38"/>
    </row>
    <row r="12" spans="1:9" s="12" customFormat="1" x14ac:dyDescent="0.25">
      <c r="A12" s="8" t="s">
        <v>50</v>
      </c>
      <c r="B12" s="9" t="s">
        <v>102</v>
      </c>
      <c r="C12" s="8"/>
      <c r="D12" s="8"/>
      <c r="E12" s="8"/>
      <c r="F12" s="39"/>
      <c r="G12" s="10"/>
      <c r="H12" s="10"/>
      <c r="I12" s="11"/>
    </row>
    <row r="13" spans="1:9" s="6" customFormat="1" outlineLevel="1" x14ac:dyDescent="0.25">
      <c r="A13" s="1">
        <v>1</v>
      </c>
      <c r="B13" s="40" t="s">
        <v>31</v>
      </c>
      <c r="C13" s="41"/>
      <c r="D13" s="1" t="s">
        <v>58</v>
      </c>
      <c r="E13" s="3">
        <f>WORKDAY(E9,F13)</f>
        <v>45891</v>
      </c>
      <c r="F13" s="42">
        <v>1</v>
      </c>
      <c r="G13" s="107" t="s">
        <v>51</v>
      </c>
      <c r="H13" s="4"/>
      <c r="I13" s="13"/>
    </row>
    <row r="14" spans="1:9" s="43" customFormat="1" outlineLevel="1" x14ac:dyDescent="0.25">
      <c r="A14" s="1">
        <v>2</v>
      </c>
      <c r="B14" s="40" t="s">
        <v>23</v>
      </c>
      <c r="C14" s="101" t="s">
        <v>60</v>
      </c>
      <c r="D14" s="102"/>
      <c r="E14" s="3">
        <f t="shared" ref="E14:E18" si="1">WORKDAY(E13,F14)</f>
        <v>45894</v>
      </c>
      <c r="F14" s="42">
        <v>1</v>
      </c>
      <c r="G14" s="108"/>
      <c r="H14" s="4"/>
      <c r="I14" s="5"/>
    </row>
    <row r="15" spans="1:9" s="43" customFormat="1" outlineLevel="1" x14ac:dyDescent="0.25">
      <c r="A15" s="1">
        <v>3</v>
      </c>
      <c r="B15" s="40" t="s">
        <v>24</v>
      </c>
      <c r="C15" s="41" t="s">
        <v>57</v>
      </c>
      <c r="D15" s="41"/>
      <c r="E15" s="3">
        <f t="shared" si="1"/>
        <v>45894</v>
      </c>
      <c r="F15" s="42">
        <v>0</v>
      </c>
      <c r="G15" s="108"/>
      <c r="H15" s="4"/>
      <c r="I15" s="5"/>
    </row>
    <row r="16" spans="1:9" s="43" customFormat="1" outlineLevel="1" x14ac:dyDescent="0.25">
      <c r="A16" s="1">
        <v>4</v>
      </c>
      <c r="B16" s="40" t="s">
        <v>25</v>
      </c>
      <c r="C16" s="44"/>
      <c r="D16" s="1" t="s">
        <v>58</v>
      </c>
      <c r="E16" s="3">
        <f>WORKDAY(E15,F16)</f>
        <v>45894</v>
      </c>
      <c r="F16" s="42">
        <v>0</v>
      </c>
      <c r="G16" s="108"/>
      <c r="H16" s="4"/>
      <c r="I16" s="13"/>
    </row>
    <row r="17" spans="1:9" s="43" customFormat="1" outlineLevel="1" x14ac:dyDescent="0.25">
      <c r="A17" s="1">
        <v>5</v>
      </c>
      <c r="B17" s="40" t="s">
        <v>16</v>
      </c>
      <c r="C17" s="101" t="s">
        <v>60</v>
      </c>
      <c r="D17" s="102"/>
      <c r="E17" s="3">
        <f t="shared" si="1"/>
        <v>45895</v>
      </c>
      <c r="F17" s="42">
        <v>1</v>
      </c>
      <c r="G17" s="108"/>
      <c r="H17" s="4"/>
      <c r="I17" s="13"/>
    </row>
    <row r="18" spans="1:9" s="43" customFormat="1" outlineLevel="1" x14ac:dyDescent="0.25">
      <c r="A18" s="1">
        <v>6</v>
      </c>
      <c r="B18" s="40" t="s">
        <v>47</v>
      </c>
      <c r="C18" s="41" t="s">
        <v>57</v>
      </c>
      <c r="D18" s="41"/>
      <c r="E18" s="3">
        <f t="shared" si="1"/>
        <v>45895</v>
      </c>
      <c r="F18" s="42">
        <v>0</v>
      </c>
      <c r="G18" s="109"/>
      <c r="H18" s="4"/>
      <c r="I18" s="13"/>
    </row>
    <row r="19" spans="1:9" s="12" customFormat="1" x14ac:dyDescent="0.25">
      <c r="A19" s="8" t="s">
        <v>104</v>
      </c>
      <c r="B19" s="9" t="s">
        <v>100</v>
      </c>
      <c r="C19" s="8"/>
      <c r="D19" s="8"/>
      <c r="E19" s="8"/>
      <c r="F19" s="39"/>
      <c r="G19" s="10"/>
      <c r="H19" s="10"/>
      <c r="I19" s="11"/>
    </row>
    <row r="20" spans="1:9" s="6" customFormat="1" outlineLevel="1" x14ac:dyDescent="0.25">
      <c r="A20" s="1">
        <v>1</v>
      </c>
      <c r="B20" s="40" t="s">
        <v>31</v>
      </c>
      <c r="C20" s="41"/>
      <c r="D20" s="1" t="s">
        <v>58</v>
      </c>
      <c r="E20" s="3">
        <f>WORKDAY(E9,F20)</f>
        <v>45891</v>
      </c>
      <c r="F20" s="42">
        <v>1</v>
      </c>
      <c r="G20" s="107" t="s">
        <v>51</v>
      </c>
      <c r="H20" s="4"/>
      <c r="I20" s="13"/>
    </row>
    <row r="21" spans="1:9" s="43" customFormat="1" outlineLevel="1" x14ac:dyDescent="0.25">
      <c r="A21" s="1">
        <v>2</v>
      </c>
      <c r="B21" s="40" t="s">
        <v>23</v>
      </c>
      <c r="C21" s="101" t="s">
        <v>60</v>
      </c>
      <c r="D21" s="102"/>
      <c r="E21" s="3">
        <f t="shared" ref="E21:E22" si="2">WORKDAY(E20,F21)</f>
        <v>45894</v>
      </c>
      <c r="F21" s="42">
        <v>1</v>
      </c>
      <c r="G21" s="108"/>
      <c r="H21" s="4"/>
      <c r="I21" s="5"/>
    </row>
    <row r="22" spans="1:9" s="43" customFormat="1" outlineLevel="1" x14ac:dyDescent="0.25">
      <c r="A22" s="1">
        <v>3</v>
      </c>
      <c r="B22" s="40" t="s">
        <v>24</v>
      </c>
      <c r="C22" s="41" t="s">
        <v>57</v>
      </c>
      <c r="D22" s="41"/>
      <c r="E22" s="3">
        <f t="shared" si="2"/>
        <v>45894</v>
      </c>
      <c r="F22" s="42">
        <v>0</v>
      </c>
      <c r="G22" s="108"/>
      <c r="H22" s="4"/>
      <c r="I22" s="5"/>
    </row>
    <row r="23" spans="1:9" s="43" customFormat="1" outlineLevel="1" x14ac:dyDescent="0.25">
      <c r="A23" s="1">
        <v>4</v>
      </c>
      <c r="B23" s="40" t="s">
        <v>25</v>
      </c>
      <c r="C23" s="44"/>
      <c r="D23" s="1" t="s">
        <v>58</v>
      </c>
      <c r="E23" s="3">
        <f>WORKDAY(E22,F23)</f>
        <v>45894</v>
      </c>
      <c r="F23" s="42">
        <v>0</v>
      </c>
      <c r="G23" s="108"/>
      <c r="H23" s="4"/>
      <c r="I23" s="13"/>
    </row>
    <row r="24" spans="1:9" s="43" customFormat="1" outlineLevel="1" x14ac:dyDescent="0.25">
      <c r="A24" s="1">
        <v>5</v>
      </c>
      <c r="B24" s="40" t="s">
        <v>16</v>
      </c>
      <c r="C24" s="101" t="s">
        <v>60</v>
      </c>
      <c r="D24" s="102"/>
      <c r="E24" s="3">
        <f t="shared" ref="E24:E25" si="3">WORKDAY(E23,F24)</f>
        <v>45895</v>
      </c>
      <c r="F24" s="42">
        <v>1</v>
      </c>
      <c r="G24" s="108"/>
      <c r="H24" s="4"/>
      <c r="I24" s="13"/>
    </row>
    <row r="25" spans="1:9" s="43" customFormat="1" outlineLevel="1" x14ac:dyDescent="0.25">
      <c r="A25" s="1">
        <v>6</v>
      </c>
      <c r="B25" s="40" t="s">
        <v>47</v>
      </c>
      <c r="C25" s="41" t="s">
        <v>57</v>
      </c>
      <c r="D25" s="41"/>
      <c r="E25" s="3">
        <f t="shared" si="3"/>
        <v>45895</v>
      </c>
      <c r="F25" s="42">
        <v>0</v>
      </c>
      <c r="G25" s="109"/>
      <c r="H25" s="4"/>
      <c r="I25" s="13"/>
    </row>
    <row r="26" spans="1:9" s="12" customFormat="1" x14ac:dyDescent="0.25">
      <c r="A26" s="8" t="s">
        <v>105</v>
      </c>
      <c r="B26" s="9" t="s">
        <v>101</v>
      </c>
      <c r="C26" s="8"/>
      <c r="D26" s="8"/>
      <c r="E26" s="8"/>
      <c r="F26" s="39"/>
      <c r="G26" s="10"/>
      <c r="H26" s="10"/>
      <c r="I26" s="11"/>
    </row>
    <row r="27" spans="1:9" s="6" customFormat="1" ht="13.9" customHeight="1" outlineLevel="1" x14ac:dyDescent="0.25">
      <c r="A27" s="1">
        <v>1</v>
      </c>
      <c r="B27" s="40" t="s">
        <v>31</v>
      </c>
      <c r="C27" s="41"/>
      <c r="D27" s="1" t="s">
        <v>58</v>
      </c>
      <c r="E27" s="3">
        <f>WORKDAY(E9,F27)</f>
        <v>45891</v>
      </c>
      <c r="F27" s="42">
        <v>1</v>
      </c>
      <c r="G27" s="107" t="s">
        <v>51</v>
      </c>
      <c r="H27" s="4"/>
      <c r="I27" s="13"/>
    </row>
    <row r="28" spans="1:9" s="43" customFormat="1" outlineLevel="1" x14ac:dyDescent="0.25">
      <c r="A28" s="1">
        <v>2</v>
      </c>
      <c r="B28" s="40" t="s">
        <v>23</v>
      </c>
      <c r="C28" s="101" t="s">
        <v>60</v>
      </c>
      <c r="D28" s="102"/>
      <c r="E28" s="3">
        <f t="shared" ref="E28:E29" si="4">WORKDAY(E27,F28)</f>
        <v>45894</v>
      </c>
      <c r="F28" s="42">
        <v>1</v>
      </c>
      <c r="G28" s="108"/>
      <c r="H28" s="4"/>
      <c r="I28" s="5"/>
    </row>
    <row r="29" spans="1:9" s="43" customFormat="1" outlineLevel="1" x14ac:dyDescent="0.25">
      <c r="A29" s="1">
        <v>3</v>
      </c>
      <c r="B29" s="40" t="s">
        <v>24</v>
      </c>
      <c r="C29" s="41" t="s">
        <v>57</v>
      </c>
      <c r="D29" s="41"/>
      <c r="E29" s="3">
        <f t="shared" si="4"/>
        <v>45894</v>
      </c>
      <c r="F29" s="42">
        <v>0</v>
      </c>
      <c r="G29" s="108"/>
      <c r="H29" s="4"/>
      <c r="I29" s="5"/>
    </row>
    <row r="30" spans="1:9" s="43" customFormat="1" outlineLevel="1" x14ac:dyDescent="0.25">
      <c r="A30" s="1">
        <v>4</v>
      </c>
      <c r="B30" s="40" t="s">
        <v>25</v>
      </c>
      <c r="C30" s="44"/>
      <c r="D30" s="1" t="s">
        <v>58</v>
      </c>
      <c r="E30" s="3">
        <f>WORKDAY(E29,F30)</f>
        <v>45894</v>
      </c>
      <c r="F30" s="42">
        <v>0</v>
      </c>
      <c r="G30" s="108"/>
      <c r="H30" s="4"/>
      <c r="I30" s="13"/>
    </row>
    <row r="31" spans="1:9" s="43" customFormat="1" outlineLevel="1" x14ac:dyDescent="0.25">
      <c r="A31" s="1">
        <v>5</v>
      </c>
      <c r="B31" s="40" t="s">
        <v>16</v>
      </c>
      <c r="C31" s="101" t="s">
        <v>60</v>
      </c>
      <c r="D31" s="102"/>
      <c r="E31" s="3">
        <f t="shared" ref="E31:E32" si="5">WORKDAY(E30,F31)</f>
        <v>45895</v>
      </c>
      <c r="F31" s="42">
        <v>1</v>
      </c>
      <c r="G31" s="108"/>
      <c r="H31" s="4"/>
      <c r="I31" s="13"/>
    </row>
    <row r="32" spans="1:9" s="43" customFormat="1" outlineLevel="1" x14ac:dyDescent="0.25">
      <c r="A32" s="1">
        <v>6</v>
      </c>
      <c r="B32" s="40" t="s">
        <v>47</v>
      </c>
      <c r="C32" s="41" t="s">
        <v>57</v>
      </c>
      <c r="D32" s="41"/>
      <c r="E32" s="3">
        <f t="shared" si="5"/>
        <v>45895</v>
      </c>
      <c r="F32" s="42">
        <v>0</v>
      </c>
      <c r="G32" s="109"/>
      <c r="H32" s="4"/>
      <c r="I32" s="13"/>
    </row>
    <row r="33" spans="1:9" s="12" customFormat="1" x14ac:dyDescent="0.25">
      <c r="A33" s="8" t="s">
        <v>106</v>
      </c>
      <c r="B33" s="9" t="s">
        <v>103</v>
      </c>
      <c r="C33" s="8"/>
      <c r="D33" s="8"/>
      <c r="E33" s="8"/>
      <c r="F33" s="39"/>
      <c r="G33" s="10"/>
      <c r="H33" s="10"/>
      <c r="I33" s="11"/>
    </row>
    <row r="34" spans="1:9" s="6" customFormat="1" outlineLevel="1" x14ac:dyDescent="0.25">
      <c r="A34" s="1">
        <v>1</v>
      </c>
      <c r="B34" s="40" t="s">
        <v>31</v>
      </c>
      <c r="C34" s="41"/>
      <c r="D34" s="1" t="s">
        <v>58</v>
      </c>
      <c r="E34" s="3">
        <f>WORKDAY(E9,F34)</f>
        <v>45891</v>
      </c>
      <c r="F34" s="42">
        <v>1</v>
      </c>
      <c r="G34" s="107" t="s">
        <v>51</v>
      </c>
      <c r="H34" s="4"/>
      <c r="I34" s="13"/>
    </row>
    <row r="35" spans="1:9" s="43" customFormat="1" outlineLevel="1" x14ac:dyDescent="0.25">
      <c r="A35" s="1">
        <v>2</v>
      </c>
      <c r="B35" s="40" t="s">
        <v>23</v>
      </c>
      <c r="C35" s="101" t="s">
        <v>60</v>
      </c>
      <c r="D35" s="102"/>
      <c r="E35" s="3">
        <f t="shared" ref="E35:E36" si="6">WORKDAY(E34,F35)</f>
        <v>45894</v>
      </c>
      <c r="F35" s="42">
        <v>1</v>
      </c>
      <c r="G35" s="108"/>
      <c r="H35" s="4"/>
      <c r="I35" s="5"/>
    </row>
    <row r="36" spans="1:9" s="43" customFormat="1" outlineLevel="1" x14ac:dyDescent="0.25">
      <c r="A36" s="1">
        <v>3</v>
      </c>
      <c r="B36" s="40" t="s">
        <v>24</v>
      </c>
      <c r="C36" s="41" t="s">
        <v>57</v>
      </c>
      <c r="D36" s="41"/>
      <c r="E36" s="3">
        <f t="shared" si="6"/>
        <v>45894</v>
      </c>
      <c r="F36" s="42">
        <v>0</v>
      </c>
      <c r="G36" s="108"/>
      <c r="H36" s="4"/>
      <c r="I36" s="5"/>
    </row>
    <row r="37" spans="1:9" s="43" customFormat="1" outlineLevel="1" x14ac:dyDescent="0.25">
      <c r="A37" s="1">
        <v>4</v>
      </c>
      <c r="B37" s="40" t="s">
        <v>25</v>
      </c>
      <c r="C37" s="44"/>
      <c r="D37" s="1" t="s">
        <v>58</v>
      </c>
      <c r="E37" s="3">
        <f>WORKDAY(E36,F37)</f>
        <v>45894</v>
      </c>
      <c r="F37" s="42">
        <v>0</v>
      </c>
      <c r="G37" s="108"/>
      <c r="H37" s="4"/>
      <c r="I37" s="13"/>
    </row>
    <row r="38" spans="1:9" s="43" customFormat="1" outlineLevel="1" x14ac:dyDescent="0.25">
      <c r="A38" s="1">
        <v>5</v>
      </c>
      <c r="B38" s="40" t="s">
        <v>16</v>
      </c>
      <c r="C38" s="101" t="s">
        <v>60</v>
      </c>
      <c r="D38" s="102"/>
      <c r="E38" s="3">
        <f t="shared" ref="E38:E39" si="7">WORKDAY(E37,F38)</f>
        <v>45895</v>
      </c>
      <c r="F38" s="42">
        <v>1</v>
      </c>
      <c r="G38" s="108"/>
      <c r="H38" s="4"/>
      <c r="I38" s="13"/>
    </row>
    <row r="39" spans="1:9" s="43" customFormat="1" outlineLevel="1" x14ac:dyDescent="0.25">
      <c r="A39" s="1">
        <v>6</v>
      </c>
      <c r="B39" s="40" t="s">
        <v>47</v>
      </c>
      <c r="C39" s="41" t="s">
        <v>57</v>
      </c>
      <c r="D39" s="41"/>
      <c r="E39" s="3">
        <f t="shared" si="7"/>
        <v>45895</v>
      </c>
      <c r="F39" s="42">
        <v>0</v>
      </c>
      <c r="G39" s="109"/>
      <c r="H39" s="4"/>
      <c r="I39" s="13"/>
    </row>
    <row r="40" spans="1:9" s="46" customFormat="1" x14ac:dyDescent="0.25">
      <c r="A40" s="27" t="s">
        <v>107</v>
      </c>
      <c r="B40" s="35" t="s">
        <v>10</v>
      </c>
      <c r="C40" s="8"/>
      <c r="D40" s="8"/>
      <c r="E40" s="3"/>
      <c r="F40" s="45"/>
      <c r="G40" s="10"/>
      <c r="H40" s="10"/>
      <c r="I40" s="11"/>
    </row>
    <row r="41" spans="1:9" s="6" customFormat="1" ht="30" outlineLevel="1" x14ac:dyDescent="0.25">
      <c r="A41" s="1">
        <v>1</v>
      </c>
      <c r="B41" s="4" t="s">
        <v>19</v>
      </c>
      <c r="C41" s="1" t="s">
        <v>33</v>
      </c>
      <c r="D41" s="1"/>
      <c r="E41" s="3">
        <f>WORKDAY(E24,F41)</f>
        <v>45909</v>
      </c>
      <c r="F41" s="29">
        <v>10</v>
      </c>
      <c r="G41" s="4"/>
      <c r="H41" s="4" t="s">
        <v>52</v>
      </c>
      <c r="I41" s="5"/>
    </row>
    <row r="42" spans="1:9" s="6" customFormat="1" ht="30" outlineLevel="1" x14ac:dyDescent="0.25">
      <c r="A42" s="1">
        <v>2</v>
      </c>
      <c r="B42" s="4" t="s">
        <v>20</v>
      </c>
      <c r="C42" s="1" t="s">
        <v>32</v>
      </c>
      <c r="D42" s="1"/>
      <c r="E42" s="3">
        <f t="shared" ref="E42:E48" si="8">WORKDAY(E41,F42)</f>
        <v>45910</v>
      </c>
      <c r="F42" s="29">
        <v>1</v>
      </c>
      <c r="G42" s="4"/>
      <c r="H42" s="4"/>
      <c r="I42" s="5"/>
    </row>
    <row r="43" spans="1:9" s="6" customFormat="1" outlineLevel="1" x14ac:dyDescent="0.25">
      <c r="A43" s="1">
        <v>3</v>
      </c>
      <c r="B43" s="4" t="s">
        <v>53</v>
      </c>
      <c r="C43" s="1" t="s">
        <v>54</v>
      </c>
      <c r="D43" s="1"/>
      <c r="E43" s="3">
        <f t="shared" si="8"/>
        <v>45911</v>
      </c>
      <c r="F43" s="29">
        <v>1</v>
      </c>
      <c r="G43" s="4"/>
      <c r="H43" s="4"/>
      <c r="I43" s="5"/>
    </row>
    <row r="44" spans="1:9" s="6" customFormat="1" outlineLevel="1" x14ac:dyDescent="0.25">
      <c r="A44" s="1">
        <v>4</v>
      </c>
      <c r="B44" s="4" t="s">
        <v>59</v>
      </c>
      <c r="C44" s="1" t="s">
        <v>58</v>
      </c>
      <c r="D44" s="1"/>
      <c r="E44" s="3">
        <f t="shared" si="8"/>
        <v>45912</v>
      </c>
      <c r="F44" s="29">
        <v>1</v>
      </c>
      <c r="G44" s="4"/>
      <c r="H44" s="4"/>
      <c r="I44" s="5"/>
    </row>
    <row r="45" spans="1:9" s="6" customFormat="1" ht="45" outlineLevel="1" x14ac:dyDescent="0.25">
      <c r="A45" s="1">
        <v>5</v>
      </c>
      <c r="B45" s="4" t="s">
        <v>66</v>
      </c>
      <c r="C45" s="1"/>
      <c r="D45" s="1" t="s">
        <v>67</v>
      </c>
      <c r="E45" s="3">
        <f t="shared" si="8"/>
        <v>45916</v>
      </c>
      <c r="F45" s="29">
        <v>2</v>
      </c>
      <c r="G45" s="4"/>
      <c r="H45" s="4" t="s">
        <v>68</v>
      </c>
      <c r="I45" s="5"/>
    </row>
    <row r="46" spans="1:9" s="6" customFormat="1" outlineLevel="1" x14ac:dyDescent="0.25">
      <c r="A46" s="1">
        <v>6</v>
      </c>
      <c r="B46" s="4" t="s">
        <v>21</v>
      </c>
      <c r="C46" s="1"/>
      <c r="D46" s="1" t="s">
        <v>58</v>
      </c>
      <c r="E46" s="3">
        <f t="shared" si="8"/>
        <v>45917</v>
      </c>
      <c r="F46" s="29">
        <v>1</v>
      </c>
      <c r="G46" s="4"/>
      <c r="H46" s="4"/>
      <c r="I46" s="5"/>
    </row>
    <row r="47" spans="1:9" s="43" customFormat="1" outlineLevel="1" x14ac:dyDescent="0.25">
      <c r="A47" s="1">
        <v>7</v>
      </c>
      <c r="B47" s="47" t="s">
        <v>69</v>
      </c>
      <c r="C47" s="52" t="s">
        <v>58</v>
      </c>
      <c r="D47" s="52"/>
      <c r="E47" s="53">
        <f t="shared" si="8"/>
        <v>45917</v>
      </c>
      <c r="F47" s="52">
        <v>0</v>
      </c>
      <c r="G47" s="47"/>
      <c r="H47" s="47"/>
      <c r="I47" s="13"/>
    </row>
    <row r="48" spans="1:9" s="43" customFormat="1" outlineLevel="1" x14ac:dyDescent="0.25">
      <c r="A48" s="1">
        <v>8</v>
      </c>
      <c r="B48" s="47" t="s">
        <v>70</v>
      </c>
      <c r="C48" s="52"/>
      <c r="D48" s="52" t="s">
        <v>71</v>
      </c>
      <c r="E48" s="53">
        <f t="shared" si="8"/>
        <v>45922</v>
      </c>
      <c r="F48" s="52">
        <v>3</v>
      </c>
      <c r="G48" s="47"/>
      <c r="H48" s="47"/>
      <c r="I48" s="13"/>
    </row>
    <row r="49" spans="1:9" s="6" customFormat="1" x14ac:dyDescent="0.25">
      <c r="A49" s="21" t="s">
        <v>43</v>
      </c>
      <c r="B49" s="22" t="s">
        <v>44</v>
      </c>
      <c r="C49" s="23"/>
      <c r="D49" s="23"/>
      <c r="E49" s="23"/>
      <c r="F49" s="24"/>
      <c r="G49" s="25"/>
      <c r="H49" s="25"/>
      <c r="I49" s="26"/>
    </row>
    <row r="50" spans="1:9" s="6" customFormat="1" x14ac:dyDescent="0.25">
      <c r="A50" s="27" t="s">
        <v>11</v>
      </c>
      <c r="B50" s="35" t="s">
        <v>12</v>
      </c>
      <c r="C50" s="1"/>
      <c r="D50" s="1"/>
      <c r="E50" s="3"/>
      <c r="F50" s="29"/>
      <c r="G50" s="4"/>
      <c r="H50" s="4"/>
      <c r="I50" s="5"/>
    </row>
    <row r="51" spans="1:9" s="6" customFormat="1" ht="75" outlineLevel="1" x14ac:dyDescent="0.25">
      <c r="A51" s="1">
        <v>1</v>
      </c>
      <c r="B51" s="4" t="s">
        <v>112</v>
      </c>
      <c r="C51" s="1" t="s">
        <v>58</v>
      </c>
      <c r="D51" s="1"/>
      <c r="E51" s="3">
        <f>WORKDAY(E48,F51)</f>
        <v>45923</v>
      </c>
      <c r="F51" s="29">
        <v>1</v>
      </c>
      <c r="G51" s="4"/>
      <c r="H51" s="4"/>
      <c r="I51" s="5"/>
    </row>
    <row r="52" spans="1:9" s="6" customFormat="1" outlineLevel="1" x14ac:dyDescent="0.25">
      <c r="A52" s="1">
        <v>2</v>
      </c>
      <c r="B52" s="4" t="s">
        <v>13</v>
      </c>
      <c r="C52" s="1"/>
      <c r="D52" s="1" t="s">
        <v>58</v>
      </c>
      <c r="E52" s="3">
        <f>WORKDAY(E51,F52)</f>
        <v>45924</v>
      </c>
      <c r="F52" s="29">
        <v>1</v>
      </c>
      <c r="G52" s="4"/>
      <c r="H52" s="4"/>
      <c r="I52" s="5"/>
    </row>
    <row r="53" spans="1:9" s="6" customFormat="1" outlineLevel="1" x14ac:dyDescent="0.25">
      <c r="A53" s="1">
        <v>3</v>
      </c>
      <c r="B53" s="4" t="s">
        <v>14</v>
      </c>
      <c r="C53" s="1" t="s">
        <v>58</v>
      </c>
      <c r="D53" s="1"/>
      <c r="E53" s="3">
        <f>WORKDAY(E52,F53)</f>
        <v>45924</v>
      </c>
      <c r="F53" s="29">
        <v>0</v>
      </c>
      <c r="G53" s="4"/>
      <c r="H53" s="4"/>
      <c r="I53" s="5"/>
    </row>
    <row r="54" spans="1:9" s="6" customFormat="1" ht="28.5" x14ac:dyDescent="0.25">
      <c r="A54" s="27" t="s">
        <v>15</v>
      </c>
      <c r="B54" s="35" t="s">
        <v>114</v>
      </c>
      <c r="C54" s="1"/>
      <c r="D54" s="1"/>
      <c r="E54" s="3"/>
      <c r="F54" s="29"/>
      <c r="G54" s="4"/>
      <c r="H54" s="4"/>
      <c r="I54" s="5"/>
    </row>
    <row r="55" spans="1:9" s="6" customFormat="1" outlineLevel="1" x14ac:dyDescent="0.25">
      <c r="A55" s="1">
        <v>1</v>
      </c>
      <c r="B55" s="40" t="s">
        <v>31</v>
      </c>
      <c r="C55" s="41"/>
      <c r="D55" s="1" t="s">
        <v>58</v>
      </c>
      <c r="E55" s="3">
        <f>WORKDAY(E52,F55)</f>
        <v>45924</v>
      </c>
      <c r="F55" s="42">
        <v>0</v>
      </c>
      <c r="G55" s="4"/>
      <c r="H55" s="4"/>
      <c r="I55" s="13"/>
    </row>
    <row r="56" spans="1:9" s="43" customFormat="1" outlineLevel="1" x14ac:dyDescent="0.25">
      <c r="A56" s="1">
        <v>2</v>
      </c>
      <c r="B56" s="40" t="s">
        <v>23</v>
      </c>
      <c r="C56" s="101" t="s">
        <v>60</v>
      </c>
      <c r="D56" s="102"/>
      <c r="E56" s="3">
        <f t="shared" ref="E56:E60" si="9">WORKDAY(E55,F56)</f>
        <v>45925</v>
      </c>
      <c r="F56" s="42">
        <v>1</v>
      </c>
      <c r="G56" s="4"/>
      <c r="H56" s="4"/>
      <c r="I56" s="5"/>
    </row>
    <row r="57" spans="1:9" s="43" customFormat="1" outlineLevel="1" x14ac:dyDescent="0.25">
      <c r="A57" s="1">
        <v>3</v>
      </c>
      <c r="B57" s="40" t="s">
        <v>24</v>
      </c>
      <c r="C57" s="41" t="s">
        <v>57</v>
      </c>
      <c r="D57" s="41"/>
      <c r="E57" s="3">
        <f t="shared" si="9"/>
        <v>45925</v>
      </c>
      <c r="F57" s="42">
        <v>0</v>
      </c>
      <c r="G57" s="4"/>
      <c r="H57" s="4"/>
      <c r="I57" s="5"/>
    </row>
    <row r="58" spans="1:9" s="6" customFormat="1" outlineLevel="1" x14ac:dyDescent="0.25">
      <c r="A58" s="1">
        <v>4</v>
      </c>
      <c r="B58" s="40" t="s">
        <v>25</v>
      </c>
      <c r="C58" s="44"/>
      <c r="D58" s="1" t="s">
        <v>58</v>
      </c>
      <c r="E58" s="3">
        <f t="shared" si="9"/>
        <v>45926</v>
      </c>
      <c r="F58" s="42">
        <v>1</v>
      </c>
      <c r="G58" s="4"/>
      <c r="H58" s="4"/>
      <c r="I58" s="5"/>
    </row>
    <row r="59" spans="1:9" s="6" customFormat="1" outlineLevel="1" x14ac:dyDescent="0.25">
      <c r="A59" s="1">
        <v>5</v>
      </c>
      <c r="B59" s="40" t="s">
        <v>16</v>
      </c>
      <c r="C59" s="101" t="s">
        <v>60</v>
      </c>
      <c r="D59" s="102"/>
      <c r="E59" s="3">
        <f t="shared" si="9"/>
        <v>45926</v>
      </c>
      <c r="F59" s="42">
        <v>0</v>
      </c>
      <c r="G59" s="4"/>
      <c r="H59" s="4"/>
      <c r="I59" s="5"/>
    </row>
    <row r="60" spans="1:9" s="43" customFormat="1" outlineLevel="1" x14ac:dyDescent="0.25">
      <c r="A60" s="1">
        <v>6</v>
      </c>
      <c r="B60" s="40" t="s">
        <v>26</v>
      </c>
      <c r="C60" s="41" t="s">
        <v>57</v>
      </c>
      <c r="D60" s="41"/>
      <c r="E60" s="3">
        <f t="shared" si="9"/>
        <v>45926</v>
      </c>
      <c r="F60" s="42">
        <v>0</v>
      </c>
      <c r="G60" s="4"/>
      <c r="H60" s="4"/>
      <c r="I60" s="13"/>
    </row>
    <row r="61" spans="1:9" s="6" customFormat="1" ht="28.5" x14ac:dyDescent="0.25">
      <c r="A61" s="27" t="s">
        <v>17</v>
      </c>
      <c r="B61" s="35" t="s">
        <v>89</v>
      </c>
      <c r="C61" s="1"/>
      <c r="D61" s="1"/>
      <c r="E61" s="3"/>
      <c r="F61" s="29"/>
      <c r="G61" s="4"/>
      <c r="H61" s="4"/>
      <c r="I61" s="11"/>
    </row>
    <row r="62" spans="1:9" s="12" customFormat="1" x14ac:dyDescent="0.25">
      <c r="A62" s="8" t="s">
        <v>108</v>
      </c>
      <c r="B62" s="9" t="s">
        <v>40</v>
      </c>
      <c r="C62" s="8"/>
      <c r="D62" s="8"/>
      <c r="E62" s="8"/>
      <c r="F62" s="42"/>
      <c r="G62" s="10"/>
      <c r="H62" s="10"/>
      <c r="I62" s="11"/>
    </row>
    <row r="63" spans="1:9" s="6" customFormat="1" ht="30" outlineLevel="1" x14ac:dyDescent="0.25">
      <c r="A63" s="1">
        <v>1</v>
      </c>
      <c r="B63" s="2" t="s">
        <v>72</v>
      </c>
      <c r="C63" s="1" t="s">
        <v>73</v>
      </c>
      <c r="D63" s="1"/>
      <c r="E63" s="3">
        <f>WORKDAY(E60,F63)</f>
        <v>45933</v>
      </c>
      <c r="F63" s="42">
        <v>5</v>
      </c>
      <c r="G63" s="4"/>
      <c r="H63" s="5"/>
      <c r="I63" s="5" t="s">
        <v>27</v>
      </c>
    </row>
    <row r="64" spans="1:9" s="6" customFormat="1" outlineLevel="1" x14ac:dyDescent="0.25">
      <c r="A64" s="1">
        <v>2</v>
      </c>
      <c r="B64" s="4" t="s">
        <v>74</v>
      </c>
      <c r="C64" s="41" t="s">
        <v>57</v>
      </c>
      <c r="D64" s="1"/>
      <c r="E64" s="3">
        <f t="shared" ref="E64:E67" si="10">WORKDAY(E63,F64)</f>
        <v>45933</v>
      </c>
      <c r="F64" s="42">
        <v>0</v>
      </c>
      <c r="G64" s="4"/>
      <c r="H64" s="5"/>
      <c r="I64" s="5"/>
    </row>
    <row r="65" spans="1:9" s="6" customFormat="1" ht="30" outlineLevel="1" x14ac:dyDescent="0.25">
      <c r="A65" s="1">
        <v>3</v>
      </c>
      <c r="B65" s="4" t="s">
        <v>75</v>
      </c>
      <c r="C65" s="1" t="s">
        <v>76</v>
      </c>
      <c r="D65" s="1"/>
      <c r="E65" s="3">
        <f>WORKDAY(E64,F65)</f>
        <v>45937</v>
      </c>
      <c r="F65" s="42">
        <v>2</v>
      </c>
      <c r="G65" s="4"/>
      <c r="H65" s="5"/>
      <c r="I65" s="5"/>
    </row>
    <row r="66" spans="1:9" s="6" customFormat="1" outlineLevel="1" x14ac:dyDescent="0.25">
      <c r="A66" s="1">
        <v>4</v>
      </c>
      <c r="B66" s="4" t="s">
        <v>77</v>
      </c>
      <c r="C66" s="1"/>
      <c r="D66" s="1" t="s">
        <v>58</v>
      </c>
      <c r="E66" s="3">
        <f t="shared" si="10"/>
        <v>45938</v>
      </c>
      <c r="F66" s="42">
        <v>1</v>
      </c>
      <c r="G66" s="4"/>
      <c r="H66" s="5"/>
      <c r="I66" s="5"/>
    </row>
    <row r="67" spans="1:9" s="6" customFormat="1" outlineLevel="1" x14ac:dyDescent="0.25">
      <c r="A67" s="1">
        <v>5</v>
      </c>
      <c r="B67" s="5" t="s">
        <v>78</v>
      </c>
      <c r="C67" s="41" t="s">
        <v>57</v>
      </c>
      <c r="D67" s="7"/>
      <c r="E67" s="3">
        <f t="shared" si="10"/>
        <v>45938</v>
      </c>
      <c r="F67" s="42">
        <v>0</v>
      </c>
      <c r="G67" s="4"/>
      <c r="H67" s="5"/>
      <c r="I67" s="5" t="s">
        <v>79</v>
      </c>
    </row>
    <row r="68" spans="1:9" s="12" customFormat="1" ht="42.75" x14ac:dyDescent="0.25">
      <c r="A68" s="8" t="s">
        <v>109</v>
      </c>
      <c r="B68" s="9" t="s">
        <v>29</v>
      </c>
      <c r="C68" s="8"/>
      <c r="D68" s="8"/>
      <c r="E68" s="3"/>
      <c r="F68" s="42"/>
      <c r="G68" s="10"/>
      <c r="H68" s="11"/>
      <c r="I68" s="11" t="s">
        <v>80</v>
      </c>
    </row>
    <row r="69" spans="1:9" s="6" customFormat="1" outlineLevel="1" x14ac:dyDescent="0.25">
      <c r="A69" s="1">
        <v>1</v>
      </c>
      <c r="B69" s="5" t="s">
        <v>81</v>
      </c>
      <c r="C69" s="1" t="s">
        <v>73</v>
      </c>
      <c r="D69" s="1"/>
      <c r="E69" s="3">
        <f>E67+F69</f>
        <v>45953</v>
      </c>
      <c r="F69" s="42">
        <v>15</v>
      </c>
      <c r="G69" s="4"/>
      <c r="H69" s="5"/>
      <c r="I69" s="5"/>
    </row>
    <row r="70" spans="1:9" s="6" customFormat="1" outlineLevel="1" x14ac:dyDescent="0.25">
      <c r="A70" s="1">
        <v>2</v>
      </c>
      <c r="B70" s="5" t="s">
        <v>82</v>
      </c>
      <c r="C70" s="105" t="s">
        <v>88</v>
      </c>
      <c r="D70" s="106"/>
      <c r="E70" s="3">
        <f>WORKDAY(E69,F70)</f>
        <v>45953</v>
      </c>
      <c r="F70" s="42">
        <v>0</v>
      </c>
      <c r="G70" s="4"/>
      <c r="H70" s="5"/>
      <c r="I70" s="5"/>
    </row>
    <row r="71" spans="1:9" s="6" customFormat="1" outlineLevel="1" x14ac:dyDescent="0.25">
      <c r="A71" s="1">
        <v>3</v>
      </c>
      <c r="B71" s="5" t="s">
        <v>28</v>
      </c>
      <c r="C71" s="41" t="s">
        <v>57</v>
      </c>
      <c r="D71" s="5"/>
      <c r="E71" s="3">
        <f t="shared" ref="E71:E75" si="11">WORKDAY(E70,F71)</f>
        <v>45953</v>
      </c>
      <c r="F71" s="42">
        <v>0</v>
      </c>
      <c r="G71" s="4"/>
      <c r="H71" s="5"/>
      <c r="I71" s="5"/>
    </row>
    <row r="72" spans="1:9" s="6" customFormat="1" ht="30" outlineLevel="1" x14ac:dyDescent="0.25">
      <c r="A72" s="1">
        <v>4</v>
      </c>
      <c r="B72" s="5" t="s">
        <v>83</v>
      </c>
      <c r="C72" s="1" t="s">
        <v>76</v>
      </c>
      <c r="D72" s="5"/>
      <c r="E72" s="3">
        <f t="shared" si="11"/>
        <v>45954</v>
      </c>
      <c r="F72" s="42">
        <v>1</v>
      </c>
      <c r="G72" s="4"/>
      <c r="H72" s="5"/>
      <c r="I72" s="5"/>
    </row>
    <row r="73" spans="1:9" s="6" customFormat="1" outlineLevel="1" x14ac:dyDescent="0.25">
      <c r="A73" s="1">
        <v>5</v>
      </c>
      <c r="B73" s="5" t="s">
        <v>84</v>
      </c>
      <c r="C73" s="1"/>
      <c r="D73" s="1" t="s">
        <v>58</v>
      </c>
      <c r="E73" s="3">
        <f t="shared" si="11"/>
        <v>45957</v>
      </c>
      <c r="F73" s="42">
        <v>1</v>
      </c>
      <c r="G73" s="4"/>
      <c r="H73" s="13"/>
      <c r="I73" s="13"/>
    </row>
    <row r="74" spans="1:9" s="6" customFormat="1" outlineLevel="1" x14ac:dyDescent="0.25">
      <c r="A74" s="1">
        <v>6</v>
      </c>
      <c r="B74" s="5" t="s">
        <v>85</v>
      </c>
      <c r="C74" s="105" t="s">
        <v>61</v>
      </c>
      <c r="D74" s="106"/>
      <c r="E74" s="3">
        <f t="shared" si="11"/>
        <v>45957</v>
      </c>
      <c r="F74" s="42">
        <v>0</v>
      </c>
      <c r="G74" s="4"/>
      <c r="H74" s="5"/>
      <c r="I74" s="5"/>
    </row>
    <row r="75" spans="1:9" s="6" customFormat="1" outlineLevel="1" x14ac:dyDescent="0.25">
      <c r="A75" s="1">
        <v>7</v>
      </c>
      <c r="B75" s="5" t="s">
        <v>86</v>
      </c>
      <c r="C75" s="41" t="s">
        <v>57</v>
      </c>
      <c r="D75" s="14"/>
      <c r="E75" s="15">
        <f t="shared" si="11"/>
        <v>45957</v>
      </c>
      <c r="F75" s="42">
        <v>0</v>
      </c>
      <c r="G75" s="4"/>
      <c r="H75" s="5"/>
      <c r="I75" s="5" t="s">
        <v>87</v>
      </c>
    </row>
    <row r="76" spans="1:9" s="6" customFormat="1" ht="28.5" x14ac:dyDescent="0.25">
      <c r="A76" s="27" t="s">
        <v>36</v>
      </c>
      <c r="B76" s="35" t="s">
        <v>90</v>
      </c>
      <c r="C76" s="1"/>
      <c r="D76" s="1"/>
      <c r="E76" s="3"/>
      <c r="F76" s="29"/>
      <c r="G76" s="4"/>
      <c r="H76" s="4"/>
      <c r="I76" s="11"/>
    </row>
    <row r="77" spans="1:9" s="12" customFormat="1" x14ac:dyDescent="0.25">
      <c r="A77" s="8" t="s">
        <v>39</v>
      </c>
      <c r="B77" s="9" t="s">
        <v>91</v>
      </c>
      <c r="C77" s="8"/>
      <c r="D77" s="8"/>
      <c r="E77" s="8"/>
      <c r="F77" s="42"/>
      <c r="G77" s="10"/>
      <c r="H77" s="10"/>
      <c r="I77" s="11"/>
    </row>
    <row r="78" spans="1:9" s="6" customFormat="1" ht="30" outlineLevel="1" x14ac:dyDescent="0.25">
      <c r="A78" s="1">
        <v>1</v>
      </c>
      <c r="B78" s="2" t="s">
        <v>96</v>
      </c>
      <c r="C78" s="1" t="s">
        <v>73</v>
      </c>
      <c r="D78" s="1"/>
      <c r="E78" s="3">
        <f>WORKDAY(E60,F78)</f>
        <v>45933</v>
      </c>
      <c r="F78" s="42">
        <v>5</v>
      </c>
      <c r="G78" s="4"/>
      <c r="H78" s="5"/>
      <c r="I78" s="5" t="s">
        <v>27</v>
      </c>
    </row>
    <row r="79" spans="1:9" s="6" customFormat="1" outlineLevel="1" x14ac:dyDescent="0.25">
      <c r="A79" s="1">
        <v>2</v>
      </c>
      <c r="B79" s="4" t="s">
        <v>92</v>
      </c>
      <c r="C79" s="41" t="s">
        <v>57</v>
      </c>
      <c r="D79" s="1"/>
      <c r="E79" s="3">
        <f t="shared" ref="E79" si="12">WORKDAY(E78,F79)</f>
        <v>45933</v>
      </c>
      <c r="F79" s="42">
        <v>0</v>
      </c>
      <c r="G79" s="4"/>
      <c r="H79" s="5"/>
      <c r="I79" s="5"/>
    </row>
    <row r="80" spans="1:9" s="6" customFormat="1" ht="30" outlineLevel="1" x14ac:dyDescent="0.25">
      <c r="A80" s="1">
        <v>3</v>
      </c>
      <c r="B80" s="4" t="s">
        <v>93</v>
      </c>
      <c r="C80" s="1" t="s">
        <v>76</v>
      </c>
      <c r="D80" s="1"/>
      <c r="E80" s="3">
        <f>WORKDAY(E79,F80)</f>
        <v>45937</v>
      </c>
      <c r="F80" s="42">
        <v>2</v>
      </c>
      <c r="G80" s="4"/>
      <c r="H80" s="5"/>
      <c r="I80" s="5"/>
    </row>
    <row r="81" spans="1:9" s="6" customFormat="1" outlineLevel="1" x14ac:dyDescent="0.25">
      <c r="A81" s="1">
        <v>4</v>
      </c>
      <c r="B81" s="4" t="s">
        <v>94</v>
      </c>
      <c r="C81" s="1"/>
      <c r="D81" s="1" t="s">
        <v>58</v>
      </c>
      <c r="E81" s="3">
        <f t="shared" ref="E81:E82" si="13">WORKDAY(E80,F81)</f>
        <v>45938</v>
      </c>
      <c r="F81" s="42">
        <v>1</v>
      </c>
      <c r="G81" s="4"/>
      <c r="H81" s="5"/>
      <c r="I81" s="5"/>
    </row>
    <row r="82" spans="1:9" s="6" customFormat="1" outlineLevel="1" x14ac:dyDescent="0.25">
      <c r="A82" s="1">
        <v>5</v>
      </c>
      <c r="B82" s="5" t="s">
        <v>78</v>
      </c>
      <c r="C82" s="41" t="s">
        <v>57</v>
      </c>
      <c r="D82" s="7"/>
      <c r="E82" s="3">
        <f t="shared" si="13"/>
        <v>45938</v>
      </c>
      <c r="F82" s="42">
        <v>0</v>
      </c>
      <c r="G82" s="4"/>
      <c r="H82" s="5"/>
      <c r="I82" s="5" t="s">
        <v>79</v>
      </c>
    </row>
    <row r="83" spans="1:9" s="12" customFormat="1" x14ac:dyDescent="0.25">
      <c r="A83" s="8" t="s">
        <v>37</v>
      </c>
      <c r="B83" s="9" t="s">
        <v>29</v>
      </c>
      <c r="C83" s="8"/>
      <c r="D83" s="8"/>
      <c r="E83" s="3"/>
      <c r="F83" s="42"/>
      <c r="G83" s="10"/>
      <c r="H83" s="11"/>
      <c r="I83" s="11"/>
    </row>
    <row r="84" spans="1:9" s="6" customFormat="1" outlineLevel="1" x14ac:dyDescent="0.25">
      <c r="A84" s="1">
        <v>1</v>
      </c>
      <c r="B84" s="5" t="s">
        <v>95</v>
      </c>
      <c r="C84" s="1" t="s">
        <v>73</v>
      </c>
      <c r="D84" s="1"/>
      <c r="E84" s="3">
        <f>E82+F84</f>
        <v>45941</v>
      </c>
      <c r="F84" s="42">
        <v>3</v>
      </c>
      <c r="G84" s="4"/>
      <c r="H84" s="5"/>
      <c r="I84" s="11" t="s">
        <v>97</v>
      </c>
    </row>
    <row r="85" spans="1:9" s="6" customFormat="1" outlineLevel="1" x14ac:dyDescent="0.25">
      <c r="A85" s="1">
        <v>2</v>
      </c>
      <c r="B85" s="5" t="s">
        <v>99</v>
      </c>
      <c r="C85" s="41" t="s">
        <v>57</v>
      </c>
      <c r="D85" s="5"/>
      <c r="E85" s="3">
        <f>WORKDAY(E84,F85)</f>
        <v>45943</v>
      </c>
      <c r="F85" s="42">
        <v>1</v>
      </c>
      <c r="G85" s="4"/>
      <c r="H85" s="5"/>
      <c r="I85" s="5"/>
    </row>
    <row r="86" spans="1:9" s="6" customFormat="1" outlineLevel="1" x14ac:dyDescent="0.25">
      <c r="A86" s="1">
        <v>3</v>
      </c>
      <c r="B86" s="5" t="s">
        <v>28</v>
      </c>
      <c r="C86" s="41" t="s">
        <v>57</v>
      </c>
      <c r="D86" s="5"/>
      <c r="E86" s="3">
        <f t="shared" ref="E86:E90" si="14">WORKDAY(E85,F86)</f>
        <v>45943</v>
      </c>
      <c r="F86" s="42">
        <v>0</v>
      </c>
      <c r="G86" s="4"/>
      <c r="H86" s="5"/>
      <c r="I86" s="5"/>
    </row>
    <row r="87" spans="1:9" s="6" customFormat="1" ht="30" outlineLevel="1" x14ac:dyDescent="0.25">
      <c r="A87" s="1">
        <v>4</v>
      </c>
      <c r="B87" s="5" t="s">
        <v>83</v>
      </c>
      <c r="C87" s="1" t="s">
        <v>76</v>
      </c>
      <c r="D87" s="5"/>
      <c r="E87" s="3">
        <f t="shared" si="14"/>
        <v>45944</v>
      </c>
      <c r="F87" s="42">
        <v>1</v>
      </c>
      <c r="G87" s="4"/>
      <c r="H87" s="5"/>
      <c r="I87" s="5"/>
    </row>
    <row r="88" spans="1:9" s="6" customFormat="1" outlineLevel="1" x14ac:dyDescent="0.25">
      <c r="A88" s="1">
        <v>5</v>
      </c>
      <c r="B88" s="5" t="s">
        <v>98</v>
      </c>
      <c r="C88" s="1"/>
      <c r="D88" s="1" t="s">
        <v>58</v>
      </c>
      <c r="E88" s="3">
        <f t="shared" si="14"/>
        <v>45945</v>
      </c>
      <c r="F88" s="42">
        <v>1</v>
      </c>
      <c r="G88" s="4"/>
      <c r="H88" s="13"/>
      <c r="I88" s="13"/>
    </row>
    <row r="89" spans="1:9" s="6" customFormat="1" outlineLevel="1" x14ac:dyDescent="0.25">
      <c r="A89" s="1">
        <v>6</v>
      </c>
      <c r="B89" s="5" t="s">
        <v>85</v>
      </c>
      <c r="C89" s="105" t="s">
        <v>61</v>
      </c>
      <c r="D89" s="106"/>
      <c r="E89" s="3">
        <f t="shared" si="14"/>
        <v>45945</v>
      </c>
      <c r="F89" s="42">
        <v>0</v>
      </c>
      <c r="G89" s="4"/>
      <c r="H89" s="5"/>
      <c r="I89" s="5"/>
    </row>
    <row r="90" spans="1:9" s="6" customFormat="1" outlineLevel="1" x14ac:dyDescent="0.25">
      <c r="A90" s="1">
        <v>7</v>
      </c>
      <c r="B90" s="5" t="s">
        <v>86</v>
      </c>
      <c r="C90" s="41" t="s">
        <v>57</v>
      </c>
      <c r="D90" s="14"/>
      <c r="E90" s="3">
        <f t="shared" si="14"/>
        <v>45945</v>
      </c>
      <c r="F90" s="42">
        <v>0</v>
      </c>
      <c r="G90" s="4"/>
      <c r="H90" s="5"/>
      <c r="I90" s="5" t="s">
        <v>87</v>
      </c>
    </row>
    <row r="91" spans="1:9" s="6" customFormat="1" x14ac:dyDescent="0.25">
      <c r="A91" s="27" t="s">
        <v>38</v>
      </c>
      <c r="B91" s="35" t="s">
        <v>22</v>
      </c>
      <c r="C91" s="1"/>
      <c r="D91" s="1"/>
      <c r="E91" s="3" t="s">
        <v>46</v>
      </c>
      <c r="F91" s="42"/>
      <c r="G91" s="4"/>
      <c r="H91" s="4"/>
      <c r="I91" s="5"/>
    </row>
  </sheetData>
  <mergeCells count="18">
    <mergeCell ref="C31:D31"/>
    <mergeCell ref="G34:G39"/>
    <mergeCell ref="C35:D35"/>
    <mergeCell ref="C38:D38"/>
    <mergeCell ref="C4:H4"/>
    <mergeCell ref="C89:D89"/>
    <mergeCell ref="G13:G18"/>
    <mergeCell ref="C70:D70"/>
    <mergeCell ref="C14:D14"/>
    <mergeCell ref="C17:D17"/>
    <mergeCell ref="C56:D56"/>
    <mergeCell ref="C59:D59"/>
    <mergeCell ref="C74:D74"/>
    <mergeCell ref="G20:G25"/>
    <mergeCell ref="C21:D21"/>
    <mergeCell ref="C24:D24"/>
    <mergeCell ref="G27:G32"/>
    <mergeCell ref="C28:D28"/>
  </mergeCells>
  <printOptions horizontalCentered="1"/>
  <pageMargins left="0.2" right="0.2" top="0.2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81EE7-1F5C-4A93-9614-3627818E52FF}">
  <dimension ref="A1:I80"/>
  <sheetViews>
    <sheetView tabSelected="1" zoomScale="115" zoomScaleNormal="115" workbookViewId="0">
      <pane xSplit="1" ySplit="1" topLeftCell="B2" activePane="bottomRight" state="frozen"/>
      <selection pane="topRight" activeCell="C1" sqref="C1"/>
      <selection pane="bottomLeft" activeCell="A3" sqref="A3"/>
      <selection pane="bottomRight" activeCell="E8" sqref="E8"/>
    </sheetView>
  </sheetViews>
  <sheetFormatPr defaultColWidth="8.85546875" defaultRowHeight="15" outlineLevelRow="3" x14ac:dyDescent="0.25"/>
  <cols>
    <col min="1" max="1" width="7" style="20" customWidth="1"/>
    <col min="2" max="2" width="35.42578125" style="20" customWidth="1"/>
    <col min="3" max="3" width="17.85546875" style="20" bestFit="1" customWidth="1"/>
    <col min="4" max="4" width="19.85546875" style="48" bestFit="1" customWidth="1"/>
    <col min="5" max="5" width="11.85546875" style="49" bestFit="1" customWidth="1"/>
    <col min="6" max="6" width="10.28515625" style="50" customWidth="1"/>
    <col min="7" max="7" width="35.28515625" style="51" customWidth="1"/>
    <col min="8" max="8" width="57.28515625" style="51" customWidth="1"/>
    <col min="9" max="9" width="31.85546875" style="6" customWidth="1"/>
    <col min="10" max="16384" width="8.85546875" style="20"/>
  </cols>
  <sheetData>
    <row r="1" spans="1:9" ht="28.5" x14ac:dyDescent="0.25">
      <c r="A1" s="16" t="s">
        <v>0</v>
      </c>
      <c r="B1" s="16" t="s">
        <v>1</v>
      </c>
      <c r="C1" s="16" t="s">
        <v>6</v>
      </c>
      <c r="D1" s="16" t="s">
        <v>7</v>
      </c>
      <c r="E1" s="17" t="s">
        <v>2</v>
      </c>
      <c r="F1" s="16" t="s">
        <v>18</v>
      </c>
      <c r="G1" s="16" t="s">
        <v>8</v>
      </c>
      <c r="H1" s="19" t="s">
        <v>48</v>
      </c>
      <c r="I1" s="19" t="s">
        <v>5</v>
      </c>
    </row>
    <row r="2" spans="1:9" s="6" customFormat="1" ht="28.5" x14ac:dyDescent="0.25">
      <c r="A2" s="21" t="s">
        <v>41</v>
      </c>
      <c r="B2" s="22" t="s">
        <v>138</v>
      </c>
      <c r="C2" s="23"/>
      <c r="D2" s="23"/>
      <c r="E2" s="23"/>
      <c r="F2" s="24"/>
      <c r="G2" s="25"/>
      <c r="H2" s="25"/>
      <c r="I2" s="26"/>
    </row>
    <row r="3" spans="1:9" s="30" customFormat="1" outlineLevel="1" x14ac:dyDescent="0.25">
      <c r="A3" s="99" t="s">
        <v>3</v>
      </c>
      <c r="B3" s="97" t="s">
        <v>159</v>
      </c>
      <c r="C3" s="1"/>
      <c r="D3" s="1"/>
      <c r="E3" s="3"/>
      <c r="F3" s="29"/>
      <c r="G3" s="4"/>
      <c r="H3" s="4"/>
      <c r="I3" s="4"/>
    </row>
    <row r="4" spans="1:9" ht="36" customHeight="1" outlineLevel="2" x14ac:dyDescent="0.25">
      <c r="A4" s="100">
        <v>1</v>
      </c>
      <c r="B4" s="98" t="s">
        <v>167</v>
      </c>
      <c r="C4" s="1" t="s">
        <v>123</v>
      </c>
      <c r="D4" s="1"/>
      <c r="E4" s="3" t="s">
        <v>171</v>
      </c>
      <c r="F4" s="1"/>
      <c r="G4" s="1" t="s">
        <v>173</v>
      </c>
      <c r="H4" s="81" t="s">
        <v>146</v>
      </c>
      <c r="I4" s="67"/>
    </row>
    <row r="5" spans="1:9" ht="29.25" customHeight="1" outlineLevel="2" x14ac:dyDescent="0.25">
      <c r="A5" s="100">
        <v>2</v>
      </c>
      <c r="B5" s="98" t="s">
        <v>166</v>
      </c>
      <c r="C5" s="1" t="s">
        <v>123</v>
      </c>
      <c r="D5" s="1"/>
      <c r="E5" s="3" t="s">
        <v>171</v>
      </c>
      <c r="F5" s="1"/>
      <c r="G5" s="1" t="s">
        <v>173</v>
      </c>
      <c r="H5" s="81" t="s">
        <v>162</v>
      </c>
      <c r="I5" s="122" t="s">
        <v>164</v>
      </c>
    </row>
    <row r="6" spans="1:9" ht="31.5" customHeight="1" outlineLevel="2" x14ac:dyDescent="0.25">
      <c r="A6" s="100">
        <v>3</v>
      </c>
      <c r="B6" s="98" t="s">
        <v>170</v>
      </c>
      <c r="C6" s="1"/>
      <c r="D6" s="1"/>
      <c r="E6" s="3"/>
      <c r="F6" s="1"/>
      <c r="G6" s="1" t="s">
        <v>172</v>
      </c>
      <c r="H6" s="81" t="s">
        <v>163</v>
      </c>
      <c r="I6" s="122"/>
    </row>
    <row r="7" spans="1:9" ht="24.75" customHeight="1" outlineLevel="2" x14ac:dyDescent="0.25">
      <c r="A7" s="100">
        <v>4</v>
      </c>
      <c r="B7" s="98" t="s">
        <v>169</v>
      </c>
      <c r="C7" s="1" t="s">
        <v>123</v>
      </c>
      <c r="D7" s="1"/>
      <c r="E7" s="3"/>
      <c r="F7" s="1"/>
      <c r="G7" s="1" t="s">
        <v>172</v>
      </c>
      <c r="H7" s="96"/>
      <c r="I7" s="67"/>
    </row>
    <row r="8" spans="1:9" ht="37.5" customHeight="1" outlineLevel="2" x14ac:dyDescent="0.25">
      <c r="A8" s="100">
        <v>5</v>
      </c>
      <c r="B8" s="98" t="s">
        <v>165</v>
      </c>
      <c r="C8" s="93"/>
      <c r="D8" s="94"/>
      <c r="E8" s="3" t="s">
        <v>171</v>
      </c>
      <c r="F8" s="95"/>
      <c r="G8" s="1" t="s">
        <v>173</v>
      </c>
      <c r="H8" s="123" t="s">
        <v>168</v>
      </c>
      <c r="I8" s="5"/>
    </row>
    <row r="9" spans="1:9" ht="32.25" customHeight="1" outlineLevel="2" x14ac:dyDescent="0.25">
      <c r="A9" s="100">
        <v>6</v>
      </c>
      <c r="B9" s="98" t="s">
        <v>152</v>
      </c>
      <c r="C9" s="1" t="s">
        <v>151</v>
      </c>
      <c r="D9" s="1"/>
      <c r="E9" s="3" t="s">
        <v>171</v>
      </c>
      <c r="F9" s="1"/>
      <c r="G9" s="1" t="s">
        <v>173</v>
      </c>
      <c r="H9" s="124"/>
      <c r="I9" s="5"/>
    </row>
    <row r="10" spans="1:9" ht="36.75" customHeight="1" outlineLevel="2" x14ac:dyDescent="0.25">
      <c r="A10" s="100">
        <v>7</v>
      </c>
      <c r="B10" s="98" t="s">
        <v>149</v>
      </c>
      <c r="C10" s="1" t="s">
        <v>150</v>
      </c>
      <c r="D10" s="1"/>
      <c r="E10" s="3" t="s">
        <v>171</v>
      </c>
      <c r="F10" s="1">
        <v>1</v>
      </c>
      <c r="G10" s="1" t="s">
        <v>173</v>
      </c>
      <c r="H10" s="125"/>
      <c r="I10" s="5"/>
    </row>
    <row r="11" spans="1:9" ht="30" outlineLevel="2" x14ac:dyDescent="0.25">
      <c r="A11" s="100">
        <v>8</v>
      </c>
      <c r="B11" s="98" t="s">
        <v>160</v>
      </c>
      <c r="C11" s="79"/>
      <c r="D11" s="1" t="s">
        <v>71</v>
      </c>
      <c r="E11" s="3"/>
      <c r="F11" s="1">
        <v>5</v>
      </c>
      <c r="G11" s="79"/>
      <c r="H11" s="91" t="s">
        <v>161</v>
      </c>
      <c r="I11" s="67"/>
    </row>
    <row r="12" spans="1:9" s="30" customFormat="1" ht="42.75" outlineLevel="1" x14ac:dyDescent="0.25">
      <c r="A12" s="27" t="s">
        <v>4</v>
      </c>
      <c r="B12" s="28" t="s">
        <v>137</v>
      </c>
      <c r="C12" s="1"/>
      <c r="D12" s="1"/>
      <c r="E12" s="3"/>
      <c r="F12" s="32"/>
      <c r="G12" s="5"/>
      <c r="H12" s="13"/>
      <c r="I12" s="71"/>
    </row>
    <row r="13" spans="1:9" ht="41.45" customHeight="1" outlineLevel="2" x14ac:dyDescent="0.25">
      <c r="A13" s="110">
        <v>1</v>
      </c>
      <c r="B13" s="31" t="s">
        <v>132</v>
      </c>
      <c r="C13" s="1"/>
      <c r="D13" s="1" t="s">
        <v>123</v>
      </c>
      <c r="E13" s="3"/>
      <c r="F13" s="78">
        <v>1</v>
      </c>
      <c r="G13" s="5"/>
      <c r="H13" s="47" t="s">
        <v>124</v>
      </c>
      <c r="I13" s="112" t="s">
        <v>122</v>
      </c>
    </row>
    <row r="14" spans="1:9" ht="30" outlineLevel="2" x14ac:dyDescent="0.25">
      <c r="A14" s="111"/>
      <c r="B14" s="31" t="s">
        <v>116</v>
      </c>
      <c r="C14" s="1"/>
      <c r="D14" s="1" t="s">
        <v>123</v>
      </c>
      <c r="E14" s="3"/>
      <c r="F14" s="78">
        <v>1</v>
      </c>
      <c r="G14" s="4" t="s">
        <v>117</v>
      </c>
      <c r="H14" s="47" t="s">
        <v>125</v>
      </c>
      <c r="I14" s="113"/>
    </row>
    <row r="15" spans="1:9" outlineLevel="2" x14ac:dyDescent="0.25">
      <c r="A15" s="33">
        <v>2</v>
      </c>
      <c r="B15" s="31" t="s">
        <v>119</v>
      </c>
      <c r="C15" s="1" t="s">
        <v>120</v>
      </c>
      <c r="D15" s="1"/>
      <c r="E15" s="3"/>
      <c r="F15" s="78">
        <v>5</v>
      </c>
      <c r="G15" s="5"/>
      <c r="H15" s="82"/>
      <c r="I15" s="113"/>
    </row>
    <row r="16" spans="1:9" ht="60" outlineLevel="2" x14ac:dyDescent="0.25">
      <c r="A16" s="33">
        <v>3</v>
      </c>
      <c r="B16" s="31" t="s">
        <v>115</v>
      </c>
      <c r="C16" s="1" t="s">
        <v>134</v>
      </c>
      <c r="D16" s="1"/>
      <c r="E16" s="3"/>
      <c r="F16" s="78">
        <v>3</v>
      </c>
      <c r="G16" s="5" t="s">
        <v>133</v>
      </c>
      <c r="H16" s="82" t="s">
        <v>118</v>
      </c>
      <c r="I16" s="114"/>
    </row>
    <row r="17" spans="1:9" ht="30" outlineLevel="2" x14ac:dyDescent="0.25">
      <c r="A17" s="33">
        <v>4</v>
      </c>
      <c r="B17" s="31" t="s">
        <v>121</v>
      </c>
      <c r="C17" s="1"/>
      <c r="D17" s="1" t="s">
        <v>123</v>
      </c>
      <c r="E17" s="3"/>
      <c r="F17" s="78">
        <v>1</v>
      </c>
      <c r="G17" s="5"/>
      <c r="H17" s="47"/>
      <c r="I17" s="112"/>
    </row>
    <row r="18" spans="1:9" ht="45" outlineLevel="2" x14ac:dyDescent="0.25">
      <c r="A18" s="33">
        <v>5</v>
      </c>
      <c r="B18" s="31" t="s">
        <v>30</v>
      </c>
      <c r="C18" s="1" t="s">
        <v>134</v>
      </c>
      <c r="D18" s="1"/>
      <c r="E18" s="3"/>
      <c r="F18" s="78">
        <v>0</v>
      </c>
      <c r="G18" s="5"/>
      <c r="H18" s="47" t="s">
        <v>65</v>
      </c>
      <c r="I18" s="114"/>
    </row>
    <row r="19" spans="1:9" ht="30" outlineLevel="2" x14ac:dyDescent="0.25">
      <c r="A19" s="33">
        <v>6</v>
      </c>
      <c r="B19" s="31" t="s">
        <v>9</v>
      </c>
      <c r="C19" s="1"/>
      <c r="D19" s="1" t="s">
        <v>123</v>
      </c>
      <c r="E19" s="3"/>
      <c r="F19" s="78">
        <v>0</v>
      </c>
      <c r="G19" s="5"/>
      <c r="H19" s="13"/>
      <c r="I19" s="4"/>
    </row>
    <row r="20" spans="1:9" s="6" customFormat="1" ht="45" outlineLevel="2" x14ac:dyDescent="0.25">
      <c r="A20" s="33">
        <v>7</v>
      </c>
      <c r="B20" s="31" t="s">
        <v>35</v>
      </c>
      <c r="C20" s="1" t="s">
        <v>134</v>
      </c>
      <c r="D20" s="1"/>
      <c r="E20" s="3"/>
      <c r="F20" s="76">
        <v>0</v>
      </c>
      <c r="G20" s="5"/>
      <c r="H20" s="13"/>
      <c r="I20" s="92" t="s">
        <v>145</v>
      </c>
    </row>
    <row r="21" spans="1:9" s="30" customFormat="1" outlineLevel="1" x14ac:dyDescent="0.25">
      <c r="A21" s="27" t="s">
        <v>107</v>
      </c>
      <c r="B21" s="28" t="s">
        <v>49</v>
      </c>
      <c r="C21" s="1"/>
      <c r="D21" s="1"/>
      <c r="E21" s="3"/>
      <c r="F21" s="32"/>
      <c r="G21" s="5"/>
      <c r="H21" s="13"/>
      <c r="I21" s="71"/>
    </row>
    <row r="22" spans="1:9" s="12" customFormat="1" ht="28.5" outlineLevel="2" x14ac:dyDescent="0.25">
      <c r="A22" s="64" t="s">
        <v>129</v>
      </c>
      <c r="B22" s="65" t="s">
        <v>100</v>
      </c>
      <c r="C22" s="64"/>
      <c r="D22" s="64"/>
      <c r="E22" s="64"/>
      <c r="F22" s="66"/>
      <c r="G22" s="60"/>
      <c r="H22" s="83"/>
      <c r="I22" s="61"/>
    </row>
    <row r="23" spans="1:9" s="6" customFormat="1" ht="30" outlineLevel="3" x14ac:dyDescent="0.25">
      <c r="A23" s="67">
        <v>1</v>
      </c>
      <c r="B23" s="68" t="s">
        <v>31</v>
      </c>
      <c r="C23" s="69"/>
      <c r="D23" s="67" t="s">
        <v>123</v>
      </c>
      <c r="E23" s="70"/>
      <c r="F23" s="63">
        <v>0</v>
      </c>
      <c r="G23" s="115" t="s">
        <v>51</v>
      </c>
      <c r="H23" s="84"/>
      <c r="I23" s="72"/>
    </row>
    <row r="24" spans="1:9" s="43" customFormat="1" ht="15" customHeight="1" outlineLevel="3" x14ac:dyDescent="0.25">
      <c r="A24" s="67">
        <v>2</v>
      </c>
      <c r="B24" s="68" t="s">
        <v>23</v>
      </c>
      <c r="C24" s="118" t="s">
        <v>126</v>
      </c>
      <c r="D24" s="119"/>
      <c r="E24" s="70"/>
      <c r="F24" s="63">
        <v>2</v>
      </c>
      <c r="G24" s="116"/>
      <c r="H24" s="84"/>
      <c r="I24" s="72"/>
    </row>
    <row r="25" spans="1:9" s="43" customFormat="1" ht="45" outlineLevel="3" x14ac:dyDescent="0.25">
      <c r="A25" s="67">
        <v>3</v>
      </c>
      <c r="B25" s="68" t="s">
        <v>24</v>
      </c>
      <c r="C25" s="1" t="s">
        <v>134</v>
      </c>
      <c r="D25" s="69"/>
      <c r="E25" s="70"/>
      <c r="F25" s="63">
        <v>1</v>
      </c>
      <c r="G25" s="116"/>
      <c r="H25" s="84"/>
      <c r="I25" s="72"/>
    </row>
    <row r="26" spans="1:9" s="43" customFormat="1" outlineLevel="3" x14ac:dyDescent="0.25">
      <c r="A26" s="67">
        <v>4</v>
      </c>
      <c r="B26" s="68" t="s">
        <v>25</v>
      </c>
      <c r="C26" s="73"/>
      <c r="D26" s="67" t="s">
        <v>123</v>
      </c>
      <c r="E26" s="70"/>
      <c r="F26" s="63">
        <v>1</v>
      </c>
      <c r="G26" s="116"/>
      <c r="H26" s="84"/>
      <c r="I26" s="72"/>
    </row>
    <row r="27" spans="1:9" s="43" customFormat="1" ht="15" customHeight="1" outlineLevel="3" x14ac:dyDescent="0.25">
      <c r="A27" s="67">
        <v>5</v>
      </c>
      <c r="B27" s="68" t="s">
        <v>16</v>
      </c>
      <c r="C27" s="118" t="s">
        <v>126</v>
      </c>
      <c r="D27" s="119"/>
      <c r="E27" s="70"/>
      <c r="F27" s="63">
        <v>0</v>
      </c>
      <c r="G27" s="116"/>
      <c r="H27" s="85"/>
      <c r="I27" s="72"/>
    </row>
    <row r="28" spans="1:9" s="43" customFormat="1" ht="45" outlineLevel="3" x14ac:dyDescent="0.25">
      <c r="A28" s="67">
        <v>6</v>
      </c>
      <c r="B28" s="68" t="s">
        <v>47</v>
      </c>
      <c r="C28" s="1" t="s">
        <v>134</v>
      </c>
      <c r="D28" s="69"/>
      <c r="E28" s="70"/>
      <c r="F28" s="63">
        <v>0</v>
      </c>
      <c r="G28" s="117"/>
      <c r="H28" s="84"/>
      <c r="I28" s="92" t="s">
        <v>145</v>
      </c>
    </row>
    <row r="29" spans="1:9" s="12" customFormat="1" ht="28.5" outlineLevel="2" x14ac:dyDescent="0.25">
      <c r="A29" s="64" t="s">
        <v>130</v>
      </c>
      <c r="B29" s="65" t="s">
        <v>101</v>
      </c>
      <c r="C29" s="64"/>
      <c r="D29" s="64"/>
      <c r="E29" s="64"/>
      <c r="F29" s="66"/>
      <c r="G29" s="60"/>
      <c r="H29" s="83"/>
      <c r="I29" s="61"/>
    </row>
    <row r="30" spans="1:9" s="6" customFormat="1" ht="13.9" customHeight="1" outlineLevel="3" x14ac:dyDescent="0.25">
      <c r="A30" s="67">
        <v>1</v>
      </c>
      <c r="B30" s="68" t="s">
        <v>31</v>
      </c>
      <c r="C30" s="69"/>
      <c r="D30" s="67" t="s">
        <v>123</v>
      </c>
      <c r="E30" s="70"/>
      <c r="F30" s="63">
        <v>0</v>
      </c>
      <c r="G30" s="115" t="s">
        <v>51</v>
      </c>
      <c r="H30" s="84"/>
      <c r="I30" s="72"/>
    </row>
    <row r="31" spans="1:9" s="43" customFormat="1" outlineLevel="3" x14ac:dyDescent="0.25">
      <c r="A31" s="67">
        <v>2</v>
      </c>
      <c r="B31" s="68" t="s">
        <v>23</v>
      </c>
      <c r="C31" s="118" t="s">
        <v>126</v>
      </c>
      <c r="D31" s="119"/>
      <c r="E31" s="70"/>
      <c r="F31" s="63">
        <v>2</v>
      </c>
      <c r="G31" s="116"/>
      <c r="H31" s="84"/>
      <c r="I31" s="72"/>
    </row>
    <row r="32" spans="1:9" s="43" customFormat="1" ht="45" outlineLevel="3" x14ac:dyDescent="0.25">
      <c r="A32" s="67">
        <v>3</v>
      </c>
      <c r="B32" s="68" t="s">
        <v>24</v>
      </c>
      <c r="C32" s="1" t="s">
        <v>134</v>
      </c>
      <c r="D32" s="69"/>
      <c r="E32" s="70"/>
      <c r="F32" s="63">
        <v>1</v>
      </c>
      <c r="G32" s="116"/>
      <c r="H32" s="84"/>
      <c r="I32" s="72"/>
    </row>
    <row r="33" spans="1:9" s="43" customFormat="1" outlineLevel="3" x14ac:dyDescent="0.25">
      <c r="A33" s="67">
        <v>4</v>
      </c>
      <c r="B33" s="68" t="s">
        <v>25</v>
      </c>
      <c r="C33" s="73"/>
      <c r="D33" s="67" t="s">
        <v>123</v>
      </c>
      <c r="E33" s="70"/>
      <c r="F33" s="63">
        <v>1</v>
      </c>
      <c r="G33" s="116"/>
      <c r="H33" s="84"/>
      <c r="I33" s="72"/>
    </row>
    <row r="34" spans="1:9" s="43" customFormat="1" outlineLevel="3" x14ac:dyDescent="0.25">
      <c r="A34" s="67">
        <v>5</v>
      </c>
      <c r="B34" s="68" t="s">
        <v>16</v>
      </c>
      <c r="C34" s="118" t="s">
        <v>126</v>
      </c>
      <c r="D34" s="119"/>
      <c r="E34" s="70"/>
      <c r="F34" s="63">
        <v>0</v>
      </c>
      <c r="G34" s="116"/>
      <c r="H34" s="85"/>
      <c r="I34" s="72"/>
    </row>
    <row r="35" spans="1:9" s="43" customFormat="1" ht="45" outlineLevel="3" x14ac:dyDescent="0.25">
      <c r="A35" s="67">
        <v>6</v>
      </c>
      <c r="B35" s="68" t="s">
        <v>47</v>
      </c>
      <c r="C35" s="1" t="s">
        <v>134</v>
      </c>
      <c r="D35" s="69"/>
      <c r="E35" s="70"/>
      <c r="F35" s="63">
        <v>0</v>
      </c>
      <c r="G35" s="117"/>
      <c r="H35" s="84"/>
      <c r="I35" s="92" t="s">
        <v>145</v>
      </c>
    </row>
    <row r="36" spans="1:9" s="12" customFormat="1" ht="28.5" outlineLevel="2" x14ac:dyDescent="0.25">
      <c r="A36" s="64" t="s">
        <v>131</v>
      </c>
      <c r="B36" s="65" t="s">
        <v>103</v>
      </c>
      <c r="C36" s="64"/>
      <c r="D36" s="64"/>
      <c r="E36" s="64"/>
      <c r="F36" s="66"/>
      <c r="G36" s="60"/>
      <c r="H36" s="83"/>
      <c r="I36" s="61"/>
    </row>
    <row r="37" spans="1:9" s="6" customFormat="1" ht="30" outlineLevel="3" x14ac:dyDescent="0.25">
      <c r="A37" s="67">
        <v>1</v>
      </c>
      <c r="B37" s="68" t="s">
        <v>31</v>
      </c>
      <c r="C37" s="69"/>
      <c r="D37" s="67" t="s">
        <v>123</v>
      </c>
      <c r="E37" s="70"/>
      <c r="F37" s="63">
        <v>0</v>
      </c>
      <c r="G37" s="115" t="s">
        <v>51</v>
      </c>
      <c r="H37" s="84"/>
      <c r="I37" s="72"/>
    </row>
    <row r="38" spans="1:9" s="43" customFormat="1" outlineLevel="3" x14ac:dyDescent="0.25">
      <c r="A38" s="67">
        <v>2</v>
      </c>
      <c r="B38" s="68" t="s">
        <v>23</v>
      </c>
      <c r="C38" s="118" t="s">
        <v>126</v>
      </c>
      <c r="D38" s="119"/>
      <c r="E38" s="70"/>
      <c r="F38" s="63">
        <v>2</v>
      </c>
      <c r="G38" s="116"/>
      <c r="H38" s="84"/>
      <c r="I38" s="72"/>
    </row>
    <row r="39" spans="1:9" s="43" customFormat="1" ht="45" outlineLevel="3" x14ac:dyDescent="0.25">
      <c r="A39" s="67">
        <v>3</v>
      </c>
      <c r="B39" s="68" t="s">
        <v>24</v>
      </c>
      <c r="C39" s="1" t="s">
        <v>134</v>
      </c>
      <c r="D39" s="69"/>
      <c r="E39" s="70"/>
      <c r="F39" s="63">
        <v>1</v>
      </c>
      <c r="G39" s="116"/>
      <c r="H39" s="84"/>
      <c r="I39" s="72"/>
    </row>
    <row r="40" spans="1:9" s="43" customFormat="1" outlineLevel="3" x14ac:dyDescent="0.25">
      <c r="A40" s="67">
        <v>4</v>
      </c>
      <c r="B40" s="68" t="s">
        <v>25</v>
      </c>
      <c r="C40" s="73"/>
      <c r="D40" s="67" t="s">
        <v>123</v>
      </c>
      <c r="E40" s="70"/>
      <c r="F40" s="63">
        <v>1</v>
      </c>
      <c r="G40" s="116"/>
      <c r="H40" s="84"/>
      <c r="I40" s="72"/>
    </row>
    <row r="41" spans="1:9" s="43" customFormat="1" outlineLevel="3" x14ac:dyDescent="0.25">
      <c r="A41" s="67">
        <v>5</v>
      </c>
      <c r="B41" s="68" t="s">
        <v>16</v>
      </c>
      <c r="C41" s="118" t="s">
        <v>126</v>
      </c>
      <c r="D41" s="119"/>
      <c r="E41" s="70"/>
      <c r="F41" s="63">
        <v>0</v>
      </c>
      <c r="G41" s="116"/>
      <c r="H41" s="85"/>
      <c r="I41" s="72"/>
    </row>
    <row r="42" spans="1:9" s="43" customFormat="1" ht="45" outlineLevel="3" x14ac:dyDescent="0.25">
      <c r="A42" s="67">
        <v>6</v>
      </c>
      <c r="B42" s="68" t="s">
        <v>47</v>
      </c>
      <c r="C42" s="1" t="s">
        <v>134</v>
      </c>
      <c r="D42" s="69"/>
      <c r="E42" s="70"/>
      <c r="F42" s="63">
        <v>0</v>
      </c>
      <c r="G42" s="117"/>
      <c r="H42" s="84"/>
      <c r="I42" s="92" t="s">
        <v>145</v>
      </c>
    </row>
    <row r="43" spans="1:9" s="30" customFormat="1" outlineLevel="1" x14ac:dyDescent="0.25">
      <c r="A43" s="27" t="s">
        <v>11</v>
      </c>
      <c r="B43" s="28" t="s">
        <v>10</v>
      </c>
      <c r="C43" s="1"/>
      <c r="D43" s="1"/>
      <c r="E43" s="3"/>
      <c r="F43" s="32"/>
      <c r="G43" s="5"/>
      <c r="H43" s="13"/>
      <c r="I43" s="71"/>
    </row>
    <row r="44" spans="1:9" s="6" customFormat="1" ht="30" outlineLevel="2" x14ac:dyDescent="0.25">
      <c r="A44" s="67">
        <v>1</v>
      </c>
      <c r="B44" s="71" t="s">
        <v>19</v>
      </c>
      <c r="C44" s="67" t="s">
        <v>33</v>
      </c>
      <c r="D44" s="67"/>
      <c r="E44" s="70"/>
      <c r="F44" s="67">
        <v>22</v>
      </c>
      <c r="G44" s="71"/>
      <c r="H44" s="84" t="s">
        <v>127</v>
      </c>
      <c r="I44" s="72"/>
    </row>
    <row r="45" spans="1:9" s="57" customFormat="1" ht="45" outlineLevel="2" x14ac:dyDescent="0.25">
      <c r="A45" s="74">
        <v>2</v>
      </c>
      <c r="B45" s="75" t="s">
        <v>153</v>
      </c>
      <c r="C45" s="67"/>
      <c r="D45" s="67" t="s">
        <v>123</v>
      </c>
      <c r="E45" s="70"/>
      <c r="F45" s="77">
        <v>-8</v>
      </c>
      <c r="G45" s="72"/>
      <c r="H45" s="84" t="s">
        <v>124</v>
      </c>
      <c r="I45" s="72"/>
    </row>
    <row r="46" spans="1:9" s="57" customFormat="1" outlineLevel="2" x14ac:dyDescent="0.25">
      <c r="A46" s="74">
        <v>3</v>
      </c>
      <c r="B46" s="75" t="s">
        <v>119</v>
      </c>
      <c r="C46" s="67" t="s">
        <v>120</v>
      </c>
      <c r="D46" s="67"/>
      <c r="E46" s="70"/>
      <c r="F46" s="77">
        <v>2</v>
      </c>
      <c r="G46" s="72"/>
      <c r="H46" s="86"/>
      <c r="I46" s="72"/>
    </row>
    <row r="47" spans="1:9" s="6" customFormat="1" ht="30" outlineLevel="2" x14ac:dyDescent="0.25">
      <c r="A47" s="67">
        <v>4</v>
      </c>
      <c r="B47" s="71" t="s">
        <v>53</v>
      </c>
      <c r="C47" s="67" t="s">
        <v>54</v>
      </c>
      <c r="D47" s="67"/>
      <c r="E47" s="70"/>
      <c r="F47" s="67">
        <v>5</v>
      </c>
      <c r="G47" s="71"/>
      <c r="H47" s="84" t="s">
        <v>154</v>
      </c>
      <c r="I47" s="72"/>
    </row>
    <row r="48" spans="1:9" s="6" customFormat="1" ht="30" outlineLevel="2" x14ac:dyDescent="0.25">
      <c r="A48" s="67">
        <v>5</v>
      </c>
      <c r="B48" s="71" t="s">
        <v>20</v>
      </c>
      <c r="C48" s="67" t="s">
        <v>32</v>
      </c>
      <c r="D48" s="67"/>
      <c r="E48" s="70"/>
      <c r="F48" s="67">
        <v>1</v>
      </c>
      <c r="G48" s="71"/>
      <c r="H48" s="84"/>
      <c r="I48" s="72"/>
    </row>
    <row r="49" spans="1:9" s="6" customFormat="1" outlineLevel="2" x14ac:dyDescent="0.25">
      <c r="A49" s="67">
        <v>6</v>
      </c>
      <c r="B49" s="71" t="s">
        <v>128</v>
      </c>
      <c r="C49" s="67" t="s">
        <v>123</v>
      </c>
      <c r="D49" s="67"/>
      <c r="E49" s="70"/>
      <c r="F49" s="67">
        <v>0</v>
      </c>
      <c r="G49" s="71"/>
      <c r="H49" s="84"/>
      <c r="I49" s="72"/>
    </row>
    <row r="50" spans="1:9" s="6" customFormat="1" ht="30" outlineLevel="2" x14ac:dyDescent="0.25">
      <c r="A50" s="67">
        <v>7</v>
      </c>
      <c r="B50" s="71" t="s">
        <v>155</v>
      </c>
      <c r="C50" s="67"/>
      <c r="D50" s="67" t="s">
        <v>156</v>
      </c>
      <c r="E50" s="70"/>
      <c r="F50" s="67">
        <v>2</v>
      </c>
      <c r="G50" s="71"/>
      <c r="H50" s="81"/>
      <c r="I50" s="72"/>
    </row>
    <row r="51" spans="1:9" s="6" customFormat="1" outlineLevel="2" x14ac:dyDescent="0.25">
      <c r="A51" s="67">
        <v>8</v>
      </c>
      <c r="B51" s="71" t="s">
        <v>21</v>
      </c>
      <c r="C51" s="67"/>
      <c r="D51" s="67" t="s">
        <v>71</v>
      </c>
      <c r="E51" s="70"/>
      <c r="F51" s="67">
        <v>3</v>
      </c>
      <c r="G51" s="71"/>
      <c r="H51" s="84"/>
      <c r="I51" s="72"/>
    </row>
    <row r="52" spans="1:9" s="43" customFormat="1" outlineLevel="2" x14ac:dyDescent="0.25">
      <c r="A52" s="67">
        <v>9</v>
      </c>
      <c r="B52" s="71" t="s">
        <v>135</v>
      </c>
      <c r="C52" s="67" t="s">
        <v>123</v>
      </c>
      <c r="D52" s="67"/>
      <c r="E52" s="70"/>
      <c r="F52" s="67">
        <v>0</v>
      </c>
      <c r="G52" s="71"/>
      <c r="H52" s="81"/>
      <c r="I52" s="72"/>
    </row>
    <row r="53" spans="1:9" s="43" customFormat="1" outlineLevel="2" x14ac:dyDescent="0.25">
      <c r="A53" s="67">
        <v>10</v>
      </c>
      <c r="B53" s="71" t="s">
        <v>70</v>
      </c>
      <c r="C53" s="67" t="s">
        <v>136</v>
      </c>
      <c r="D53" s="67" t="s">
        <v>71</v>
      </c>
      <c r="E53" s="70"/>
      <c r="F53" s="67">
        <v>3</v>
      </c>
      <c r="G53" s="71"/>
      <c r="H53" s="84"/>
      <c r="I53" s="72"/>
    </row>
    <row r="54" spans="1:9" s="6" customFormat="1" x14ac:dyDescent="0.25">
      <c r="A54" s="21" t="s">
        <v>43</v>
      </c>
      <c r="B54" s="22" t="s">
        <v>44</v>
      </c>
      <c r="C54" s="23"/>
      <c r="D54" s="23"/>
      <c r="E54" s="23"/>
      <c r="F54" s="24"/>
      <c r="G54" s="25"/>
      <c r="H54" s="87"/>
      <c r="I54" s="26"/>
    </row>
    <row r="55" spans="1:9" s="30" customFormat="1" ht="28.5" outlineLevel="1" x14ac:dyDescent="0.25">
      <c r="A55" s="27" t="s">
        <v>15</v>
      </c>
      <c r="B55" s="28" t="s">
        <v>12</v>
      </c>
      <c r="C55" s="1"/>
      <c r="D55" s="1"/>
      <c r="E55" s="3"/>
      <c r="F55" s="32"/>
      <c r="G55" s="5"/>
      <c r="H55" s="13"/>
      <c r="I55" s="71"/>
    </row>
    <row r="56" spans="1:9" s="6" customFormat="1" ht="75" outlineLevel="2" x14ac:dyDescent="0.25">
      <c r="A56" s="67">
        <v>1</v>
      </c>
      <c r="B56" s="71" t="s">
        <v>139</v>
      </c>
      <c r="C56" s="1" t="s">
        <v>134</v>
      </c>
      <c r="D56" s="67"/>
      <c r="E56" s="70"/>
      <c r="F56" s="67">
        <v>2</v>
      </c>
      <c r="G56" s="80" t="s">
        <v>148</v>
      </c>
      <c r="H56" s="84" t="s">
        <v>65</v>
      </c>
      <c r="I56" s="72"/>
    </row>
    <row r="57" spans="1:9" s="6" customFormat="1" outlineLevel="2" x14ac:dyDescent="0.25">
      <c r="A57" s="67">
        <v>2</v>
      </c>
      <c r="B57" s="71" t="s">
        <v>13</v>
      </c>
      <c r="C57" s="67"/>
      <c r="D57" s="67" t="s">
        <v>123</v>
      </c>
      <c r="E57" s="70"/>
      <c r="F57" s="67">
        <v>0</v>
      </c>
      <c r="G57" s="71"/>
      <c r="H57" s="84"/>
      <c r="I57" s="72"/>
    </row>
    <row r="58" spans="1:9" s="6" customFormat="1" ht="45" outlineLevel="2" x14ac:dyDescent="0.25">
      <c r="A58" s="67">
        <v>3</v>
      </c>
      <c r="B58" s="71" t="s">
        <v>14</v>
      </c>
      <c r="C58" s="1" t="s">
        <v>134</v>
      </c>
      <c r="D58" s="67"/>
      <c r="E58" s="70"/>
      <c r="F58" s="67">
        <v>0</v>
      </c>
      <c r="G58" s="71"/>
      <c r="H58" s="84"/>
      <c r="I58" s="92" t="s">
        <v>145</v>
      </c>
    </row>
    <row r="59" spans="1:9" s="30" customFormat="1" ht="66.75" customHeight="1" outlineLevel="1" x14ac:dyDescent="0.25">
      <c r="A59" s="27" t="s">
        <v>17</v>
      </c>
      <c r="B59" s="28" t="s">
        <v>157</v>
      </c>
      <c r="C59" s="1"/>
      <c r="D59" s="1"/>
      <c r="E59" s="3"/>
      <c r="F59" s="32"/>
      <c r="G59" s="5"/>
      <c r="H59" s="13"/>
      <c r="I59" s="71"/>
    </row>
    <row r="60" spans="1:9" s="6" customFormat="1" ht="30" outlineLevel="2" x14ac:dyDescent="0.25">
      <c r="A60" s="67">
        <v>1</v>
      </c>
      <c r="B60" s="68" t="s">
        <v>31</v>
      </c>
      <c r="C60" s="69"/>
      <c r="D60" s="67" t="s">
        <v>123</v>
      </c>
      <c r="E60" s="70"/>
      <c r="F60" s="63">
        <v>0</v>
      </c>
      <c r="G60" s="71"/>
      <c r="H60" s="84"/>
      <c r="I60" s="72"/>
    </row>
    <row r="61" spans="1:9" s="43" customFormat="1" outlineLevel="2" x14ac:dyDescent="0.25">
      <c r="A61" s="67">
        <v>2</v>
      </c>
      <c r="B61" s="68" t="s">
        <v>23</v>
      </c>
      <c r="C61" s="118" t="s">
        <v>126</v>
      </c>
      <c r="D61" s="119"/>
      <c r="E61" s="70"/>
      <c r="F61" s="63">
        <v>2</v>
      </c>
      <c r="G61" s="71"/>
      <c r="H61" s="84"/>
      <c r="I61" s="72"/>
    </row>
    <row r="62" spans="1:9" s="43" customFormat="1" ht="45" outlineLevel="2" x14ac:dyDescent="0.25">
      <c r="A62" s="67">
        <v>3</v>
      </c>
      <c r="B62" s="68" t="s">
        <v>24</v>
      </c>
      <c r="C62" s="1" t="s">
        <v>134</v>
      </c>
      <c r="D62" s="69"/>
      <c r="E62" s="70"/>
      <c r="F62" s="63">
        <v>1</v>
      </c>
      <c r="G62" s="71"/>
      <c r="H62" s="84"/>
      <c r="I62" s="72"/>
    </row>
    <row r="63" spans="1:9" s="6" customFormat="1" outlineLevel="2" x14ac:dyDescent="0.25">
      <c r="A63" s="67">
        <v>4</v>
      </c>
      <c r="B63" s="68" t="s">
        <v>25</v>
      </c>
      <c r="C63" s="73"/>
      <c r="D63" s="67" t="s">
        <v>123</v>
      </c>
      <c r="E63" s="70"/>
      <c r="F63" s="63">
        <v>1</v>
      </c>
      <c r="G63" s="71"/>
      <c r="H63" s="84"/>
      <c r="I63" s="72"/>
    </row>
    <row r="64" spans="1:9" s="6" customFormat="1" outlineLevel="2" x14ac:dyDescent="0.25">
      <c r="A64" s="67">
        <v>5</v>
      </c>
      <c r="B64" s="68" t="s">
        <v>16</v>
      </c>
      <c r="C64" s="118" t="s">
        <v>126</v>
      </c>
      <c r="D64" s="119"/>
      <c r="E64" s="70"/>
      <c r="F64" s="63">
        <v>0</v>
      </c>
      <c r="G64" s="71"/>
      <c r="H64" s="84"/>
      <c r="I64" s="72"/>
    </row>
    <row r="65" spans="1:9" s="43" customFormat="1" ht="45" outlineLevel="2" x14ac:dyDescent="0.25">
      <c r="A65" s="67">
        <v>6</v>
      </c>
      <c r="B65" s="68" t="s">
        <v>26</v>
      </c>
      <c r="C65" s="1" t="s">
        <v>134</v>
      </c>
      <c r="D65" s="69"/>
      <c r="E65" s="70"/>
      <c r="F65" s="63">
        <v>0</v>
      </c>
      <c r="G65" s="71"/>
      <c r="H65" s="84"/>
      <c r="I65" s="92" t="s">
        <v>145</v>
      </c>
    </row>
    <row r="66" spans="1:9" s="30" customFormat="1" ht="66.75" customHeight="1" outlineLevel="1" x14ac:dyDescent="0.25">
      <c r="A66" s="27" t="s">
        <v>17</v>
      </c>
      <c r="B66" s="28" t="s">
        <v>158</v>
      </c>
      <c r="C66" s="1"/>
      <c r="D66" s="1"/>
      <c r="E66" s="3"/>
      <c r="F66" s="32"/>
      <c r="G66" s="5"/>
      <c r="H66" s="13"/>
      <c r="I66" s="71"/>
    </row>
    <row r="67" spans="1:9" s="6" customFormat="1" ht="30" outlineLevel="2" x14ac:dyDescent="0.25">
      <c r="A67" s="67">
        <v>1</v>
      </c>
      <c r="B67" s="68" t="s">
        <v>31</v>
      </c>
      <c r="C67" s="69"/>
      <c r="D67" s="67" t="s">
        <v>123</v>
      </c>
      <c r="E67" s="70"/>
      <c r="F67" s="63">
        <v>22</v>
      </c>
      <c r="G67" s="71"/>
      <c r="H67" s="84"/>
      <c r="I67" s="72"/>
    </row>
    <row r="68" spans="1:9" s="43" customFormat="1" outlineLevel="2" x14ac:dyDescent="0.25">
      <c r="A68" s="67">
        <v>2</v>
      </c>
      <c r="B68" s="68" t="s">
        <v>23</v>
      </c>
      <c r="C68" s="118" t="s">
        <v>126</v>
      </c>
      <c r="D68" s="119"/>
      <c r="E68" s="70"/>
      <c r="F68" s="63">
        <v>2</v>
      </c>
      <c r="G68" s="71"/>
      <c r="H68" s="84"/>
      <c r="I68" s="72"/>
    </row>
    <row r="69" spans="1:9" s="43" customFormat="1" ht="45" outlineLevel="2" x14ac:dyDescent="0.25">
      <c r="A69" s="67">
        <v>3</v>
      </c>
      <c r="B69" s="68" t="s">
        <v>24</v>
      </c>
      <c r="C69" s="1" t="s">
        <v>134</v>
      </c>
      <c r="D69" s="69"/>
      <c r="E69" s="70"/>
      <c r="F69" s="63">
        <v>1</v>
      </c>
      <c r="G69" s="71"/>
      <c r="H69" s="84"/>
      <c r="I69" s="72"/>
    </row>
    <row r="70" spans="1:9" s="6" customFormat="1" outlineLevel="2" x14ac:dyDescent="0.25">
      <c r="A70" s="67">
        <v>4</v>
      </c>
      <c r="B70" s="68" t="s">
        <v>25</v>
      </c>
      <c r="C70" s="73"/>
      <c r="D70" s="67" t="s">
        <v>123</v>
      </c>
      <c r="E70" s="70"/>
      <c r="F70" s="63">
        <v>1</v>
      </c>
      <c r="G70" s="71"/>
      <c r="H70" s="84"/>
      <c r="I70" s="72"/>
    </row>
    <row r="71" spans="1:9" s="6" customFormat="1" outlineLevel="2" x14ac:dyDescent="0.25">
      <c r="A71" s="67">
        <v>5</v>
      </c>
      <c r="B71" s="68" t="s">
        <v>16</v>
      </c>
      <c r="C71" s="118" t="s">
        <v>126</v>
      </c>
      <c r="D71" s="119"/>
      <c r="E71" s="70"/>
      <c r="F71" s="63">
        <v>0</v>
      </c>
      <c r="G71" s="71"/>
      <c r="H71" s="84"/>
      <c r="I71" s="72"/>
    </row>
    <row r="72" spans="1:9" s="43" customFormat="1" ht="45" outlineLevel="2" x14ac:dyDescent="0.25">
      <c r="A72" s="67">
        <v>6</v>
      </c>
      <c r="B72" s="68" t="s">
        <v>26</v>
      </c>
      <c r="C72" s="1" t="s">
        <v>134</v>
      </c>
      <c r="D72" s="69"/>
      <c r="E72" s="70"/>
      <c r="F72" s="63">
        <v>0</v>
      </c>
      <c r="G72" s="71"/>
      <c r="H72" s="84"/>
      <c r="I72" s="92" t="s">
        <v>145</v>
      </c>
    </row>
    <row r="73" spans="1:9" s="30" customFormat="1" ht="40.5" customHeight="1" outlineLevel="1" x14ac:dyDescent="0.25">
      <c r="A73" s="27" t="s">
        <v>36</v>
      </c>
      <c r="B73" s="28" t="s">
        <v>140</v>
      </c>
      <c r="C73" s="1"/>
      <c r="D73" s="1"/>
      <c r="E73" s="3"/>
      <c r="F73" s="32"/>
      <c r="G73" s="5"/>
      <c r="H73" s="13"/>
      <c r="I73" s="71"/>
    </row>
    <row r="74" spans="1:9" s="58" customFormat="1" ht="60" outlineLevel="3" x14ac:dyDescent="0.25">
      <c r="A74" s="67">
        <v>1</v>
      </c>
      <c r="B74" s="68" t="s">
        <v>141</v>
      </c>
      <c r="C74" s="67"/>
      <c r="D74" s="67" t="s">
        <v>123</v>
      </c>
      <c r="E74" s="70"/>
      <c r="F74" s="63">
        <v>0</v>
      </c>
      <c r="G74" s="71" t="s">
        <v>142</v>
      </c>
      <c r="H74" s="88"/>
      <c r="I74" s="61"/>
    </row>
    <row r="75" spans="1:9" s="59" customFormat="1" outlineLevel="3" x14ac:dyDescent="0.25">
      <c r="A75" s="67">
        <v>2</v>
      </c>
      <c r="B75" s="71" t="s">
        <v>23</v>
      </c>
      <c r="C75" s="120" t="s">
        <v>143</v>
      </c>
      <c r="D75" s="121"/>
      <c r="E75" s="70"/>
      <c r="F75" s="63">
        <v>2</v>
      </c>
      <c r="G75" s="71"/>
      <c r="H75" s="89"/>
      <c r="I75" s="72"/>
    </row>
    <row r="76" spans="1:9" s="59" customFormat="1" ht="45" outlineLevel="3" x14ac:dyDescent="0.25">
      <c r="A76" s="67">
        <v>3</v>
      </c>
      <c r="B76" s="68" t="s">
        <v>144</v>
      </c>
      <c r="C76" s="1" t="s">
        <v>134</v>
      </c>
      <c r="D76" s="67"/>
      <c r="E76" s="70"/>
      <c r="F76" s="63">
        <v>1</v>
      </c>
      <c r="G76" s="71"/>
      <c r="H76" s="89"/>
      <c r="I76" s="72"/>
    </row>
    <row r="77" spans="1:9" s="59" customFormat="1" outlineLevel="3" x14ac:dyDescent="0.25">
      <c r="A77" s="67">
        <v>4</v>
      </c>
      <c r="B77" s="68" t="s">
        <v>25</v>
      </c>
      <c r="C77" s="67"/>
      <c r="D77" s="67" t="s">
        <v>123</v>
      </c>
      <c r="E77" s="70"/>
      <c r="F77" s="63">
        <v>1</v>
      </c>
      <c r="G77" s="71"/>
      <c r="H77" s="89"/>
      <c r="I77" s="72"/>
    </row>
    <row r="78" spans="1:9" s="62" customFormat="1" outlineLevel="3" x14ac:dyDescent="0.25">
      <c r="A78" s="67">
        <v>5</v>
      </c>
      <c r="B78" s="68" t="s">
        <v>16</v>
      </c>
      <c r="C78" s="120" t="s">
        <v>143</v>
      </c>
      <c r="D78" s="121"/>
      <c r="E78" s="70"/>
      <c r="F78" s="63">
        <v>0</v>
      </c>
      <c r="G78" s="71"/>
      <c r="H78" s="89"/>
      <c r="I78" s="72"/>
    </row>
    <row r="79" spans="1:9" s="12" customFormat="1" ht="45" outlineLevel="2" x14ac:dyDescent="0.25">
      <c r="A79" s="67">
        <v>6</v>
      </c>
      <c r="B79" s="68" t="s">
        <v>26</v>
      </c>
      <c r="C79" s="1" t="s">
        <v>134</v>
      </c>
      <c r="D79" s="64"/>
      <c r="E79" s="70"/>
      <c r="F79" s="63">
        <v>0</v>
      </c>
      <c r="G79" s="72"/>
      <c r="H79" s="89"/>
      <c r="I79" s="92" t="s">
        <v>145</v>
      </c>
    </row>
    <row r="80" spans="1:9" s="30" customFormat="1" ht="30" outlineLevel="1" x14ac:dyDescent="0.25">
      <c r="A80" s="27" t="s">
        <v>38</v>
      </c>
      <c r="B80" s="28" t="s">
        <v>22</v>
      </c>
      <c r="C80" s="1"/>
      <c r="D80" s="1"/>
      <c r="E80" s="3"/>
      <c r="F80" s="32"/>
      <c r="G80" s="5"/>
      <c r="H80" s="13"/>
      <c r="I80" s="90" t="s">
        <v>147</v>
      </c>
    </row>
  </sheetData>
  <mergeCells count="20">
    <mergeCell ref="I5:I6"/>
    <mergeCell ref="H8:H10"/>
    <mergeCell ref="C61:D61"/>
    <mergeCell ref="C64:D64"/>
    <mergeCell ref="C75:D75"/>
    <mergeCell ref="C78:D78"/>
    <mergeCell ref="G30:G35"/>
    <mergeCell ref="C31:D31"/>
    <mergeCell ref="C34:D34"/>
    <mergeCell ref="G37:G42"/>
    <mergeCell ref="C38:D38"/>
    <mergeCell ref="C41:D41"/>
    <mergeCell ref="C68:D68"/>
    <mergeCell ref="C71:D71"/>
    <mergeCell ref="A13:A14"/>
    <mergeCell ref="I13:I16"/>
    <mergeCell ref="I17:I18"/>
    <mergeCell ref="G23:G28"/>
    <mergeCell ref="C24:D24"/>
    <mergeCell ref="C27:D27"/>
  </mergeCells>
  <printOptions horizontalCentered="1"/>
  <pageMargins left="0.2" right="0.2" top="0.2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Timeline</vt:lpstr>
      <vt:lpstr>Timeline CSDL 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thu dat</cp:lastModifiedBy>
  <cp:lastPrinted>2022-11-02T10:18:55Z</cp:lastPrinted>
  <dcterms:created xsi:type="dcterms:W3CDTF">2022-08-11T07:57:08Z</dcterms:created>
  <dcterms:modified xsi:type="dcterms:W3CDTF">2026-07-29T02:11:38Z</dcterms:modified>
</cp:coreProperties>
</file>
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SynologyDrive\KINH DOANH 2026\KHANH HOA\VAN PHONG UB\BAO CAO KINH KY THUAT\BCKT-KT\"/>
    </mc:Choice>
  </mc:AlternateContent>
  <bookViews>
    <workbookView xWindow="-120" yWindow="-120" windowWidth="20736" windowHeight="11040" tabRatio="787" firstSheet="3" activeTab="4"/>
  </bookViews>
  <sheets>
    <sheet name="CPQL1" sheetId="72" state="hidden" r:id="rId1"/>
    <sheet name="-Triển khai-" sheetId="73" state="hidden" r:id="rId2"/>
    <sheet name=" Đào tạo tại chỗ" sheetId="74" state="hidden" r:id="rId3"/>
    <sheet name="Tong hop TMDT" sheetId="102" r:id="rId4"/>
    <sheet name="TMĐT" sheetId="103" r:id="rId5"/>
    <sheet name="Phan bo von" sheetId="104" r:id="rId6"/>
    <sheet name="Chi phí AI" sheetId="106"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__________________________a130" hidden="1">{"Offgrid",#N/A,FALSE,"OFFGRID";"Region",#N/A,FALSE,"REGION";"Offgrid -2",#N/A,FALSE,"OFFGRID";"WTP",#N/A,FALSE,"WTP";"WTP -2",#N/A,FALSE,"WTP";"Project",#N/A,FALSE,"PROJECT";"Summary -2",#N/A,FALSE,"SUMMARY"}</definedName>
    <definedName name="__________________________a129" hidden="1">{"Offgrid",#N/A,FALSE,"OFFGRID";"Region",#N/A,FALSE,"REGION";"Offgrid -2",#N/A,FALSE,"OFFGRID";"WTP",#N/A,FALSE,"WTP";"WTP -2",#N/A,FALSE,"WTP";"Project",#N/A,FALSE,"PROJECT";"Summary -2",#N/A,FALSE,"SUMMARY"}</definedName>
    <definedName name="__________________________a130" hidden="1">{"Offgrid",#N/A,FALSE,"OFFGRID";"Region",#N/A,FALSE,"REGION";"Offgrid -2",#N/A,FALSE,"OFFGRID";"WTP",#N/A,FALSE,"WTP";"WTP -2",#N/A,FALSE,"WTP";"Project",#N/A,FALSE,"PROJECT";"Summary -2",#N/A,FALSE,"SUMMARY"}</definedName>
    <definedName name="_________________________a129" hidden="1">{"Offgrid",#N/A,FALSE,"OFFGRID";"Region",#N/A,FALSE,"REGION";"Offgrid -2",#N/A,FALSE,"OFFGRID";"WTP",#N/A,FALSE,"WTP";"WTP -2",#N/A,FALSE,"WTP";"Project",#N/A,FALSE,"PROJECT";"Summary -2",#N/A,FALSE,"SUMMARY"}</definedName>
    <definedName name="_________________________a130" hidden="1">{"Offgrid",#N/A,FALSE,"OFFGRID";"Region",#N/A,FALSE,"REGION";"Offgrid -2",#N/A,FALSE,"OFFGRID";"WTP",#N/A,FALSE,"WTP";"WTP -2",#N/A,FALSE,"WTP";"Project",#N/A,FALSE,"PROJECT";"Summary -2",#N/A,FALSE,"SUMMARY"}</definedName>
    <definedName name="_________________________Goi8" hidden="1">{"'Sheet1'!$L$16"}</definedName>
    <definedName name="_________________________Lan1" hidden="1">{"'Sheet1'!$L$16"}</definedName>
    <definedName name="_________________________LAN3" hidden="1">{"'Sheet1'!$L$16"}</definedName>
    <definedName name="_________________________TM2" hidden="1">{"'Sheet1'!$L$16"}</definedName>
    <definedName name="________________________a1" hidden="1">{"'Sheet1'!$L$16"}</definedName>
    <definedName name="________________________a129" hidden="1">{"Offgrid",#N/A,FALSE,"OFFGRID";"Region",#N/A,FALSE,"REGION";"Offgrid -2",#N/A,FALSE,"OFFGRID";"WTP",#N/A,FALSE,"WTP";"WTP -2",#N/A,FALSE,"WTP";"Project",#N/A,FALSE,"PROJECT";"Summary -2",#N/A,FALSE,"SUMMARY"}</definedName>
    <definedName name="________________________a130" hidden="1">{"Offgrid",#N/A,FALSE,"OFFGRID";"Region",#N/A,FALSE,"REGION";"Offgrid -2",#N/A,FALSE,"OFFGRID";"WTP",#N/A,FALSE,"WTP";"WTP -2",#N/A,FALSE,"WTP";"Project",#N/A,FALSE,"PROJECT";"Summary -2",#N/A,FALSE,"SUMMARY"}</definedName>
    <definedName name="________________________Goi8" hidden="1">{"'Sheet1'!$L$16"}</definedName>
    <definedName name="________________________Lan1" hidden="1">{"'Sheet1'!$L$16"}</definedName>
    <definedName name="________________________LAN3" hidden="1">{"'Sheet1'!$L$16"}</definedName>
    <definedName name="________________________TM2" hidden="1">{"'Sheet1'!$L$16"}</definedName>
    <definedName name="_______________________a1" hidden="1">{"'Sheet1'!$L$16"}</definedName>
    <definedName name="_______________________a129" hidden="1">{"Offgrid",#N/A,FALSE,"OFFGRID";"Region",#N/A,FALSE,"REGION";"Offgrid -2",#N/A,FALSE,"OFFGRID";"WTP",#N/A,FALSE,"WTP";"WTP -2",#N/A,FALSE,"WTP";"Project",#N/A,FALSE,"PROJECT";"Summary -2",#N/A,FALSE,"SUMMARY"}</definedName>
    <definedName name="_______________________a130" hidden="1">{"Offgrid",#N/A,FALSE,"OFFGRID";"Region",#N/A,FALSE,"REGION";"Offgrid -2",#N/A,FALSE,"OFFGRID";"WTP",#N/A,FALSE,"WTP";"WTP -2",#N/A,FALSE,"WTP";"Project",#N/A,FALSE,"PROJECT";"Summary -2",#N/A,FALSE,"SUMMARY"}</definedName>
    <definedName name="_______________________Goi8" hidden="1">{"'Sheet1'!$L$16"}</definedName>
    <definedName name="_______________________hu2" hidden="1">{"'Sheet1'!$L$16"}</definedName>
    <definedName name="_______________________hu5" hidden="1">{"'Sheet1'!$L$16"}</definedName>
    <definedName name="_______________________hu6" hidden="1">{"'Sheet1'!$L$16"}</definedName>
    <definedName name="_______________________Lan1" hidden="1">{"'Sheet1'!$L$16"}</definedName>
    <definedName name="_______________________LAN3" hidden="1">{"'Sheet1'!$L$16"}</definedName>
    <definedName name="_______________________PA3" hidden="1">{"'Sheet1'!$L$16"}</definedName>
    <definedName name="_______________________TM2" hidden="1">{"'Sheet1'!$L$16"}</definedName>
    <definedName name="______________________a1" hidden="1">{"'Sheet1'!$L$16"}</definedName>
    <definedName name="______________________a129" hidden="1">{"Offgrid",#N/A,FALSE,"OFFGRID";"Region",#N/A,FALSE,"REGION";"Offgrid -2",#N/A,FALSE,"OFFGRID";"WTP",#N/A,FALSE,"WTP";"WTP -2",#N/A,FALSE,"WTP";"Project",#N/A,FALSE,"PROJECT";"Summary -2",#N/A,FALSE,"SUMMARY"}</definedName>
    <definedName name="______________________a130" hidden="1">{"Offgrid",#N/A,FALSE,"OFFGRID";"Region",#N/A,FALSE,"REGION";"Offgrid -2",#N/A,FALSE,"OFFGRID";"WTP",#N/A,FALSE,"WTP";"WTP -2",#N/A,FALSE,"WTP";"Project",#N/A,FALSE,"PROJECT";"Summary -2",#N/A,FALSE,"SUMMARY"}</definedName>
    <definedName name="______________________Goi8" hidden="1">{"'Sheet1'!$L$16"}</definedName>
    <definedName name="______________________hu1" hidden="1">{"'Sheet1'!$L$16"}</definedName>
    <definedName name="______________________hu2" hidden="1">{"'Sheet1'!$L$16"}</definedName>
    <definedName name="______________________hu5" hidden="1">{"'Sheet1'!$L$16"}</definedName>
    <definedName name="______________________hu6" hidden="1">{"'Sheet1'!$L$16"}</definedName>
    <definedName name="______________________Lan1" hidden="1">{"'Sheet1'!$L$16"}</definedName>
    <definedName name="______________________LAN3" hidden="1">{"'Sheet1'!$L$16"}</definedName>
    <definedName name="______________________PA3" hidden="1">{"'Sheet1'!$L$16"}</definedName>
    <definedName name="______________________TM2" hidden="1">{"'Sheet1'!$L$16"}</definedName>
    <definedName name="______________________tt3" hidden="1">{"'Sheet1'!$L$16"}</definedName>
    <definedName name="_____________________a1" hidden="1">{"'Sheet1'!$L$16"}</definedName>
    <definedName name="_____________________a129" hidden="1">{"Offgrid",#N/A,FALSE,"OFFGRID";"Region",#N/A,FALSE,"REGION";"Offgrid -2",#N/A,FALSE,"OFFGRID";"WTP",#N/A,FALSE,"WTP";"WTP -2",#N/A,FALSE,"WTP";"Project",#N/A,FALSE,"PROJECT";"Summary -2",#N/A,FALSE,"SUMMARY"}</definedName>
    <definedName name="_____________________a130" hidden="1">{"Offgrid",#N/A,FALSE,"OFFGRID";"Region",#N/A,FALSE,"REGION";"Offgrid -2",#N/A,FALSE,"OFFGRID";"WTP",#N/A,FALSE,"WTP";"WTP -2",#N/A,FALSE,"WTP";"Project",#N/A,FALSE,"PROJECT";"Summary -2",#N/A,FALSE,"SUMMARY"}</definedName>
    <definedName name="_____________________Goi8" hidden="1">{"'Sheet1'!$L$16"}</definedName>
    <definedName name="_____________________hu1" hidden="1">{"'Sheet1'!$L$16"}</definedName>
    <definedName name="_____________________hu2" hidden="1">{"'Sheet1'!$L$16"}</definedName>
    <definedName name="_____________________hu5" hidden="1">{"'Sheet1'!$L$16"}</definedName>
    <definedName name="_____________________hu6" hidden="1">{"'Sheet1'!$L$16"}</definedName>
    <definedName name="_____________________Lan1" hidden="1">{"'Sheet1'!$L$16"}</definedName>
    <definedName name="_____________________LAN3" hidden="1">{"'Sheet1'!$L$16"}</definedName>
    <definedName name="_____________________PA3" hidden="1">{"'Sheet1'!$L$16"}</definedName>
    <definedName name="_____________________TM2" hidden="1">{"'Sheet1'!$L$16"}</definedName>
    <definedName name="_____________________tt3" hidden="1">{"'Sheet1'!$L$16"}</definedName>
    <definedName name="____________________a1" hidden="1">{"'Sheet1'!$L$16"}</definedName>
    <definedName name="____________________a129" hidden="1">{"Offgrid",#N/A,FALSE,"OFFGRID";"Region",#N/A,FALSE,"REGION";"Offgrid -2",#N/A,FALSE,"OFFGRID";"WTP",#N/A,FALSE,"WTP";"WTP -2",#N/A,FALSE,"WTP";"Project",#N/A,FALSE,"PROJECT";"Summary -2",#N/A,FALSE,"SUMMARY"}</definedName>
    <definedName name="____________________a130" hidden="1">{"Offgrid",#N/A,FALSE,"OFFGRID";"Region",#N/A,FALSE,"REGION";"Offgrid -2",#N/A,FALSE,"OFFGRID";"WTP",#N/A,FALSE,"WTP";"WTP -2",#N/A,FALSE,"WTP";"Project",#N/A,FALSE,"PROJECT";"Summary -2",#N/A,FALSE,"SUMMARY"}</definedName>
    <definedName name="____________________Goi8" hidden="1">{"'Sheet1'!$L$16"}</definedName>
    <definedName name="____________________hu1" hidden="1">{"'Sheet1'!$L$16"}</definedName>
    <definedName name="____________________hu2" hidden="1">{"'Sheet1'!$L$16"}</definedName>
    <definedName name="____________________hu5" hidden="1">{"'Sheet1'!$L$16"}</definedName>
    <definedName name="____________________hu6" hidden="1">{"'Sheet1'!$L$16"}</definedName>
    <definedName name="____________________Lan1" hidden="1">{"'Sheet1'!$L$16"}</definedName>
    <definedName name="____________________LAN3" hidden="1">{"'Sheet1'!$L$16"}</definedName>
    <definedName name="____________________NCN15" hidden="1">{"'Sheet1'!$L$16"}</definedName>
    <definedName name="____________________PA3" hidden="1">{"'Sheet1'!$L$16"}</definedName>
    <definedName name="____________________TM2" hidden="1">{"'Sheet1'!$L$16"}</definedName>
    <definedName name="____________________tt3" hidden="1">{"'Sheet1'!$L$16"}</definedName>
    <definedName name="___________________a1" hidden="1">{"'Sheet1'!$L$16"}</definedName>
    <definedName name="___________________a129" hidden="1">{"Offgrid",#N/A,FALSE,"OFFGRID";"Region",#N/A,FALSE,"REGION";"Offgrid -2",#N/A,FALSE,"OFFGRID";"WTP",#N/A,FALSE,"WTP";"WTP -2",#N/A,FALSE,"WTP";"Project",#N/A,FALSE,"PROJECT";"Summary -2",#N/A,FALSE,"SUMMARY"}</definedName>
    <definedName name="___________________a130" hidden="1">{"Offgrid",#N/A,FALSE,"OFFGRID";"Region",#N/A,FALSE,"REGION";"Offgrid -2",#N/A,FALSE,"OFFGRID";"WTP",#N/A,FALSE,"WTP";"WTP -2",#N/A,FALSE,"WTP";"Project",#N/A,FALSE,"PROJECT";"Summary -2",#N/A,FALSE,"SUMMARY"}</definedName>
    <definedName name="___________________Goi8" hidden="1">{"'Sheet1'!$L$16"}</definedName>
    <definedName name="___________________hu1" hidden="1">{"'Sheet1'!$L$16"}</definedName>
    <definedName name="___________________hu2" hidden="1">{"'Sheet1'!$L$16"}</definedName>
    <definedName name="___________________hu5" hidden="1">{"'Sheet1'!$L$16"}</definedName>
    <definedName name="___________________hu6" hidden="1">{"'Sheet1'!$L$16"}</definedName>
    <definedName name="___________________Lan1" hidden="1">{"'Sheet1'!$L$16"}</definedName>
    <definedName name="___________________LAN3" hidden="1">{"'Sheet1'!$L$16"}</definedName>
    <definedName name="___________________NCN15" hidden="1">{"'Sheet1'!$L$16"}</definedName>
    <definedName name="___________________PA3" hidden="1">{"'Sheet1'!$L$16"}</definedName>
    <definedName name="___________________TM2" hidden="1">{"'Sheet1'!$L$16"}</definedName>
    <definedName name="___________________tt3" hidden="1">{"'Sheet1'!$L$16"}</definedName>
    <definedName name="__________________a1" hidden="1">{"'Sheet1'!$L$16"}</definedName>
    <definedName name="__________________a129" hidden="1">{"Offgrid",#N/A,FALSE,"OFFGRID";"Region",#N/A,FALSE,"REGION";"Offgrid -2",#N/A,FALSE,"OFFGRID";"WTP",#N/A,FALSE,"WTP";"WTP -2",#N/A,FALSE,"WTP";"Project",#N/A,FALSE,"PROJECT";"Summary -2",#N/A,FALSE,"SUMMARY"}</definedName>
    <definedName name="__________________a130" hidden="1">{"Offgrid",#N/A,FALSE,"OFFGRID";"Region",#N/A,FALSE,"REGION";"Offgrid -2",#N/A,FALSE,"OFFGRID";"WTP",#N/A,FALSE,"WTP";"WTP -2",#N/A,FALSE,"WTP";"Project",#N/A,FALSE,"PROJECT";"Summary -2",#N/A,FALSE,"SUMMARY"}</definedName>
    <definedName name="__________________Goi8"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Lan1" hidden="1">{"'Sheet1'!$L$16"}</definedName>
    <definedName name="__________________LAN3" hidden="1">{"'Sheet1'!$L$16"}</definedName>
    <definedName name="__________________NCN15" hidden="1">{"'Sheet1'!$L$16"}</definedName>
    <definedName name="__________________PA3" hidden="1">{"'Sheet1'!$L$16"}</definedName>
    <definedName name="__________________TM2" hidden="1">{"'Sheet1'!$L$16"}</definedName>
    <definedName name="__________________tt3" hidden="1">{"'Sheet1'!$L$16"}</definedName>
    <definedName name="_________________a1" hidden="1">{"'Sheet1'!$L$16"}</definedName>
    <definedName name="_________________a129" hidden="1">{"Offgrid",#N/A,FALSE,"OFFGRID";"Region",#N/A,FALSE,"REGION";"Offgrid -2",#N/A,FALSE,"OFFGRID";"WTP",#N/A,FALSE,"WTP";"WTP -2",#N/A,FALSE,"WTP";"Project",#N/A,FALSE,"PROJECT";"Summary -2",#N/A,FALSE,"SUMMARY"}</definedName>
    <definedName name="_________________a130" hidden="1">{"Offgrid",#N/A,FALSE,"OFFGRID";"Region",#N/A,FALSE,"REGION";"Offgrid -2",#N/A,FALSE,"OFFGRID";"WTP",#N/A,FALSE,"WTP";"WTP -2",#N/A,FALSE,"WTP";"Project",#N/A,FALSE,"PROJECT";"Summary -2",#N/A,FALSE,"SUMMARY"}</definedName>
    <definedName name="_________________Goi8"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KL3" hidden="1">{"'Sheet1'!$L$16"}</definedName>
    <definedName name="_________________Lan1" hidden="1">{"'Sheet1'!$L$16"}</definedName>
    <definedName name="_________________LAN3" hidden="1">{"'Sheet1'!$L$16"}</definedName>
    <definedName name="_________________NCN15" hidden="1">{"'Sheet1'!$L$16"}</definedName>
    <definedName name="_________________PA3" hidden="1">{"'Sheet1'!$L$16"}</definedName>
    <definedName name="_________________TM2" hidden="1">{"'Sheet1'!$L$16"}</definedName>
    <definedName name="_________________tt3" hidden="1">{"'Sheet1'!$L$16"}</definedName>
    <definedName name="________________a1" hidden="1">{"'Sheet1'!$L$16"}</definedName>
    <definedName name="________________a129" hidden="1">{"Offgrid",#N/A,FALSE,"OFFGRID";"Region",#N/A,FALSE,"REGION";"Offgrid -2",#N/A,FALSE,"OFFGRID";"WTP",#N/A,FALSE,"WTP";"WTP -2",#N/A,FALSE,"WTP";"Project",#N/A,FALSE,"PROJECT";"Summary -2",#N/A,FALSE,"SUMMARY"}</definedName>
    <definedName name="________________a130" hidden="1">{"Offgrid",#N/A,FALSE,"OFFGRID";"Region",#N/A,FALSE,"REGION";"Offgrid -2",#N/A,FALSE,"OFFGRID";"WTP",#N/A,FALSE,"WTP";"WTP -2",#N/A,FALSE,"WTP";"Project",#N/A,FALSE,"PROJECT";"Summary -2",#N/A,FALSE,"SUMMARY"}</definedName>
    <definedName name="________________a2" hidden="1">{"'Sheet1'!$L$16"}</definedName>
    <definedName name="________________Goi8"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KL3" hidden="1">{"'Sheet1'!$L$16"}</definedName>
    <definedName name="________________Lan1" hidden="1">{"'Sheet1'!$L$16"}</definedName>
    <definedName name="________________LAN3" hidden="1">{"'Sheet1'!$L$16"}</definedName>
    <definedName name="________________NCN15" hidden="1">{"'Sheet1'!$L$16"}</definedName>
    <definedName name="________________PA3" hidden="1">{"'Sheet1'!$L$16"}</definedName>
    <definedName name="________________TM2" hidden="1">{"'Sheet1'!$L$16"}</definedName>
    <definedName name="________________tt3" hidden="1">{"'Sheet1'!$L$16"}</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KL3" hidden="1">{"'Sheet1'!$L$16"}</definedName>
    <definedName name="_______________Lan1" hidden="1">{"'Sheet1'!$L$16"}</definedName>
    <definedName name="_______________LAN3" hidden="1">{"'Sheet1'!$L$16"}</definedName>
    <definedName name="_______________NCN15" hidden="1">{"'Sheet1'!$L$16"}</definedName>
    <definedName name="_______________PA3" hidden="1">{"'Sheet1'!$L$16"}</definedName>
    <definedName name="_______________TM2" hidden="1">{"'Sheet1'!$L$16"}</definedName>
    <definedName name="_______________tt3" hidden="1">{"'Sheet1'!$L$16"}</definedName>
    <definedName name="_______________VE32" hidden="1">{#N/A,#N/A,TRUE,"Str.";#N/A,#N/A,TRUE,"Steel &amp; Roof";#N/A,#N/A,TRUE,"Arc.";#N/A,#N/A,TRUE,"Preliminary";#N/A,#N/A,TRUE,"Sum_Prelim"}</definedName>
    <definedName name="______________a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a2" hidden="1">{"'Sheet1'!$L$16"}</definedName>
    <definedName name="______________Goi8"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KL3" hidden="1">{"'Sheet1'!$L$16"}</definedName>
    <definedName name="______________Lan1" hidden="1">{"'Sheet1'!$L$16"}</definedName>
    <definedName name="______________LAN3" hidden="1">{"'Sheet1'!$L$16"}</definedName>
    <definedName name="______________NCN15" hidden="1">{"'Sheet1'!$L$16"}</definedName>
    <definedName name="______________PA3" hidden="1">{"'Sheet1'!$L$16"}</definedName>
    <definedName name="______________TM2" hidden="1">{"'Sheet1'!$L$16"}</definedName>
    <definedName name="______________tt3" hidden="1">{"'Sheet1'!$L$16"}</definedName>
    <definedName name="_____________a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a2" hidden="1">{"'Sheet1'!$L$16"}</definedName>
    <definedName name="_____________Goi8"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y1" hidden="1">{"'Sheet1'!$L$16"}</definedName>
    <definedName name="_____________KL3" hidden="1">{"'Sheet1'!$L$16"}</definedName>
    <definedName name="_____________Lan1" hidden="1">{"'Sheet1'!$L$16"}</definedName>
    <definedName name="_____________LAN3" hidden="1">{"'Sheet1'!$L$16"}</definedName>
    <definedName name="_____________NCN15" hidden="1">{"'Sheet1'!$L$16"}</definedName>
    <definedName name="_____________PA3" hidden="1">{"'Sheet1'!$L$16"}</definedName>
    <definedName name="_____________TM2" hidden="1">{"'Sheet1'!$L$16"}</definedName>
    <definedName name="_____________tt3" hidden="1">{"'Sheet1'!$L$16"}</definedName>
    <definedName name="_____________VE32" hidden="1">{#N/A,#N/A,TRUE,"Str.";#N/A,#N/A,TRUE,"Steel &amp; Roof";#N/A,#N/A,TRUE,"Arc.";#N/A,#N/A,TRUE,"Preliminary";#N/A,#N/A,TRUE,"Sum_Prelim"}</definedName>
    <definedName name="____________a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a2" hidden="1">{"'Sheet1'!$L$16"}</definedName>
    <definedName name="____________CM1" hidden="1">{"'Sheet1'!$L$16"}</definedName>
    <definedName name="____________d1500" hidden="1">{"'Sheet1'!$L$16"}</definedName>
    <definedName name="____________Goi8" hidden="1">{"'Sheet1'!$L$16"}</definedName>
    <definedName name="____________h1" hidden="1">{"'Sheet1'!$L$16"}</definedName>
    <definedName name="____________hu1" hidden="1">{"'Sheet1'!$L$16"}</definedName>
    <definedName name="____________hu2" hidden="1">{"'Sheet1'!$L$16"}</definedName>
    <definedName name="____________hu5" hidden="1">{"'Sheet1'!$L$16"}</definedName>
    <definedName name="____________hu6" hidden="1">{"'Sheet1'!$L$16"}</definedName>
    <definedName name="____________KL3" hidden="1">{"'Sheet1'!$L$16"}</definedName>
    <definedName name="____________Lan1" hidden="1">{"'Sheet1'!$L$16"}</definedName>
    <definedName name="____________LAN3" hidden="1">{"'Sheet1'!$L$16"}</definedName>
    <definedName name="____________NCN15" hidden="1">{"'Sheet1'!$L$16"}</definedName>
    <definedName name="____________PA3" hidden="1">{"'Sheet1'!$L$16"}</definedName>
    <definedName name="____________TM2" hidden="1">{"'Sheet1'!$L$16"}</definedName>
    <definedName name="____________tt3" hidden="1">{"'Sheet1'!$L$16"}</definedName>
    <definedName name="____________VE32" hidden="1">{#N/A,#N/A,TRUE,"Str.";#N/A,#N/A,TRUE,"Steel &amp; Roof";#N/A,#N/A,TRUE,"Arc.";#N/A,#N/A,TRUE,"Preliminary";#N/A,#N/A,TRUE,"Sum_Prelim"}</definedName>
    <definedName name="___________a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hidden="1">{"'Sheet1'!$L$16"}</definedName>
    <definedName name="___________CT2" hidden="1">{"'Sheet1'!$L$16"}</definedName>
    <definedName name="___________d1500" hidden="1">{"'Sheet1'!$L$16"}</definedName>
    <definedName name="___________Goi8"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y1" hidden="1">{"'Sheet1'!$L$16"}</definedName>
    <definedName name="___________k9" hidden="1">{#N/A,#N/A,FALSE,"Chi tiÆt"}</definedName>
    <definedName name="___________KL3" hidden="1">{"'Sheet1'!$L$16"}</definedName>
    <definedName name="___________Lan1" hidden="1">{"'Sheet1'!$L$16"}</definedName>
    <definedName name="___________LAN3" hidden="1">{"'Sheet1'!$L$16"}</definedName>
    <definedName name="___________NCN15" hidden="1">{"'Sheet1'!$L$16"}</definedName>
    <definedName name="___________PA3" hidden="1">{"'Sheet1'!$L$16"}</definedName>
    <definedName name="___________pd10" hidden="1">{"'Summary'!$A$1:$J$46"}</definedName>
    <definedName name="___________PD11" hidden="1">{"'Summary'!$A$1:$J$46"}</definedName>
    <definedName name="___________pd12" hidden="1">{"'Summary'!$A$1:$J$46"}</definedName>
    <definedName name="___________pd9" hidden="1">{"'Summary'!$A$1:$J$46"}</definedName>
    <definedName name="___________SCL4" hidden="1">{"'Sheet1'!$L$16"}</definedName>
    <definedName name="___________SD30" hidden="1">{"'Summary'!$A$1:$J$46"}</definedName>
    <definedName name="___________sd31" hidden="1">{"'Summary'!$A$1:$J$46"}</definedName>
    <definedName name="___________TH02" hidden="1">{"'Sheet1'!$L$16"}</definedName>
    <definedName name="___________TM2" hidden="1">{"'Sheet1'!$L$16"}</definedName>
    <definedName name="___________tt3" hidden="1">{"'Sheet1'!$L$16"}</definedName>
    <definedName name="___________VLP2" hidden="1">{"'Sheet1'!$L$16"}</definedName>
    <definedName name="__________a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hidden="1">{"'Sheet1'!$L$16"}</definedName>
    <definedName name="__________CM1" hidden="1">{"'Sheet1'!$L$16"}</definedName>
    <definedName name="__________CT2" hidden="1">{"'Sheet1'!$L$16"}</definedName>
    <definedName name="__________d1500" hidden="1">{"'Sheet1'!$L$16"}</definedName>
    <definedName name="__________Goi8"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y1" hidden="1">{"'Sheet1'!$L$16"}</definedName>
    <definedName name="__________Huy2" hidden="1">{"'Sheet1'!$L$16"}</definedName>
    <definedName name="__________k9" hidden="1">{#N/A,#N/A,FALSE,"Chi tiÆt"}</definedName>
    <definedName name="__________KL3" hidden="1">{"'Sheet1'!$L$16"}</definedName>
    <definedName name="__________Lan1" hidden="1">{"'Sheet1'!$L$16"}</definedName>
    <definedName name="__________LAN3" hidden="1">{"'Sheet1'!$L$16"}</definedName>
    <definedName name="__________NCN15" hidden="1">{"'Sheet1'!$L$16"}</definedName>
    <definedName name="__________PA3" hidden="1">{"'Sheet1'!$L$16"}</definedName>
    <definedName name="__________pd10" hidden="1">{"'Summary'!$A$1:$J$46"}</definedName>
    <definedName name="__________PD11" hidden="1">{"'Summary'!$A$1:$J$46"}</definedName>
    <definedName name="__________SD30" hidden="1">{"'Summary'!$A$1:$J$46"}</definedName>
    <definedName name="__________TH02" hidden="1">{"'Sheet1'!$L$16"}</definedName>
    <definedName name="__________TM2" hidden="1">{"'Sheet1'!$L$16"}</definedName>
    <definedName name="__________tt3" hidden="1">{"'Sheet1'!$L$16"}</definedName>
    <definedName name="__________VE32" hidden="1">{#N/A,#N/A,TRUE,"Str.";#N/A,#N/A,TRUE,"Steel &amp; Roof";#N/A,#N/A,TRUE,"Arc.";#N/A,#N/A,TRUE,"Preliminary";#N/A,#N/A,TRUE,"Sum_Prelim"}</definedName>
    <definedName name="__________VLP2" hidden="1">{"'Sheet1'!$L$16"}</definedName>
    <definedName name="__________VTQ1" hidden="1">{"'Sheet1'!$L$16"}</definedName>
    <definedName name="_________a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CM1" hidden="1">{"'Sheet1'!$L$16"}</definedName>
    <definedName name="_________d1500" hidden="1">{"'Sheet1'!$L$16"}</definedName>
    <definedName name="_________Goi8"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y1" hidden="1">{"'Sheet1'!$L$16"}</definedName>
    <definedName name="_________Huy2" hidden="1">{"'Sheet1'!$L$16"}</definedName>
    <definedName name="_________KL3" hidden="1">{"'Sheet1'!$L$16"}</definedName>
    <definedName name="_________KM130" hidden="1">{"'Sheet1'!$L$16"}</definedName>
    <definedName name="_________Lan1" hidden="1">{"'Sheet1'!$L$16"}</definedName>
    <definedName name="_________LAN3" hidden="1">{"'Sheet1'!$L$16"}</definedName>
    <definedName name="_________NCN15" hidden="1">{"'Sheet1'!$L$16"}</definedName>
    <definedName name="_________NSO2" hidden="1">{"'Sheet1'!$L$16"}</definedName>
    <definedName name="_________PA3" hidden="1">{"'Sheet1'!$L$16"}</definedName>
    <definedName name="_________pd10" hidden="1">{"'Summary'!$A$1:$J$46"}</definedName>
    <definedName name="_________PD11" hidden="1">{"'Summary'!$A$1:$J$46"}</definedName>
    <definedName name="_________pd12" hidden="1">{"'Summary'!$A$1:$J$46"}</definedName>
    <definedName name="_________pd9" hidden="1">{"'Summary'!$A$1:$J$46"}</definedName>
    <definedName name="_________SCL4" hidden="1">{"'Sheet1'!$L$16"}</definedName>
    <definedName name="_________SD30" hidden="1">{"'Summary'!$A$1:$J$46"}</definedName>
    <definedName name="_________sd31" hidden="1">{"'Summary'!$A$1:$J$46"}</definedName>
    <definedName name="_________TM2" hidden="1">{"'Sheet1'!$L$16"}</definedName>
    <definedName name="_________tt3" hidden="1">{"'Sheet1'!$L$16"}</definedName>
    <definedName name="_________VE32" hidden="1">{#N/A,#N/A,TRUE,"Str.";#N/A,#N/A,TRUE,"Steel &amp; Roof";#N/A,#N/A,TRUE,"Arc.";#N/A,#N/A,TRUE,"Preliminary";#N/A,#N/A,TRUE,"Sum_Prelim"}</definedName>
    <definedName name="_________VTQ1" hidden="1">{"'Sheet1'!$L$16"}</definedName>
    <definedName name="________a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A6" hidden="1">{"'Sheet1'!$L$16"}</definedName>
    <definedName name="________CM1" hidden="1">{"'Sheet1'!$L$16"}</definedName>
    <definedName name="________CN1" hidden="1">{"'Sheet1'!$L$16"}</definedName>
    <definedName name="________CT2" hidden="1">{"'Sheet1'!$L$16"}</definedName>
    <definedName name="________d1500" hidden="1">{"'Sheet1'!$L$16"}</definedName>
    <definedName name="________Goi8" hidden="1">{"'Sheet1'!$L$16"}</definedName>
    <definedName name="________h1" hidden="1">{"'Sheet1'!$L$16"}</definedName>
    <definedName name="________h2" hidden="1">{"'Sheet1'!$L$16"}</definedName>
    <definedName name="________hu1" hidden="1">{"'Sheet1'!$L$16"}</definedName>
    <definedName name="________hu2" hidden="1">{"'Sheet1'!$L$16"}</definedName>
    <definedName name="________hu5" hidden="1">{"'Sheet1'!$L$16"}</definedName>
    <definedName name="________hu6" hidden="1">{"'Sheet1'!$L$16"}</definedName>
    <definedName name="________huy1" hidden="1">{"'Sheet1'!$L$16"}</definedName>
    <definedName name="________Huy2" hidden="1">{"'Sheet1'!$L$16"}</definedName>
    <definedName name="________k9" hidden="1">{#N/A,#N/A,FALSE,"Chi tiÆt"}</definedName>
    <definedName name="________KL3" hidden="1">{"'Sheet1'!$L$16"}</definedName>
    <definedName name="________KM130" hidden="1">{"'Sheet1'!$L$16"}</definedName>
    <definedName name="________Lan1" hidden="1">{"'Sheet1'!$L$16"}</definedName>
    <definedName name="________LAN3" hidden="1">{"'Sheet1'!$L$16"}</definedName>
    <definedName name="________MCC3" hidden="1">{#N/A,#N/A,FALSE,"CCTV"}</definedName>
    <definedName name="________NCN15" hidden="1">{"'Sheet1'!$L$16"}</definedName>
    <definedName name="________PA3" hidden="1">{"'Sheet1'!$L$16"}</definedName>
    <definedName name="________pd10" hidden="1">{"'Summary'!$A$1:$J$46"}</definedName>
    <definedName name="________PD11" hidden="1">{"'Summary'!$A$1:$J$46"}</definedName>
    <definedName name="________pd12" hidden="1">{"'Summary'!$A$1:$J$46"}</definedName>
    <definedName name="________pd9" hidden="1">{"'Summary'!$A$1:$J$46"}</definedName>
    <definedName name="________SCL4" hidden="1">{"'Sheet1'!$L$16"}</definedName>
    <definedName name="________SD30" hidden="1">{"'Summary'!$A$1:$J$46"}</definedName>
    <definedName name="________sd31" hidden="1">{"'Summary'!$A$1:$J$46"}</definedName>
    <definedName name="________td1" hidden="1">{"'Sheet1'!$L$16"}</definedName>
    <definedName name="________TH02" hidden="1">{"'Sheet1'!$L$16"}</definedName>
    <definedName name="________TM2" hidden="1">{"'Sheet1'!$L$16"}</definedName>
    <definedName name="________tt3" hidden="1">{"'Sheet1'!$L$16"}</definedName>
    <definedName name="________VE32" hidden="1">{#N/A,#N/A,TRUE,"Str.";#N/A,#N/A,TRUE,"Steel &amp; Roof";#N/A,#N/A,TRUE,"Arc.";#N/A,#N/A,TRUE,"Preliminary";#N/A,#N/A,TRUE,"Sum_Prelim"}</definedName>
    <definedName name="________VLP2" hidden="1">{"'Sheet1'!$L$16"}</definedName>
    <definedName name="________VTQ1" hidden="1">{"'Sheet1'!$L$16"}</definedName>
    <definedName name="_______a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A6" hidden="1">{"'Sheet1'!$L$16"}</definedName>
    <definedName name="_______BG12" hidden="1">{"'Sheet1'!$L$16"}</definedName>
    <definedName name="_______cep1" hidden="1">{"'Sheet1'!$L$16"}</definedName>
    <definedName name="_______CM1" hidden="1">{"'Sheet1'!$L$16"}</definedName>
    <definedName name="_______CT2" hidden="1">{"'Sheet1'!$L$16"}</definedName>
    <definedName name="_______d1500" hidden="1">{"'Sheet1'!$L$16"}</definedName>
    <definedName name="_______Goi8" hidden="1">{"'Sheet1'!$L$16"}</definedName>
    <definedName name="_______h1" hidden="1">{"'Sheet1'!$L$16"}</definedName>
    <definedName name="_______h2"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huy1" hidden="1">{"'Sheet1'!$L$16"}</definedName>
    <definedName name="_______Huy2" hidden="1">{"'Sheet1'!$L$16"}</definedName>
    <definedName name="_______k9" hidden="1">{#N/A,#N/A,FALSE,"Chi tiÆt"}</definedName>
    <definedName name="_______ke2" hidden="1">{"'Sheet1'!$L$16"}</definedName>
    <definedName name="_______KL3" hidden="1">{"'Sheet1'!$L$16"}</definedName>
    <definedName name="_______KM130" hidden="1">{"'Sheet1'!$L$16"}</definedName>
    <definedName name="_______Lan1" hidden="1">{"'Sheet1'!$L$16"}</definedName>
    <definedName name="_______Lan2" hidden="1">{"'Sheet1'!$L$16"}</definedName>
    <definedName name="_______LAN3" hidden="1">{"'Sheet1'!$L$16"}</definedName>
    <definedName name="_______ld2" hidden="1">{"'Sheet1'!$L$16"}</definedName>
    <definedName name="_______M36" hidden="1">{"'Sheet1'!$L$16"}</definedName>
    <definedName name="_______MCC3" hidden="1">{#N/A,#N/A,FALSE,"CCTV"}</definedName>
    <definedName name="_______NCN15" hidden="1">{"'Sheet1'!$L$16"}</definedName>
    <definedName name="_______NSO2" hidden="1">{"'Sheet1'!$L$16"}</definedName>
    <definedName name="_______PA3" hidden="1">{"'Sheet1'!$L$16"}</definedName>
    <definedName name="_______pd10" hidden="1">{"'Summary'!$A$1:$J$46"}</definedName>
    <definedName name="_______PD11" hidden="1">{"'Summary'!$A$1:$J$46"}</definedName>
    <definedName name="_______pd12" hidden="1">{"'Summary'!$A$1:$J$46"}</definedName>
    <definedName name="_______pd9" hidden="1">{"'Summary'!$A$1:$J$46"}</definedName>
    <definedName name="_______phu3" hidden="1">{"'Sheet1'!$L$16"}</definedName>
    <definedName name="_______SCL4" hidden="1">{"'Sheet1'!$L$16"}</definedName>
    <definedName name="_______SD30" hidden="1">{"'Summary'!$A$1:$J$46"}</definedName>
    <definedName name="_______sd31" hidden="1">{"'Summary'!$A$1:$J$46"}</definedName>
    <definedName name="_______TH02" hidden="1">{"'Sheet1'!$L$16"}</definedName>
    <definedName name="_______TH3" hidden="1">{"'Sheet1'!$L$16"}</definedName>
    <definedName name="_______TM2" hidden="1">{"'Sheet1'!$L$16"}</definedName>
    <definedName name="_______tt3" hidden="1">{"'Sheet1'!$L$16"}</definedName>
    <definedName name="_______VE32" hidden="1">{#N/A,#N/A,TRUE,"Str.";#N/A,#N/A,TRUE,"Steel &amp; Roof";#N/A,#N/A,TRUE,"Arc.";#N/A,#N/A,TRUE,"Preliminary";#N/A,#N/A,TRUE,"Sum_Prelim"}</definedName>
    <definedName name="_______VLP2" hidden="1">{"'Sheet1'!$L$16"}</definedName>
    <definedName name="______a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A6" hidden="1">{"'Sheet1'!$L$16"}</definedName>
    <definedName name="______CM1" hidden="1">{"'Sheet1'!$L$16"}</definedName>
    <definedName name="______CN1" hidden="1">{"'Sheet1'!$L$16"}</definedName>
    <definedName name="______CT2" hidden="1">{"'Sheet1'!$L$16"}</definedName>
    <definedName name="______d1500" hidden="1">{"'Sheet1'!$L$16"}</definedName>
    <definedName name="______Goi8" hidden="1">{"'Sheet1'!$L$16"}</definedName>
    <definedName name="______h1" hidden="1">{"'Sheet1'!$L$16"}</definedName>
    <definedName name="______h2" hidden="1">{"'Sheet1'!$L$16"}</definedName>
    <definedName name="______ha1"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huy1" hidden="1">{"'Sheet1'!$L$16"}</definedName>
    <definedName name="______Huy2" hidden="1">{"'Sheet1'!$L$16"}</definedName>
    <definedName name="______k9" hidden="1">{#N/A,#N/A,FALSE,"Chi tiÆt"}</definedName>
    <definedName name="______ke2" hidden="1">{"'Sheet1'!$L$16"}</definedName>
    <definedName name="______KL3" hidden="1">{"'Sheet1'!$L$16"}</definedName>
    <definedName name="______KM130" hidden="1">{"'Sheet1'!$L$16"}</definedName>
    <definedName name="______Lan1" hidden="1">{"'Sheet1'!$L$16"}</definedName>
    <definedName name="______Lan2" hidden="1">{"'Sheet1'!$L$16"}</definedName>
    <definedName name="______LAN3" hidden="1">{"'Sheet1'!$L$16"}</definedName>
    <definedName name="______ld2" hidden="1">{"'Sheet1'!$L$16"}</definedName>
    <definedName name="______M36" hidden="1">{"'Sheet1'!$L$16"}</definedName>
    <definedName name="______MCC3" hidden="1">{#N/A,#N/A,FALSE,"CCTV"}</definedName>
    <definedName name="______NCN15" hidden="1">{"'Sheet1'!$L$16"}</definedName>
    <definedName name="______NSO2" hidden="1">{"'Sheet1'!$L$16"}</definedName>
    <definedName name="______PA3" hidden="1">{"'Sheet1'!$L$16"}</definedName>
    <definedName name="______pd10" hidden="1">{"'Summary'!$A$1:$J$46"}</definedName>
    <definedName name="______PD11" hidden="1">{"'Summary'!$A$1:$J$46"}</definedName>
    <definedName name="______pd12" hidden="1">{"'Summary'!$A$1:$J$46"}</definedName>
    <definedName name="______pd9" hidden="1">{"'Summary'!$A$1:$J$46"}</definedName>
    <definedName name="______phu3" hidden="1">{"'Sheet1'!$L$16"}</definedName>
    <definedName name="______SCL4" hidden="1">{"'Sheet1'!$L$16"}</definedName>
    <definedName name="______SD30" hidden="1">{"'Summary'!$A$1:$J$46"}</definedName>
    <definedName name="______sd31" hidden="1">{"'Summary'!$A$1:$J$46"}</definedName>
    <definedName name="______td1" hidden="1">{"'Sheet1'!$L$16"}</definedName>
    <definedName name="______TH02" hidden="1">{"'Sheet1'!$L$16"}</definedName>
    <definedName name="______TH3" hidden="1">{"'Sheet1'!$L$16"}</definedName>
    <definedName name="______TM2" hidden="1">{"'Sheet1'!$L$16"}</definedName>
    <definedName name="______tt3" hidden="1">{"'Sheet1'!$L$16"}</definedName>
    <definedName name="______VE32" hidden="1">{#N/A,#N/A,TRUE,"Str.";#N/A,#N/A,TRUE,"Steel &amp; Roof";#N/A,#N/A,TRUE,"Arc.";#N/A,#N/A,TRUE,"Preliminary";#N/A,#N/A,TRUE,"Sum_Prelim"}</definedName>
    <definedName name="______VLP2" hidden="1">{"'Sheet1'!$L$16"}</definedName>
    <definedName name="______VTQ1" hidden="1">{"'Sheet1'!$L$16"}</definedName>
    <definedName name="______xlfn.BAHTTEXT" hidden="1">#NAME?</definedName>
    <definedName name="_____a1"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A4" hidden="1">{"'Sheet1'!$L$16"}</definedName>
    <definedName name="_____A6" hidden="1">{"'Sheet1'!$L$16"}</definedName>
    <definedName name="_____BG12" hidden="1">{"'Sheet1'!$L$16"}</definedName>
    <definedName name="_____cep1" hidden="1">{"'Sheet1'!$L$16"}</definedName>
    <definedName name="_____CM1" hidden="1">{"'Sheet1'!$L$16"}</definedName>
    <definedName name="_____CN1" hidden="1">{"'Sheet1'!$L$16"}</definedName>
    <definedName name="_____CT2" hidden="1">{"'Sheet1'!$L$16"}</definedName>
    <definedName name="_____d1500" hidden="1">{"'Sheet1'!$L$16"}</definedName>
    <definedName name="_____Goi7" hidden="1">{"'Sheet1'!$L$16"}</definedName>
    <definedName name="_____Goi8" hidden="1">{"'Sheet1'!$L$16"}</definedName>
    <definedName name="_____h1" hidden="1">{"'Sheet1'!$L$16"}</definedName>
    <definedName name="_____h2" hidden="1">{"'Sheet1'!$L$16"}</definedName>
    <definedName name="_____ha1" hidden="1">{"'Sheet1'!$L$16"}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huy1" hidden="1">{"'Sheet1'!$L$16"}</definedName>
    <definedName name="_____Huy2" hidden="1">{"'Sheet1'!$L$16"}</definedName>
    <definedName name="_____k9" hidden="1">{#N/A,#N/A,FALSE,"Chi tiÆt"}</definedName>
    <definedName name="_____ke2" hidden="1">{"'Sheet1'!$L$16"}</definedName>
    <definedName name="_____KM130" hidden="1">{"'Sheet1'!$L$16"}</definedName>
    <definedName name="_____Km635" hidden="1">{"'Sheet1'!$L$16"}</definedName>
    <definedName name="_____Lan1" hidden="1">{"'Sheet1'!$L$16"}</definedName>
    <definedName name="_____Lan2" hidden="1">{"'Sheet1'!$L$16"}</definedName>
    <definedName name="_____LAN3" hidden="1">{"'Sheet1'!$L$16"}</definedName>
    <definedName name="_____ld2" hidden="1">{"'Sheet1'!$L$16"}</definedName>
    <definedName name="_____M36" hidden="1">{"'Sheet1'!$L$16"}</definedName>
    <definedName name="_____MCC3" hidden="1">{#N/A,#N/A,FALSE,"CCTV"}</definedName>
    <definedName name="_____n23" hidden="1">{"'Sheet1'!$L$16"}</definedName>
    <definedName name="_____NCN15" hidden="1">{"'Sheet1'!$L$16"}</definedName>
    <definedName name="_____NSO2" hidden="1">{"'Sheet1'!$L$16"}</definedName>
    <definedName name="_____PA3" hidden="1">{"'Sheet1'!$L$16"}</definedName>
    <definedName name="_____pd10" hidden="1">{"'Summary'!$A$1:$J$46"}</definedName>
    <definedName name="_____PD11" hidden="1">{"'Summary'!$A$1:$J$46"}</definedName>
    <definedName name="_____pd12" hidden="1">{"'Summary'!$A$1:$J$46"}</definedName>
    <definedName name="_____pd9" hidden="1">{"'Summary'!$A$1:$J$46"}</definedName>
    <definedName name="_____phu3" hidden="1">{"'Sheet1'!$L$16"}</definedName>
    <definedName name="_____SCL4" hidden="1">{"'Sheet1'!$L$16"}</definedName>
    <definedName name="_____SD30" hidden="1">{"'Summary'!$A$1:$J$46"}</definedName>
    <definedName name="_____sd31" hidden="1">{"'Summary'!$A$1:$J$46"}</definedName>
    <definedName name="_____T9" hidden="1">{"'Sheet1'!$L$16"}</definedName>
    <definedName name="_____td1" hidden="1">{"'Sheet1'!$L$16"}</definedName>
    <definedName name="_____TH02" hidden="1">{"'Sheet1'!$L$16"}</definedName>
    <definedName name="_____TH3" hidden="1">{"'Sheet1'!$L$16"}</definedName>
    <definedName name="_____TM2" hidden="1">{"'Sheet1'!$L$16"}</definedName>
    <definedName name="_____tt3" hidden="1">{"'Sheet1'!$L$16"}</definedName>
    <definedName name="_____VE32" hidden="1">{#N/A,#N/A,TRUE,"Str.";#N/A,#N/A,TRUE,"Steel &amp; Roof";#N/A,#N/A,TRUE,"Arc.";#N/A,#N/A,TRUE,"Preliminary";#N/A,#N/A,TRUE,"Sum_Prelim"}</definedName>
    <definedName name="_____VLP2" hidden="1">{"'Sheet1'!$L$16"}</definedName>
    <definedName name="_____xlfn.BAHTTEXT" hidden="1">#NAME?</definedName>
    <definedName name="____1__123Graph_Aｸﾞﾗﾌ_1" hidden="1">#REF!</definedName>
    <definedName name="____10__123Graph_Xｸﾞﾗﾌ_5" hidden="1">#REF!</definedName>
    <definedName name="____2__123Graph_Aｸﾞﾗﾌ_2" hidden="1">#REF!</definedName>
    <definedName name="____3__123Graph_Aｸﾞﾗﾌ_3" hidden="1">#REF!</definedName>
    <definedName name="____4__123Graph_Aｸﾞﾗﾌ_4" hidden="1">#REF!</definedName>
    <definedName name="____5__123Graph_Aｸﾞﾗﾌ_5" hidden="1">#REF!</definedName>
    <definedName name="____6__123Graph_Xｸﾞﾗﾌ_1" hidden="1">#REF!</definedName>
    <definedName name="____7__123Graph_Xｸﾞﾗﾌ_2" hidden="1">#REF!</definedName>
    <definedName name="____8__123Graph_Xｸﾞﾗﾌ_3" hidden="1">#REF!</definedName>
    <definedName name="____9__123Graph_Xｸﾞﾗﾌ_4" hidden="1">#REF!</definedName>
    <definedName name="____a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a3" hidden="1">{"'Sheet1'!$L$16"}</definedName>
    <definedName name="____A4" hidden="1">{"'Sheet1'!$L$16"}</definedName>
    <definedName name="____A6" hidden="1">{"'Sheet1'!$L$16"}</definedName>
    <definedName name="____BG12" hidden="1">{"'Sheet1'!$L$16"}</definedName>
    <definedName name="____bia2" hidden="1">{"'Sheet1'!$L$16"}</definedName>
    <definedName name="____CM1" hidden="1">{"'Sheet1'!$L$16"}</definedName>
    <definedName name="____CT2" hidden="1">{"'Sheet1'!$L$16"}</definedName>
    <definedName name="____d1500" hidden="1">{"'Sheet1'!$L$16"}</definedName>
    <definedName name="____Goi7" hidden="1">{"'Sheet1'!$L$16"}</definedName>
    <definedName name="____Goi8" hidden="1">{"'Sheet1'!$L$16"}</definedName>
    <definedName name="____h1" hidden="1">{"'Sheet1'!$L$16"}</definedName>
    <definedName name="____h2" hidden="1">{"'Sheet1'!$L$16"}</definedName>
    <definedName name="____ha1"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Huy2" hidden="1">{"'Sheet1'!$L$16"}</definedName>
    <definedName name="____k9" hidden="1">{#N/A,#N/A,FALSE,"Chi tiÆt"}</definedName>
    <definedName name="____ke2" hidden="1">{"'Sheet1'!$L$16"}</definedName>
    <definedName name="____kl2" hidden="1">{"'Sheet1'!$L$16"}</definedName>
    <definedName name="____KL3" hidden="1">{"'Sheet1'!$L$16"}</definedName>
    <definedName name="____KM130" hidden="1">{"'Sheet1'!$L$16"}</definedName>
    <definedName name="____Km635" hidden="1">{"'Sheet1'!$L$16"}</definedName>
    <definedName name="____Lan1" hidden="1">{"'Sheet1'!$L$16"}</definedName>
    <definedName name="____Lan2" hidden="1">{"'Sheet1'!$L$16"}</definedName>
    <definedName name="____LAN3" hidden="1">{"'Sheet1'!$L$16"}</definedName>
    <definedName name="____ld2" hidden="1">{"'Sheet1'!$L$16"}</definedName>
    <definedName name="____LV46" hidden="1">{#N/A,#N/A,FALSE,"Chi tiÆt"}</definedName>
    <definedName name="____M36" hidden="1">{"'Sheet1'!$L$16"}</definedName>
    <definedName name="____MCC3" hidden="1">{#N/A,#N/A,FALSE,"CCTV"}</definedName>
    <definedName name="____n23" hidden="1">{"'Sheet1'!$L$16"}</definedName>
    <definedName name="____NCN15" hidden="1">{"'Sheet1'!$L$16"}</definedName>
    <definedName name="____NSO2" hidden="1">{"'Sheet1'!$L$16"}</definedName>
    <definedName name="____PA3" hidden="1">{"'Sheet1'!$L$16"}</definedName>
    <definedName name="____pd10" hidden="1">{"'Summary'!$A$1:$J$46"}</definedName>
    <definedName name="____PD11" hidden="1">{"'Summary'!$A$1:$J$46"}</definedName>
    <definedName name="____pd12" hidden="1">{"'Summary'!$A$1:$J$46"}</definedName>
    <definedName name="____pd9" hidden="1">{"'Summary'!$A$1:$J$46"}</definedName>
    <definedName name="____phu3" hidden="1">{"'Sheet1'!$L$16"}</definedName>
    <definedName name="____SCL4" hidden="1">{"'Sheet1'!$L$16"}</definedName>
    <definedName name="____SD30" hidden="1">{"'Summary'!$A$1:$J$46"}</definedName>
    <definedName name="____sd31" hidden="1">{"'Summary'!$A$1:$J$46"}</definedName>
    <definedName name="____t11" hidden="1">{#N/A,#N/A,FALSE,"Chi tiÆt"}</definedName>
    <definedName name="____T9" hidden="1">{"'Sheet1'!$L$16"}</definedName>
    <definedName name="____td1" hidden="1">{"'Sheet1'!$L$16"}</definedName>
    <definedName name="____TH02" hidden="1">{"'Sheet1'!$L$16"}</definedName>
    <definedName name="____TH3" hidden="1">{"'Sheet1'!$L$16"}</definedName>
    <definedName name="____TM2" hidden="1">{"'Sheet1'!$L$16"}</definedName>
    <definedName name="____tt3" hidden="1">{"'Sheet1'!$L$16"}</definedName>
    <definedName name="____VE32" hidden="1">{#N/A,#N/A,TRUE,"Str.";#N/A,#N/A,TRUE,"Steel &amp; Roof";#N/A,#N/A,TRUE,"Arc.";#N/A,#N/A,TRUE,"Preliminary";#N/A,#N/A,TRUE,"Sum_Prelim"}</definedName>
    <definedName name="____VLP2" hidden="1">{"'Sheet1'!$L$16"}</definedName>
    <definedName name="____xlfn.BAHTTEXT" hidden="1">#NAME?</definedName>
    <definedName name="___1__123Graph_Aｸﾞﾗﾌ_1" hidden="1">#REF!</definedName>
    <definedName name="___10__123Graph_Xｸﾞﾗﾌ_5" hidden="1">#REF!</definedName>
    <definedName name="___2__123Graph_Aｸﾞﾗﾌ_2" hidden="1">#REF!</definedName>
    <definedName name="___3__123Graph_Aｸﾞﾗﾌ_3" hidden="1">#REF!</definedName>
    <definedName name="___4__123Graph_Aｸﾞﾗﾌ_4" hidden="1">#REF!</definedName>
    <definedName name="___5__123Graph_Aｸﾞﾗﾌ_5" hidden="1">#REF!</definedName>
    <definedName name="___6__123Graph_Xｸﾞﾗﾌ_1" hidden="1">#REF!</definedName>
    <definedName name="___7__123Graph_Xｸﾞﾗﾌ_2" hidden="1">#REF!</definedName>
    <definedName name="___8__123Graph_Xｸﾞﾗﾌ_3" hidden="1">#REF!</definedName>
    <definedName name="___9__123Graph_Xｸﾞﾗﾌ_4" hidden="1">#REF!</definedName>
    <definedName name="___a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3" hidden="1">{"'Sheet1'!$L$16"}</definedName>
    <definedName name="___A4" hidden="1">{"'Sheet1'!$L$16"}</definedName>
    <definedName name="___A6" hidden="1">{"'Sheet1'!$L$16"}</definedName>
    <definedName name="___ba1" hidden="1">{#N/A,#N/A,FALSE,"Chi tiÆt"}</definedName>
    <definedName name="___bcn3" hidden="1">{"'Sheet1'!$L$16"}</definedName>
    <definedName name="___Bm2" hidden="1">{"'Sheet1'!$L$16"}</definedName>
    <definedName name="___cep1" hidden="1">{"'Sheet1'!$L$16"}</definedName>
    <definedName name="___CM1" hidden="1">{"'Sheet1'!$L$16"}</definedName>
    <definedName name="___CN1" hidden="1">{"'Sheet1'!$L$16"}</definedName>
    <definedName name="___coc15" hidden="1">{"'Sheet1'!$L$16"}</definedName>
    <definedName name="___Coc39" hidden="1">{"'Sheet1'!$L$16"}</definedName>
    <definedName name="___CT2" hidden="1">{"'Sheet1'!$L$16"}</definedName>
    <definedName name="___CT4" hidden="1">{"'Sheet1'!$L$16"}</definedName>
    <definedName name="___d1500" hidden="1">{"'Sheet1'!$L$16"}</definedName>
    <definedName name="___E1200" hidden="1">{"'Sheet1'!$L$16"}</definedName>
    <definedName name="___f5" hidden="1">{"'Sheet1'!$L$16"}</definedName>
    <definedName name="___Goi7" hidden="1">{"'Sheet1'!$L$16"}</definedName>
    <definedName name="___Goi8" hidden="1">{"'Sheet1'!$L$16"}</definedName>
    <definedName name="___h1" hidden="1">{"'Sheet1'!$L$16"}</definedName>
    <definedName name="___h2" hidden="1">{"'Sheet1'!$L$16"}</definedName>
    <definedName name="___ha1" hidden="1">{"'Sheet1'!$L$16"}</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huy1" hidden="1">{"'Sheet1'!$L$16"}</definedName>
    <definedName name="___Huy2" hidden="1">{"'Sheet1'!$L$16"}</definedName>
    <definedName name="___k27" hidden="1">{"'Sheet1'!$L$16"}</definedName>
    <definedName name="___k9" hidden="1">{#N/A,#N/A,FALSE,"Chi tiÆt"}</definedName>
    <definedName name="___ke2" hidden="1">{"'Sheet1'!$L$16"}</definedName>
    <definedName name="___km03" hidden="1">{"'Sheet1'!$L$16"}</definedName>
    <definedName name="___KM130" hidden="1">{"'Sheet1'!$L$16"}</definedName>
    <definedName name="___Km635" hidden="1">{"'Sheet1'!$L$16"}</definedName>
    <definedName name="___Lan1" hidden="1">{"'Sheet1'!$L$16"}</definedName>
    <definedName name="___Lan2" hidden="1">{"'Sheet1'!$L$16"}</definedName>
    <definedName name="___LAN3" hidden="1">{"'Sheet1'!$L$16"}</definedName>
    <definedName name="___ld2" hidden="1">{"'Sheet1'!$L$16"}</definedName>
    <definedName name="___lk2" hidden="1">{"'Sheet1'!$L$16"}</definedName>
    <definedName name="___M2" hidden="1">{"'Sheet1'!$L$16"}</definedName>
    <definedName name="___M36" hidden="1">{"'Sheet1'!$L$16"}</definedName>
    <definedName name="___MCC3" hidden="1">{#N/A,#N/A,FALSE,"CCTV"}</definedName>
    <definedName name="___MTL12" hidden="1">{"'Sheet1'!$L$16"}</definedName>
    <definedName name="___n23" hidden="1">{"'Sheet1'!$L$16"}</definedName>
    <definedName name="___NCN15" hidden="1">{"'Sheet1'!$L$16"}</definedName>
    <definedName name="___NSO2" hidden="1">{"'Sheet1'!$L$16"}</definedName>
    <definedName name="___PA3" hidden="1">{"'Sheet1'!$L$16"}</definedName>
    <definedName name="___pd10" hidden="1">{"'Summary'!$A$1:$J$46"}</definedName>
    <definedName name="___PD11" hidden="1">{"'Summary'!$A$1:$J$46"}</definedName>
    <definedName name="___pd12" hidden="1">{"'Summary'!$A$1:$J$46"}</definedName>
    <definedName name="___pd9" hidden="1">{"'Summary'!$A$1:$J$46"}</definedName>
    <definedName name="___phu2" hidden="1">{"'Sheet1'!$L$16"}</definedName>
    <definedName name="___phu3" hidden="1">{"'Sheet1'!$L$16"}</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SCL4" hidden="1">{"'Sheet1'!$L$16"}</definedName>
    <definedName name="___SD30" hidden="1">{"'Summary'!$A$1:$J$46"}</definedName>
    <definedName name="___sd31" hidden="1">{"'Summary'!$A$1:$J$46"}</definedName>
    <definedName name="___SHI1" hidden="1">{"'Sheet1'!$L$16"}</definedName>
    <definedName name="___T10" hidden="1">{"'Sheet1'!$L$16"}</definedName>
    <definedName name="___t4" hidden="1">#REF!</definedName>
    <definedName name="___T9" hidden="1">{"'Sheet1'!$L$16"}</definedName>
    <definedName name="___tb2" hidden="1">{"'Sheet1'!$L$16"}</definedName>
    <definedName name="___td1" hidden="1">{"'Sheet1'!$L$16"}</definedName>
    <definedName name="___TH02" hidden="1">{"'Sheet1'!$L$16"}</definedName>
    <definedName name="___TM2" hidden="1">{"'Sheet1'!$L$16"}</definedName>
    <definedName name="___tt3" hidden="1">{"'Sheet1'!$L$16"}</definedName>
    <definedName name="___TV2" hidden="1">{"'Sheet1'!$L$16"}</definedName>
    <definedName name="___VE1" hidden="1">{#N/A,#N/A,TRUE,"SUM";#N/A,#N/A,TRUE,"EE";#N/A,#N/A,TRUE,"AC";#N/A,#N/A,TRUE,"SN"}</definedName>
    <definedName name="___VE32" hidden="1">{#N/A,#N/A,TRUE,"Str.";#N/A,#N/A,TRUE,"Steel &amp; Roof";#N/A,#N/A,TRUE,"Arc.";#N/A,#N/A,TRUE,"Preliminary";#N/A,#N/A,TRUE,"Sum_Prelim"}</definedName>
    <definedName name="___VLP2" hidden="1">{"'Sheet1'!$L$16"}</definedName>
    <definedName name="___VT3" hidden="1">{"'Sheet1'!$L$16"}</definedName>
    <definedName name="___VTQ1" hidden="1">{"'Sheet1'!$L$16"}</definedName>
    <definedName name="___xlfn.BAHTTEXT" hidden="1">#NAME?</definedName>
    <definedName name="__1__123Graph_Aｸﾞﾗﾌ_1" hidden="1">#REF!</definedName>
    <definedName name="__10__123Graph_Aｸﾞﾗﾌ_5" hidden="1">#REF!</definedName>
    <definedName name="__10__123Graph_Xｸﾞﾗﾌ_5" hidden="1">#REF!</definedName>
    <definedName name="__12__123Graph_Xｸﾞﾗﾌ_1" hidden="1">#REF!</definedName>
    <definedName name="__123Graph_A" hidden="1">[1]Prboq!$E$1:$E$44</definedName>
    <definedName name="__123Graph_ACURRENT" hidden="1">[2]FitOutConfCentre!#REF!</definedName>
    <definedName name="__123Graph_B" hidden="1">#REF!</definedName>
    <definedName name="__123Graph_C" hidden="1">[1]Prboq!$G$1:$G$44</definedName>
    <definedName name="__123Graph_D" hidden="1">#REF!</definedName>
    <definedName name="__123Graph_E" hidden="1">#REF!</definedName>
    <definedName name="__123Graph_F" hidden="1">[1]Prboq!$I$1:$I$44</definedName>
    <definedName name="__123Graph_X" hidden="1">[1]Prboq!$D$1:$D$44</definedName>
    <definedName name="__14__123Graph_Xｸﾞﾗﾌ_2" hidden="1">#REF!</definedName>
    <definedName name="__16__123Graph_Xｸﾞﾗﾌ_3" hidden="1">#REF!</definedName>
    <definedName name="__18__123Graph_Xｸﾞﾗﾌ_4" hidden="1">#REF!</definedName>
    <definedName name="__2__123Graph_Aｸﾞﾗﾌ_1" hidden="1">#REF!</definedName>
    <definedName name="__2__123Graph_Aｸﾞﾗﾌ_2" hidden="1">#REF!</definedName>
    <definedName name="__20__123Graph_Xｸﾞﾗﾌ_5" hidden="1">#REF!</definedName>
    <definedName name="__3__123Graph_Aｸﾞﾗﾌ_3" hidden="1">#REF!</definedName>
    <definedName name="__4__123Graph_Aｸﾞﾗﾌ_2" hidden="1">#REF!</definedName>
    <definedName name="__4__123Graph_Aｸﾞﾗﾌ_4" hidden="1">#REF!</definedName>
    <definedName name="__4_0ten_" hidden="1">#REF!</definedName>
    <definedName name="__4_0xoa_" hidden="1">#REF!</definedName>
    <definedName name="__5__123Graph_Aｸﾞﾗﾌ_5" hidden="1">#REF!</definedName>
    <definedName name="__6__123Graph_Aｸﾞﾗﾌ_3" hidden="1">#REF!</definedName>
    <definedName name="__6__123Graph_Xｸﾞﾗﾌ_1" hidden="1">#REF!</definedName>
    <definedName name="__7__123Graph_Xｸﾞﾗﾌ_2" hidden="1">#REF!</definedName>
    <definedName name="__8__123Graph_Aｸﾞﾗﾌ_4" hidden="1">#REF!</definedName>
    <definedName name="__8__123Graph_Xｸﾞﾗﾌ_3" hidden="1">#REF!</definedName>
    <definedName name="__9__123Graph_Xｸﾞﾗﾌ_4" hidden="1">#REF!</definedName>
    <definedName name="__a1" hidden="1">{"'Sheet1'!$L$16"}</definedName>
    <definedName name="__a2" hidden="1">{"'Sheet1'!$L$16"}</definedName>
    <definedName name="__a3" hidden="1">{"'Sheet1'!$L$16"}</definedName>
    <definedName name="__A4" hidden="1">{"'Sheet1'!$L$16"}</definedName>
    <definedName name="__A6" hidden="1">{"'Sheet1'!$L$16"}</definedName>
    <definedName name="__ba1" hidden="1">{#N/A,#N/A,FALSE,"Chi tiÆt"}</definedName>
    <definedName name="__bcn3" hidden="1">{"'Sheet1'!$L$16"}</definedName>
    <definedName name="__BG12" hidden="1">{"'Sheet1'!$L$16"}</definedName>
    <definedName name="__bia2" hidden="1">{"'Sheet1'!$L$16"}</definedName>
    <definedName name="__BIA4" hidden="1">{"'Sheet1'!$L$16"}</definedName>
    <definedName name="__Bm2" hidden="1">{"'Sheet1'!$L$16"}</definedName>
    <definedName name="__cep1" hidden="1">{"'Sheet1'!$L$16"}</definedName>
    <definedName name="__CM1" hidden="1">{"'Sheet1'!$L$16"}</definedName>
    <definedName name="__CN1" hidden="1">{"'Sheet1'!$L$16"}</definedName>
    <definedName name="__coc15" hidden="1">{"'Sheet1'!$L$16"}</definedName>
    <definedName name="__Coc39" hidden="1">{"'Sheet1'!$L$16"}</definedName>
    <definedName name="__CT2" hidden="1">{"'Sheet1'!$L$16"}</definedName>
    <definedName name="__CT4" hidden="1">{"'Sheet1'!$L$16"}</definedName>
    <definedName name="__d1500" hidden="1">{"'Sheet1'!$L$16"}</definedName>
    <definedName name="__E1200" hidden="1">{"'Sheet1'!$L$16"}</definedName>
    <definedName name="__Goi7" hidden="1">{"'Sheet1'!$L$16"}</definedName>
    <definedName name="__Goi8" hidden="1">{"'Sheet1'!$L$16"}</definedName>
    <definedName name="__h1" hidden="1">{"'Sheet1'!$L$16"}</definedName>
    <definedName name="__h2"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tlFixup" hidden="1">TRUE</definedName>
    <definedName name="__IntlFixupTable" hidden="1">#REF!</definedName>
    <definedName name="__k27" hidden="1">{"'Sheet1'!$L$16"}</definedName>
    <definedName name="__k9" hidden="1">{#N/A,#N/A,FALSE,"Chi tiÆt"}</definedName>
    <definedName name="__ke2" hidden="1">{"'Sheet1'!$L$16"}</definedName>
    <definedName name="__key2" hidden="1">#REF!</definedName>
    <definedName name="__km03" hidden="1">{"'Sheet1'!$L$16"}</definedName>
    <definedName name="__KM130" hidden="1">{"'Sheet1'!$L$16"}</definedName>
    <definedName name="__Km635" hidden="1">{"'Sheet1'!$L$16"}</definedName>
    <definedName name="__Lan1" hidden="1">{"'Sheet1'!$L$16"}</definedName>
    <definedName name="__Lan2" hidden="1">{"'Sheet1'!$L$16"}</definedName>
    <definedName name="__LAN3" hidden="1">{"'Sheet1'!$L$16"}</definedName>
    <definedName name="__ld2" hidden="1">{"'Sheet1'!$L$16"}</definedName>
    <definedName name="__lk2" hidden="1">{"'Sheet1'!$L$16"}</definedName>
    <definedName name="__LV46" hidden="1">{#N/A,#N/A,FALSE,"Chi tiÆt"}</definedName>
    <definedName name="__M2" hidden="1">{"'Sheet1'!$L$16"}</definedName>
    <definedName name="__M36" hidden="1">{"'Sheet1'!$L$16"}</definedName>
    <definedName name="__MCC3" hidden="1">{#N/A,#N/A,FALSE,"CCTV"}</definedName>
    <definedName name="__MTL12" hidden="1">{"'Sheet1'!$L$16"}</definedName>
    <definedName name="__n23" hidden="1">{"'Sheet1'!$L$16"}</definedName>
    <definedName name="__NB29" hidden="1">{"'Sheet1'!$L$16"}</definedName>
    <definedName name="__NCN15" hidden="1">{"'Sheet1'!$L$16"}</definedName>
    <definedName name="__NSO2" hidden="1">{"'Sheet1'!$L$16"}</definedName>
    <definedName name="__NT2" hidden="1">{"'Sheet1'!$L$16"}</definedName>
    <definedName name="__p01" hidden="1">{"'Sheet1'!$L$16"}</definedName>
    <definedName name="__P3" hidden="1">{#N/A,#N/A,FALSE,"特殊室（ＢＱ表）"}</definedName>
    <definedName name="__PA3" hidden="1">{"'Sheet1'!$L$16"}</definedName>
    <definedName name="__pa4" hidden="1">{"'Sheet1'!$L$16"}</definedName>
    <definedName name="__pd10" hidden="1">{"'Summary'!$A$1:$J$46"}</definedName>
    <definedName name="__PD11" hidden="1">{"'Summary'!$A$1:$J$46"}</definedName>
    <definedName name="__pd12" hidden="1">{"'Summary'!$A$1:$J$46"}</definedName>
    <definedName name="__pd9" hidden="1">{"'Summary'!$A$1:$J$46"}</definedName>
    <definedName name="__phu2" hidden="1">{"'Sheet1'!$L$16"}</definedName>
    <definedName name="__phu3" hidden="1">{"'Sheet1'!$L$16"}</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san2" hidden="1">{#N/A,#N/A,TRUE,"SUM";#N/A,#N/A,TRUE,"EE";#N/A,#N/A,TRUE,"AC";#N/A,#N/A,TRUE,"SN"}</definedName>
    <definedName name="__SCL4" hidden="1">{"'Sheet1'!$L$16"}</definedName>
    <definedName name="__SD30" hidden="1">{"'Summary'!$A$1:$J$46"}</definedName>
    <definedName name="__sd31" hidden="1">{"'Summary'!$A$1:$J$46"}</definedName>
    <definedName name="__Sort" hidden="1">#REF!</definedName>
    <definedName name="__T10" hidden="1">{"'Sheet1'!$L$16"}</definedName>
    <definedName name="__t11" hidden="1">{#N/A,#N/A,FALSE,"Chi tiÆt"}</definedName>
    <definedName name="__T12" hidden="1">{"'Sheet1'!$L$16"}</definedName>
    <definedName name="__t4" hidden="1">#REF!</definedName>
    <definedName name="__T9" hidden="1">{"'Sheet1'!$L$16"}</definedName>
    <definedName name="__tb2" hidden="1">{"'Sheet1'!$L$16"}</definedName>
    <definedName name="__td1" hidden="1">{"'Sheet1'!$L$16"}</definedName>
    <definedName name="__TH02" hidden="1">{"'Sheet1'!$L$16"}</definedName>
    <definedName name="__TH20004" hidden="1">{"'Sheet1'!$L$16"}</definedName>
    <definedName name="__th24" hidden="1">{"'Sheet1'!$L$16"}</definedName>
    <definedName name="__TM2" hidden="1">{"'Sheet1'!$L$16"}</definedName>
    <definedName name="__TO14" hidden="1">{"'Sheet1'!$L$16"}</definedName>
    <definedName name="__tt3" hidden="1">{"'Sheet1'!$L$16"}</definedName>
    <definedName name="__TV2" hidden="1">{"'Sheet1'!$L$16"}</definedName>
    <definedName name="__VE1" hidden="1">{#N/A,#N/A,TRUE,"SUM";#N/A,#N/A,TRUE,"EE";#N/A,#N/A,TRUE,"AC";#N/A,#N/A,TRUE,"SN"}</definedName>
    <definedName name="__VE32" hidden="1">{#N/A,#N/A,TRUE,"Str.";#N/A,#N/A,TRUE,"Steel &amp; Roof";#N/A,#N/A,TRUE,"Arc.";#N/A,#N/A,TRUE,"Preliminary";#N/A,#N/A,TRUE,"Sum_Prelim"}</definedName>
    <definedName name="__vl3" hidden="1">{"'Sheet1'!$L$16"}</definedName>
    <definedName name="__VLP2" hidden="1">{"'Sheet1'!$L$16"}</definedName>
    <definedName name="__VT3" hidden="1">{"'Sheet1'!$L$16"}</definedName>
    <definedName name="__VTQ1" hidden="1">{"'Sheet1'!$L$16"}</definedName>
    <definedName name="__xlcn.WorksheetConnection_App_totalC3J41" hidden="1">#REF!</definedName>
    <definedName name="__xlfn.BAHTTEXT" hidden="1">#NAME?</definedName>
    <definedName name="__xlfn.IFERROR" hidden="1">#NAME?</definedName>
    <definedName name="_1_____0ten_" hidden="1">#REF!</definedName>
    <definedName name="_1__123Graph_ACHART_1" hidden="1">#REF!</definedName>
    <definedName name="_1__123Graph_Aｸﾞﾗﾌ_1" hidden="1">#REF!</definedName>
    <definedName name="_1_0__123Grap" hidden="1">#REF!</definedName>
    <definedName name="_1_0ten_" hidden="1">#REF!</definedName>
    <definedName name="_10__123Graph_Aｸﾞﾗﾌ_5" hidden="1">#REF!</definedName>
    <definedName name="_10__123Graph_Xｸﾞﾗﾌ_1" hidden="1">#REF!</definedName>
    <definedName name="_10__123Graph_Xｸﾞﾗﾌ_5" hidden="1">#REF!</definedName>
    <definedName name="_10_0ten_" hidden="1">#REF!</definedName>
    <definedName name="_10_0xoa_" hidden="1">#REF!</definedName>
    <definedName name="_100__123Graph_Xｸﾞﾗﾌ_3" hidden="1">#REF!</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__123Graph_Xｸﾞﾗﾌ_2" hidden="1">#REF!</definedName>
    <definedName name="_112__123Graph_Xｸﾞﾗﾌ_5" hidden="1">#REF!</definedName>
    <definedName name="_116__123Graph_Xｸﾞﾗﾌ_1" hidden="1">#REF!</definedName>
    <definedName name="_11HTML_Tit_e" hidden="1">"00Q2961-SUM"</definedName>
    <definedName name="_12__123Graph_A????_2" hidden="1">#REF!</definedName>
    <definedName name="_12__123Graph_Xｸﾞﾗﾌ_1" hidden="1">#REF!</definedName>
    <definedName name="_12__123Graph_Xｸﾞﾗﾌ_3" hidden="1">#REF!</definedName>
    <definedName name="_123Graph_F" hidden="1">[3]escon!#REF!</definedName>
    <definedName name="_124__123Graph_Xｸﾞﾗﾌ_2" hidden="1">#REF!</definedName>
    <definedName name="_13__123Graph_Xｸﾞﾗﾌ_4" hidden="1">#REF!</definedName>
    <definedName name="_132__123Graph_Xｸﾞﾗﾌ_3" hidden="1">#REF!</definedName>
    <definedName name="_14__123Graph_Xｸﾞﾗﾌ_2" hidden="1">#REF!</definedName>
    <definedName name="_14__123Graph_Xｸﾞﾗﾌ_5" hidden="1">#REF!</definedName>
    <definedName name="_14_0xoa_" hidden="1">#REF!</definedName>
    <definedName name="_140__123Graph_Xｸﾞﾗﾌ_4" hidden="1">#REF!</definedName>
    <definedName name="_148__123Graph_Xｸﾞﾗﾌ_5" hidden="1">#REF!</definedName>
    <definedName name="_16__123Graph_Xｸﾞﾗﾌ_3" hidden="1">#REF!</definedName>
    <definedName name="_17__123Graph_A????_1" hidden="1">#REF!</definedName>
    <definedName name="_17__123Graph_A????_3" hidden="1">#REF!</definedName>
    <definedName name="_18__123Graph_Xｸﾞﾗﾌ_4" hidden="1">#REF!</definedName>
    <definedName name="_1HTML_Descrip_ion" hidden="1">""</definedName>
    <definedName name="_1HTML_Tit_e" hidden="1">"00Q2961-SUM"</definedName>
    <definedName name="_1P3_" hidden="1">{#N/A,#N/A,FALSE,"特殊室（ＢＱ表）"}</definedName>
    <definedName name="_2_____0xoa_" hidden="1">#REF!</definedName>
    <definedName name="_2__123Graph_ACHART_2" hidden="1">#REF!</definedName>
    <definedName name="_2__123Graph_Aｸﾞﾗﾌ_1" hidden="1">#REF!</definedName>
    <definedName name="_2__123Graph_Aｸﾞﾗﾌ_2" hidden="1">#REF!</definedName>
    <definedName name="_2_0ten_" hidden="1">#REF!</definedName>
    <definedName name="_2_0xoa_" hidden="1">#REF!</definedName>
    <definedName name="_20__123Graph_Xｸﾞﾗﾌ_5" hidden="1">#REF!</definedName>
    <definedName name="_20_0xoa_" hidden="1">#REF!</definedName>
    <definedName name="_21__123Graph_A????_2" hidden="1">#REF!</definedName>
    <definedName name="_22__123Graph_A????_4" hidden="1">#REF!</definedName>
    <definedName name="_23__123Graph_A????_1" hidden="1">#REF!</definedName>
    <definedName name="_25__123Graph_A????_3" hidden="1">#REF!</definedName>
    <definedName name="_27__123Graph_A????_5" hidden="1">#REF!</definedName>
    <definedName name="_28__123Graph_A????_2" hidden="1">#REF!</definedName>
    <definedName name="_29__123Graph_A????_4" hidden="1">#REF!</definedName>
    <definedName name="_3____0ten_" hidden="1">#REF!</definedName>
    <definedName name="_3__123Graph_Aｸﾞﾗﾌ_1" hidden="1">#REF!</definedName>
    <definedName name="_3__123Graph_Aｸﾞﾗﾌ_3" hidden="1">#REF!</definedName>
    <definedName name="_3__123Graph_XCHART_1" hidden="1">#REF!</definedName>
    <definedName name="_3_0ten_" hidden="1">#REF!</definedName>
    <definedName name="_33__123Graph_A????_3" hidden="1">#REF!</definedName>
    <definedName name="_33__123Graph_A????_5" hidden="1">#REF!</definedName>
    <definedName name="_33__123Graph_Aｸﾞﾗﾌ_1" hidden="1">#REF!</definedName>
    <definedName name="_38__123Graph_A????_4" hidden="1">#REF!</definedName>
    <definedName name="_38__123Graph_Aｸﾞﾗﾌ_1" hidden="1">#REF!</definedName>
    <definedName name="_39__123Graph_Aｸﾞﾗﾌ_2" hidden="1">#REF!</definedName>
    <definedName name="_3HTML_Tit_e" hidden="1">"00Q2961-SUM"</definedName>
    <definedName name="_4____0xoa_" hidden="1">#REF!</definedName>
    <definedName name="_4__123Graph_Aｸﾞﾗﾌ_2" hidden="1">#REF!</definedName>
    <definedName name="_4__123Graph_Aｸﾞﾗﾌ_4" hidden="1">#REF!</definedName>
    <definedName name="_4__123Graph_XCHART_2" hidden="1">#REF!</definedName>
    <definedName name="_4_0ten_" hidden="1">#REF!</definedName>
    <definedName name="_4_0xoa_" hidden="1">#REF!</definedName>
    <definedName name="_43__123Graph_A????_5" hidden="1">#REF!</definedName>
    <definedName name="_43__123Graph_Aｸﾞﾗﾌ_2" hidden="1">#REF!</definedName>
    <definedName name="_45__123Graph_Aｸﾞﾗﾌ_3" hidden="1">#REF!</definedName>
    <definedName name="_48__123Graph_Aｸﾞﾗﾌ_3" hidden="1">#REF!</definedName>
    <definedName name="_4HTML_Descrip_ion" hidden="1">""</definedName>
    <definedName name="_5___0ten_" hidden="1">#REF!</definedName>
    <definedName name="_5__123Graph_Aｸﾞﾗﾌ_3" hidden="1">#REF!</definedName>
    <definedName name="_5__123Graph_Aｸﾞﾗﾌ_5" hidden="1">#REF!</definedName>
    <definedName name="_5_0ten_" hidden="1">#REF!</definedName>
    <definedName name="_51__123Graph_Aｸﾞﾗﾌ_1" hidden="1">#REF!</definedName>
    <definedName name="_51__123Graph_Aｸﾞﾗﾌ_4" hidden="1">#REF!</definedName>
    <definedName name="_53__123Graph_Aｸﾞﾗﾌ_4" hidden="1">#REF!</definedName>
    <definedName name="_57__123Graph_Aｸﾞﾗﾌ_5" hidden="1">#REF!</definedName>
    <definedName name="_58__123Graph_Aｸﾞﾗﾌ_5" hidden="1">#REF!</definedName>
    <definedName name="_59__123Graph_Aｸﾞﾗﾌ_2" hidden="1">#REF!</definedName>
    <definedName name="_6___0xoa_" hidden="1">#REF!</definedName>
    <definedName name="_6__123Graph_Aｸﾞﾗﾌ_3" hidden="1">#REF!</definedName>
    <definedName name="_6__123Graph_Aｸﾞﾗﾌ_4" hidden="1">#REF!</definedName>
    <definedName name="_6__123Graph_Xｸﾞﾗﾌ_1" hidden="1">#REF!</definedName>
    <definedName name="_6_0xoa_" hidden="1">#REF!</definedName>
    <definedName name="_62__123Graph_X????_1" hidden="1">#REF!</definedName>
    <definedName name="_66__123Graph_X????_2" hidden="1">#REF!</definedName>
    <definedName name="_67__123Graph_Aｸﾞﾗﾌ_3" hidden="1">#REF!</definedName>
    <definedName name="_67__123Graph_X????_2" hidden="1">#REF!</definedName>
    <definedName name="_7__123Graph_A????_1" hidden="1">#REF!</definedName>
    <definedName name="_7__123Graph_Aｸﾞﾗﾌ_5" hidden="1">#REF!</definedName>
    <definedName name="_7__123Graph_Xｸﾞﾗﾌ_2" hidden="1">#REF!</definedName>
    <definedName name="_70__123Graph_X????_3" hidden="1">#REF!</definedName>
    <definedName name="_72__123Graph_X????_3" hidden="1">#REF!</definedName>
    <definedName name="_74__123Graph_X????_4" hidden="1">#REF!</definedName>
    <definedName name="_75__123Graph_Aｸﾞﾗﾌ_4" hidden="1">#REF!</definedName>
    <definedName name="_77__123Graph_X????_4" hidden="1">#REF!</definedName>
    <definedName name="_78__123Graph_X????_5" hidden="1">#REF!</definedName>
    <definedName name="_8__123Graph_Aｸﾞﾗﾌ_4" hidden="1">#REF!</definedName>
    <definedName name="_8__123Graph_XCHART_1" hidden="1">#REF!</definedName>
    <definedName name="_8__123Graph_Xｸﾞﾗﾌ_3" hidden="1">#REF!</definedName>
    <definedName name="_8_0xoa_" hidden="1">#REF!</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ｸﾞﾗﾌ_1" hidden="1">#REF!</definedName>
    <definedName name="_88__123Graph_Xｸﾞﾗﾌ_2" hidden="1">#REF!</definedName>
    <definedName name="_9__123Graph_XCHART_2" hidden="1">#REF!</definedName>
    <definedName name="_9__123Graph_Xｸﾞﾗﾌ_4" hidden="1">#REF!</definedName>
    <definedName name="_93__123Graph_X????_2" hidden="1">#REF!</definedName>
    <definedName name="_93__123Graph_Xｸﾞﾗﾌ_3" hidden="1">#REF!</definedName>
    <definedName name="_94__123Graph_Xｸﾞﾗﾌ_2" hidden="1">#REF!</definedName>
    <definedName name="_98__123Graph_X????_3" hidden="1">#REF!</definedName>
    <definedName name="_98__123Graph_Xｸﾞﾗﾌ_4" hidden="1">#REF!</definedName>
    <definedName name="_a1" localSheetId="6" hidden="1">{"'Sheet1'!$L$16"}</definedName>
    <definedName name="_a121" hidden="1">{"Offgrid",#N/A,FALSE,"OFFGRID";"Region",#N/A,FALSE,"REGION";"Offgrid -2",#N/A,FALSE,"OFFGRID";"WTP",#N/A,FALSE,"WTP";"WTP -2",#N/A,FALSE,"WTP";"Project",#N/A,FALSE,"PROJECT";"Summary -2",#N/A,FALSE,"SUMMARY"}</definedName>
    <definedName name="_a2" hidden="1">{"'Sheet1'!$L$16"}</definedName>
    <definedName name="_a3" hidden="1">{"'Sheet1'!$L$16"}</definedName>
    <definedName name="_A4" hidden="1">{"'Sheet1'!$L$16"}</definedName>
    <definedName name="_A6" hidden="1">{"'Sheet1'!$L$16"}</definedName>
    <definedName name="_AA1" hidden="1">{#N/A,#N/A,TRUE,"SUM";#N/A,#N/A,TRUE,"EE";#N/A,#N/A,TRUE,"AC";#N/A,#N/A,TRUE,"SN"}</definedName>
    <definedName name="_b1" hidden="1">{"'Sheet1'!$L$16"}</definedName>
    <definedName name="_b129" hidden="1">{"Offgrid",#N/A,FALSE,"OFFGRID";"Region",#N/A,FALSE,"REGION";"Offgrid -2",#N/A,FALSE,"OFFGRID";"WTP",#N/A,FALSE,"WTP";"WTP -2",#N/A,FALSE,"WTP";"Project",#N/A,FALSE,"PROJECT";"Summary -2",#N/A,FALSE,"SUMMARY"}</definedName>
    <definedName name="_ba1" hidden="1">{#N/A,#N/A,FALSE,"Chi tiÆt"}</definedName>
    <definedName name="_ban2" hidden="1">{"'Sheet1'!$L$16"}</definedName>
    <definedName name="_bcn3" hidden="1">{"'Sheet1'!$L$16"}</definedName>
    <definedName name="_BIA4" hidden="1">{"'Sheet1'!$L$16"}</definedName>
    <definedName name="_Bm2" hidden="1">{"'Sheet1'!$L$16"}</definedName>
    <definedName name="_Builtin0" hidden="1">#REF!</definedName>
    <definedName name="_Builtin155" hidden="1">#N/A</definedName>
    <definedName name="_cep1" hidden="1">{"'Sheet1'!$L$16"}</definedName>
    <definedName name="_CM1" hidden="1">{"'Sheet1'!$L$16"}</definedName>
    <definedName name="_coc15" hidden="1">{"'Sheet1'!$L$16"}</definedName>
    <definedName name="_Coc39" hidden="1">{"'Sheet1'!$L$16"}</definedName>
    <definedName name="_CP31" hidden="1">{"'Sheet1'!$L$16"}</definedName>
    <definedName name="_CT2" hidden="1">{"'Sheet1'!$L$16"}</definedName>
    <definedName name="_CT4" hidden="1">{"'Sheet1'!$L$16"}</definedName>
    <definedName name="_Cty501" hidden="1">{"'Sheet1'!$L$16"}</definedName>
    <definedName name="_d1500" hidden="1">{"'Sheet1'!$L$16"}</definedName>
    <definedName name="_DG1" hidden="1">{"'Sheet1'!$L$16"}</definedName>
    <definedName name="_E1200" hidden="1">{"'Sheet1'!$L$16"}</definedName>
    <definedName name="_F1" hidden="1">{"'Sheet1'!$L$16"}</definedName>
    <definedName name="_f5" hidden="1">{"'Sheet1'!$L$16"}</definedName>
    <definedName name="_Fill" localSheetId="6" hidden="1">#REF!</definedName>
    <definedName name="_Fill" hidden="1">#REF!</definedName>
    <definedName name="_Fill1" hidden="1">#REF!</definedName>
    <definedName name="_Fill2" hidden="1">#REF!</definedName>
    <definedName name="_FillVal" hidden="1">#REF!</definedName>
    <definedName name="_xlnm._FilterDatabase" localSheetId="6" hidden="1">#REF!</definedName>
    <definedName name="_xlnm._FilterDatabase" hidden="1">#REF!</definedName>
    <definedName name="_Goi7" hidden="1">{"'Sheet1'!$L$16"}</definedName>
    <definedName name="_Goi8" hidden="1">{"'Sheet1'!$L$16"}</definedName>
    <definedName name="_h1" hidden="1">{"'Sheet1'!$L$16"}</definedName>
    <definedName name="_ht10" hidden="1">{"'Sheet1'!$L$16"}</definedName>
    <definedName name="_hu1" hidden="1">{"'Sheet1'!$L$16"}</definedName>
    <definedName name="_hu2" hidden="1">{"'Sheet1'!$L$16"}</definedName>
    <definedName name="_hu5" hidden="1">{"'Sheet1'!$L$16"}</definedName>
    <definedName name="_hu6" hidden="1">{"'Sheet1'!$L$16"}</definedName>
    <definedName name="_hu7" hidden="1">{"'Sheet1'!$L$16"}</definedName>
    <definedName name="_huy1" hidden="1">{"'Sheet1'!$L$16"}</definedName>
    <definedName name="_Huy2" hidden="1">{"'Sheet1'!$L$16"}</definedName>
    <definedName name="_k27" hidden="1">{"'Sheet1'!$L$16"}</definedName>
    <definedName name="_k9" hidden="1">{#N/A,#N/A,FALSE,"Chi tiÆt"}</definedName>
    <definedName name="_ke2" hidden="1">{"'Sheet1'!$L$16"}</definedName>
    <definedName name="_Key1" localSheetId="6" hidden="1">#REF!</definedName>
    <definedName name="_Key1" hidden="1">#REF!</definedName>
    <definedName name="_Key2" localSheetId="6" hidden="1">#REF!</definedName>
    <definedName name="_Key2" hidden="1">#REF!</definedName>
    <definedName name="_key3" hidden="1">#REF!</definedName>
    <definedName name="_km03" hidden="1">{"'Sheet1'!$L$16"}</definedName>
    <definedName name="_KM130" hidden="1">{"'Sheet1'!$L$16"}</definedName>
    <definedName name="_Km635" hidden="1">{"'Sheet1'!$L$16"}</definedName>
    <definedName name="_KS2" hidden="1">{"'Sheet1'!$L$16"}</definedName>
    <definedName name="_Lan1" localSheetId="6" hidden="1">{"'Sheet1'!$L$16"}</definedName>
    <definedName name="_Lan2" hidden="1">{"'Sheet1'!$L$16"}</definedName>
    <definedName name="_LAN3" hidden="1">{"'Sheet1'!$L$16"}</definedName>
    <definedName name="_ld2" hidden="1">{"'Sheet1'!$L$16"}</definedName>
    <definedName name="_lk2" hidden="1">{"'Sheet1'!$L$16"}</definedName>
    <definedName name="_LLIF" hidden="1">#REF!</definedName>
    <definedName name="_LLIFF" hidden="1">#REF!</definedName>
    <definedName name="_lo106" hidden="1">{"'Sheet1'!$L$16"}</definedName>
    <definedName name="_LV46" hidden="1">{#N/A,#N/A,FALSE,"Chi tiÆt"}</definedName>
    <definedName name="_m1233" hidden="1">{"'Sheet1'!$L$16"}</definedName>
    <definedName name="_M2" hidden="1">{"'Sheet1'!$L$16"}</definedName>
    <definedName name="_M36" hidden="1">{"'Sheet1'!$L$16"}</definedName>
    <definedName name="_m4" hidden="1">{"'Sheet1'!$L$16"}</definedName>
    <definedName name="_MatInverse_In" hidden="1">#REF!</definedName>
    <definedName name="_MatMult_A" hidden="1">#REF!</definedName>
    <definedName name="_MatMult_AxB" hidden="1">#REF!</definedName>
    <definedName name="_MatMult_B" hidden="1">#REF!</definedName>
    <definedName name="_moi2" hidden="1">{"'Sheet1'!$L$16"}</definedName>
    <definedName name="_MT8" hidden="1">{"'Sheet1'!$L$16"}</definedName>
    <definedName name="_MTL12" hidden="1">{"'Sheet1'!$L$16"}</definedName>
    <definedName name="_n23" hidden="1">{"'Sheet1'!$L$16"}</definedName>
    <definedName name="_NAM11" hidden="1">{#N/A,#N/A,FALSE,"Chi tiÆt"}</definedName>
    <definedName name="_NB29" hidden="1">{"'Sheet1'!$L$16"}</definedName>
    <definedName name="_NCN15" hidden="1">{"'Sheet1'!$L$16"}</definedName>
    <definedName name="_NSO2" hidden="1">{"'Sheet1'!$L$16"}</definedName>
    <definedName name="_NSO3" hidden="1">{"'Sheet1'!$L$16"}</definedName>
    <definedName name="_NT2" hidden="1">{"'Sheet1'!$L$16"}</definedName>
    <definedName name="_O1" hidden="1">{#N/A,#N/A,TRUE,"SUM";#N/A,#N/A,TRUE,"EE";#N/A,#N/A,TRUE,"AC";#N/A,#N/A,TRUE,"SN"}</definedName>
    <definedName name="_Order1" hidden="1">255</definedName>
    <definedName name="_Order2" hidden="1">255</definedName>
    <definedName name="_p01" hidden="1">{"'Sheet1'!$L$16"}</definedName>
    <definedName name="_P3" hidden="1">{#N/A,#N/A,FALSE,"特殊室（ＢＱ表）"}</definedName>
    <definedName name="_PA3" hidden="1">{"'Sheet1'!$L$16"}</definedName>
    <definedName name="_pa4" hidden="1">{"'Sheet1'!$L$16"}</definedName>
    <definedName name="_Parse_Out" hidden="1">#REF!</definedName>
    <definedName name="_pd10" localSheetId="6" hidden="1">{"'Summary'!$A$1:$J$46"}</definedName>
    <definedName name="_pd10" hidden="1">{"'Summary'!$A$1:$J$46"}</definedName>
    <definedName name="_pd101" hidden="1">{"'Summary'!$A$1:$J$46"}</definedName>
    <definedName name="_PD11" localSheetId="6" hidden="1">{"'Summary'!$A$1:$J$46"}</definedName>
    <definedName name="_PD11" hidden="1">{"'Summary'!$A$1:$J$46"}</definedName>
    <definedName name="_pd12" hidden="1">{"'Summary'!$A$1:$J$46"}</definedName>
    <definedName name="_pd9" hidden="1">{"'Summary'!$A$1:$J$46"}</definedName>
    <definedName name="_phu2" hidden="1">{"'Sheet1'!$L$16"}</definedName>
    <definedName name="_phu3" hidden="1">{"'Sheet1'!$L$16"}</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QLO7" hidden="1">#REF!</definedName>
    <definedName name="_QT21" hidden="1">{"Offgrid",#N/A,FALSE,"OFFGRID";"Region",#N/A,FALSE,"REGION";"Offgrid -2",#N/A,FALSE,"OFFGRID";"WTP",#N/A,FALSE,"WTP";"WTP -2",#N/A,FALSE,"WTP";"Project",#N/A,FALSE,"PROJECT";"Summary -2",#N/A,FALSE,"SUMMARY"}</definedName>
    <definedName name="_Regression_Int" hidden="1">1</definedName>
    <definedName name="_san2" hidden="1">{#N/A,#N/A,TRUE,"SUM";#N/A,#N/A,TRUE,"EE";#N/A,#N/A,TRUE,"AC";#N/A,#N/A,TRUE,"SN"}</definedName>
    <definedName name="_SCL4" hidden="1">{"'Sheet1'!$L$16"}</definedName>
    <definedName name="_SD30" localSheetId="6" hidden="1">{"'Summary'!$A$1:$J$46"}</definedName>
    <definedName name="_SD30" hidden="1">{"'Summary'!$A$1:$J$46"}</definedName>
    <definedName name="_sd31" hidden="1">{"'Summary'!$A$1:$J$46"}</definedName>
    <definedName name="_SHI1" hidden="1">{"'Sheet1'!$L$16"}</definedName>
    <definedName name="_Sort" localSheetId="6" hidden="1">#REF!</definedName>
    <definedName name="_Sort" hidden="1">#REF!</definedName>
    <definedName name="_SORT1" hidden="1">#REF!</definedName>
    <definedName name="_sORT2" localSheetId="6" hidden="1">#REF!</definedName>
    <definedName name="_sORT2" hidden="1">#REF!</definedName>
    <definedName name="_Sortmoi" hidden="1">#REF!</definedName>
    <definedName name="_sum1" hidden="1">#REF!</definedName>
    <definedName name="_T01" hidden="1">#REF!</definedName>
    <definedName name="_t1" hidden="1">{"'Sheet1'!$L$16"}</definedName>
    <definedName name="_T10" hidden="1">{"'Sheet1'!$L$16"}</definedName>
    <definedName name="_t11" hidden="1">{#N/A,#N/A,FALSE,"Chi tiÆt"}</definedName>
    <definedName name="_T12" hidden="1">{"'Sheet1'!$L$16"}</definedName>
    <definedName name="_T3" hidden="1">{"'Sheet1'!$L$16"}</definedName>
    <definedName name="_T9"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C15" hidden="1">{"'Sheet1'!$L$16"}</definedName>
    <definedName name="_td1" hidden="1">{"'Sheet1'!$L$16"}</definedName>
    <definedName name="_TH02" hidden="1">{"'Sheet1'!$L$16"}</definedName>
    <definedName name="_TH20004" hidden="1">{"'Sheet1'!$L$16"}</definedName>
    <definedName name="_th24" hidden="1">{"'Sheet1'!$L$16"}</definedName>
    <definedName name="_TM2" hidden="1">{"'Sheet1'!$L$16"}</definedName>
    <definedName name="_TO14" hidden="1">{"'Sheet1'!$L$16"}</definedName>
    <definedName name="_Tru21" hidden="1">{"'Sheet1'!$L$16"}</definedName>
    <definedName name="_tt3" localSheetId="6" hidden="1">{"'Sheet1'!$L$16"}</definedName>
    <definedName name="_tt3" hidden="1">{"'Sheet1'!$L$16"}</definedName>
    <definedName name="_ttt1" hidden="1">{"'Sheet1'!$L$16"}</definedName>
    <definedName name="_TV2" hidden="1">{"'Sheet1'!$L$16"}</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5" hidden="1">{"'Sheet1'!$L$16"}</definedName>
    <definedName name="_vas2" hidden="1">{#N/A,#N/A,TRUE,"Config1";#N/A,#N/A,TRUE,"Config2";#N/A,#N/A,TRUE,"Config3";#N/A,#N/A,TRUE,"Config4";#N/A,#N/A,TRUE,"Config5";#N/A,#N/A,TRUE,"Config6";#N/A,#N/A,TRUE,"Config7"}</definedName>
    <definedName name="_VE1" hidden="1">{#N/A,#N/A,TRUE,"SUM";#N/A,#N/A,TRUE,"EE";#N/A,#N/A,TRUE,"AC";#N/A,#N/A,TRUE,"SN"}</definedName>
    <definedName name="_VE32" hidden="1">{#N/A,#N/A,TRUE,"Str.";#N/A,#N/A,TRUE,"Steel &amp; Roof";#N/A,#N/A,TRUE,"Arc.";#N/A,#N/A,TRUE,"Preliminary";#N/A,#N/A,TRUE,"Sum_Prelim"}</definedName>
    <definedName name="_VLP2" hidden="1">{"'Sheet1'!$L$16"}</definedName>
    <definedName name="_VT3" hidden="1">{"'Sheet1'!$L$16"}</definedName>
    <definedName name="_VTQ1" hidden="1">{"'Sheet1'!$L$16"}</definedName>
    <definedName name="_z511" hidden="1">{"'Sheet1'!$L$16"}</definedName>
    <definedName name="´cAE°eE¹" hidden="1">#REF!</definedName>
    <definedName name="￠￥cAE¡ÆeEⓒo" hidden="1">#REF!</definedName>
    <definedName name="µaa" hidden="1">{"'Sheet1'!$L$16"}</definedName>
    <definedName name="µcasfas" hidden="1">{"'Sheet1'!$L$16"}</definedName>
    <definedName name="â" hidden="1">{"'Sheet1'!$L$16"}</definedName>
    <definedName name="ầ" hidden="1">{"'Sheet1'!$L$16"}</definedName>
    <definedName name="ằ" hidden="1">{"'Sheet1'!$L$16"}</definedName>
    <definedName name="A_SORT" hidden="1">#REF!</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moi" hidden="1">{"'Sheet1'!$L$16"}</definedName>
    <definedName name="aaa" hidden="1">{"'Sheet1'!$L$16"}</definedName>
    <definedName name="aaaa" localSheetId="6" hidden="1">{#N/A,#N/A,FALSE,"Main"}</definedName>
    <definedName name="aaaaaa" hidden="1">{"Offgrid",#N/A,FALSE,"OFFGRID";"Region",#N/A,FALSE,"REGION";"Offgrid -2",#N/A,FALSE,"OFFGRID";"WTP",#N/A,FALSE,"WTP";"WTP -2",#N/A,FALSE,"WTP";"Project",#N/A,FALSE,"PROJECT";"Summary -2",#N/A,FALSE,"SUMMARY"}</definedName>
    <definedName name="aaaaaaa" hidden="1">{"'Sheet1'!$L$16"}</definedName>
    <definedName name="aaaaaaaaa" hidden="1">{"'Sheet1'!$L$16"}</definedName>
    <definedName name="aaaaaaaaaaa" hidden="1">{"'Sheet1'!$L$16"}</definedName>
    <definedName name="aaaaaaaaaaaa" hidden="1">{#N/A,#N/A,FALSE,"Main"}</definedName>
    <definedName name="aaaaaaaaaaaaaaaa" hidden="1">{0}</definedName>
    <definedName name="aaaaaaaaaaaaaaaaa" hidden="1">{#N/A,#N/A,FALSE,"CCTV"}</definedName>
    <definedName name="aadd" hidden="1">{"'Sheet1'!$L$16"}</definedName>
    <definedName name="aakdf" hidden="1">{#N/A,#N/A,FALSE,"mgtsum.XLS";#N/A,#N/A,FALSE,"CAPONE";#N/A,#N/A,FALSE,"CAPTWO";#N/A,#N/A,FALSE,"CAPTHREE"}</definedName>
    <definedName name="aasasas" hidden="1">{"'Sheet1'!$L$16"}</definedName>
    <definedName name="aass" hidden="1">{"'Sheet1'!$L$16"}</definedName>
    <definedName name="aassa" hidden="1">{"'Sheet1'!$L$16"}</definedName>
    <definedName name="aavavavav" hidden="1">{#N/A,#N/A,FALSE,"Chi tiÆt"}</definedName>
    <definedName name="abcbakca" hidden="1">{"'Sheet1'!$L$16"}</definedName>
    <definedName name="abcdefg" hidden="1">{#N/A,#N/A,FALSE,"mgtsum.XLS";#N/A,#N/A,FALSE,"CAPONE";#N/A,#N/A,FALSE,"CAPTWO";#N/A,#N/A,FALSE,"CAPTHREE"}</definedName>
    <definedName name="abcxyz" hidden="1">{#N/A,#N/A,FALSE,"mgtsum.XLS";#N/A,#N/A,FALSE,"CAPONE";#N/A,#N/A,FALSE,"CAPTWO";#N/A,#N/A,FALSE,"CAPTHREE"}</definedName>
    <definedName name="abf" hidden="1">{#N/A,#N/A,FALSE,"Chi tiÆt"}</definedName>
    <definedName name="Access_Button" hidden="1">"InstallationToolData_Sheet1_List1"</definedName>
    <definedName name="AccessDatabase" hidden="1">"C:\My Documents\LeBinh\Xls\VP Cong ty\FORM.mdb"</definedName>
    <definedName name="Acell" hidden="1">INDIRECT(ADDRESS(ROW(),COLUMN()))</definedName>
    <definedName name="ACMV" hidden="1">{#N/A,#N/A,FALSE,"CCTV"}</definedName>
    <definedName name="adada" hidden="1">{"'Sheet1'!$L$16"}</definedName>
    <definedName name="ádfad" hidden="1">{"Offgrid",#N/A,FALSE,"OFFGRID";"Region",#N/A,FALSE,"REGION";"Offgrid -2",#N/A,FALSE,"OFFGRID";"WTP",#N/A,FALSE,"WTP";"WTP -2",#N/A,FALSE,"WTP";"Project",#N/A,FALSE,"PROJECT";"Summary -2",#N/A,FALSE,"SUMMARY"}</definedName>
    <definedName name="adfdghfgjghkhjkjhljkl" hidden="1">{"'Sheet1'!$L$16"}</definedName>
    <definedName name="adfgdfhgdf" hidden="1">#REF!</definedName>
    <definedName name="adfgfgdfg" hidden="1">#REF!</definedName>
    <definedName name="àdfgndf" hidden="1">{"'Sheet1'!$L$16"}</definedName>
    <definedName name="ádhfjy" hidden="1">{"'Summary'!$A$1:$J$46"}</definedName>
    <definedName name="adsadsa" hidden="1">{#N/A,#N/A,TRUE,"CS&amp;SS(AG)";#N/A,#N/A,TRUE,"CS(UG)";#N/A,#N/A,TRUE,"CSCL(UG)";#N/A,#N/A,TRUE,"KYNAR";#N/A,#N/A,TRUE,"ALLOY904";#N/A,#N/A,TRUE,"TITANIUM";#N/A,#N/A,TRUE,"STMTRACE"}</definedName>
    <definedName name="adsfds" hidden="1">{#N/A,#N/A,TRUE,"SUM";#N/A,#N/A,TRUE,"EE";#N/A,#N/A,TRUE,"AC";#N/A,#N/A,TRUE,"SN"}</definedName>
    <definedName name="âDXAdaD" hidden="1">#REF!</definedName>
    <definedName name="aegwhg.gk" hidden="1">{"Offgrid",#N/A,FALSE,"OFFGRID";"Region",#N/A,FALSE,"REGION";"Offgrid -2",#N/A,FALSE,"OFFGRID";"WTP",#N/A,FALSE,"WTP";"WTP -2",#N/A,FALSE,"WTP";"Project",#N/A,FALSE,"PROJECT";"Summary -2",#N/A,FALSE,"SUMMARY"}</definedName>
    <definedName name="aesde" hidden="1">{#N/A,#N/A,FALSE,"CCTV"}</definedName>
    <definedName name="aetg.hgrs" hidden="1">{"Offgrid",#N/A,FALSE,"OFFGRID";"Region",#N/A,FALSE,"REGION";"Offgrid -2",#N/A,FALSE,"OFFGRID";"WTP",#N/A,FALSE,"WTP";"WTP -2",#N/A,FALSE,"WTP";"Project",#N/A,FALSE,"PROJECT";"Summary -2",#N/A,FALSE,"SUMMARY"}</definedName>
    <definedName name="âétggâgqgêágghe" hidden="1">{#N/A,#N/A,FALSE,"Chi tiÆt"}</definedName>
    <definedName name="âfA" hidden="1">{"'Sheet1'!$L$16"}</definedName>
    <definedName name="afasfsa" hidden="1">{"'Sheet1'!$L$16"}</definedName>
    <definedName name="afasfsagfas" hidden="1">{#N/A,#N/A,FALSE,"Chi tiÆt"}</definedName>
    <definedName name="afdf" hidden="1">{"'Sheet1'!$L$16"}</definedName>
    <definedName name="aff" hidden="1">{#N/A,#N/A,FALSE,"Chi tiÆt"}</definedName>
    <definedName name="AFSAf" hidden="1">{#N/A,#N/A,TRUE,"Perm";#N/A,#N/A,TRUE,"Architecture"}</definedName>
    <definedName name="ăg" hidden="1">{"'Sheet1'!$L$16"}</definedName>
    <definedName name="àgdfgfdgdf" hidden="1">#REF!</definedName>
    <definedName name="àgfdgfdf" hidden="1">#REF!</definedName>
    <definedName name="ẩgg" hidden="1">{"'Sheet1'!$L$16"}</definedName>
    <definedName name="ầgga" hidden="1">{"'Sheet1'!$L$16"}</definedName>
    <definedName name="ahôhagho" hidden="1">{#N/A,#N/A,FALSE,"Chi tiÆt"}</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TJWIIETJD" hidden="1">{#N/A,#N/A,TRUE,"SUM";#N/A,#N/A,TRUE,"EE";#N/A,#N/A,TRUE,"AC";#N/A,#N/A,TRUE,"SN"}</definedName>
    <definedName name="amoi" hidden="1">{"'Sheet1'!$L$16"}</definedName>
    <definedName name="anhm" hidden="1">{#N/A,#N/A,FALSE,"Sheet1"}</definedName>
    <definedName name="anhmo" hidden="1">{"'Sheet1'!$L$16"}</definedName>
    <definedName name="anscount" hidden="1">1</definedName>
    <definedName name="ant" hidden="1">{#N/A,#N/A,TRUE,"SUM";#N/A,#N/A,TRUE,"EE";#N/A,#N/A,TRUE,"AC";#N/A,#N/A,TRUE,"SN"}</definedName>
    <definedName name="Antoan" hidden="1">{"'Sheet1'!$L$16"}</definedName>
    <definedName name="aqaaaaa" hidden="1">{#N/A,#N/A,TRUE,"Perm";#N/A,#N/A,TRUE,"Architecture"}</definedName>
    <definedName name="AREA0002" hidden="1">#REF!</definedName>
    <definedName name="AS2DocOpenMode" hidden="1">"AS2DocumentEdit"</definedName>
    <definedName name="asa" hidden="1">{"'Sheet1'!$L$16"}</definedName>
    <definedName name="asafffg" hidden="1">{0}</definedName>
    <definedName name="asdadad" hidden="1">{0}</definedName>
    <definedName name="asdasdsds" hidden="1">#REF!</definedName>
    <definedName name="asdf" hidden="1">{#N/A,#N/A,FALSE,"Main"}</definedName>
    <definedName name="asdfa" hidden="1">#REF!</definedName>
    <definedName name="asdffgggh" hidden="1">{"'Sheet1'!$L$16"}</definedName>
    <definedName name="asdfg" hidden="1">{"'Sheet1'!$L$16"}</definedName>
    <definedName name="asf" hidden="1">{"'Sheet1'!$L$16"}</definedName>
    <definedName name="ASFa" hidden="1">{#N/A,#N/A,TRUE,"Perm";#N/A,#N/A,TRUE,"Architecture"}</definedName>
    <definedName name="ASJFGISFJS" hidden="1">{#N/A,#N/A,TRUE,"SUM";#N/A,#N/A,TRUE,"EE";#N/A,#N/A,TRUE,"AC";#N/A,#N/A,TRUE,"SN"}</definedName>
    <definedName name="asss" hidden="1">{"'Sheet1'!$L$16"}</definedName>
    <definedName name="assss" hidden="1">[4]Earthwork!#REF!</definedName>
    <definedName name="asssss" hidden="1">{"'Sheet1'!$L$16"}</definedName>
    <definedName name="ATGT" hidden="1">{"'Sheet1'!$L$16"}</definedName>
    <definedName name="AU" hidden="1">{"'Sheet1'!$L$16"}</definedName>
    <definedName name="aui" hidden="1">{#N/A,#N/A,TRUE,"SUM";#N/A,#N/A,TRUE,"EE";#N/A,#N/A,TRUE,"AC";#N/A,#N/A,TRUE,"SN"}</definedName>
    <definedName name="avavgveqvaq" hidden="1">{"Offgrid",#N/A,FALSE,"OFFGRID";"Region",#N/A,FALSE,"REGION";"Offgrid -2",#N/A,FALSE,"OFFGRID";"WTP",#N/A,FALSE,"WTP";"WTP -2",#N/A,FALSE,"WTP";"Project",#N/A,FALSE,"PROJECT";"Summary -2",#N/A,FALSE,"SUMMARY"}</definedName>
    <definedName name="aws" hidden="1">[4]Earthwork!#REF!</definedName>
    <definedName name="AX" hidden="1">#REF!</definedName>
    <definedName name="BACOLOD11" hidden="1">{#N/A,#N/A,FALSE,"CAPTION LIST (As-Built)";#N/A,#N/A,FALSE,"DOCUMENT LIST (As-Built)";#N/A,#N/A,FALSE,"PLANT SPECIFICATION";#N/A,#N/A,FALSE,"PRODUCT LIST"}</definedName>
    <definedName name="BACOLOD12" hidden="1">{#N/A,#N/A,FALSE,"CAPTION LIST (As-Built)";#N/A,#N/A,FALSE,"DOCUMENT LIST (As-Built)";#N/A,#N/A,FALSE,"PLANT SPECIFICATION";#N/A,#N/A,FALSE,"PRODUCT LIST"}</definedName>
    <definedName name="bai" hidden="1">{"'Sheet1'!$L$16"}</definedName>
    <definedName name="Bang7_THKL_HCM" hidden="1">{"'Sheet1'!$L$16"}</definedName>
    <definedName name="banQL" hidden="1">{"'Sheet1'!$L$16"}</definedName>
    <definedName name="Bao" hidden="1">{#N/A,#N/A,FALSE,"Chi tiÆt"}</definedName>
    <definedName name="ｂｂｂ" hidden="1">{"'Sheet1'!$L$16"}</definedName>
    <definedName name="bbbb" hidden="1">{"Offgrid",#N/A,FALSE,"OFFGRID";"Region",#N/A,FALSE,"REGION";"Offgrid -2",#N/A,FALSE,"OFFGRID";"WTP",#N/A,FALSE,"WTP";"WTP -2",#N/A,FALSE,"WTP";"Project",#N/A,FALSE,"PROJECT";"Summary -2",#N/A,FALSE,"SUMMARY"}</definedName>
    <definedName name="bbbbbb" hidden="1">{"'Sheet1'!$L$16"}</definedName>
    <definedName name="bbbbbbbbbbbbbbbbb" hidden="1">{"'Sheet1'!$L$16"}</definedName>
    <definedName name="BBe" hidden="1">{"'Sheet1'!$L$16"}</definedName>
    <definedName name="BBNTKT" hidden="1">{"'Sheet1'!$L$16"}</definedName>
    <definedName name="bbv" hidden="1">#REF!</definedName>
    <definedName name="BCC" hidden="1">{#N/A,#N/A,TRUE,"SUM";#N/A,#N/A,TRUE,"EE";#N/A,#N/A,TRUE,"AC";#N/A,#N/A,TRUE,"SN"}</definedName>
    <definedName name="BCTV" hidden="1">{"'Sheet1'!$L$16"}</definedName>
    <definedName name="Beboi" hidden="1">{#N/A,#N/A,FALSE,"Chi tiÆt"}</definedName>
    <definedName name="BentreHW" hidden="1">{"'Sheet1'!$L$16"}</definedName>
    <definedName name="Bgiang" localSheetId="6" hidden="1">{"'Sheet1'!$L$16"}</definedName>
    <definedName name="Bgiang" hidden="1">{"'Sheet1'!$L$16"}</definedName>
    <definedName name="BHDB" hidden="1">{"'Sheet1'!$L$16"}</definedName>
    <definedName name="bhfh" hidden="1">{"'Sheet1'!$L$16"}</definedName>
    <definedName name="bhkl" hidden="1">{"'Summary'!$A$1:$J$46"}</definedName>
    <definedName name="BHXH" hidden="1">{"'Sheet1'!$L$16"}</definedName>
    <definedName name="BI" hidden="1">{#N/A,#N/A,FALSE,"이태원철근"}</definedName>
    <definedName name="Bien1" hidden="1">#REF!</definedName>
    <definedName name="Bieu18" hidden="1">{"'Sheet1'!$L$16"}</definedName>
    <definedName name="BIGC" hidden="1">{#N/A,#N/A,TRUE,"Str.";#N/A,#N/A,TRUE,"Steel &amp; Roof";#N/A,#N/A,TRUE,"Arc.";#N/A,#N/A,TRUE,"Preliminary";#N/A,#N/A,TRUE,"Sum_Prelim"}</definedName>
    <definedName name="BMS" localSheetId="6" hidden="1">{"'Sheet1'!$L$16"}</definedName>
    <definedName name="book1" hidden="1">{"'现金流量表（全部投资）'!$B$4:$P$23"}</definedName>
    <definedName name="booo" hidden="1">{"'Summary'!$A$1:$J$46"}</definedName>
    <definedName name="bosung" hidden="1">{"'Sheet1'!$L$16"}</definedName>
    <definedName name="bql" hidden="1">{#N/A,#N/A,FALSE,"Chi tiÆt"}</definedName>
    <definedName name="break" hidden="1">{#N/A,#N/A,TRUE,"SUM";#N/A,#N/A,TRUE,"EE";#N/A,#N/A,TRUE,"AC";#N/A,#N/A,TRUE,"SN"}</definedName>
    <definedName name="BTH" hidden="1">{"'Sheet1'!$L$16"}</definedName>
    <definedName name="btl" localSheetId="6" hidden="1">{"'Sheet1'!$L$16"}</definedName>
    <definedName name="btl" hidden="1">{"'Sheet1'!$L$16"}</definedName>
    <definedName name="BUM" hidden="1">{"'Sheet1'!$L$16"}</definedName>
    <definedName name="bvcnbv" hidden="1">{0}</definedName>
    <definedName name="c.BaMuoi" hidden="1">{"'Sheet1'!$L$16"}</definedName>
    <definedName name="C.MocTom" hidden="1">{"'Sheet1'!$L$16"}</definedName>
    <definedName name="CALBE" hidden="1">{"'Sheet1'!$L$16"}</definedName>
    <definedName name="cald" hidden="1">{#N/A,#N/A,FALSE,"CCTV"}</definedName>
    <definedName name="came" hidden="1">{"'Sheet1'!$L$16"}</definedName>
    <definedName name="canteen" hidden="1">{"'Sheet1'!$L$16"}</definedName>
    <definedName name="cauthang" hidden="1">{"'Sheet1'!$L$16"}</definedName>
    <definedName name="cbnnbn" hidden="1">{"'Sheet1'!$L$16"}</definedName>
    <definedName name="ccc" hidden="1">{"'Sheet1'!$L$16"}</definedName>
    <definedName name="ccccccccccc" hidden="1">{"'Sheet1'!$L$16"}</definedName>
    <definedName name="CF1_a129" hidden="1">{"Offgrid",#N/A,FALSE,"OFFGRID";"Region",#N/A,FALSE,"REGION";"Offgrid -2",#N/A,FALSE,"OFFGRID";"WTP",#N/A,FALSE,"WTP";"WTP -2",#N/A,FALSE,"WTP";"Project",#N/A,FALSE,"PROJECT";"Summary -2",#N/A,FALSE,"SUMMARY"}</definedName>
    <definedName name="CF요인" hidden="1">#REF!</definedName>
    <definedName name="cg" hidden="1">{"'Sheet1'!$L$16"}</definedName>
    <definedName name="chaclmqsdf"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IN" hidden="1">#REF!</definedName>
    <definedName name="Chart3" hidden="1">{"'Sheet1'!$L$16"}</definedName>
    <definedName name="Chdate" hidden="1">#REF!</definedName>
    <definedName name="chietchai2" hidden="1">{"'Sheet1'!$L$16"}</definedName>
    <definedName name="chilk" hidden="1">{"'Sheet1'!$L$16"}</definedName>
    <definedName name="chitiet3" hidden="1">{"'Sheet1'!$L$16"}</definedName>
    <definedName name="chitietbgiang2" hidden="1">{"'Sheet1'!$L$16"}</definedName>
    <definedName name="chl" localSheetId="6" hidden="1">{"'Sheet1'!$L$16"}</definedName>
    <definedName name="chl" hidden="1">{"'Sheet1'!$L$16"}</definedName>
    <definedName name="chuyen" localSheetId="6" hidden="1">{"'Sheet1'!$L$16"}</definedName>
    <definedName name="chuyen" hidden="1">{"'Sheet1'!$L$16"}</definedName>
    <definedName name="cm" hidden="1">{"'Sheet1'!$L$16"}</definedName>
    <definedName name="cncn" hidden="1">{"'Sheet1'!$L$16"}</definedName>
    <definedName name="coba" hidden="1">'[5]SITE-E'!$AI$33:$AI$144</definedName>
    <definedName name="Coc_60" hidden="1">{"'Sheet1'!$L$16"}</definedName>
    <definedName name="Code" hidden="1">#REF!</definedName>
    <definedName name="column" hidden="1">#REF!</definedName>
    <definedName name="congB" hidden="1">{"'Sheet1'!$L$16"}</definedName>
    <definedName name="congca" hidden="1">{"'Sheet1'!$L$16"}</definedName>
    <definedName name="congGT" hidden="1">{"'Sheet1'!$L$16"}</definedName>
    <definedName name="CONGPA1" hidden="1">{"'Sheet1'!$L$16"}</definedName>
    <definedName name="Congvien" hidden="1">{"'Sheet1'!$L$16"}</definedName>
    <definedName name="COST.020" hidden="1">#REF!</definedName>
    <definedName name="COST.030" hidden="1">#REF!</definedName>
    <definedName name="COST.040" hidden="1">#REF!</definedName>
    <definedName name="COST.050" hidden="1">#REF!</definedName>
    <definedName name="COST.060" hidden="1">#REF!</definedName>
    <definedName name="COST.070" hidden="1">#REF!</definedName>
    <definedName name="COST.080" hidden="1">#REF!</definedName>
    <definedName name="COST.100" hidden="1">#REF!</definedName>
    <definedName name="COST.110" hidden="1">#REF!</definedName>
    <definedName name="COST.120" hidden="1">#REF!</definedName>
    <definedName name="COST.130" hidden="1">#REF!</definedName>
    <definedName name="COST.140" hidden="1">#REF!</definedName>
    <definedName name="COST.150" hidden="1">#REF!</definedName>
    <definedName name="COST.210" hidden="1">#REF!</definedName>
    <definedName name="COST.220" hidden="1">#REF!</definedName>
    <definedName name="COST.230" hidden="1">#REF!</definedName>
    <definedName name="COST.240" hidden="1">#REF!</definedName>
    <definedName name="COST.270" hidden="1">#REF!</definedName>
    <definedName name="COST.280" hidden="1">#REF!</definedName>
    <definedName name="COST.300" hidden="1">#REF!</definedName>
    <definedName name="COST.320" hidden="1">#REF!</definedName>
    <definedName name="COST.330" hidden="1">#REF!</definedName>
    <definedName name="COST.350" hidden="1">#REF!</definedName>
    <definedName name="COST.360" hidden="1">#REF!</definedName>
    <definedName name="COST.370" hidden="1">#REF!</definedName>
    <definedName name="COST.380" hidden="1">#REF!</definedName>
    <definedName name="COST.400" hidden="1">#REF!</definedName>
    <definedName name="COST290" hidden="1">#REF!</definedName>
    <definedName name="COSTT" hidden="1">#REF!</definedName>
    <definedName name="cotycap" hidden="1">{"'Sheet1'!$L$16"}</definedName>
    <definedName name="CP" hidden="1">#REF!</definedName>
    <definedName name="cpld" hidden="1">{"'Sheet1'!$L$16"}</definedName>
    <definedName name="CPM" hidden="1">{#N/A,#N/A,FALSE,"Chi tiÆt"}</definedName>
    <definedName name="CPXD1" hidden="1">{"'Sheet1'!$L$16"}</definedName>
    <definedName name="CSODJWO" hidden="1">{#N/A,#N/A,TRUE,"SUM";#N/A,#N/A,TRUE,"EE";#N/A,#N/A,TRUE,"AC";#N/A,#N/A,TRUE,"SN"}</definedName>
    <definedName name="CTABC" hidden="1">{"'Sheet1'!$L$16"}</definedName>
    <definedName name="ctbbt" hidden="1">{"'Sheet1'!$L$16"}</definedName>
    <definedName name="CTCT1" localSheetId="6" hidden="1">{"'Sheet1'!$L$16"}</definedName>
    <definedName name="CTCT1" hidden="1">{"'Sheet1'!$L$16"}</definedName>
    <definedName name="ctieu" hidden="1">{"'Sheet1'!$L$16"}</definedName>
    <definedName name="CTsu" hidden="1">{"'Sheet1'!$L$16"}</definedName>
    <definedName name="CTTC10nam" hidden="1">{"'Sheet1'!$L$16"}</definedName>
    <definedName name="CTXT" hidden="1">{"'Sheet1'!$L$16"}</definedName>
    <definedName name="cung" hidden="1">{"'Sheet1'!$L$16"}</definedName>
    <definedName name="CurDate" hidden="1">#REF!</definedName>
    <definedName name="cvcv" hidden="1">{"'Sheet1'!$L$16"}</definedName>
    <definedName name="cvf" hidden="1">{"'Sheet1'!$L$16"}</definedName>
    <definedName name="cvfr" hidden="1">{"'Sheet1'!$L$16"}</definedName>
    <definedName name="czcz" hidden="1">{0}</definedName>
    <definedName name="d" localSheetId="6" hidden="1">{"'Sheet1'!$L$16"}</definedName>
    <definedName name="Đ" hidden="1">#REF!</definedName>
    <definedName name="d¸" hidden="1">{"'Sheet1'!$L$16"}</definedName>
    <definedName name="D52_55" hidden="1">{#N/A,#N/A,FALSE,"Chi tiÆt"}</definedName>
    <definedName name="DAD" hidden="1">#REF!</definedName>
    <definedName name="Ðadf" hidden="1">{"'Sheet1'!$L$16"}</definedName>
    <definedName name="dads" hidden="1">{"'Sheet1'!$L$16"}</definedName>
    <definedName name="daf"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fxdffa" hidden="1">{"'Sheet1'!$L$16"}</definedName>
    <definedName name="DAIKIN1" hidden="1">{#N/A,#N/A,TRUE,"SUM";#N/A,#N/A,TRUE,"EE";#N/A,#N/A,TRUE,"AC";#N/A,#N/A,TRUE,"SN"}</definedName>
    <definedName name="DAIKIN2" hidden="1">{#N/A,#N/A,TRUE,"SUM";#N/A,#N/A,TRUE,"EE";#N/A,#N/A,TRUE,"AC";#N/A,#N/A,TRUE,"SN"}</definedName>
    <definedName name="DAILATHANH" hidden="1">{"'Sheet1'!$L$16"}</definedName>
    <definedName name="dakgj" hidden="1">{#N/A,#N/A,TRUE,"Sheet1"}</definedName>
    <definedName name="DAMMONG" hidden="1">{"'Sheet1'!$L$16"}</definedName>
    <definedName name="danhsach" hidden="1">{"'Sheet1'!$L$16"}</definedName>
    <definedName name="daodapong" hidden="1">{"'Sheet1'!$L$16"}</definedName>
    <definedName name="daøy" hidden="1">#REF!</definedName>
    <definedName name="đasadsad" hidden="1">{"Offgrid",#N/A,FALSE,"OFFGRID";"Region",#N/A,FALSE,"REGION";"Offgrid -2",#N/A,FALSE,"OFFGRID";"WTP",#N/A,FALSE,"WTP";"WTP -2",#N/A,FALSE,"WTP";"Project",#N/A,FALSE,"PROJECT";"Summary -2",#N/A,FALSE,"SUMMARY"}</definedName>
    <definedName name="dase" hidden="1">{#N/A,#N/A,FALSE,"CCTV"}</definedName>
    <definedName name="DATA_01" hidden="1">'[6]Buy vs. Lease Car'!#REF!</definedName>
    <definedName name="ĐaunoiDien" hidden="1">{"'Sheet1'!$L$16"}</definedName>
    <definedName name="dCuocVC_Bachang" hidden="1">#REF!</definedName>
    <definedName name="ddamlot" hidden="1">{"'Sheet1'!$L$16"}</definedName>
    <definedName name="ddc" hidden="1">{"'Sheet1'!$L$16"}</definedName>
    <definedName name="ddd" localSheetId="6" hidden="1">{"'Sheet1'!$L$16"}</definedName>
    <definedName name="ddd" hidden="1">{"'Sheet1'!$L$16"}</definedName>
    <definedName name="ddda" hidden="1">{#N/A,#N/A,TRUE,"Str.";#N/A,#N/A,TRUE,"Steel &amp; Roof";#N/A,#N/A,TRUE,"Arc.";#N/A,#N/A,TRUE,"Preliminary";#N/A,#N/A,TRUE,"Sum_Prelim"}</definedName>
    <definedName name="ddddd" hidden="1">{"'Sheet1'!$L$16"}</definedName>
    <definedName name="dddddd" hidden="1">{"Offgrid",#N/A,FALSE,"OFFGRID";"Region",#N/A,FALSE,"REGION";"Offgrid -2",#N/A,FALSE,"OFFGRID";"WTP",#N/A,FALSE,"WTP";"WTP -2",#N/A,FALSE,"WTP";"Project",#N/A,FALSE,"PROJECT";"Summary -2",#N/A,FALSE,"SUMMARY"}</definedName>
    <definedName name="DDDDDDDD" hidden="1">{#N/A,#N/A,TRUE,"SUM";#N/A,#N/A,TRUE,"EE";#N/A,#N/A,TRUE,"AC";#N/A,#N/A,TRUE,"SN"}</definedName>
    <definedName name="dddddddddddddd" hidden="1">{#N/A,#N/A,FALSE,"Sheet1";#N/A,#N/A,FALSE,"Sheet1";#N/A,#N/A,FALSE,"Sheet1"}</definedName>
    <definedName name="dddfd"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hh" hidden="1">{"'Sheet1'!$L$16"}</definedName>
    <definedName name="ddsf" hidden="1">{"'Sheet1'!$L$16"}</definedName>
    <definedName name="dec" hidden="1">{"Offgrid",#N/A,FALSE,"OFFGRID";"Region",#N/A,FALSE,"REGION";"Offgrid -2",#N/A,FALSE,"OFFGRID";"WTP",#N/A,FALSE,"WTP";"WTP -2",#N/A,FALSE,"WTP";"Project",#N/A,FALSE,"PROJECT";"Summary -2",#N/A,FALSE,"SUMMARY"}</definedName>
    <definedName name="dee" hidden="1">{"'Sheet1'!$L$16"}</definedName>
    <definedName name="deedfsd" hidden="1">{"'Sheet1'!$L$16"}</definedName>
    <definedName name="deí" hidden="1">{"'Sheet1'!$L$16"}</definedName>
    <definedName name="del_tab" hidden="1">#REF!</definedName>
    <definedName name="delcode" hidden="1">#REF!</definedName>
    <definedName name="DenDK" hidden="1">{"'Sheet1'!$L$16"}</definedName>
    <definedName name="deviation" hidden="1">{#N/A,#N/A,FALSE,"CCTV"}</definedName>
    <definedName name="DEWSLDW" hidden="1">{#N/A,#N/A,TRUE,"SUM";#N/A,#N/A,TRUE,"EE";#N/A,#N/A,TRUE,"AC";#N/A,#N/A,TRUE,"SN"}</definedName>
    <definedName name="đfbgdgă" hidden="1">{"Offgrid",#N/A,FALSE,"OFFGRID";"Region",#N/A,FALSE,"REGION";"Offgrid -2",#N/A,FALSE,"OFFGRID";"WTP",#N/A,FALSE,"WTP";"WTP -2",#N/A,FALSE,"WTP";"Project",#N/A,FALSE,"PROJECT";"Summary -2",#N/A,FALSE,"SUMMARY"}</definedName>
    <definedName name="dfdfd" hidden="1">#REF!</definedName>
    <definedName name="đfdfd" hidden="1">#REF!</definedName>
    <definedName name="dfdfdf" hidden="1">#REF!</definedName>
    <definedName name="dfdfdfd" hidden="1">{0}</definedName>
    <definedName name="dfdfđfdfdfdf" hidden="1">{0}</definedName>
    <definedName name="DFDFDS" hidden="1">{#N/A,#N/A,TRUE,"SUM";#N/A,#N/A,TRUE,"EE";#N/A,#N/A,TRUE,"AC";#N/A,#N/A,TRUE,"SN"}</definedName>
    <definedName name="DFDFSDFSD" hidden="1">{#N/A,#N/A,TRUE,"SUM";#N/A,#N/A,TRUE,"EE";#N/A,#N/A,TRUE,"AC";#N/A,#N/A,TRUE,"SN"}</definedName>
    <definedName name="dfdsfdsf" hidden="1">#REF!</definedName>
    <definedName name="dff" hidden="1">{"'Sheet1'!$L$16"}</definedName>
    <definedName name="dffe" hidden="1">{#N/A,#N/A,FALSE,"Main"}</definedName>
    <definedName name="dffgdgdghdg" hidden="1">{0}</definedName>
    <definedName name="dfgdfg" hidden="1">{"Offgrid",#N/A,FALSE,"OFFGRID";"Region",#N/A,FALSE,"REGION";"Offgrid -2",#N/A,FALSE,"OFFGRID";"WTP",#N/A,FALSE,"WTP";"WTP -2",#N/A,FALSE,"WTP";"Project",#N/A,FALSE,"PROJECT";"Summary -2",#N/A,FALSE,"SUMMARY"}</definedName>
    <definedName name="dfgfdfh" hidden="1">{#N/A,#N/A,FALSE,"Chi tiÆt"}</definedName>
    <definedName name="dfgh" hidden="1">{#N/A,#N/A,FALSE,"Chi tiÆt"}</definedName>
    <definedName name="dfghrt" hidden="1">{"'Sheet1'!$L$16"}</definedName>
    <definedName name="dfgmsdkg" hidden="1">#REF!</definedName>
    <definedName name="dfh" hidden="1">{"'Sheet1'!$L$16"}</definedName>
    <definedName name="dfjkghsdjkfgh" hidden="1">{0}</definedName>
    <definedName name="dfjsdhldfgkfd" hidden="1">{"'Sheet1'!$L$16"}</definedName>
    <definedName name="dfkjghsdjkfgh" hidden="1">{0}</definedName>
    <definedName name="đfnfndfn" hidden="1">{#N/A,#N/A,FALSE,"Chi tiÆt"}</definedName>
    <definedName name="dfsfsd" hidden="1">{"'Sheet1'!$L$16"}</definedName>
    <definedName name="dfsgdfh" hidden="1">{#N/A,#N/A,FALSE,"Chi tiÆt"}</definedName>
    <definedName name="dfsgfdshgffg" hidden="1">{"'Sheet1'!$L$16"}</definedName>
    <definedName name="dfsgsag" hidden="1">{"'Sheet1'!$L$16"}</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ctp2" hidden="1">{"'Sheet1'!$L$16"}</definedName>
    <definedName name="dgdagkadfkg" hidden="1">#REF!</definedName>
    <definedName name="dgde" hidden="1">{#N/A,#N/A,TRUE,"SUM";#N/A,#N/A,TRUE,"EE";#N/A,#N/A,TRUE,"AC";#N/A,#N/A,TRUE,"SN"}</definedName>
    <definedName name="dgdfd" hidden="1">{#N/A,#N/A,TRUE,"SUM";#N/A,#N/A,TRUE,"EE";#N/A,#N/A,TRUE,"AC";#N/A,#N/A,TRUE,"SN"}</definedName>
    <definedName name="dgdfgdfgf" hidden="1">#REF!</definedName>
    <definedName name="dgdgd" hidden="1">{"'Summary'!$A$1:$J$46"}</definedName>
    <definedName name="dgdgdg" hidden="1">{"'Sheet1'!$L$16"}</definedName>
    <definedName name="dgdgdgd" hidden="1">{#N/A,#N/A,FALSE,"Chi tiÆt"}</definedName>
    <definedName name="dgdgdgdg" hidden="1">{"'Sheet1'!$L$16"}</definedName>
    <definedName name="dgf" hidden="1">{#N/A,#N/A,TRUE,"SUM";#N/A,#N/A,TRUE,"EE";#N/A,#N/A,TRUE,"AC";#N/A,#N/A,TRUE,"SN"}</definedName>
    <definedName name="dgfdf"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sgfd" hidden="1">{#N/A,#N/A,TRUE,"SUM";#N/A,#N/A,TRUE,"EE";#N/A,#N/A,TRUE,"AC";#N/A,#N/A,TRUE,"SN"}</definedName>
    <definedName name="dgfg" hidden="1">{"'Sheet1'!$L$16"}</definedName>
    <definedName name="dggd" hidden="1">{0}</definedName>
    <definedName name="dggg" hidden="1">{0}</definedName>
    <definedName name="dgghh" hidden="1">{0}</definedName>
    <definedName name="DGH" hidden="1">{#N/A,#N/A,FALSE,"Sheet1";#N/A,#N/A,FALSE,"Sheet1";#N/A,#N/A,FALSE,"Sheet1"}</definedName>
    <definedName name="dghdhdh" hidden="1">{"'Sheet1'!$L$16"}</definedName>
    <definedName name="dghgdf" hidden="1">{"'Sheet1'!$L$16"}</definedName>
    <definedName name="dghmgdh" hidden="1">{"'Sheet1'!$L$16"}</definedName>
    <definedName name="dgsdfgdfag" hidden="1">#REF!</definedName>
    <definedName name="dgsgsg" hidden="1">{"'Sheet1'!$L$16"}</definedName>
    <definedName name="đhf" hidden="1">{"'Sheet1'!$L$16"}</definedName>
    <definedName name="dhhfj" hidden="1">{#N/A,#N/A,FALSE,"Chi tiÆt"}</definedName>
    <definedName name="dhtdh" hidden="1">{"Offgrid",#N/A,FALSE,"OFFGRID";"Region",#N/A,FALSE,"REGION";"Offgrid -2",#N/A,FALSE,"OFFGRID";"WTP",#N/A,FALSE,"WTP";"WTP -2",#N/A,FALSE,"WTP";"Project",#N/A,FALSE,"PROJECT";"Summary -2",#N/A,FALSE,"SUMMARY"}</definedName>
    <definedName name="dhung" hidden="1">{"'Sheet1'!$L$16"}</definedName>
    <definedName name="dien" localSheetId="6" hidden="1">{"'Sheet1'!$L$16"}</definedName>
    <definedName name="direct1" hidden="1">#REF!</definedName>
    <definedName name="Discount" hidden="1">#REF!</definedName>
    <definedName name="dj" hidden="1">{"'Sheet1'!$L$16"}</definedName>
    <definedName name="djkhgkdjhgdklj" hidden="1">{0}</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MNB" hidden="1">{"'Sheet1'!$L$16"}</definedName>
    <definedName name="DMNC" hidden="1">{"'Sheet1'!$L$16"}</definedName>
    <definedName name="DN1_CT5" hidden="1">{"'Sheet1'!$L$16"}</definedName>
    <definedName name="DOI" hidden="1">{"'Sheet1'!$L$16"}</definedName>
    <definedName name="Domain" hidden="1">#REF!</definedName>
    <definedName name="dong" hidden="1">{"'Sheet1'!$L$16"}</definedName>
    <definedName name="dQlda_BuocTKRng" hidden="1">#REF!</definedName>
    <definedName name="dQlda_BuocTKSel" hidden="1">MATCH(#REF!,dQlda_BuocTKRng,0)</definedName>
    <definedName name="dQlda_CapCtRng" hidden="1">#REF!</definedName>
    <definedName name="dQlda_CapCtSel" hidden="1">MATCH(#REF!,dQlda_CapCtRng,0)</definedName>
    <definedName name="dQlda_GcpkVal" hidden="1">#REF!/10^9</definedName>
    <definedName name="dQlda_GdpVal" hidden="1">10%*([0]!dQlda_GxlGtbVal+dQlda_GcpkVal)/10^9</definedName>
    <definedName name="dQlda_GtbVal" hidden="1">#REF!/10^9</definedName>
    <definedName name="dQlda_GtongVal" hidden="1">[0]!dQlda_GxlGtbVal+dQlda_GcpkVal+10%*([0]!dQlda_GxlGtbVal+dQlda_GcpkVal)</definedName>
    <definedName name="dQlda_GxlGtbVal" hidden="1">dQlda_GxlVal+dQlda_GtbVal</definedName>
    <definedName name="dQlda_GxlVal" hidden="1">#REF!/10^9</definedName>
    <definedName name="dQlda_LoaiCtRng" hidden="1">#REF!</definedName>
    <definedName name="dQlda_LoaiCtSel" hidden="1">MATCH(#REF!,dQlda_LoaiCtRng,0)</definedName>
    <definedName name="drr"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achchitiet" hidden="1">{"'Sheet1'!$L$16"}</definedName>
    <definedName name="DSFADF" hidden="1">{#N/A,#N/A,FALSE,"特殊室（ＢＱ表）"}</definedName>
    <definedName name="dsfg"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fsdf" hidden="1">{"'Sheet1'!$L$16"}</definedName>
    <definedName name="dsfsdfsd" hidden="1">#REF!</definedName>
    <definedName name="dsg" hidden="1">{"'Sheet1'!$L$16"}</definedName>
    <definedName name="dsgfvda" hidden="1">{#N/A,#N/A,TRUE,"SUM";#N/A,#N/A,TRUE,"EE";#N/A,#N/A,TRUE,"AC";#N/A,#N/A,TRUE,"SN"}</definedName>
    <definedName name="dsghh" hidden="1">{0}</definedName>
    <definedName name="dsgsdg" hidden="1">{"'Sheet1'!$L$16"}</definedName>
    <definedName name="dsgsw.sgrs.grsg_.sg" hidden="1">{#N/A,#N/A,FALSE,"Chi tiÆt"}</definedName>
    <definedName name="dsgvdsgs" hidden="1">{#N/A,#N/A,TRUE,"SUM";#N/A,#N/A,TRUE,"EE";#N/A,#N/A,TRUE,"AC";#N/A,#N/A,TRUE,"SN"}</definedName>
    <definedName name="dsjk" hidden="1">{"'Sheet1'!$L$16"}</definedName>
    <definedName name="DSJKLDE" hidden="1">{#N/A,#N/A,TRUE,"SUM";#N/A,#N/A,TRUE,"EE";#N/A,#N/A,TRUE,"AC";#N/A,#N/A,TRUE,"SN"}</definedName>
    <definedName name="dtb\" hidden="1">#REF!</definedName>
    <definedName name="dth" hidden="1">{"'Sheet1'!$L$16"}</definedName>
    <definedName name="dthft" hidden="1">{"'Sheet1'!$L$16"}</definedName>
    <definedName name="dTHKP_Rng" hidden="1">#REF!</definedName>
    <definedName name="DTKT3" hidden="1">{"'Sheet1'!$L$16"}</definedName>
    <definedName name="DTMG_vumua" hidden="1">{#N/A,#N/A,FALSE,"Chi tiÆt"}</definedName>
    <definedName name="DTTK" hidden="1">{"'Sheet1'!$L$16"}</definedName>
    <definedName name="DTTVGM163" hidden="1">{"'Sheet1'!$L$16"}</definedName>
    <definedName name="Du" hidden="1">#REF!</definedName>
    <definedName name="duc" hidden="1">{"'Sheet1'!$L$16"}</definedName>
    <definedName name="dưe" hidden="1">#REF!</definedName>
    <definedName name="duoidt" hidden="1">#REF!</definedName>
    <definedName name="Duongnaco" hidden="1">{"'Sheet1'!$L$16"}</definedName>
    <definedName name="dutoanc2" hidden="1">{"'Sheet1'!$L$16"}</definedName>
    <definedName name="DWPRICE" hidden="1">#REF!</definedName>
    <definedName name="dyrrrr" hidden="1">{#N/A,#N/A,FALSE,"Chung"}</definedName>
    <definedName name="edd" hidden="1">{"'Sheet1'!$L$16"}</definedName>
    <definedName name="ẻddfgfff" hidden="1">{#N/A,#N/A,FALSE,"Chi tiÆt"}</definedName>
    <definedName name="EE" hidden="1">{"MG-2002-F1",#N/A,FALSE,"PPU-Telemig";"MG-2002-F2",#N/A,FALSE,"PPU-Telemig";"MG-2002-F3",#N/A,FALSE,"PPU-Telemig";"MG-2002-F4",#N/A,FALSE,"PPU-Telemig";"MG-2003-F1",#N/A,FALSE,"PPU-Telemig";"MG-2004-F1",#N/A,FALSE,"PPU-Telemig"}</definedName>
    <definedName name="eee.송운" hidden="1">{#N/A,#N/A,FALSE,"운반시간"}</definedName>
    <definedName name="eeee" hidden="1">{"'Sheet1'!$L$16"}</definedName>
    <definedName name="eeeeeeeeeee" hidden="1">[4]Earthwork!#REF!</definedName>
    <definedName name="EEPE" localSheetId="6" hidden="1">{"'Summary'!$A$1:$J$46"}</definedName>
    <definedName name="EEPE" hidden="1">{"'Summary'!$A$1:$J$46"}</definedName>
    <definedName name="EEQ" localSheetId="6" hidden="1">{"'Summary'!$A$1:$J$46"}</definedName>
    <definedName name="EEQ" hidden="1">{"'Summary'!$A$1:$J$46"}</definedName>
    <definedName name="eerefdg" hidden="1">{#N/A,#N/A,FALSE,"CCTV"}</definedName>
    <definedName name="eet" hidden="1">{0}</definedName>
    <definedName name="eewf" hidden="1">{"'Sheet1'!$L$16"}</definedName>
    <definedName name="egw" hidden="1">{"Offgrid",#N/A,FALSE,"OFFGRID";"Region",#N/A,FALSE,"REGION";"Offgrid -2",#N/A,FALSE,"OFFGRID";"WTP",#N/A,FALSE,"WTP";"WTP -2",#N/A,FALSE,"WTP";"Project",#N/A,FALSE,"PROJECT";"Summary -2",#N/A,FALSE,"SUMMARY"}</definedName>
    <definedName name="eheh" hidden="1">{"Offgrid",#N/A,FALSE,"OFFGRID";"Region",#N/A,FALSE,"REGION";"Offgrid -2",#N/A,FALSE,"OFFGRID";"WTP",#N/A,FALSE,"WTP";"WTP -2",#N/A,FALSE,"WTP";"Project",#N/A,FALSE,"PROJECT";"Summary -2",#N/A,FALSE,"SUMMARY"}</definedName>
    <definedName name="eïhd" hidden="1">{"'Sheet1'!$L$16"}</definedName>
    <definedName name="EK" hidden="1">#REF!</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qtrwy" hidden="1">{"'Sheet1'!$L$16"}</definedName>
    <definedName name="êre" hidden="1">#REF!</definedName>
    <definedName name="erewaf" hidden="1">{#N/A,#N/A,FALSE,"Chi tiÆt"}</definedName>
    <definedName name="ericsson" hidden="1">{#N/A,#N/A,FALSE,"CAPTION LIST (As-Built)";#N/A,#N/A,FALSE,"DOCUMENT LIST (As-Built)";#N/A,#N/A,FALSE,"PLANT SPECIFICATION";#N/A,#N/A,FALSE,"PRODUCT LIST"}</definedName>
    <definedName name="errr" hidden="1">{"'Sheet1'!$L$16"}</definedName>
    <definedName name="erwe" hidden="1">{#N/A,#N/A,FALSE,"Chi tiÆt"}</definedName>
    <definedName name="eryhrtgabqergerggbvrth" hidden="1">[2]FitOutConfCentre!#REF!</definedName>
    <definedName name="esda" hidden="1">{#N/A,#N/A,TRUE,"SUM";#N/A,#N/A,TRUE,"EE";#N/A,#N/A,TRUE,"AC";#N/A,#N/A,TRUE,"SN"}</definedName>
    <definedName name="esgtew" hidden="1">{#N/A,#N/A,FALSE,"Chi tiÆt"}</definedName>
    <definedName name="etethtehbdex" hidden="1">{#N/A,#N/A,FALSE,"Chi tiÆt"}</definedName>
    <definedName name="êthtêt" hidden="1">{"Offgrid",#N/A,FALSE,"OFFGRID";"Region",#N/A,FALSE,"REGION";"Offgrid -2",#N/A,FALSE,"OFFGRID";"WTP",#N/A,FALSE,"WTP";"WTP -2",#N/A,FALSE,"WTP";"Project",#N/A,FALSE,"PROJECT";"Summary -2",#N/A,FALSE,"SUMMARY"}</definedName>
    <definedName name="etqgsg_đhs" hidden="1">{"'Sheet1'!$L$16"}</definedName>
    <definedName name="etrw45.đ" hidden="1">{"Offgrid",#N/A,FALSE,"OFFGRID";"Region",#N/A,FALSE,"REGION";"Offgrid -2",#N/A,FALSE,"OFFGRID";"WTP",#N/A,FALSE,"WTP";"WTP -2",#N/A,FALSE,"WTP";"Project",#N/A,FALSE,"PROJECT";"Summary -2",#N/A,FALSE,"SUMMARY"}</definedName>
    <definedName name="êtte" hidden="1">#REF!</definedName>
    <definedName name="eûtheí" hidden="1">{"'Sheet1'!$L$16"}</definedName>
    <definedName name="evt" hidden="1">{"'Sheet1'!$L$16"}</definedName>
    <definedName name="EW" localSheetId="6" hidden="1">{"'Summary'!$A$1:$J$46"}</definedName>
    <definedName name="EW" hidden="1">{"'Summary'!$A$1:$J$46"}</definedName>
    <definedName name="ewf" hidden="1">#REF!</definedName>
    <definedName name="ewrwef" hidden="1">#REF!</definedName>
    <definedName name="ews" hidden="1">{0}</definedName>
    <definedName name="ExactAddinConnection" hidden="1">"003"</definedName>
    <definedName name="ExactAddinConnection.002" hidden="1">"CPNT01;003;mengtalekk;1"</definedName>
    <definedName name="ExactAddinConnection.003" hidden="1">"CPNT01;006;mengtalekk;1"</definedName>
    <definedName name="ExactAddinReports" hidden="1">2</definedName>
    <definedName name="exit" hidden="1">{"'Sheet1'!$L$16"}</definedName>
    <definedName name="eygswgq" hidden="1">{#N/A,#N/A,FALSE,"Chi tiÆt"}</definedName>
    <definedName name="êyh" hidden="1">{"Offgrid",#N/A,FALSE,"OFFGRID";"Region",#N/A,FALSE,"REGION";"Offgrid -2",#N/A,FALSE,"OFFGRID";"WTP",#N/A,FALSE,"WTP";"WTP -2",#N/A,FALSE,"WTP";"Project",#N/A,FALSE,"PROJECT";"Summary -2",#N/A,FALSE,"SUMMARY"}</definedName>
    <definedName name="f¸" hidden="1">{"'Sheet1'!$L$16"}</definedName>
    <definedName name="fáaafafaf" hidden="1">{"'Sheet1'!$L$16"}</definedName>
    <definedName name="FACTORY" hidden="1">{#N/A,#N/A,TRUE,"SUM";#N/A,#N/A,TRUE,"EE";#N/A,#N/A,TRUE,"AC";#N/A,#N/A,TRUE,"SN"}</definedName>
    <definedName name="Factory1" hidden="1">{#N/A,#N/A,TRUE,"SUM";#N/A,#N/A,TRUE,"EE";#N/A,#N/A,TRUE,"AC";#N/A,#N/A,TRUE,"SN"}</definedName>
    <definedName name="fasfaga" hidden="1">{"'Sheet1'!$L$16"}</definedName>
    <definedName name="Fauzi" hidden="1">{#N/A,#N/A,TRUE,"Perm";#N/A,#N/A,TRUE,"Architecture"}</definedName>
    <definedName name="FC_TOTAL" hidden="1">#REF!</definedName>
    <definedName name="FCode" hidden="1">#REF!</definedName>
    <definedName name="fdds" hidden="1">{"'Sheet1'!$L$16"}</definedName>
    <definedName name="fdf" hidden="1">{"'Sheet1'!$L$16"}</definedName>
    <definedName name="FDFDSF" hidden="1">{#N/A,#N/A,TRUE,"SUM";#N/A,#N/A,TRUE,"EE";#N/A,#N/A,TRUE,"AC";#N/A,#N/A,TRUE,"SN"}</definedName>
    <definedName name="fdfs2" hidden="1">{#N/A,#N/A,TRUE,"SUM";#N/A,#N/A,TRUE,"EE";#N/A,#N/A,TRUE,"AC";#N/A,#N/A,TRUE,"SN"}</definedName>
    <definedName name="fdfsdfs" hidden="1">{#N/A,#N/A,TRUE,"SUM";#N/A,#N/A,TRUE,"EE";#N/A,#N/A,TRUE,"AC";#N/A,#N/A,TRUE,"SN"}</definedName>
    <definedName name="fdfsf" hidden="1">{#N/A,#N/A,FALSE,"Chi tiÆt"}</definedName>
    <definedName name="fdg" hidden="1">{"'Sheet1'!$L$16"}</definedName>
    <definedName name="fdgdfgdfg" hidden="1">#REF!</definedName>
    <definedName name="fdgf" hidden="1">{"'Sheet1'!$L$16"}</definedName>
    <definedName name="fdgfg" hidden="1">{"'Sheet1'!$L$16"}</definedName>
    <definedName name="fdgg" hidden="1">{0}</definedName>
    <definedName name="fdgsg" hidden="1">{"'Sheet1'!$L$16"}</definedName>
    <definedName name="fđhbfbd" hidden="1">{#N/A,#N/A,FALSE,"Chi tiÆt"}</definedName>
    <definedName name="fđhh" hidden="1">{"'Sheet1'!$L$16"}</definedName>
    <definedName name="fds" hidden="1">{"'Sheet1'!$L$16"}</definedName>
    <definedName name="fdsf" hidden="1">{"'Sheet1'!$L$16"}</definedName>
    <definedName name="fdsfsdfd" hidden="1">{"'Sheet1'!$L$16"}</definedName>
    <definedName name="ffas" hidden="1">{"'Sheet1'!$L$16"}</definedName>
    <definedName name="FFFF" hidden="1">"C:\2689\Q\??\00q3961????PTA3??\MyHTML.htm"</definedName>
    <definedName name="ffffd" hidden="1">{#N/A,#N/A,TRUE,"SUM";#N/A,#N/A,TRUE,"EE";#N/A,#N/A,TRUE,"AC";#N/A,#N/A,TRUE,"SN"}</definedName>
    <definedName name="fffff" hidden="1">{"'Sheet1'!$L$16"}</definedName>
    <definedName name="ffffffffffff" hidden="1">{#N/A,#N/A,FALSE,"Chi tiÆt"}</definedName>
    <definedName name="fffffffffffffff" hidden="1">{"'Sheet1'!$L$16"}</definedName>
    <definedName name="ffffffffffffffffffffffffffff" hidden="1">{"'Sheet1'!$L$16"}</definedName>
    <definedName name="ffg" hidden="1">{"'Sheet1'!$L$16"}</definedName>
    <definedName name="ffsf" hidden="1">{#N/A,#N/A,FALSE,"Chi tiÆt"}</definedName>
    <definedName name="fgafdfdg" hidden="1">#REF!</definedName>
    <definedName name="fgdf" hidden="1">{"'Sheet1'!$L$16"}</definedName>
    <definedName name="fgdfagfdf" hidden="1">#REF!</definedName>
    <definedName name="fgđff" hidden="1">{"'Sheet1'!$L$16"}</definedName>
    <definedName name="fgdfgddfgfd" hidden="1">#REF!</definedName>
    <definedName name="fgdfgfgfd" hidden="1">#REF!</definedName>
    <definedName name="FGF" hidden="1">{"'Sheet1'!$L$16"}</definedName>
    <definedName name="fgfdaghffg" hidden="1">#REF!</definedName>
    <definedName name="fgff" hidden="1">{#N/A,#N/A,TRUE,"SUM";#N/A,#N/A,TRUE,"EE";#N/A,#N/A,TRUE,"AC";#N/A,#N/A,TRUE,"SN"}</definedName>
    <definedName name="fgfg" hidden="1">#REF!</definedName>
    <definedName name="fgfgf" hidden="1">{"'Sheet1'!$L$16"}</definedName>
    <definedName name="fgg" hidden="1">{"'Sheet1'!$L$16"}</definedName>
    <definedName name="FGGGG" hidden="1">{#N/A,#N/A,TRUE,"SUM";#N/A,#N/A,TRUE,"EE";#N/A,#N/A,TRUE,"AC";#N/A,#N/A,TRUE,"SN"}</definedName>
    <definedName name="fghdfhdfg" hidden="1">#REF!</definedName>
    <definedName name="fgkjmgky.yulyu." hidden="1">{"Offgrid",#N/A,FALSE,"OFFGRID";"Region",#N/A,FALSE,"REGION";"Offgrid -2",#N/A,FALSE,"OFFGRID";"WTP",#N/A,FALSE,"WTP";"WTP -2",#N/A,FALSE,"WTP";"Project",#N/A,FALSE,"PROJECT";"Summary -2",#N/A,FALSE,"SUMMARY"}</definedName>
    <definedName name="fgn" hidden="1">{"'Sheet1'!$L$16"}</definedName>
    <definedName name="fgnfgn" hidden="1">{"Offgrid",#N/A,FALSE,"OFFGRID";"Region",#N/A,FALSE,"REGION";"Offgrid -2",#N/A,FALSE,"OFFGRID";"WTP",#N/A,FALSE,"WTP";"WTP -2",#N/A,FALSE,"WTP";"Project",#N/A,FALSE,"PROJECT";"Summary -2",#N/A,FALSE,"SUMMARY"}</definedName>
    <definedName name="fgzdf" hidden="1">{"'Sheet1'!$L$16"}</definedName>
    <definedName name="fhfgfsdgfd" hidden="1">#REF!</definedName>
    <definedName name="fhgadfhadf" hidden="1">#REF!</definedName>
    <definedName name="fhhh" hidden="1">{"'Sheet1'!$L$16"}</definedName>
    <definedName name="fhlkdkgl" hidden="1">#REF!</definedName>
    <definedName name="fhng" hidden="1">{"'Sheet1'!$L$16"}</definedName>
    <definedName name="fhsdgfdff" hidden="1">#REF!</definedName>
    <definedName name="fhtđhêhd" hidden="1">{"Offgrid",#N/A,FALSE,"OFFGRID";"Region",#N/A,FALSE,"REGION";"Offgrid -2",#N/A,FALSE,"OFFGRID";"WTP",#N/A,FALSE,"WTP";"WTP -2",#N/A,FALSE,"WTP";"Project",#N/A,FALSE,"PROJECT";"Summary -2",#N/A,FALSE,"SUMMARY"}</definedName>
    <definedName name="FiLL" hidden="1">#REF!</definedName>
    <definedName name="fill2" hidden="1">#REF!</definedName>
    <definedName name="FilterDatabase" hidden="1">#REF!</definedName>
    <definedName name="fjfjk" hidden="1">{"'Sheet1'!$L$16"}</definedName>
    <definedName name="fkgfkgfk" hidden="1">{"'Sheet1'!$L$16"}</definedName>
    <definedName name="fkgjk" hidden="1">{"'Sheet1'!$L$16"}</definedName>
    <definedName name="fldfángonh" hidden="1">{"'Sheet1'!$L$16"}</definedName>
    <definedName name="fmghd" hidden="1">{"'Sheet1'!$L$16"}</definedName>
    <definedName name="FOBLIST" hidden="1">#REF!</definedName>
    <definedName name="FQWERWE" hidden="1">[7]tifico!#REF!</definedName>
    <definedName name="FRFRFR" hidden="1">{"'Sheet1'!$L$16"}</definedName>
    <definedName name="fsd" hidden="1">{#N/A,#N/A,FALSE,"mgtsum.XLS";#N/A,#N/A,FALSE,"CAPONE";#N/A,#N/A,FALSE,"CAPTWO";#N/A,#N/A,FALSE,"CAPTHREE"}</definedName>
    <definedName name="fsdf" hidden="1">{"'Sheet1'!$L$16"}</definedName>
    <definedName name="fsdfdsf" hidden="1">{"'Sheet1'!$L$16"}</definedName>
    <definedName name="fsdfsd" hidden="1">{#N/A,#N/A,FALSE,"Chi tiÆt"}</definedName>
    <definedName name="FSDFSDF" hidden="1">{#N/A,#N/A,TRUE,"SUM";#N/A,#N/A,TRUE,"EE";#N/A,#N/A,TRUE,"AC";#N/A,#N/A,TRUE,"SN"}</definedName>
    <definedName name="FSGFSDG" hidden="1">{#N/A,#N/A,TRUE,"SUM";#N/A,#N/A,TRUE,"EE";#N/A,#N/A,TRUE,"AC";#N/A,#N/A,TRUE,"SN"}</definedName>
    <definedName name="fwefsef" hidden="1">{"'Sheet1'!$L$16"}</definedName>
    <definedName name="fwgqwerg" hidden="1">{"'Sheet1'!$L$16"}</definedName>
    <definedName name="G" hidden="1">#REF!</definedName>
    <definedName name="gdfgdfgdf" hidden="1">{"'Sheet1'!$L$16"}</definedName>
    <definedName name="gdg" hidden="1">{"'Sheet1'!$L$16"}</definedName>
    <definedName name="gdgdgdg" hidden="1">{"'Sheet1'!$L$16"}</definedName>
    <definedName name="gdgdgdgd" hidden="1">{#N/A,#N/A,FALSE,"Chi tiÆt"}</definedName>
    <definedName name="gdhgh" hidden="1">{"'Sheet1'!$L$16"}</definedName>
    <definedName name="gdret" hidden="1">{"'Sheet1'!$L$16"}</definedName>
    <definedName name="GDS" hidden="1">{"'Sheet1'!$L$16"}</definedName>
    <definedName name="GEMCO" hidden="1">#REF!</definedName>
    <definedName name="Genesis" hidden="1">{"'Quotation'!$A$1:$G$1"}</definedName>
    <definedName name="geral" hidden="1">{"MG-2002-F1",#N/A,FALSE,"PPU-Telemig";"MG-2002-F2",#N/A,FALSE,"PPU-Telemig";"MG-2002-F3",#N/A,FALSE,"PPU-Telemig";"MG-2002-F4",#N/A,FALSE,"PPU-Telemig";"MG-2003-F1",#N/A,FALSE,"PPU-Telemig";"MG-2004-F1",#N/A,FALSE,"PPU-Telemig"}</definedName>
    <definedName name="gfdghf" hidden="1">{"Offgrid",#N/A,FALSE,"OFFGRID";"Region",#N/A,FALSE,"REGION";"Offgrid -2",#N/A,FALSE,"OFFGRID";"WTP",#N/A,FALSE,"WTP";"WTP -2",#N/A,FALSE,"WTP";"Project",#N/A,FALSE,"PROJECT";"Summary -2",#N/A,FALSE,"SUMMARY"}</definedName>
    <definedName name="gfdhfd" hidden="1">{"'Sheet1'!$L$16"}</definedName>
    <definedName name="gfeg" hidden="1">{#N/A,#N/A,FALSE,"Chi tiÆt"}</definedName>
    <definedName name="GFF" hidden="1">[8]SEX!$P$7:$P$7</definedName>
    <definedName name="gffhhfh" hidden="1">#REF!</definedName>
    <definedName name="gfgfg" hidden="1">#REF!</definedName>
    <definedName name="gfhgadfkgkadf" hidden="1">#REF!</definedName>
    <definedName name="GFJHJ" hidden="1">{"'Sheet1'!$L$16"}</definedName>
    <definedName name="gfsghhghg" hidden="1">{0}</definedName>
    <definedName name="gftrhgtrfhb" hidden="1">{#N/A,#N/A,FALSE,"기안지";#N/A,#N/A,FALSE,"통신지"}</definedName>
    <definedName name="ggaq" hidden="1">{"Offgrid",#N/A,FALSE,"OFFGRID";"Region",#N/A,FALSE,"REGION";"Offgrid -2",#N/A,FALSE,"OFFGRID";"WTP",#N/A,FALSE,"WTP";"WTP -2",#N/A,FALSE,"WTP";"Project",#N/A,FALSE,"PROJECT";"Summary -2",#N/A,FALSE,"SUMMARY"}</definedName>
    <definedName name="ggf" hidden="1">'[9]6MONTHS'!$AI$39:$AO$39</definedName>
    <definedName name="ggfg" hidden="1">{"Offgrid",#N/A,FALSE,"OFFGRID";"Region",#N/A,FALSE,"REGION";"Offgrid -2",#N/A,FALSE,"OFFGRID";"WTP",#N/A,FALSE,"WTP";"WTP -2",#N/A,FALSE,"WTP";"Project",#N/A,FALSE,"PROJECT";"Summary -2",#N/A,FALSE,"SUMMARY"}</definedName>
    <definedName name="ggg" hidden="1">{"'Sheet1'!$L$16"}</definedName>
    <definedName name="gggg" hidden="1">{"'Sheet1'!$L$16"}</definedName>
    <definedName name="GGGGG" hidden="1">{#N/A,#N/A,TRUE,"SUM";#N/A,#N/A,TRUE,"EE";#N/A,#N/A,TRUE,"AC";#N/A,#N/A,TRUE,"SN"}</definedName>
    <definedName name="gggggggggggggggg" hidden="1">{0}</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h" hidden="1">{#N/A,#N/A,TRUE,"SUM";#N/A,#N/A,TRUE,"EE";#N/A,#N/A,TRUE,"AC";#N/A,#N/A,TRUE,"SN"}</definedName>
    <definedName name="gghh" hidden="1">{"'Sheet1'!$L$16"}</definedName>
    <definedName name="gghjgh" hidden="1">#REF!</definedName>
    <definedName name="ggsf" hidden="1">#REF!</definedName>
    <definedName name="ggss" hidden="1">{"'Sheet1'!$L$16"}</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localSheetId="6" hidden="1">{"'Sheet1'!$L$16"}</definedName>
    <definedName name="ghàdgfadgdf" hidden="1">#REF!</definedName>
    <definedName name="GHDF" hidden="1">{"'Sheet1'!$L$16"}</definedName>
    <definedName name="ghdzsf" hidden="1">{"'Sheet1'!$L$16"}</definedName>
    <definedName name="ghg" hidden="1">{"'Sheet1'!$L$16"}</definedName>
    <definedName name="ghgh" hidden="1">{"'Sheet1'!$L$16"}</definedName>
    <definedName name="ghhjd" hidden="1">{"'Sheet1'!$L$16"}</definedName>
    <definedName name="ghj" hidden="1">{#N/A,#N/A,TRUE,"Config1";#N/A,#N/A,TRUE,"Config2";#N/A,#N/A,TRUE,"Config3";#N/A,#N/A,TRUE,"Config4";#N/A,#N/A,TRUE,"Config5";#N/A,#N/A,TRUE,"Config6";#N/A,#N/A,TRUE,"Config7"}</definedName>
    <definedName name="ghj_new" hidden="1">{#N/A,#N/A,TRUE,"Config1";#N/A,#N/A,TRUE,"Config2";#N/A,#N/A,TRUE,"Config3";#N/A,#N/A,TRUE,"Config4";#N/A,#N/A,TRUE,"Config5";#N/A,#N/A,TRUE,"Config6";#N/A,#N/A,TRUE,"Config7"}</definedName>
    <definedName name="ghjk" hidden="1">{#N/A,#N/A,TRUE,"Config1";#N/A,#N/A,TRUE,"Config2";#N/A,#N/A,TRUE,"Config3";#N/A,#N/A,TRUE,"Config4";#N/A,#N/A,TRUE,"Config5";#N/A,#N/A,TRUE,"Config6";#N/A,#N/A,TRUE,"Config7"}</definedName>
    <definedName name="ghû" hidden="1">{"'Sheet1'!$L$16"}</definedName>
    <definedName name="giang" hidden="1">{"'Sheet1'!$L$16"}</definedName>
    <definedName name="GiaokhoanMong" hidden="1">{"'Sheet1'!$L$16"}</definedName>
    <definedName name="gjgh" hidden="1">{"'Sheet1'!$L$16"}</definedName>
    <definedName name="gjh" hidden="1">{"'Sheet1'!$L$16"}</definedName>
    <definedName name="gjj" hidden="1">{"'Sheet1'!$L$16"}</definedName>
    <definedName name="gjrđjsjs" hidden="1">{"'Sheet1'!$L$16"}</definedName>
    <definedName name="gjv"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Kcot" hidden="1">{"'Sheet1'!$L$16"}</definedName>
    <definedName name="gn" hidden="1">{"'Sheet1'!$L$16"}</definedName>
    <definedName name="GNFKD" hidden="1">{#N/A,#N/A,TRUE,"SUM";#N/A,#N/A,TRUE,"EE";#N/A,#N/A,TRUE,"AC";#N/A,#N/A,TRUE,"SN"}</definedName>
    <definedName name="gra" hidden="1">{"'Sheet1'!$L$16"}</definedName>
    <definedName name="GRAND" hidden="1">#REF!</definedName>
    <definedName name="grap_b" hidden="1">[7]tifico!#REF!</definedName>
    <definedName name="gresg" hidden="1">{"'Sheet1'!$L$16"}</definedName>
    <definedName name="grqeg" hidden="1">{"'Sheet1'!$L$16"}</definedName>
    <definedName name="grrt" hidden="1">{"'Sheet1'!$L$16"}</definedName>
    <definedName name="Gss" hidden="1">{#N/A,#N/A,TRUE,"Str.";#N/A,#N/A,TRUE,"Steel &amp; Roof";#N/A,#N/A,TRUE,"Arc.";#N/A,#N/A,TRUE,"Preliminary";#N/A,#N/A,TRUE,"Sum_Prelim"}</definedName>
    <definedName name="GTCap" hidden="1">{"'Sheet1'!$L$16"}</definedName>
    <definedName name="gteyhưez" hidden="1">{"'Sheet1'!$L$16"}</definedName>
    <definedName name="gtkhai" hidden="1">{"'Sheet1'!$L$16"}</definedName>
    <definedName name="GTOTAL" hidden="1">{"'Sheet1'!$L$16"}</definedName>
    <definedName name="gtujiyukoio" hidden="1">{"'Summary'!$A$1:$J$46"}</definedName>
    <definedName name="GU" hidden="1">{"'Sheet1'!$L$16"}</definedName>
    <definedName name="GƯD" hidden="1">{"'Sheet1'!$L$16"}</definedName>
    <definedName name="gui" hidden="1">{#N/A,#N/A,TRUE,"Config1";#N/A,#N/A,TRUE,"Config2";#N/A,#N/A,TRUE,"Config3";#N/A,#N/A,TRUE,"Config4";#N/A,#N/A,TRUE,"Config5";#N/A,#N/A,TRUE,"Config6";#N/A,#N/A,TRUE,"Config7"}</definedName>
    <definedName name="GUUIUI" hidden="1">{"'Sheet1'!$L$16"}</definedName>
    <definedName name="gvq" hidden="1">{"'Sheet1'!$L$16"}</definedName>
    <definedName name="gwf" hidden="1">{#N/A,#N/A,FALSE,"Chi tiÆt"}</definedName>
    <definedName name="GY" hidden="1">{"'Sheet1'!$L$16"}</definedName>
    <definedName name="h_xoa" hidden="1">{"'Sheet1'!$L$16"}</definedName>
    <definedName name="h_xoa2" hidden="1">{"'Sheet1'!$L$16"}</definedName>
    <definedName name="hah" hidden="1">{"'Sheet1'!$L$16"}</definedName>
    <definedName name="hai" hidden="1">{"'Sheet1'!$L$16"}</definedName>
    <definedName name="hailq" hidden="1">{"'Sheet1'!$L$16"}</definedName>
    <definedName name="haljf" hidden="1">{"'Sheet1'!$L$16"}</definedName>
    <definedName name="hangrao" hidden="1">{"'Sheet1'!$L$16"}</definedName>
    <definedName name="hanh" hidden="1">{"'Sheet1'!$L$16"}</definedName>
    <definedName name="haq" hidden="1">{"'Sheet1'!$L$16"}</definedName>
    <definedName name="hardwar" hidden="1">#REF!</definedName>
    <definedName name="haunhmab" hidden="1">#REF!</definedName>
    <definedName name="hbbbbbb" hidden="1">{"'Sheet1'!$L$16"}</definedName>
    <definedName name="HCNA" localSheetId="6" hidden="1">{"'Sheet1'!$L$16"}</definedName>
    <definedName name="HCNA" hidden="1">{"'Sheet1'!$L$16"}</definedName>
    <definedName name="hdfgdgdg" hidden="1">#REF!</definedName>
    <definedName name="hdfhf" hidden="1">{"'Sheet1'!$L$16"}</definedName>
    <definedName name="hdfn" hidden="1">{#N/A,#N/A,FALSE,"Chi tiÆt"}</definedName>
    <definedName name="heđbe" hidden="1">{"Offgrid",#N/A,FALSE,"OFFGRID";"Region",#N/A,FALSE,"REGION";"Offgrid -2",#N/A,FALSE,"OFFGRID";"WTP",#N/A,FALSE,"WTP";"WTP -2",#N/A,FALSE,"WTP";"Project",#N/A,FALSE,"PROJECT";"Summary -2",#N/A,FALSE,"SUMMARY"}</definedName>
    <definedName name="hee_opjg" hidden="1">{"'Sheet1'!$L$16"}</definedName>
    <definedName name="hel" hidden="1">{"'Sheet1'!$L$16"}</definedName>
    <definedName name="hẻy" hidden="1">{"'Sheet1'!$L$16"}</definedName>
    <definedName name="hfghgf" hidden="1">{"'Sheet1'!$L$16"}</definedName>
    <definedName name="hfgsdf" hidden="1">{"'Sheet1'!$L$16"}</definedName>
    <definedName name="hgadgag" hidden="1">{"Offgrid",#N/A,FALSE,"OFFGRID";"Region",#N/A,FALSE,"REGION";"Offgrid -2",#N/A,FALSE,"OFFGRID";"WTP",#N/A,FALSE,"WTP";"WTP -2",#N/A,FALSE,"WTP";"Project",#N/A,FALSE,"PROJECT";"Summary -2",#N/A,FALSE,"SUMMARY"}</definedName>
    <definedName name="hgdkjh" hidden="1">{#N/A,#N/A,TRUE,"SUM";#N/A,#N/A,TRUE,"EE";#N/A,#N/A,TRUE,"AC";#N/A,#N/A,TRUE,"SN"}</definedName>
    <definedName name="hgh" hidden="1">#REF!</definedName>
    <definedName name="hghgj" hidden="1">{0}</definedName>
    <definedName name="hgj" hidden="1">{"'Sheet1'!$L$16"}</definedName>
    <definedName name="hgjghj" hidden="1">{"'Sheet1'!$L$16"}</definedName>
    <definedName name="hgre_zdfhgfd" hidden="1">{"'Sheet1'!$L$16"}</definedName>
    <definedName name="hhb" hidden="1">{"'Sheet1'!$L$16"}</definedName>
    <definedName name="hhh" hidden="1">{"'Sheet1'!$L$16"}</definedName>
    <definedName name="hhhhh" hidden="1">{"'Sheet1'!$L$16"}</definedName>
    <definedName name="hhhhhh" hidden="1">{"'Sheet1'!$L$16"}</definedName>
    <definedName name="HHHHHHH" hidden="1">{"'Sheet1'!$L$16"}</definedName>
    <definedName name="HHHHHHHH" hidden="1">{#N/A,#N/A,TRUE,"SUM";#N/A,#N/A,TRUE,"EE";#N/A,#N/A,TRUE,"AC";#N/A,#N/A,TRUE,"SN"}</definedName>
    <definedName name="hhhhhhhhhhhhhhhhhhhh" hidden="1">{"'Sheet1'!$L$16"}</definedName>
    <definedName name="hhhhhu" hidden="1">{"'Sheet1'!$L$16"}</definedName>
    <definedName name="hhhthrh" hidden="1">{#N/A,#N/A,FALSE,"Chi tiÆt"}</definedName>
    <definedName name="hhjhj" hidden="1">{"'Sheet1'!$L$16"}</definedName>
    <definedName name="hhudg" hidden="1">{"'Sheet1'!$L$16"}</definedName>
    <definedName name="HiddenRows" hidden="1">#REF!</definedName>
    <definedName name="hiept2" hidden="1">{"'Sheet1'!$L$16"}</definedName>
    <definedName name="hjhj" hidden="1">{"'Sheet1'!$L$16"}</definedName>
    <definedName name="hjjkl" hidden="1">{"'Sheet1'!$L$16"}</definedName>
    <definedName name="hjk" hidden="1">{"'Sheet1'!$L$16"}</definedName>
    <definedName name="hjkfy" hidden="1">#REF!</definedName>
    <definedName name="hjkk" hidden="1">{"'Sheet1'!$L$16"}</definedName>
    <definedName name="hjti" hidden="1">#REF!</definedName>
    <definedName name="hju" hidden="1">{"'Sheet1'!$L$16"}</definedName>
    <definedName name="hk" hidden="1">{"'Sheet1'!$L$16"}</definedName>
    <definedName name="hkljhklj" hidden="1">{"'Sheet1'!$L$16"}</definedName>
    <definedName name="hmom" hidden="1">{#N/A,#N/A,TRUE,"SUM";#N/A,#N/A,TRUE,"EE";#N/A,#N/A,TRUE,"AC";#N/A,#N/A,TRUE,"SN"}</definedName>
    <definedName name="hmy" hidden="1">{"'Sheet1'!$L$16"}</definedName>
    <definedName name="hnhnhn" hidden="1">{"'Sheet1'!$L$16"}</definedName>
    <definedName name="hoan" hidden="1">{"'Sheet1'!$L$16"}</definedName>
    <definedName name="Hoang" hidden="1">{"'Sheet1'!$L$16"}</definedName>
    <definedName name="holdmenow" hidden="1">{"'Sheet1'!$L$16"}</definedName>
    <definedName name="HOM" hidden="1">{"Offgrid",#N/A,FALSE,"OFFGRID";"Region",#N/A,FALSE,"REGION";"Offgrid -2",#N/A,FALSE,"OFFGRID";"WTP",#N/A,FALSE,"WTP";"WTP -2",#N/A,FALSE,"WTP";"Project",#N/A,FALSE,"PROJECT";"Summary -2",#N/A,FALSE,"SUMMARY"}</definedName>
    <definedName name="hong" hidden="1">{"'Sheet1'!$L$16"}</definedName>
    <definedName name="Hospital" hidden="1">{#N/A,#N/A,FALSE,"현장 NCR 분석";#N/A,#N/A,FALSE,"현장품질감사";#N/A,#N/A,FALSE,"현장품질감사"}</definedName>
    <definedName name="hrhe" hidden="1">{"Offgrid",#N/A,FALSE,"OFFGRID";"Region",#N/A,FALSE,"REGION";"Offgrid -2",#N/A,FALSE,"OFFGRID";"WTP",#N/A,FALSE,"WTP";"WTP -2",#N/A,FALSE,"WTP";"Project",#N/A,FALSE,"PROJECT";"Summary -2",#N/A,FALSE,"SUMMARY"}</definedName>
    <definedName name="hsgbhtgrư" hidden="1">{#N/A,#N/A,FALSE,"Chi tiÆt"}</definedName>
    <definedName name="ht" localSheetId="6" hidden="1">{"'Sheet1'!$L$16"}</definedName>
    <definedName name="ht" hidden="1">{"'Sheet1'!$L$16"}</definedName>
    <definedName name="htjhtjftj" hidden="1">{#N/A,#N/A,FALSE,"Chi tiÆt"}</definedName>
    <definedName name="htlm" localSheetId="6" hidden="1">{"'Sheet1'!$L$16"}</definedName>
    <definedName name="htlm" hidden="1">{"'Sheet1'!$L$16"}</definedName>
    <definedName name="htlm1" hidden="1">{"'Sheet1'!$L$16"}</definedName>
    <definedName name="htm" hidden="1">{"'Sheet1'!$L$16"}</definedName>
    <definedName name="html" hidden="1">{"'Sheet1'!$L$16"}</definedName>
    <definedName name="HTML_CodePage" hidden="1">950</definedName>
    <definedName name="HTML_Control" localSheetId="6" hidden="1">{"'Sheet1'!$L$16"}</definedName>
    <definedName name="HTML_Control" hidden="1">{"'Sheet1'!$L$16"}</definedName>
    <definedName name="HTML_Control_1" hidden="1">{"'Sheet1'!$L$16"}</definedName>
    <definedName name="HTML_Control_1_1" hidden="1">{"'Sheet1'!$L$16"}</definedName>
    <definedName name="HTML_Control_2" hidden="1">{"'Sheet1'!$L$16"}</definedName>
    <definedName name="HTML_Control_2_1" hidden="1">{"'Sheet1'!$L$16"}</definedName>
    <definedName name="HTML_Control_3" hidden="1">{"'Sheet1'!$L$16"}</definedName>
    <definedName name="HTML_Control_3_1" hidden="1">{"'Sheet1'!$L$16"}</definedName>
    <definedName name="HTML_Control_4" hidden="1">{"'Sheet1'!$L$16"}</definedName>
    <definedName name="html_control_xoa2" hidden="1">{"'Sheet1'!$L$16"}</definedName>
    <definedName name="html_control1" hidden="1">{"'Sheet1'!$L$16"}</definedName>
    <definedName name="HTML_Control2" hidden="1">{"'Sheet1'!$L$16"}</definedName>
    <definedName name="HTMl_Control3" hidden="1">{"'Sheet1'!$L$16"}</definedName>
    <definedName name="HTML_Control4"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PathTemplate" hidden="1">"C:\_web\Masters\Page_Web.htm"</definedName>
    <definedName name="HTML_Title" hidden="1">"00Q3961-SUM"</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Count" hidden="1">1</definedName>
    <definedName name="htmll" hidden="1">{"'Sheet1'!$L$16"}</definedName>
    <definedName name="HTMLmoi" hidden="1">{"'Sheet1'!$L$16"}</definedName>
    <definedName name="HTNL" hidden="1">{"'Sheet1'!$L$16"}</definedName>
    <definedName name="HTR" hidden="1">{#N/A,#N/A,FALSE,"이태원철근"}</definedName>
    <definedName name="htriu4" hidden="1">{#N/A,#N/A,FALSE,"Chi tiÆt"}</definedName>
    <definedName name="hu" hidden="1">{"'Sheet1'!$L$16"}</definedName>
    <definedName name="hui" hidden="1">{"'Sheet1'!$L$16"}</definedName>
    <definedName name="hung5" hidden="1">{"'Sheet1'!$L$16"}</definedName>
    <definedName name="huong" hidden="1">{"'Sheet1'!$L$16"}</definedName>
    <definedName name="huu" hidden="1">{"'Sheet1'!$L$16"}</definedName>
    <definedName name="huy" localSheetId="6" hidden="1">{"'Sheet1'!$L$16"}</definedName>
    <definedName name="huy" hidden="1">{"'Sheet1'!$L$16"}</definedName>
    <definedName name="huy_xoa" hidden="1">{"'Sheet1'!$L$16"}</definedName>
    <definedName name="huy_xoa2" hidden="1">{"'Sheet1'!$L$16"}</definedName>
    <definedName name="huy1moi" hidden="1">{"'Sheet1'!$L$16"}</definedName>
    <definedName name="huye" hidden="1">{"'Sheet1'!$L$16"}</definedName>
    <definedName name="huyen" hidden="1">{"'Sheet1'!$L$16"}</definedName>
    <definedName name="huymoi" hidden="1">{"'Sheet1'!$L$16"}</definedName>
    <definedName name="HUYØ" hidden="1">{"'Sheet1'!$L$16"}</definedName>
    <definedName name="huyy" hidden="1">{"'Sheet1'!$L$16"}</definedName>
    <definedName name="huyyy" hidden="1">{"'Sheet1'!$L$16"}</definedName>
    <definedName name="HW" hidden="1">#REF!</definedName>
    <definedName name="HY" hidden="1">{"'Sheet1'!$L$16"}</definedName>
    <definedName name="hy." hidden="1">{"'Sheet1'!$L$16"}</definedName>
    <definedName name="Ì" hidden="1">{"'Sheet1'!$L$16"}</definedName>
    <definedName name="ïg" hidden="1">{#N/A,#N/A,FALSE,"Sheet1";#N/A,#N/A,FALSE,"Sheet1";#N/A,#N/A,FALSE,"Sheet1"}</definedName>
    <definedName name="ïhghjfgj" hidden="1">{#N/A,#N/A,FALSE,"Chi tiÆt"}</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NDIRECT_COST" hidden="1">#REF!</definedName>
    <definedName name="IntroPrintArea" hidden="1">#REF!</definedName>
    <definedName name="IQ" hidden="1">{"'Summary'!$A$1:$J$46"}</definedName>
    <definedName name="it" hidden="1">{"'Sheet1'!$L$16"}</definedName>
    <definedName name="ịth" hidden="1">{"'Sheet1'!$L$16"}</definedName>
    <definedName name="jæít" hidden="1">{"'Sheet1'!$L$16"}</definedName>
    <definedName name="jfa" hidden="1">{"'Sheet1'!$L$16"}</definedName>
    <definedName name="JGJ" hidden="1">[7]tifico!#REF!</definedName>
    <definedName name="JH" hidden="1">{"'Sheet1'!$L$16"}</definedName>
    <definedName name="jhgj" hidden="1">{"COST",#N/A,FALSE,"SYNTHESE";"MARGIN",#N/A,FALSE,"SYNTHESE";"LOT_COM",#N/A,FALSE,"SYNTHESE"}</definedName>
    <definedName name="jhgj_loc" hidden="1">{"COST",#N/A,FALSE,"SYNTHESE";"MARGIN",#N/A,FALSE,"SYNTHESE";"LOT_COM",#N/A,FALSE,"SYNTHESE"}</definedName>
    <definedName name="jhgjkdhgdjkshg" hidden="1">{0}</definedName>
    <definedName name="jhhkjh" hidden="1">{"'Sheet1'!$L$16"}</definedName>
    <definedName name="jhik" hidden="1">{"'Sheet1'!$L$16"}</definedName>
    <definedName name="JHJ" hidden="1">{"'Sheet1'!$L$16"}</definedName>
    <definedName name="jhk" hidden="1">{"'Sheet1'!$L$16"}</definedName>
    <definedName name="jhsdkjghsdlkg" hidden="1">{0}</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{#N/A,#N/A,FALSE,"Sheet1"}</definedName>
    <definedName name="jjjj" hidden="1">{"'Sheet1'!$L$16"}</definedName>
    <definedName name="jjjjj" hidden="1">{"'Sheet1'!$L$16"}</definedName>
    <definedName name="jjjjjjj" hidden="1">{"'Sheet1'!$L$16"}</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hidden="1">{"'Sheet1'!$L$16"}</definedName>
    <definedName name="JKDFSJCSDKJ" hidden="1">{#N/A,#N/A,TRUE,"SUM";#N/A,#N/A,TRUE,"EE";#N/A,#N/A,TRUE,"AC";#N/A,#N/A,TRUE,"SN"}</definedName>
    <definedName name="jkfghjkdshgkjsdgh" hidden="1">{0}</definedName>
    <definedName name="jkh" hidden="1">{"'Sheet1'!$L$16"}</definedName>
    <definedName name="jkjhk" hidden="1">{"'Sheet1'!$L$16"}</definedName>
    <definedName name="jkjk" hidden="1">{"'Sheet1'!$L$16"}</definedName>
    <definedName name="jkkjkl" hidden="1">{#N/A,#N/A,TRUE,"SUM";#N/A,#N/A,TRUE,"EE";#N/A,#N/A,TRUE,"AC";#N/A,#N/A,TRUE,"SN"}</definedName>
    <definedName name="jlhligil" hidden="1">{"'Sheet1'!$L$16"}</definedName>
    <definedName name="JLJKL" hidden="1">{"'Sheet1'!$L$16"}</definedName>
    <definedName name="jm" hidden="1">#REF!</definedName>
    <definedName name="jsajhf" hidden="1">{"'Sheet1'!$L$16"}</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tdj" hidden="1">{#N/A,#N/A,FALSE,"Chi tiÆt"}</definedName>
    <definedName name="jýỵy" hidden="1">{"'Sheet1'!$L$16"}</definedName>
    <definedName name="k" localSheetId="6" hidden="1">{"'Sheet1'!$L$16"}</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2_K2" hidden="1">{#N/A,#N/A,FALSE,"Sheet1"}</definedName>
    <definedName name="KCThep" hidden="1">{"'Sheet1'!$L$16"}</definedName>
    <definedName name="kdkk" hidden="1">{"'Sheet1'!$L$16"}</definedName>
    <definedName name="ke" hidden="1">{"'Sheet1'!$L$16"}</definedName>
    <definedName name="key" hidden="1">#REF!</definedName>
    <definedName name="kg_m2" hidden="1">#REF!</definedName>
    <definedName name="kgiu" hidden="1">{"Offgrid",#N/A,FALSE,"OFFGRID";"Region",#N/A,FALSE,"REGION";"Offgrid -2",#N/A,FALSE,"OFFGRID";"WTP",#N/A,FALSE,"WTP";"WTP -2",#N/A,FALSE,"WTP";"Project",#N/A,FALSE,"PROJECT";"Summary -2",#N/A,FALSE,"SUMMARY"}</definedName>
    <definedName name="khang" hidden="1">{"'Sheet1'!$L$16"}</definedName>
    <definedName name="Khanh" hidden="1">{"'Sheet1'!$L$16"}</definedName>
    <definedName name="khin" hidden="1">{"'Sheet1'!$L$16"}</definedName>
    <definedName name="khkh" hidden="1">{"'Sheet1'!$L$16"}</definedName>
    <definedName name="khoas" hidden="1">{"'Sheet1'!$L$16"}</definedName>
    <definedName name="KhongCT" hidden="1">{"'Sheet1'!$L$16"}</definedName>
    <definedName name="khongtruotgia" hidden="1">{"'Sheet1'!$L$16"}</definedName>
    <definedName name="KHSX" hidden="1">{"'Sheet1'!$L$16"}</definedName>
    <definedName name="ki" hidden="1">{"'Sheet1'!$L$16"}</definedName>
    <definedName name="Kiet1" hidden="1">{"'Sheet1'!$L$16"}</definedName>
    <definedName name="kiku" hidden="1">{"'Sheet1'!$L$16"}</definedName>
    <definedName name="kjdhgkjdhg" hidden="1">{0}</definedName>
    <definedName name="kjdhgkjsdfh" hidden="1">{0}</definedName>
    <definedName name="KJDTOEIOTDRDFFDDFDF" hidden="1">{#N/A,#N/A,TRUE,"SUM";#N/A,#N/A,TRUE,"EE";#N/A,#N/A,TRUE,"AC";#N/A,#N/A,TRUE,"SN"}</definedName>
    <definedName name="kjgÞun" hidden="1">{"'Sheet1'!$L$16"}</definedName>
    <definedName name="kjh" hidden="1">{"'Sheet1'!$L$16"}</definedName>
    <definedName name="kjhgf" hidden="1">{#N/A,#N/A,FALSE,"Chi tiÆt"}</definedName>
    <definedName name="kjhutuy" hidden="1">{"'Sheet1'!$L$16"}</definedName>
    <definedName name="kjjhhg" hidden="1">{"'Sheet1'!$L$16"}</definedName>
    <definedName name="kjsdhgkjsdh" hidden="1">{0}</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ｋｋｋ" hidden="1">{"'Sheet1'!$L$16"}</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i" hidden="1">{#N/A,#N/A,FALSE,"Chi tiÆt"}</definedName>
    <definedName name="kkkk" hidden="1">{"'Sheet1'!$L$16"}</definedName>
    <definedName name="kkkkj" hidden="1">{#N/A,#N/A,FALSE,"Chi tiÆt"}</definedName>
    <definedName name="kkkkk" hidden="1">#REF!</definedName>
    <definedName name="kkkkkkkkkkkk" hidden="1">{"'Sheet1'!$L$16"}</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PP" hidden="1">{#N/A,#N/A,TRUE,"SUM";#N/A,#N/A,TRUE,"EE";#N/A,#N/A,TRUE,"AC";#N/A,#N/A,TRUE,"SN"}</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Fill" hidden="1">#REF!</definedName>
    <definedName name="KLABCU" hidden="1">{"'Sheet1'!$L$16"}</definedName>
    <definedName name="KLduonggiaods" hidden="1">{"'Sheet1'!$L$16"}</definedName>
    <definedName name="klfajsdkljfas" hidden="1">{0}</definedName>
    <definedName name="klk" hidden="1">{"'Sheet1'!$L$16"}</definedName>
    <definedName name="klkkj" hidden="1">{"'Sheet1'!$L$16"}</definedName>
    <definedName name="KLMT" hidden="1">{"'Sheet1'!$L$16"}</definedName>
    <definedName name="kltn3" hidden="1">{"'Sheet1'!$L$16"}</definedName>
    <definedName name="KNDAT_CHUA_SU_DUNG" hidden="1">#REF!</definedName>
    <definedName name="kqkdbq" hidden="1">{"'Sheet1'!$L$16"}</definedName>
    <definedName name="ksbn" hidden="1">{"'Sheet1'!$L$16"}</definedName>
    <definedName name="kscamera" hidden="1">{"'Sheet1'!$L$16"}</definedName>
    <definedName name="KSDA" hidden="1">{"'Sheet1'!$L$16"}</definedName>
    <definedName name="KSDHPA2" hidden="1">{"'Sheet1'!$L$16"}</definedName>
    <definedName name="kshn" hidden="1">{"'Sheet1'!$L$16"}</definedName>
    <definedName name="kskt5" hidden="1">{"'Sheet1'!$L$16"}</definedName>
    <definedName name="ksls" hidden="1">{"'Sheet1'!$L$16"}</definedName>
    <definedName name="ktdk0" hidden="1">{#N/A,#N/A,FALSE,"Chi tiÆt"}</definedName>
    <definedName name="kxbgjks" hidden="1">{"'Sheet1'!$L$16"}</definedName>
    <definedName name="kygui" hidden="1">{#N/A,#N/A,FALSE,"Chi tiÆt"}</definedName>
    <definedName name="l.dat" hidden="1">{"'Sheet1'!$L$16"}</definedName>
    <definedName name="Laguna" hidden="1">{#N/A,#N/A,FALSE,"CAPTION LIST (As-Built)";#N/A,#N/A,FALSE,"DOCUMENT LIST (As-Built)";#N/A,#N/A,FALSE,"PLANT SPECIFICATION";#N/A,#N/A,FALSE,"PRODUCT LIST"}</definedName>
    <definedName name="lai" hidden="1">{"'Sheet1'!$L$16"}</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ANH" hidden="1">{#N/A,#N/A,FALSE,"Chi tiÆt"}</definedName>
    <definedName name="langson" hidden="1">{"'Sheet1'!$L$16"}</definedName>
    <definedName name="latxay" hidden="1">{"'Sheet1'!$L$16"}</definedName>
    <definedName name="LC_TOTAL" hidden="1">#REF!</definedName>
    <definedName name="le" hidden="1">{"'Sheet1'!$L$16"}</definedName>
    <definedName name="leau" hidden="1">{#N/A,#N/A,TRUE,"SUM";#N/A,#N/A,TRUE,"EE";#N/A,#N/A,TRUE,"AC";#N/A,#N/A,TRUE,"SN"}</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ghag" hidden="1">#REF!</definedName>
    <definedName name="lien" hidden="1">{"'Sheet1'!$L$16"}</definedName>
    <definedName name="limcount" hidden="1">13</definedName>
    <definedName name="LIN" hidden="1">{"'Sheet1'!$L$16"}</definedName>
    <definedName name="lin0" hidden="1">{"'Sheet1'!$L$16"}</definedName>
    <definedName name="linh" hidden="1">{"'Sheet1'!$L$16"}</definedName>
    <definedName name="LINHTINH" hidden="1">{"'Sheet1'!$L$16"}</definedName>
    <definedName name="ljhiu" hidden="1">{"Offgrid",#N/A,FALSE,"OFFGRID";"Region",#N/A,FALSE,"REGION";"Offgrid -2",#N/A,FALSE,"OFFGRID";"WTP",#N/A,FALSE,"WTP";"WTP -2",#N/A,FALSE,"WTP";"Project",#N/A,FALSE,"PROJECT";"Summary -2",#N/A,FALSE,"SUMMARY"}</definedName>
    <definedName name="ljj" hidden="1">{"'Sheet1'!$L$16"}</definedName>
    <definedName name="ljkl" hidden="1">{"'Sheet1'!$L$16"}</definedName>
    <definedName name="lkhg" hidden="1">#REF!</definedName>
    <definedName name="lkjoiu" hidden="1">{"'Sheet1'!$L$16"}</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{"'Sheet1'!$L$16"}</definedName>
    <definedName name="llll" hidden="1">{"'Sheet1'!$L$16"}</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MT" hidden="1">{#N/A,#N/A,FALSE,"Chi tiÆt"}</definedName>
    <definedName name="lôa33BT5" hidden="1">{"'Sheet1'!$L$16"}</definedName>
    <definedName name="LOCAL_MYSQL_DATE_FORMAT" localSheetId="6" hidden="1">REPT('Chi phí AI'!LOCAL_YEAR_FORMAT,4)&amp;'Chi phí AI'!LOCAL_DATE_SEPARATOR&amp;REPT('Chi phí AI'!LOCAL_MONTH_FORMAT,2)&amp;'Chi phí AI'!LOCAL_DATE_SEPARATOR&amp;REPT('Chi phí AI'!LOCAL_DAY_FORMAT,2)&amp;" "&amp;REPT('Chi phí AI'!LOCAL_HOUR_FORMAT,2)&amp;'Chi phí AI'!LOCAL_TIME_SEPARATOR&amp;REPT('Chi phí AI'!LOCAL_MINUTE_FORMAT,2)&amp;'Chi phí AI'!LOCAL_TIME_SEPARATOR&amp;REPT('Chi phí AI'!LOCAL_SECOND_FORMAT,2)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N" hidden="1">{"'Sheet1'!$L$16"}</definedName>
    <definedName name="LTG_PLUG" hidden="1">{#N/A,#N/A,TRUE,"SUM";#N/A,#N/A,TRUE,"EE";#N/A,#N/A,TRUE,"AC";#N/A,#N/A,TRUE,"SN"}</definedName>
    <definedName name="luan" hidden="1">{"'Sheet1'!$L$16"}</definedName>
    <definedName name="luc" hidden="1">{"'Sheet1'!$L$16"}</definedName>
    <definedName name="luon" hidden="1">{"'Sheet1'!$L$16"}</definedName>
    <definedName name="M10." hidden="1">{"'Sheet1'!$L$16"}</definedName>
    <definedName name="Manual" hidden="1">{#N/A,#N/A,FALSE,"CAPTION LIST (As-Built)";#N/A,#N/A,FALSE,"DOCUMENT LIST (As-Built)";#N/A,#N/A,FALSE,"PLANT SPECIFICATION";#N/A,#N/A,FALSE,"PRODUCT LIST"}</definedName>
    <definedName name="matbang" hidden="1">{"'Sheet1'!$L$16"}</definedName>
    <definedName name="mau" hidden="1">{"'Sheet1'!$L$16"}</definedName>
    <definedName name="mayxd" hidden="1">{"'Sheet1'!$L$16"}</definedName>
    <definedName name="mccb" hidden="1">{#N/A,#N/A,FALSE,"CCTV"}</definedName>
    <definedName name="MCONSOL" hidden="1">#REF!</definedName>
    <definedName name="MĐ3" hidden="1">{"'Sheet1'!$L$16"}</definedName>
    <definedName name="Mech" hidden="1">[7]tifico!#REF!</definedName>
    <definedName name="minh" hidden="1">{"'Sheet1'!$L$16"}</definedName>
    <definedName name="MiscellaneousWork">#N/A</definedName>
    <definedName name="MiscellaneousWork_18">#REF!</definedName>
    <definedName name="Mita">#REF!</definedName>
    <definedName name="miyu" hidden="1">{"'Sheet1'!$L$16"}</definedName>
    <definedName name="mk">#REF!</definedName>
    <definedName name="mkcnGPS15">#REF!</definedName>
    <definedName name="mkcnTRC15">#REF!</definedName>
    <definedName name="mkcnVRM">#REF!</definedName>
    <definedName name="mkeobh165">#REF!</definedName>
    <definedName name="mkeobh215">#REF!</definedName>
    <definedName name="mkeobh28">#REF!</definedName>
    <definedName name="mkeobh40">#REF!</definedName>
    <definedName name="mkeobh50">#REF!</definedName>
    <definedName name="mkeobh55">#REF!</definedName>
    <definedName name="mkeobh60">#REF!</definedName>
    <definedName name="mkeobh80">#REF!</definedName>
    <definedName name="mkeobx108">#REF!</definedName>
    <definedName name="mkeobx130">#REF!</definedName>
    <definedName name="mkeobx45">#REF!</definedName>
    <definedName name="mkeobx54">#REF!</definedName>
    <definedName name="mkeobx60">#REF!</definedName>
    <definedName name="mkeobx75">#REF!</definedName>
    <definedName name="mkhoanbttay24">#REF!</definedName>
    <definedName name="mkhoanbttay30">#REF!</definedName>
    <definedName name="mkhoanbttay38">#REF!</definedName>
    <definedName name="mkhoanbttay40">#REF!</definedName>
    <definedName name="Mkhoancamtay">#REF!</definedName>
    <definedName name="mkhoandatay30">#REF!</definedName>
    <definedName name="mkhoandatay42">#REF!</definedName>
    <definedName name="mkhoandung4.5">#REF!</definedName>
    <definedName name="mkhoansattay13">#REF!</definedName>
    <definedName name="mkhoanxoayth110">#REF!</definedName>
    <definedName name="mkhoanxoayth95">#REF!</definedName>
    <definedName name="mkichck18">#REF!</definedName>
    <definedName name="mkichck250">#REF!</definedName>
    <definedName name="mkichday60">#REF!</definedName>
    <definedName name="mkichnang100">#REF!</definedName>
    <definedName name="mkichnang250">#REF!</definedName>
    <definedName name="mkichnang500">#REF!</definedName>
    <definedName name="mknn">[10]ms22!$K$6</definedName>
    <definedName name="Mkt">#REF!</definedName>
    <definedName name="mktum">#REF!</definedName>
    <definedName name="ML">#REF!</definedName>
    <definedName name="ml_">#REF!</definedName>
    <definedName name="ml_1">{"Thuxm2.xls","Sheet1"}</definedName>
    <definedName name="ml_10">{"Thuxm2.xls","Sheet1"}</definedName>
    <definedName name="ml_10_1">{"Thuxm2.xls","Sheet1"}</definedName>
    <definedName name="ml_11">{"Thuxm2.xls","Sheet1"}</definedName>
    <definedName name="ml_11_1">{"Thuxm2.xls","Sheet1"}</definedName>
    <definedName name="ml_3">{"Thuxm2.xls","Sheet1"}</definedName>
    <definedName name="ml_3_1">{"Thuxm2.xls","Sheet1"}</definedName>
    <definedName name="ml_7">{"Thuxm2.xls","Sheet1"}</definedName>
    <definedName name="ml_7_1">{"Thuxm2.xls","Sheet1"}</definedName>
    <definedName name="MLATTS">#REF!</definedName>
    <definedName name="MLCALLS">#REF!</definedName>
    <definedName name="MLCALLS2">#REF!</definedName>
    <definedName name="MLM">#REF!</definedName>
    <definedName name="MLN">#REF!</definedName>
    <definedName name="MLS_con_POTS_menos_1">#REF!</definedName>
    <definedName name="MLS_cover_B">#REF!</definedName>
    <definedName name="mls_ext1">#REF!</definedName>
    <definedName name="mls_ext10">#REF!</definedName>
    <definedName name="mls_ext11">#REF!</definedName>
    <definedName name="mls_ext2">#REF!</definedName>
    <definedName name="mls_ext3">#REF!</definedName>
    <definedName name="mls_ext4">#REF!</definedName>
    <definedName name="mls_ext5">#REF!</definedName>
    <definedName name="mls_ext6">#REF!</definedName>
    <definedName name="mls_ext7">#REF!</definedName>
    <definedName name="mls_ext8">#REF!</definedName>
    <definedName name="mls_ext9">#REF!</definedName>
    <definedName name="MLS_extension">#REF!</definedName>
    <definedName name="MLS_hbe">#REF!</definedName>
    <definedName name="mls_main">#REF!</definedName>
    <definedName name="Mlu8.5">#REF!</definedName>
    <definedName name="mluoncap15">#REF!</definedName>
    <definedName name="mlvhz" hidden="1">{"'Sheet1'!$L$16"}</definedName>
    <definedName name="MM">#REF!</definedName>
    <definedName name="MM_DV">#REF!</definedName>
    <definedName name="MM_Korean">#REF!</definedName>
    <definedName name="MM_LD">#REF!</definedName>
    <definedName name="MM_Local.Reg">#REF!</definedName>
    <definedName name="MM_Third.Nation">#REF!</definedName>
    <definedName name="mmai2.7">#REF!</definedName>
    <definedName name="MMATTS">#REF!</definedName>
    <definedName name="mmba">#REF!</definedName>
    <definedName name="MMBIA">#REF!</definedName>
    <definedName name="MMBIA2">#REF!</definedName>
    <definedName name="mmc">#REF!</definedName>
    <definedName name="MMCALLS">#REF!</definedName>
    <definedName name="MMCALLS2">#REF!</definedName>
    <definedName name="MMCOMPS">#REF!</definedName>
    <definedName name="MmExcelLinker_B11D3418_0D75_4C31_8F66_069073BDFE4C">#N/A</definedName>
    <definedName name="mmid">#REF!</definedName>
    <definedName name="MMKIU" hidden="1">{"'Sheet1'!$L$16"}</definedName>
    <definedName name="MMM">#REF!</definedName>
    <definedName name="ｍｍｍ" hidden="1">{"'Sheet1'!$L$16"}</definedName>
    <definedName name="mmm_14">#REF!</definedName>
    <definedName name="ｍｍｍｍ" hidden="1">{"'Sheet1'!$L$16"}</definedName>
    <definedName name="mmmm_14">#REF!</definedName>
    <definedName name="MN">#REF!</definedName>
    <definedName name="MN_1">"#REF!"</definedName>
    <definedName name="MN12DZ22">#REF!</definedName>
    <definedName name="MN15DZ22">#REF!</definedName>
    <definedName name="MN18DZ22">#REF!</definedName>
    <definedName name="MNCN">#REF!</definedName>
    <definedName name="mncvhjkhj" hidden="1">{"'Sheet1'!$L$16"}</definedName>
    <definedName name="Mnenkhi">#REF!</definedName>
    <definedName name="Mnenkhi4m3">#REF!</definedName>
    <definedName name="Mnenkhi9m3">#REF!</definedName>
    <definedName name="mnenkhid102">#REF!</definedName>
    <definedName name="mnenkhid120">#REF!</definedName>
    <definedName name="mnenkhid1200">#REF!</definedName>
    <definedName name="mnenkhid200">#REF!</definedName>
    <definedName name="mnenkhid240">#REF!</definedName>
    <definedName name="mnenkhid300">#REF!</definedName>
    <definedName name="mnenkhid360">#REF!</definedName>
    <definedName name="mnenkhid5.5">#REF!</definedName>
    <definedName name="mnenkhid540">#REF!</definedName>
    <definedName name="mnenkhid600">#REF!</definedName>
    <definedName name="mnenkhid660">#REF!</definedName>
    <definedName name="mnenkhid75">#REF!</definedName>
    <definedName name="mnenkhidien10">#REF!</definedName>
    <definedName name="mnenkhidien150">#REF!</definedName>
    <definedName name="mnenkhidien216">#REF!</definedName>
    <definedName name="mnenkhidien22">#REF!</definedName>
    <definedName name="mnenkhidien270">#REF!</definedName>
    <definedName name="mnenkhidien30">#REF!</definedName>
    <definedName name="mnenkhidien300">#REF!</definedName>
    <definedName name="mnenkhidien5">#REF!</definedName>
    <definedName name="mnenkhidien56">#REF!</definedName>
    <definedName name="mnenkhidien600">#REF!</definedName>
    <definedName name="mnenkhixang11">#REF!</definedName>
    <definedName name="mnenkhixang120">#REF!</definedName>
    <definedName name="mnenkhixang200">#REF!</definedName>
    <definedName name="mnenkhixang25">#REF!</definedName>
    <definedName name="mnenkhixang3">#REF!</definedName>
    <definedName name="mnenkhixang300">#REF!</definedName>
    <definedName name="mnenkhixang40">#REF!</definedName>
    <definedName name="mnenkhixang600">#REF!</definedName>
    <definedName name="mngfs.oom" hidden="1">{#N/A,#N/A,FALSE,"Chi tiÆt"}</definedName>
    <definedName name="mnghiendad25">#REF!</definedName>
    <definedName name="mnghiendadd20">#REF!</definedName>
    <definedName name="mnghiendadd6">#REF!</definedName>
    <definedName name="mnghiendatho14">#REF!</definedName>
    <definedName name="mnghiendatho200">#REF!</definedName>
    <definedName name="mnhogcaydk100">#REF!</definedName>
    <definedName name="mnhogcaydk54">#REF!</definedName>
    <definedName name="mnhogcaydk75">#REF!</definedName>
    <definedName name="mnkhi">#REF!</definedName>
    <definedName name="MNPP">#REF!</definedName>
    <definedName name="MNTHTH">#REF!</definedName>
    <definedName name="MNTN">#REF!</definedName>
    <definedName name="MNTT">#REF!</definedName>
    <definedName name="mo" localSheetId="6" hidden="1">{"'Sheet1'!$L$16"}</definedName>
    <definedName name="mo" hidden="1">{"'Sheet1'!$L$16"}</definedName>
    <definedName name="Mo_BinhDien">#REF!</definedName>
    <definedName name="Mo5_BinhDien">#REF!</definedName>
    <definedName name="Mobileflag">#REF!</definedName>
    <definedName name="moc">#REF!</definedName>
    <definedName name="mocchau">#REF!</definedName>
    <definedName name="MOD">#N/A</definedName>
    <definedName name="MOD1.add_site">#REF!</definedName>
    <definedName name="MOD1.BUKA">#REF!</definedName>
    <definedName name="MOD1.listestations_Change">#REF!</definedName>
    <definedName name="MOD1.PADAM">#REF!</definedName>
    <definedName name="modem">#REF!</definedName>
    <definedName name="MODIFY">#REF!</definedName>
    <definedName name="Mods">#REF!</definedName>
    <definedName name="Module1.cplhsmt">#REF!</definedName>
    <definedName name="Module1.cplhsmt_15">#N/A</definedName>
    <definedName name="Module1.cplhsmt_16">#N/A</definedName>
    <definedName name="Module1.cplhsmt_17">#N/A</definedName>
    <definedName name="Module1.cplhsmt_19">#N/A</definedName>
    <definedName name="Module1.cplhsmt_20">#N/A</definedName>
    <definedName name="Module1.cplhsmt_21">#N/A</definedName>
    <definedName name="Module1.cplhsmt_22">#N/A</definedName>
    <definedName name="Module1.cplhsmt_23">#N/A</definedName>
    <definedName name="Module1.cplhsmt_24">#N/A</definedName>
    <definedName name="Module1.cplhsmt_25">#N/A</definedName>
    <definedName name="Module1.cplhsmt_26">#N/A</definedName>
    <definedName name="Module1.cplhsmt_27">#N/A</definedName>
    <definedName name="Module1.cplhsmt_28">#N/A</definedName>
    <definedName name="Module1.cplhsmt_29">#N/A</definedName>
    <definedName name="Module1.cplhsmt_30">#N/A</definedName>
    <definedName name="Module1.cplhsmt_31">#N/A</definedName>
    <definedName name="Module1.cplhsmt_32">#N/A</definedName>
    <definedName name="Module1.cplhsmt_33">#N/A</definedName>
    <definedName name="Module1.cplhsmt_34">#N/A</definedName>
    <definedName name="Module1.cplhsmt_35">#N/A</definedName>
    <definedName name="Module1.cplhsmt_36">#N/A</definedName>
    <definedName name="Module1.cplhsmt_37">#N/A</definedName>
    <definedName name="Module1.cplhsmt_38">#N/A</definedName>
    <definedName name="Module1.cplhsmt_7">#N/A</definedName>
    <definedName name="Module1.cptdhsmt">#REF!</definedName>
    <definedName name="Module1.cptdhsmt_15">#N/A</definedName>
    <definedName name="Module1.cptdhsmt_16">#N/A</definedName>
    <definedName name="Module1.cptdhsmt_17">#N/A</definedName>
    <definedName name="Module1.cptdhsmt_19">#N/A</definedName>
    <definedName name="Module1.cptdhsmt_20">#N/A</definedName>
    <definedName name="Module1.cptdhsmt_21">#N/A</definedName>
    <definedName name="Module1.cptdhsmt_22">#N/A</definedName>
    <definedName name="Module1.cptdhsmt_23">#N/A</definedName>
    <definedName name="Module1.cptdhsmt_24">#N/A</definedName>
    <definedName name="Module1.cptdhsmt_25">#N/A</definedName>
    <definedName name="Module1.cptdhsmt_26">#N/A</definedName>
    <definedName name="Module1.cptdhsmt_27">#N/A</definedName>
    <definedName name="Module1.cptdhsmt_28">#N/A</definedName>
    <definedName name="Module1.cptdhsmt_29">#N/A</definedName>
    <definedName name="Module1.cptdhsmt_30">#N/A</definedName>
    <definedName name="Module1.cptdhsmt_31">#N/A</definedName>
    <definedName name="Module1.cptdhsmt_32">#N/A</definedName>
    <definedName name="Module1.cptdhsmt_33">#N/A</definedName>
    <definedName name="Module1.cptdhsmt_34">#N/A</definedName>
    <definedName name="Module1.cptdhsmt_35">#N/A</definedName>
    <definedName name="Module1.cptdhsmt_36">#N/A</definedName>
    <definedName name="Module1.cptdhsmt_37">#N/A</definedName>
    <definedName name="Module1.cptdhsmt_38">#N/A</definedName>
    <definedName name="Module1.cptdhsmt_7">#N/A</definedName>
    <definedName name="Module1.cptdtdt">#REF!</definedName>
    <definedName name="Module1.cptdtdt_15">#N/A</definedName>
    <definedName name="Module1.cptdtdt_16">#N/A</definedName>
    <definedName name="Module1.cptdtdt_17">#N/A</definedName>
    <definedName name="Module1.cptdtdt_19">#N/A</definedName>
    <definedName name="Module1.cptdtdt_20">#N/A</definedName>
    <definedName name="Module1.cptdtdt_21">#N/A</definedName>
    <definedName name="Module1.cptdtdt_22">#N/A</definedName>
    <definedName name="Module1.cptdtdt_23">#N/A</definedName>
    <definedName name="Module1.cptdtdt_24">#N/A</definedName>
    <definedName name="Module1.cptdtdt_25">#N/A</definedName>
    <definedName name="Module1.cptdtdt_26">#N/A</definedName>
    <definedName name="Module1.cptdtdt_27">#N/A</definedName>
    <definedName name="Module1.cptdtdt_28">#N/A</definedName>
    <definedName name="Module1.cptdtdt_29">#N/A</definedName>
    <definedName name="Module1.cptdtdt_30">#N/A</definedName>
    <definedName name="Module1.cptdtdt_31">#N/A</definedName>
    <definedName name="Module1.cptdtdt_32">#N/A</definedName>
    <definedName name="Module1.cptdtdt_33">#N/A</definedName>
    <definedName name="Module1.cptdtdt_34">#N/A</definedName>
    <definedName name="Module1.cptdtdt_35">#N/A</definedName>
    <definedName name="Module1.cptdtdt_36">#N/A</definedName>
    <definedName name="Module1.cptdtdt_37">#N/A</definedName>
    <definedName name="Module1.cptdtdt_38">#N/A</definedName>
    <definedName name="Module1.cptdtdt_7">#N/A</definedName>
    <definedName name="Module1.cptdtkkt">#REF!</definedName>
    <definedName name="Module1.cptdtkkt_15">#N/A</definedName>
    <definedName name="Module1.cptdtkkt_16">#N/A</definedName>
    <definedName name="Module1.cptdtkkt_17">#N/A</definedName>
    <definedName name="Module1.cptdtkkt_19">#N/A</definedName>
    <definedName name="Module1.cptdtkkt_20">#N/A</definedName>
    <definedName name="Module1.cptdtkkt_21">#N/A</definedName>
    <definedName name="Module1.cptdtkkt_22">#N/A</definedName>
    <definedName name="Module1.cptdtkkt_23">#N/A</definedName>
    <definedName name="Module1.cptdtkkt_24">#N/A</definedName>
    <definedName name="Module1.cptdtkkt_25">#N/A</definedName>
    <definedName name="Module1.cptdtkkt_26">#N/A</definedName>
    <definedName name="Module1.cptdtkkt_27">#N/A</definedName>
    <definedName name="Module1.cptdtkkt_28">#N/A</definedName>
    <definedName name="Module1.cptdtkkt_29">#N/A</definedName>
    <definedName name="Module1.cptdtkkt_30">#N/A</definedName>
    <definedName name="Module1.cptdtkkt_31">#N/A</definedName>
    <definedName name="Module1.cptdtkkt_32">#N/A</definedName>
    <definedName name="Module1.cptdtkkt_33">#N/A</definedName>
    <definedName name="Module1.cptdtkkt_34">#N/A</definedName>
    <definedName name="Module1.cptdtkkt_35">#N/A</definedName>
    <definedName name="Module1.cptdtkkt_36">#N/A</definedName>
    <definedName name="Module1.cptdtkkt_37">#N/A</definedName>
    <definedName name="Module1.cptdtkkt_38">#N/A</definedName>
    <definedName name="Module1.cptdtkkt_7">#N/A</definedName>
    <definedName name="Module1.gsktxd">#REF!</definedName>
    <definedName name="Module1.gsktxd_15">#N/A</definedName>
    <definedName name="Module1.gsktxd_16">#N/A</definedName>
    <definedName name="Module1.gsktxd_17">#N/A</definedName>
    <definedName name="Module1.gsktxd_19">#N/A</definedName>
    <definedName name="Module1.gsktxd_20">#N/A</definedName>
    <definedName name="Module1.gsktxd_21">#N/A</definedName>
    <definedName name="Module1.gsktxd_22">#N/A</definedName>
    <definedName name="Module1.gsktxd_23">#N/A</definedName>
    <definedName name="Module1.gsktxd_24">#N/A</definedName>
    <definedName name="Module1.gsktxd_25">#N/A</definedName>
    <definedName name="Module1.gsktxd_26">#N/A</definedName>
    <definedName name="Module1.gsktxd_27">#N/A</definedName>
    <definedName name="Module1.gsktxd_28">#N/A</definedName>
    <definedName name="Module1.gsktxd_29">#N/A</definedName>
    <definedName name="Module1.gsktxd_30">#N/A</definedName>
    <definedName name="Module1.gsktxd_31">#N/A</definedName>
    <definedName name="Module1.gsktxd_32">#N/A</definedName>
    <definedName name="Module1.gsktxd_33">#N/A</definedName>
    <definedName name="Module1.gsktxd_34">#N/A</definedName>
    <definedName name="Module1.gsktxd_35">#N/A</definedName>
    <definedName name="Module1.gsktxd_36">#N/A</definedName>
    <definedName name="Module1.gsktxd_37">#N/A</definedName>
    <definedName name="Module1.gsktxd_38">#N/A</definedName>
    <definedName name="Module1.gsktxd_7">#N/A</definedName>
    <definedName name="Module1.qlda">#REF!</definedName>
    <definedName name="Module1.qlda_15">#N/A</definedName>
    <definedName name="Module1.qlda_16">#N/A</definedName>
    <definedName name="Module1.qlda_17">#N/A</definedName>
    <definedName name="Module1.qlda_19">#N/A</definedName>
    <definedName name="Module1.qlda_20">#N/A</definedName>
    <definedName name="Module1.qlda_21">#N/A</definedName>
    <definedName name="Module1.qlda_22">#N/A</definedName>
    <definedName name="Module1.qlda_23">#N/A</definedName>
    <definedName name="Module1.qlda_24">#N/A</definedName>
    <definedName name="Module1.qlda_25">#N/A</definedName>
    <definedName name="Module1.qlda_26">#N/A</definedName>
    <definedName name="Module1.qlda_27">#N/A</definedName>
    <definedName name="Module1.qlda_28">#N/A</definedName>
    <definedName name="Module1.qlda_29">#N/A</definedName>
    <definedName name="Module1.qlda_30">#N/A</definedName>
    <definedName name="Module1.qlda_31">#N/A</definedName>
    <definedName name="Module1.qlda_32">#N/A</definedName>
    <definedName name="Module1.qlda_33">#N/A</definedName>
    <definedName name="Module1.qlda_34">#N/A</definedName>
    <definedName name="Module1.qlda_35">#N/A</definedName>
    <definedName name="Module1.qlda_36">#N/A</definedName>
    <definedName name="Module1.qlda_37">#N/A</definedName>
    <definedName name="Module1.qlda_38">#N/A</definedName>
    <definedName name="Module1.qlda_7">#N/A</definedName>
    <definedName name="Module1.tinhqt">#REF!</definedName>
    <definedName name="Module1.tinhqt_15">#N/A</definedName>
    <definedName name="Module1.tinhqt_16">#N/A</definedName>
    <definedName name="Module1.tinhqt_17">#N/A</definedName>
    <definedName name="Module1.tinhqt_19">#N/A</definedName>
    <definedName name="Module1.tinhqt_20">#N/A</definedName>
    <definedName name="Module1.tinhqt_21">#N/A</definedName>
    <definedName name="Module1.tinhqt_22">#N/A</definedName>
    <definedName name="Module1.tinhqt_23">#N/A</definedName>
    <definedName name="Module1.tinhqt_24">#N/A</definedName>
    <definedName name="Module1.tinhqt_25">#N/A</definedName>
    <definedName name="Module1.tinhqt_26">#N/A</definedName>
    <definedName name="Module1.tinhqt_27">#N/A</definedName>
    <definedName name="Module1.tinhqt_28">#N/A</definedName>
    <definedName name="Module1.tinhqt_29">#N/A</definedName>
    <definedName name="Module1.tinhqt_30">#N/A</definedName>
    <definedName name="Module1.tinhqt_31">#N/A</definedName>
    <definedName name="Module1.tinhqt_32">#N/A</definedName>
    <definedName name="Module1.tinhqt_33">#N/A</definedName>
    <definedName name="Module1.tinhqt_34">#N/A</definedName>
    <definedName name="Module1.tinhqt_35">#N/A</definedName>
    <definedName name="Module1.tinhqt_36">#N/A</definedName>
    <definedName name="Module1.tinhqt_37">#N/A</definedName>
    <definedName name="Module1.tinhqt_38">#N/A</definedName>
    <definedName name="Module1.tinhqt_7">#N/A</definedName>
    <definedName name="Module1.TRY">#N/A</definedName>
    <definedName name="Module3.print_Click">#REF!</definedName>
    <definedName name="Modulus_Dowel_Support_d">#REF!</definedName>
    <definedName name="Modulus_Elasticity_Dowel_d">#REF!</definedName>
    <definedName name="Modulus_of_Rupture">#REF!</definedName>
    <definedName name="Mogommet">#REF!</definedName>
    <definedName name="moi" localSheetId="6" hidden="1">{"'Sheet1'!$L$16"}</definedName>
    <definedName name="moi" hidden="1">{"'Sheet1'!$L$16"}</definedName>
    <definedName name="MoiPacTa" hidden="1">#REF!</definedName>
    <definedName name="MOKthuat">#REF!</definedName>
    <definedName name="MoM0">#REF!</definedName>
    <definedName name="MOMComplexity">#REF!</definedName>
    <definedName name="MOMConnectors">#REF!</definedName>
    <definedName name="MOMCustomManagementPacks">#REF!</definedName>
    <definedName name="MOMCustomReports">#REF!</definedName>
    <definedName name="MOMDepl">#REF!</definedName>
    <definedName name="MOMDevStabil">#REF!</definedName>
    <definedName name="MOMEndToEndApplications">#REF!</definedName>
    <definedName name="MOMENT">#REF!</definedName>
    <definedName name="MOMEnv">#REF!</definedName>
    <definedName name="MOMGateways">#REF!</definedName>
    <definedName name="MOMMonitoredServers">#REF!</definedName>
    <definedName name="MOMMonitoredWorkstations">#REF!</definedName>
    <definedName name="MOMPlan">#REF!</definedName>
    <definedName name="MOMScopeIncluded">#REF!</definedName>
    <definedName name="MOMServers">#REF!</definedName>
    <definedName name="Mon_OEM15i">#REF!</definedName>
    <definedName name="MONG">#REF!</definedName>
    <definedName name="mongbang">#REF!</definedName>
    <definedName name="mongdon">#REF!</definedName>
    <definedName name="MONGMSDZ04">#REF!</definedName>
    <definedName name="Montant_Contrat">#REF!</definedName>
    <definedName name="month">#REF!</definedName>
    <definedName name="months_nr">12</definedName>
    <definedName name="MonthTable">#REF!</definedName>
    <definedName name="mophanchi">#REF!</definedName>
    <definedName name="morita">#REF!</definedName>
    <definedName name="moritavn">#REF!</definedName>
    <definedName name="morn_14">#REF!</definedName>
    <definedName name="Morning">#N/A</definedName>
    <definedName name="Morong">#REF!</definedName>
    <definedName name="Morong4054_85">#REF!</definedName>
    <definedName name="morong4054_98">#REF!</definedName>
    <definedName name="MOSSDevStabil">#REF!</definedName>
    <definedName name="MOSSEnv">#REF!</definedName>
    <definedName name="MOSSPlan">#REF!</definedName>
    <definedName name="MOSSPMBuild">#REF!</definedName>
    <definedName name="MOSSPMDeploy">#REF!</definedName>
    <definedName name="MOSSPMEnvision">#REF!</definedName>
    <definedName name="MOSSPMPlan">#REF!</definedName>
    <definedName name="MOSSQABuild">#REF!</definedName>
    <definedName name="MOSSQADeploy">#REF!</definedName>
    <definedName name="MOSSQAEnvision">#REF!</definedName>
    <definedName name="MOSSQAPlan">#REF!</definedName>
    <definedName name="mot">#REF!</definedName>
    <definedName name="Moto5tan">#REF!</definedName>
    <definedName name="Moto7t">#REF!</definedName>
    <definedName name="motodk150">#REF!</definedName>
    <definedName name="motodk180">#REF!</definedName>
    <definedName name="motodk200">#REF!</definedName>
    <definedName name="motodk240">#REF!</definedName>
    <definedName name="motodk255">#REF!</definedName>
    <definedName name="motodk272">#REF!</definedName>
    <definedName name="motothung10">#REF!</definedName>
    <definedName name="motothung12">#REF!</definedName>
    <definedName name="motothung12.5">#REF!</definedName>
    <definedName name="motothung2">#REF!</definedName>
    <definedName name="motothung2.5">#REF!</definedName>
    <definedName name="motothung20">#REF!</definedName>
    <definedName name="motothung4">#REF!</definedName>
    <definedName name="motothung5">#REF!</definedName>
    <definedName name="motothung6">#REF!</definedName>
    <definedName name="motothung7">#REF!</definedName>
    <definedName name="mototnuoc4">#REF!</definedName>
    <definedName name="mototnuoc5">#REF!</definedName>
    <definedName name="mototnuoc6">#REF!</definedName>
    <definedName name="mototnuoc7">#REF!</definedName>
    <definedName name="mototudo10">#REF!</definedName>
    <definedName name="mototudo12">#REF!</definedName>
    <definedName name="mototudo15">#REF!</definedName>
    <definedName name="mototudo2.5">#REF!</definedName>
    <definedName name="mototudo20">#REF!</definedName>
    <definedName name="mototudo25">#REF!</definedName>
    <definedName name="mototudo27">#REF!</definedName>
    <definedName name="mototudo3.5">#REF!</definedName>
    <definedName name="mototudo4">#REF!</definedName>
    <definedName name="mototudo5">#REF!</definedName>
    <definedName name="mototudo6">#REF!</definedName>
    <definedName name="mototudo7">#REF!</definedName>
    <definedName name="mototudo9">#REF!</definedName>
    <definedName name="motovcbt6">#REF!</definedName>
    <definedName name="MÖÙC_LÖÔNG">#REF!</definedName>
    <definedName name="Moùng">#REF!</definedName>
    <definedName name="Moùng_18">#REF!</definedName>
    <definedName name="MP">#REF!</definedName>
    <definedName name="MP1_MP2">#REF!</definedName>
    <definedName name="mp1x25">#REF!</definedName>
    <definedName name="mp1x25_14">#REF!</definedName>
    <definedName name="MP2_BC">#REF!</definedName>
    <definedName name="MPALL">#REF!</definedName>
    <definedName name="MPGTO">#REF!</definedName>
    <definedName name="MPGTO2">#REF!</definedName>
    <definedName name="mpha250">#REF!</definedName>
    <definedName name="mphaothep10">#REF!</definedName>
    <definedName name="mphaothep15">#REF!</definedName>
    <definedName name="mphatdienld10">#REF!</definedName>
    <definedName name="mphatdienld112">#REF!</definedName>
    <definedName name="mphatdienld122">#REF!</definedName>
    <definedName name="mphatdienld15">#REF!</definedName>
    <definedName name="mphatdienld20">#REF!</definedName>
    <definedName name="mphatdienld25">#REF!</definedName>
    <definedName name="mphatdienld30">#REF!</definedName>
    <definedName name="mphatdienld38">#REF!</definedName>
    <definedName name="mphatdienld45">#REF!</definedName>
    <definedName name="mphatdienld5.2">#REF!</definedName>
    <definedName name="mphatdienld50">#REF!</definedName>
    <definedName name="mphatdienld60">#REF!</definedName>
    <definedName name="mphatdienld75">#REF!</definedName>
    <definedName name="mphatdienld8">#REF!</definedName>
    <definedName name="MPHOME">#REF!</definedName>
    <definedName name="mphunson400">#REF!</definedName>
    <definedName name="mphunvua2">#REF!</definedName>
    <definedName name="mphunvua4">#REF!</definedName>
    <definedName name="MPPT1">#REF!</definedName>
    <definedName name="MPPT2">#REF!</definedName>
    <definedName name="MPPT3">#REF!</definedName>
    <definedName name="MPQTY">#REF!</definedName>
    <definedName name="MPR">#REF!</definedName>
    <definedName name="mqnam">#REF!</definedName>
    <definedName name="mqngai">#REF!</definedName>
    <definedName name="mR">#REF!</definedName>
    <definedName name="Mr_1">"#REF!"</definedName>
    <definedName name="mr_14">#REF!</definedName>
    <definedName name="mR_18">#REF!</definedName>
    <definedName name="MR_HD">#REF!</definedName>
    <definedName name="MR_HDG">#REF!</definedName>
    <definedName name="mrai">#REF!</definedName>
    <definedName name="mraibtsp500">#REF!</definedName>
    <definedName name="mraintn100">#REF!</definedName>
    <definedName name="mraintn65">#REF!</definedName>
    <definedName name="MRH">#REF!</definedName>
    <definedName name="mrn.inv._.budget" hidden="1">{"invbud-1",#N/A,FALSE,"A";"invbud-1CW",#N/A,FALSE,"A";"Desinvesteringen",#N/A,FALSE,"C"}</definedName>
    <definedName name="mromooc14">#REF!</definedName>
    <definedName name="mromooc15">#REF!</definedName>
    <definedName name="mromooc2">#REF!</definedName>
    <definedName name="mromooc21">#REF!</definedName>
    <definedName name="mromooc4">#REF!</definedName>
    <definedName name="mromooc7.5">#REF!</definedName>
    <definedName name="MRRSU">#REF!</definedName>
    <definedName name="ms">#REF!</definedName>
    <definedName name="MS_Large">#REF!</definedName>
    <definedName name="MS_Medium">#REF!</definedName>
    <definedName name="MS_Small">#REF!</definedName>
    <definedName name="MS5DZ22">#REF!</definedName>
    <definedName name="MS6DZ22">#REF!</definedName>
    <definedName name="MS7DZ22">#REF!</definedName>
    <definedName name="Msan">#REF!</definedName>
    <definedName name="msangbentontie1">#REF!</definedName>
    <definedName name="msangruada11">#REF!</definedName>
    <definedName name="msangruada35">#REF!</definedName>
    <definedName name="msangruada45">#REF!</definedName>
    <definedName name="msanth108">#REF!</definedName>
    <definedName name="msanth180">#REF!</definedName>
    <definedName name="msanth250">#REF!</definedName>
    <definedName name="msanth54">#REF!</definedName>
    <definedName name="msanth90">#REF!</definedName>
    <definedName name="MSB_APAC">#REF!</definedName>
    <definedName name="MSB_PRO">#REF!</definedName>
    <definedName name="MSB_S">#REF!</definedName>
    <definedName name="MSB_SS">#REF!</definedName>
    <definedName name="MSC_SA_Transit" hidden="1">{#N/A,#N/A,TRUE,"Perm";#N/A,#N/A,TRUE,"Architecture"}</definedName>
    <definedName name="MSCT">#REF!</definedName>
    <definedName name="MSCT_18">#REF!</definedName>
    <definedName name="msi_pc">#REF!</definedName>
    <definedName name="msi_price">#REF!</definedName>
    <definedName name="MSNV">#REF!</definedName>
    <definedName name="msnv_bhldcnv">#REF!</definedName>
    <definedName name="msnv_k1">#REF!</definedName>
    <definedName name="msnv_pbd">#REF!</definedName>
    <definedName name="msnv_t">#REF!</definedName>
    <definedName name="MSP">#REF!</definedName>
    <definedName name="MSP_9400">#REF!</definedName>
    <definedName name="MSP_DIS">#REF!</definedName>
    <definedName name="MSP_DISC">#REF!</definedName>
    <definedName name="MSP_Equipment">#REF!</definedName>
    <definedName name="MSP_OEM">#REF!</definedName>
    <definedName name="MSP_S_DISC">#REF!</definedName>
    <definedName name="MSP_Services">#REF!</definedName>
    <definedName name="MSP_SS_DISC">#REF!</definedName>
    <definedName name="MSPonGLP">#REF!</definedName>
    <definedName name="MSP補正">#REF!</definedName>
    <definedName name="MST">#REF!</definedName>
    <definedName name="MSTB_DGTT">#REF!</definedName>
    <definedName name="MSTB_DVI">#REF!</definedName>
    <definedName name="MSTB_GCHU">#REF!</definedName>
    <definedName name="MSTB_GTGT">#REF!</definedName>
    <definedName name="MSTB_KLG">#REF!</definedName>
    <definedName name="MSTB_STT">#REF!</definedName>
    <definedName name="MSTB_TEN">#REF!</definedName>
    <definedName name="MSTB_TRA">#REF!</definedName>
    <definedName name="MSTB_TSUAT">#REF!</definedName>
    <definedName name="MSTB_TTST">#REF!</definedName>
    <definedName name="MSTB_TTTT">#REF!</definedName>
    <definedName name="MSTBA">[10]MSTBA!$B$6:$K$57</definedName>
    <definedName name="mstn_bhld">#REF!</definedName>
    <definedName name="mstn_k1">#REF!</definedName>
    <definedName name="mstn_t">#REF!</definedName>
    <definedName name="MT">#N/A</definedName>
    <definedName name="MT_DA">#REF!</definedName>
    <definedName name="MT_MH">#REF!</definedName>
    <definedName name="MT2DZ22">#REF!</definedName>
    <definedName name="MT3DZ22">#REF!</definedName>
    <definedName name="Mtandem">#N/A</definedName>
    <definedName name="mtaukeo150">#REF!</definedName>
    <definedName name="mtaukeo360">#REF!</definedName>
    <definedName name="mtaukeo600">#REF!</definedName>
    <definedName name="mtbipvlan150">#REF!</definedName>
    <definedName name="mtc">#REF!</definedName>
    <definedName name="mtc_ld">#REF!</definedName>
    <definedName name="mtc_td">#REF!</definedName>
    <definedName name="MTC_TG">#REF!</definedName>
    <definedName name="MTC0.4_ÂG">#REF!</definedName>
    <definedName name="MTC1P">#REF!</definedName>
    <definedName name="MTC1P_14">#REF!</definedName>
    <definedName name="MTC22_ÂG">#REF!</definedName>
    <definedName name="MTC3P">#REF!</definedName>
    <definedName name="MTC3P_14">#REF!</definedName>
    <definedName name="MTcat">#N/A</definedName>
    <definedName name="MTCata">#N/A</definedName>
    <definedName name="Mtccau">#REF!</definedName>
    <definedName name="MTCCS_ÂG">#REF!</definedName>
    <definedName name="mtcdg">#REF!</definedName>
    <definedName name="mtcdg_dz22">#REF!</definedName>
    <definedName name="MTCHC">#REF!</definedName>
    <definedName name="MTCHC_14">#REF!</definedName>
    <definedName name="MTCLD">#REF!</definedName>
    <definedName name="MTCMB">#REF!</definedName>
    <definedName name="MTCMB_14">#REF!</definedName>
    <definedName name="MTCNT">#N/A</definedName>
    <definedName name="MTCT">#REF!</definedName>
    <definedName name="MTCTBA_ÂG">#REF!</definedName>
    <definedName name="mtctn_dzht">#REF!</definedName>
    <definedName name="MTDCkND">#REF!</definedName>
    <definedName name="mtdvK">#REF!</definedName>
    <definedName name="mthungcapdkbx2.5">#REF!</definedName>
    <definedName name="mthungcapdkbx2.75">#REF!</definedName>
    <definedName name="mthungcapdkbx3">#REF!</definedName>
    <definedName name="mthungcapdkbx4.5">#REF!</definedName>
    <definedName name="mthungcapdkbx5">#REF!</definedName>
    <definedName name="mthungcapdkbx8">#REF!</definedName>
    <definedName name="mthungcapdkbx9">#REF!</definedName>
    <definedName name="mtien4.5">#REF!</definedName>
    <definedName name="MTMAC12">#REF!</definedName>
    <definedName name="MTMAC12_1">"#REF!"</definedName>
    <definedName name="MTMAC12_18">#REF!</definedName>
    <definedName name="MTN">#REF!</definedName>
    <definedName name="mtoidien0.5">#REF!</definedName>
    <definedName name="mtoidien1">#REF!</definedName>
    <definedName name="mtoidien1.5">#REF!</definedName>
    <definedName name="mtoidien2">#REF!</definedName>
    <definedName name="mtoidien2.5">#REF!</definedName>
    <definedName name="mtoidien3">#REF!</definedName>
    <definedName name="mtoidien4">#REF!</definedName>
    <definedName name="mtoidien5">#REF!</definedName>
    <definedName name="mtr">#REF!</definedName>
    <definedName name="mtr_14">#REF!</definedName>
    <definedName name="mtram">#REF!</definedName>
    <definedName name="mtram_18">#REF!</definedName>
    <definedName name="mtrambomdau40">#REF!</definedName>
    <definedName name="mtrambomdau50">#REF!</definedName>
    <definedName name="mtramtronbt20">#REF!</definedName>
    <definedName name="mtramtronbt22">#REF!</definedName>
    <definedName name="mtramtronbt30">#REF!</definedName>
    <definedName name="mtramtronbt60">#REF!</definedName>
    <definedName name="mtramtronbtn25">#REF!</definedName>
    <definedName name="mtramtronbtn30">#REF!</definedName>
    <definedName name="mtramtronbtn40">#REF!</definedName>
    <definedName name="mtramtronbtn50">#REF!</definedName>
    <definedName name="mtramtronbtn60">#REF!</definedName>
    <definedName name="mtramtronbtn80">#REF!</definedName>
    <definedName name="Mtran">#REF!</definedName>
    <definedName name="mtronbentonite1">#REF!</definedName>
    <definedName name="MtronBT">#REF!</definedName>
    <definedName name="mtronbt100">#REF!</definedName>
    <definedName name="mtronbt1150">#REF!</definedName>
    <definedName name="mtronbt150">#REF!</definedName>
    <definedName name="mtronbt1600">#REF!</definedName>
    <definedName name="mtronbt200">#REF!</definedName>
    <definedName name="mtronbt250">#REF!</definedName>
    <definedName name="MtronBT250l">#REF!</definedName>
    <definedName name="mtronbt425">#REF!</definedName>
    <definedName name="mtronbt500">#REF!</definedName>
    <definedName name="mtronbt800">#REF!</definedName>
    <definedName name="mtronvua110">#REF!</definedName>
    <definedName name="mtronvua150">#REF!</definedName>
    <definedName name="mtronvua200">#REF!</definedName>
    <definedName name="mtronvua250">#REF!</definedName>
    <definedName name="mtronvua325">#REF!</definedName>
    <definedName name="mtronvua80">#REF!</definedName>
    <definedName name="MTRT">#REF!</definedName>
    <definedName name="Mtruck">#N/A</definedName>
    <definedName name="mts7i7o">#REF!</definedName>
    <definedName name="MTSE100">#N/A</definedName>
    <definedName name="mttb">#REF!</definedName>
    <definedName name="MTTR">#REF!</definedName>
    <definedName name="mtx07io">#REF!</definedName>
    <definedName name="MTXL">#REF!</definedName>
    <definedName name="MTXL_14">#REF!</definedName>
    <definedName name="Mu">#REF!</definedName>
    <definedName name="Mu_">#REF!</definedName>
    <definedName name="MUA">#REF!</definedName>
    <definedName name="MUA_SAM_DAY_SU_PHU_KIEN">#REF!</definedName>
    <definedName name="MUA_SAM_DUNG_CU_CHUAN_BI_SAN_XUAT">#REF!</definedName>
    <definedName name="MUA_SAM_THIET_BI">#REF!</definedName>
    <definedName name="MUA_SAM_VAT_LIEU_CHINH">#REF!</definedName>
    <definedName name="MucDauTu">#REF!</definedName>
    <definedName name="mucdo">#REF!</definedName>
    <definedName name="MucDoCanThiet">#REF!</definedName>
    <definedName name="MucDoThamSoDuLieuDauKy">#REF!</definedName>
    <definedName name="MucDoYeuCau">#REF!</definedName>
    <definedName name="MUCIT">#N/A</definedName>
    <definedName name="MUCITE10">#N/A</definedName>
    <definedName name="mui">#REF!</definedName>
    <definedName name="muonong2.8">#REF!</definedName>
    <definedName name="Muonthep">#REF!</definedName>
    <definedName name="MUOT">#N/A</definedName>
    <definedName name="MUP">#REF!</definedName>
    <definedName name="MUSEL">#REF!</definedName>
    <definedName name="MUTEL">#REF!</definedName>
    <definedName name="MuyBulong">#REF!</definedName>
    <definedName name="Muycat">#REF!</definedName>
    <definedName name="Muyep">#REF!</definedName>
    <definedName name="MV">#REF!</definedName>
    <definedName name="MV_120_0.6KV">#REF!</definedName>
    <definedName name="MV_150_0.6KV">#REF!</definedName>
    <definedName name="MV_185_0.6KV">#REF!</definedName>
    <definedName name="MV_240_0.6KV">#REF!</definedName>
    <definedName name="MV_300_0.6KV">#REF!</definedName>
    <definedName name="MV_500_0.6KV">#REF!</definedName>
    <definedName name="MV_70_0.6KV">#REF!</definedName>
    <definedName name="MV_95_0.6KV">#REF!</definedName>
    <definedName name="mvac" hidden="1">{"'Sheet1'!$L$16"}</definedName>
    <definedName name="mvanthang0.3">#REF!</definedName>
    <definedName name="mvanthang0.5">#REF!</definedName>
    <definedName name="MVanThang0.5T">#REF!</definedName>
    <definedName name="mvanthang2">#REF!</definedName>
    <definedName name="MVC">#REF!</definedName>
    <definedName name="mvt">#REF!</definedName>
    <definedName name="mvtp">#REF!</definedName>
    <definedName name="mw_">#REF!</definedName>
    <definedName name="mw1_">#REF!</definedName>
    <definedName name="MWL">#N/A</definedName>
    <definedName name="mx">#REF!</definedName>
    <definedName name="mxd" hidden="1">{"'Sheet1'!$L$16"}</definedName>
    <definedName name="mxebombt90">#REF!</definedName>
    <definedName name="mxenanghang1.5">#REF!</definedName>
    <definedName name="mxenanghang12">#REF!</definedName>
    <definedName name="mxenanghang3">#REF!</definedName>
    <definedName name="mxenanghang3.2">#REF!</definedName>
    <definedName name="mxenanghang3.5">#REF!</definedName>
    <definedName name="mxenanghang5">#REF!</definedName>
    <definedName name="mxetuoinhua190">#REF!</definedName>
    <definedName name="mxlat">#REF!</definedName>
    <definedName name="mxuc">#REF!</definedName>
    <definedName name="mxuclat0.40">#REF!</definedName>
    <definedName name="mxuclat1.00">#REF!</definedName>
    <definedName name="mxuclat1.65">#REF!</definedName>
    <definedName name="mxuclat2.00">#REF!</definedName>
    <definedName name="mxuclat2.80">#REF!</definedName>
    <definedName name="My">#REF!</definedName>
    <definedName name="MYDATABASE_1">#REF!</definedName>
    <definedName name="mydbstart_1">#REF!</definedName>
    <definedName name="MYDUC">#REF!</definedName>
    <definedName name="myle">#REF!</definedName>
    <definedName name="MyRef">MID(vt,FIND(GetRow,vt)+4,FIND(")",vt)-FIND(GetRow,vt)-4)</definedName>
    <definedName name="n" hidden="1">{"'Sheet1'!$L$16"}</definedName>
    <definedName name="n.d1">#REF!</definedName>
    <definedName name="n.d2">#REF!</definedName>
    <definedName name="n.h">#REF!</definedName>
    <definedName name="N.M14.1">#N/A</definedName>
    <definedName name="N.M14.2">#N/A</definedName>
    <definedName name="N.MTCat">#N/A</definedName>
    <definedName name="n.s">#REF!</definedName>
    <definedName name="N.THAÙNG">#REF!</definedName>
    <definedName name="n__gi">#REF!</definedName>
    <definedName name="n_1">#REF!</definedName>
    <definedName name="n_18">#REF!</definedName>
    <definedName name="n_2">#REF!</definedName>
    <definedName name="n_3">#REF!</definedName>
    <definedName name="N_be">#REF!</definedName>
    <definedName name="N_Class1">#REF!</definedName>
    <definedName name="N_Class2">#REF!</definedName>
    <definedName name="N_Class3">#REF!</definedName>
    <definedName name="N_Class4">#REF!</definedName>
    <definedName name="N_Class5">#REF!</definedName>
    <definedName name="N_con">#REF!</definedName>
    <definedName name="N_de_Huecos_de_20_mm">#REF!</definedName>
    <definedName name="N_de_Huecos_de_25_mm">#REF!</definedName>
    <definedName name="n_gi">#REF!</definedName>
    <definedName name="N_lchae">#REF!</definedName>
    <definedName name="N_run">#REF!</definedName>
    <definedName name="N_sed">#REF!</definedName>
    <definedName name="Ñ_VÒ">#REF!</definedName>
    <definedName name="N_volae">#REF!</definedName>
    <definedName name="n_vÞ">#REF!</definedName>
    <definedName name="n1_">#REF!</definedName>
    <definedName name="N1IN">#REF!</definedName>
    <definedName name="N1IN_14">#REF!</definedName>
    <definedName name="n1pig">#REF!</definedName>
    <definedName name="n1pig_18">#REF!</definedName>
    <definedName name="n1pig_33">"#REF!"</definedName>
    <definedName name="n1pig_34">"#REF!"</definedName>
    <definedName name="n1pignc">#REF!</definedName>
    <definedName name="n1pignc_14">#REF!</definedName>
    <definedName name="N1pIGvc">#REF!</definedName>
    <definedName name="N1pIGvc_18">#REF!</definedName>
    <definedName name="n1pigvl">#REF!</definedName>
    <definedName name="n1pigvl_14">#REF!</definedName>
    <definedName name="n1pind">#REF!</definedName>
    <definedName name="n1pind_18">#REF!</definedName>
    <definedName name="n1pind_33">"#REF!"</definedName>
    <definedName name="n1pind_34">"#REF!"</definedName>
    <definedName name="n1pindnc">#REF!</definedName>
    <definedName name="n1pindnc_14">#REF!</definedName>
    <definedName name="N1pINDvc">#REF!</definedName>
    <definedName name="N1pINDvc_18">#REF!</definedName>
    <definedName name="n1pindvl">#REF!</definedName>
    <definedName name="n1pindvl_14">#REF!</definedName>
    <definedName name="n1ping">#REF!</definedName>
    <definedName name="n1ping_18">#REF!</definedName>
    <definedName name="n1ping_33">"#REF!"</definedName>
    <definedName name="n1ping_34">"#REF!"</definedName>
    <definedName name="n1pingnc">#REF!</definedName>
    <definedName name="n1pingnc_14">#REF!</definedName>
    <definedName name="N1pINGvc">#REF!</definedName>
    <definedName name="N1pINGvc_18">#REF!</definedName>
    <definedName name="n1pingvl">#REF!</definedName>
    <definedName name="n1pingvl_14">#REF!</definedName>
    <definedName name="n1pint">#REF!</definedName>
    <definedName name="n1pint_18">#REF!</definedName>
    <definedName name="n1pint_33">"#REF!"</definedName>
    <definedName name="n1pint_34">"#REF!"</definedName>
    <definedName name="n1pintnc">#REF!</definedName>
    <definedName name="n1pintnc_14">#REF!</definedName>
    <definedName name="N1pINTvc">#N/A</definedName>
    <definedName name="n1pintvl">#REF!</definedName>
    <definedName name="n1pintvl_14">#REF!</definedName>
    <definedName name="N1pNLnc">#N/A</definedName>
    <definedName name="N1pNLvc">#N/A</definedName>
    <definedName name="N1pNLvl">#N/A</definedName>
    <definedName name="n2_">#REF!</definedName>
    <definedName name="n24nc">#REF!</definedName>
    <definedName name="n24nc_14">#REF!</definedName>
    <definedName name="n24vl">#REF!</definedName>
    <definedName name="n24vl_14">#REF!</definedName>
    <definedName name="n2mignc">#REF!</definedName>
    <definedName name="n2mignc_14">#REF!</definedName>
    <definedName name="n2migvl">#REF!</definedName>
    <definedName name="n2migvl_14">#REF!</definedName>
    <definedName name="n2min1nc">#REF!</definedName>
    <definedName name="n2min1nc_14">#REF!</definedName>
    <definedName name="n2min1vl">#REF!</definedName>
    <definedName name="n2min1vl_14">#REF!</definedName>
    <definedName name="n3_">#REF!</definedName>
    <definedName name="n3I">#REF!</definedName>
    <definedName name="n3M">#REF!</definedName>
    <definedName name="n3N">#REF!</definedName>
    <definedName name="N3QL13NE8_MP1">#REF!</definedName>
    <definedName name="n4_">#REF!</definedName>
    <definedName name="N4TD_LN">#REF!</definedName>
    <definedName name="Na">#REF!</definedName>
    <definedName name="NA.">#REF!</definedName>
    <definedName name="nacc">#REF!</definedName>
    <definedName name="nâdfasdfasdfas">#REF!</definedName>
    <definedName name="NAGHAHG">#REF!</definedName>
    <definedName name="NAK">#N/A</definedName>
    <definedName name="NÂK">#REF!</definedName>
    <definedName name="nam" localSheetId="6" hidden="1">{"'Sheet1'!$L$16"}</definedName>
    <definedName name="nam" hidden="1">{"'Sheet1'!$L$16"}</definedName>
    <definedName name="NamDinh" localSheetId="6">#REF!</definedName>
    <definedName name="NamDinh">#REF!</definedName>
    <definedName name="name">#N/A</definedName>
    <definedName name="NAME_Change">#N/A</definedName>
    <definedName name="name_gia" hidden="1">#REF!</definedName>
    <definedName name="Name_msc">#REF!</definedName>
    <definedName name="name_nodes">#REF!</definedName>
    <definedName name="name_of_global">#REF!</definedName>
    <definedName name="name1">#N/A</definedName>
    <definedName name="name2" localSheetId="6">#REF!</definedName>
    <definedName name="name2">#N/A</definedName>
    <definedName name="name3">#N/A</definedName>
    <definedName name="Nan_khoi_cong">#REF!</definedName>
    <definedName name="nanako" hidden="1">{"'Sheet1'!$L$16"}</definedName>
    <definedName name="nanghang">#REF!</definedName>
    <definedName name="nangluong">#REF!</definedName>
    <definedName name="nangluong12">#REF!</definedName>
    <definedName name="naovet">#REF!</definedName>
    <definedName name="NationalAllPrice" localSheetId="6">#REF!</definedName>
    <definedName name="NationalAllPrice">#REF!</definedName>
    <definedName name="NationalePrice" localSheetId="6">#REF!</definedName>
    <definedName name="NationalePrice">#REF!</definedName>
    <definedName name="NationalPrice" localSheetId="6">#REF!</definedName>
    <definedName name="NationalPrice">#REF!</definedName>
    <definedName name="naunhua">#REF!</definedName>
    <definedName name="navailable">#REF!</definedName>
    <definedName name="Nb">#REF!</definedName>
    <definedName name="NB.">#REF!</definedName>
    <definedName name="Nb_BEP">#REF!</definedName>
    <definedName name="nb_bts">#REF!</definedName>
    <definedName name="nb_day_per_month">#REF!</definedName>
    <definedName name="nb_day_per_week">#REF!</definedName>
    <definedName name="Nb_days">#REF!</definedName>
    <definedName name="Nb_FEP">#REF!</definedName>
    <definedName name="nb_jours">#REF!</definedName>
    <definedName name="NB_lines">#REF!</definedName>
    <definedName name="nb_month">#REF!</definedName>
    <definedName name="NB_nodes">#REF!</definedName>
    <definedName name="NB_OF_SITES">#REF!</definedName>
    <definedName name="nb_phases">#REF!</definedName>
    <definedName name="NB_redund">#REF!</definedName>
    <definedName name="Nb_SCP">#REF!</definedName>
    <definedName name="Nb_SDP">#REF!</definedName>
    <definedName name="NB_sin_POTS">#REF!</definedName>
    <definedName name="NB_sin_POTS_sin_DURC_sin_TACC">#REF!</definedName>
    <definedName name="nb_site">#REF!</definedName>
    <definedName name="NB_slots">#REF!</definedName>
    <definedName name="Nb_SMP">#REF!</definedName>
    <definedName name="nb_sr">#REF!</definedName>
    <definedName name="nb_subs">#REF!</definedName>
    <definedName name="NB_SW_CD">#REF!</definedName>
    <definedName name="nb_trainee">#REF!</definedName>
    <definedName name="nb_trainer">#REF!</definedName>
    <definedName name="Nb_Travel">#REF!</definedName>
    <definedName name="nb_trx">#REF!</definedName>
    <definedName name="nb_week">#REF!</definedName>
    <definedName name="nb8trx">#REF!</definedName>
    <definedName name="NbCAPS1">#REF!</definedName>
    <definedName name="NbCAPS2">#REF!</definedName>
    <definedName name="NbCAPS3">#REF!</definedName>
    <definedName name="NbCAPS4">#REF!</definedName>
    <definedName name="NbCAPS5">#REF!</definedName>
    <definedName name="NbDay">#REF!</definedName>
    <definedName name="NBe">#REF!</definedName>
    <definedName name="Nbe_TKT">#REF!</definedName>
    <definedName name="NbFull_IN">#REF!</definedName>
    <definedName name="NBILCIT100">#REF!</definedName>
    <definedName name="NBILSEL100">#REF!</definedName>
    <definedName name="nblank">#REF!</definedName>
    <definedName name="NbReturnTicket">#REF!</definedName>
    <definedName name="NbService">#REF!</definedName>
    <definedName name="NbServiceAdd">#REF!</definedName>
    <definedName name="NbServiceInstal">#REF!</definedName>
    <definedName name="NbSS7">#REF!</definedName>
    <definedName name="NbStep_IN">#REF!</definedName>
    <definedName name="NbSubscriber1">#REF!</definedName>
    <definedName name="NbSubscriber2">#REF!</definedName>
    <definedName name="NbSubscriber3">#REF!</definedName>
    <definedName name="NbSubscriber4">#REF!</definedName>
    <definedName name="NbSubscriber5">#REF!</definedName>
    <definedName name="nc">#REF!</definedName>
    <definedName name="nc.3">#REF!</definedName>
    <definedName name="nc.4">#N/A</definedName>
    <definedName name="NC.DMC">#N/A</definedName>
    <definedName name="NC.GTTMC">#N/A</definedName>
    <definedName name="NC.M10.1">#REF!</definedName>
    <definedName name="NC.M10.1_14">#REF!</definedName>
    <definedName name="NC.M10.1_18">#REF!</definedName>
    <definedName name="NC.M10.2">#REF!</definedName>
    <definedName name="NC.M10.2_14">#REF!</definedName>
    <definedName name="NC.M10.2_18">#REF!</definedName>
    <definedName name="NC.M14.1">#N/A</definedName>
    <definedName name="NC.M14.2">#N/A</definedName>
    <definedName name="NC.MDT">#REF!</definedName>
    <definedName name="NC.MDT_14">#REF!</definedName>
    <definedName name="NC.MDT_18">#REF!</definedName>
    <definedName name="NC.MTCat">#N/A</definedName>
    <definedName name="NC.T1C.CDFD">#N/A</definedName>
    <definedName name="NC.T1C.M14">#N/A</definedName>
    <definedName name="NC.TTC">#N/A</definedName>
    <definedName name="NC.X.CSV">#N/A</definedName>
    <definedName name="NC.XL">#N/A</definedName>
    <definedName name="NC_14">#REF!</definedName>
    <definedName name="Nc_18">#REF!</definedName>
    <definedName name="NC_30">#REF!</definedName>
    <definedName name="NC_35">#REF!</definedName>
    <definedName name="NC_40">#REF!</definedName>
    <definedName name="nc_betong200">#REF!</definedName>
    <definedName name="nc_btm10">#REF!</definedName>
    <definedName name="nc_btm10_33">"#REF!"</definedName>
    <definedName name="nc_btm10_34">"#REF!"</definedName>
    <definedName name="nc_btm100">#REF!</definedName>
    <definedName name="nc_btm100_33">"#REF!"</definedName>
    <definedName name="nc_btm100_34">"#REF!"</definedName>
    <definedName name="nc_btm150">#REF!</definedName>
    <definedName name="nc_btm200">#REF!</definedName>
    <definedName name="nc_btm50">#REF!</definedName>
    <definedName name="nc_cotpha">#REF!</definedName>
    <definedName name="NC_CSCT">#REF!</definedName>
    <definedName name="NC_CTXD">#REF!</definedName>
    <definedName name="nc_dg">#REF!</definedName>
    <definedName name="NC_DZHT">#REF!</definedName>
    <definedName name="nc_lddg">#REF!</definedName>
    <definedName name="NC_RD">#REF!</definedName>
    <definedName name="NC_TD">#REF!</definedName>
    <definedName name="nc_tgdg">#REF!</definedName>
    <definedName name="NC0.4_ÂG">#REF!</definedName>
    <definedName name="nc100a">#REF!</definedName>
    <definedName name="nc12m250">#REF!</definedName>
    <definedName name="nc1nc">#REF!</definedName>
    <definedName name="nc1nc_14">#REF!</definedName>
    <definedName name="nc1p">#REF!</definedName>
    <definedName name="nc1p_18">#REF!</definedName>
    <definedName name="nc1vl">#REF!</definedName>
    <definedName name="nc1vl_14">#REF!</definedName>
    <definedName name="nc2.0">#REF!</definedName>
    <definedName name="nc2.1">#REF!</definedName>
    <definedName name="nc2.1I">#REF!</definedName>
    <definedName name="nc2.1II">#REF!</definedName>
    <definedName name="nc2.1III">#REF!</definedName>
    <definedName name="nc2.1IV">#REF!</definedName>
    <definedName name="nc2.2">#REF!</definedName>
    <definedName name="nc2.2I">#REF!</definedName>
    <definedName name="nc2.2II">#REF!</definedName>
    <definedName name="nc2.2III">#REF!</definedName>
    <definedName name="nc2.2IV">#REF!</definedName>
    <definedName name="nc2.3">#REF!</definedName>
    <definedName name="nc2.3I">#REF!</definedName>
    <definedName name="nc2.3II">#REF!</definedName>
    <definedName name="nc2.3III">#REF!</definedName>
    <definedName name="nc2.3IV">#REF!</definedName>
    <definedName name="nc2.4">#REF!</definedName>
    <definedName name="nc2.4I">#REF!</definedName>
    <definedName name="nc2.4II">#REF!</definedName>
    <definedName name="nc2.4III">#REF!</definedName>
    <definedName name="nc2.4IV">#REF!</definedName>
    <definedName name="nc2.5">#REF!</definedName>
    <definedName name="nc2.5I">#REF!</definedName>
    <definedName name="nc2.5II">#REF!</definedName>
    <definedName name="nc2.5III">#REF!</definedName>
    <definedName name="nc2.5IV">#REF!</definedName>
    <definedName name="nc2.6">#REF!</definedName>
    <definedName name="nc2.6I">#REF!</definedName>
    <definedName name="nc2.6II">#REF!</definedName>
    <definedName name="nc2.6III">#REF!</definedName>
    <definedName name="nc2.6IV">#REF!</definedName>
    <definedName name="nc2.7">#REF!</definedName>
    <definedName name="nc2.7I">#REF!</definedName>
    <definedName name="nc2.7II">#REF!</definedName>
    <definedName name="nc2.7III">#REF!</definedName>
    <definedName name="nc2.7IV">#REF!</definedName>
    <definedName name="nc2.8">#REF!</definedName>
    <definedName name="nc2.8I">#REF!</definedName>
    <definedName name="nc2.8II">#REF!</definedName>
    <definedName name="nc2.8III">#REF!</definedName>
    <definedName name="nc2.8IV">#REF!</definedName>
    <definedName name="nc2.9">#REF!</definedName>
    <definedName name="nc2.9I">#REF!</definedName>
    <definedName name="nc2.9II">#REF!</definedName>
    <definedName name="nc2.9III">#REF!</definedName>
    <definedName name="nc2.9IV">#REF!</definedName>
    <definedName name="NC2_">#REF!</definedName>
    <definedName name="NC200_18">#REF!</definedName>
    <definedName name="NC22_ÂG">#REF!</definedName>
    <definedName name="nc24nc">#REF!</definedName>
    <definedName name="nc24nc_14">#REF!</definedName>
    <definedName name="nc24vl">#REF!</definedName>
    <definedName name="nc24vl_14">#REF!</definedName>
    <definedName name="nc2I">#REF!</definedName>
    <definedName name="nc2II">#REF!</definedName>
    <definedName name="nc2III">#REF!</definedName>
    <definedName name="nc2IV">#REF!</definedName>
    <definedName name="nc3.0">#REF!</definedName>
    <definedName name="nc3.1">#REF!</definedName>
    <definedName name="nc3.1I">#REF!</definedName>
    <definedName name="nc3.1II">#REF!</definedName>
    <definedName name="nc3.1III">#REF!</definedName>
    <definedName name="nc3.1IV">#REF!</definedName>
    <definedName name="nc3.2">#REF!</definedName>
    <definedName name="nc3.2I">#REF!</definedName>
    <definedName name="nc3.2II">#REF!</definedName>
    <definedName name="nc3.2III">#REF!</definedName>
    <definedName name="nc3.2IV">#REF!</definedName>
    <definedName name="nc3.3">#REF!</definedName>
    <definedName name="nc3.3I">#REF!</definedName>
    <definedName name="nc3.3II">#REF!</definedName>
    <definedName name="nc3.3III">#REF!</definedName>
    <definedName name="nc3.3IV">#REF!</definedName>
    <definedName name="nc3.4">#REF!</definedName>
    <definedName name="nc3.4I">#REF!</definedName>
    <definedName name="nc3.4II">#REF!</definedName>
    <definedName name="nc3.4III">#REF!</definedName>
    <definedName name="nc3.4IV">#REF!</definedName>
    <definedName name="nc3.5">#REF!</definedName>
    <definedName name="nc3.5I">#REF!</definedName>
    <definedName name="nc3.5II">#REF!</definedName>
    <definedName name="nc3.5III">#REF!</definedName>
    <definedName name="nc3.5IV">#REF!</definedName>
    <definedName name="nc3.6">#REF!</definedName>
    <definedName name="nc3.6I">#REF!</definedName>
    <definedName name="nc3.6II">#REF!</definedName>
    <definedName name="nc3.6III">#REF!</definedName>
    <definedName name="nc3.6IV">#REF!</definedName>
    <definedName name="nc3.7">#REF!</definedName>
    <definedName name="nc3.7I">#REF!</definedName>
    <definedName name="nc3.7II">#REF!</definedName>
    <definedName name="nc3.7III">#REF!</definedName>
    <definedName name="nc3.7IV">#REF!</definedName>
    <definedName name="nc3.8">#REF!</definedName>
    <definedName name="nc3.8I">#REF!</definedName>
    <definedName name="nc3.8II">#REF!</definedName>
    <definedName name="nc3.8III">#REF!</definedName>
    <definedName name="nc3.8IV">#REF!</definedName>
    <definedName name="nc3.9">#REF!</definedName>
    <definedName name="nc3.9I">#REF!</definedName>
    <definedName name="nc3.9II">#REF!</definedName>
    <definedName name="nc3.9III">#REF!</definedName>
    <definedName name="nc3.9IV">#REF!</definedName>
    <definedName name="NC3_">#REF!</definedName>
    <definedName name="nc3_5">#REF!</definedName>
    <definedName name="nc3I">#REF!</definedName>
    <definedName name="nc3II">#REF!</definedName>
    <definedName name="nc3III">#REF!</definedName>
    <definedName name="nc3IV">#REF!</definedName>
    <definedName name="nc3p">#REF!</definedName>
    <definedName name="nc3p_18">#REF!</definedName>
    <definedName name="nc3p_33">"#REF!"</definedName>
    <definedName name="nc3p_34">"#REF!"</definedName>
    <definedName name="nc4.0">#REF!</definedName>
    <definedName name="nc4.1">#REF!</definedName>
    <definedName name="nc4.1I">#REF!</definedName>
    <definedName name="nc4.1II">#REF!</definedName>
    <definedName name="nc4.1III">#REF!</definedName>
    <definedName name="nc4.1IV">#REF!</definedName>
    <definedName name="nc4.2">#REF!</definedName>
    <definedName name="nc4.2I">#REF!</definedName>
    <definedName name="nc4.2II">#REF!</definedName>
    <definedName name="nc4.2III">#REF!</definedName>
    <definedName name="nc4.2IV">#REF!</definedName>
    <definedName name="nc4.3">#REF!</definedName>
    <definedName name="nc4.3I">#REF!</definedName>
    <definedName name="nc4.3II">#REF!</definedName>
    <definedName name="nc4.3III">#REF!</definedName>
    <definedName name="nc4.3IV">#REF!</definedName>
    <definedName name="nc4.4">#REF!</definedName>
    <definedName name="nc4.4I">#REF!</definedName>
    <definedName name="nc4.4II">#REF!</definedName>
    <definedName name="nc4.4III">#REF!</definedName>
    <definedName name="nc4.4IV">#REF!</definedName>
    <definedName name="nc4.5">#REF!</definedName>
    <definedName name="nc4.5I">#REF!</definedName>
    <definedName name="nc4.5II">#REF!</definedName>
    <definedName name="nc4.5III">#REF!</definedName>
    <definedName name="nc4.5IV">#REF!</definedName>
    <definedName name="nc4.6">#REF!</definedName>
    <definedName name="nc4.6I">#REF!</definedName>
    <definedName name="nc4.6II">#REF!</definedName>
    <definedName name="nc4.6III">#REF!</definedName>
    <definedName name="nc4.6IV">#REF!</definedName>
    <definedName name="nc4.7">#REF!</definedName>
    <definedName name="nc4.7I">#REF!</definedName>
    <definedName name="nc4.7II">#REF!</definedName>
    <definedName name="nc4.7III">#REF!</definedName>
    <definedName name="nc4.7IV">#REF!</definedName>
    <definedName name="nc4.8">#REF!</definedName>
    <definedName name="nc4.8I">#REF!</definedName>
    <definedName name="nc4.8II">#REF!</definedName>
    <definedName name="nc4.8III">#REF!</definedName>
    <definedName name="nc4.8IV">#REF!</definedName>
    <definedName name="nc4.9">#REF!</definedName>
    <definedName name="nc4.9I">#REF!</definedName>
    <definedName name="nc4.9II">#REF!</definedName>
    <definedName name="nc4.9III">#REF!</definedName>
    <definedName name="nc4.9IV">#REF!</definedName>
    <definedName name="NC4_">#REF!</definedName>
    <definedName name="nc4I">#REF!</definedName>
    <definedName name="nc4II">#REF!</definedName>
    <definedName name="nc4III">#REF!</definedName>
    <definedName name="nc4IV">#REF!</definedName>
    <definedName name="nc5.0">#REF!</definedName>
    <definedName name="nc5.1">#REF!</definedName>
    <definedName name="nc5.2">#REF!</definedName>
    <definedName name="nc5.3">#REF!</definedName>
    <definedName name="nc5.4">#REF!</definedName>
    <definedName name="nc5.5">#REF!</definedName>
    <definedName name="nc5.6">#REF!</definedName>
    <definedName name="nc5.7">#REF!</definedName>
    <definedName name="nc5.8">#REF!</definedName>
    <definedName name="nc5.9">#REF!</definedName>
    <definedName name="nc5I">#REF!</definedName>
    <definedName name="nc5II">#REF!</definedName>
    <definedName name="nc5III">#REF!</definedName>
    <definedName name="nc5IV">#REF!</definedName>
    <definedName name="nc6.0">#REF!</definedName>
    <definedName name="nc6.1">#REF!</definedName>
    <definedName name="nc6.2">#REF!</definedName>
    <definedName name="nc6.3">#REF!</definedName>
    <definedName name="nc6.4">#REF!</definedName>
    <definedName name="nc6.5">#REF!</definedName>
    <definedName name="nc6.6">#REF!</definedName>
    <definedName name="nc6.7">#REF!</definedName>
    <definedName name="nc6.8">#REF!</definedName>
    <definedName name="nc6.9">#REF!</definedName>
    <definedName name="nc7.0">#REF!</definedName>
    <definedName name="Nca">#REF!</definedName>
    <definedName name="NCAU">#REF!</definedName>
    <definedName name="ncb" localSheetId="6">#REF!</definedName>
    <definedName name="ncb">#N/A</definedName>
    <definedName name="ncb_1">#N/A</definedName>
    <definedName name="ncb_15">#N/A</definedName>
    <definedName name="ncb_16">#N/A</definedName>
    <definedName name="ncb_17">#N/A</definedName>
    <definedName name="ncb_19">#N/A</definedName>
    <definedName name="ncb_20">#N/A</definedName>
    <definedName name="ncb_21">#N/A</definedName>
    <definedName name="ncb_22">#N/A</definedName>
    <definedName name="ncb_23">#N/A</definedName>
    <definedName name="ncb_24">#N/A</definedName>
    <definedName name="ncb_25">#N/A</definedName>
    <definedName name="ncb_26">#N/A</definedName>
    <definedName name="ncb_27">#N/A</definedName>
    <definedName name="ncb_28">#N/A</definedName>
    <definedName name="ncb_29">#N/A</definedName>
    <definedName name="ncb_3">#N/A</definedName>
    <definedName name="ncb_30">#N/A</definedName>
    <definedName name="ncb_31">#N/A</definedName>
    <definedName name="ncb_32">#N/A</definedName>
    <definedName name="ncb_33">#N/A</definedName>
    <definedName name="ncb_34">#N/A</definedName>
    <definedName name="ncb_35">#N/A</definedName>
    <definedName name="ncb_36">#N/A</definedName>
    <definedName name="ncb_37">#N/A</definedName>
    <definedName name="ncb_38">#N/A</definedName>
    <definedName name="ncb_39">#N/A</definedName>
    <definedName name="ncb_40">#N/A</definedName>
    <definedName name="ncb_41">#N/A</definedName>
    <definedName name="ncb_43">#N/A</definedName>
    <definedName name="ncb_44">#N/A</definedName>
    <definedName name="ncb_7">#N/A</definedName>
    <definedName name="NCbac2.5">#REF!</definedName>
    <definedName name="NCbac2.7">#REF!</definedName>
    <definedName name="NCbac3">#REF!</definedName>
    <definedName name="NCbac3.2">#REF!</definedName>
    <definedName name="NCbac3.5">#REF!</definedName>
    <definedName name="NCbac3.7">#REF!</definedName>
    <definedName name="NCbac4">#REF!</definedName>
    <definedName name="NCbac4.5">#REF!</definedName>
    <definedName name="ncbaotaibovay">#REF!</definedName>
    <definedName name="NCBD">#REF!</definedName>
    <definedName name="NCBD100">#REF!</definedName>
    <definedName name="NCBD100_18">#REF!</definedName>
    <definedName name="NCBD100_33">"#REF!"</definedName>
    <definedName name="NCBD100_34">"#REF!"</definedName>
    <definedName name="NCBD200">#REF!</definedName>
    <definedName name="NCBD200_18">#REF!</definedName>
    <definedName name="NCBD200_33">"#REF!"</definedName>
    <definedName name="NCBD200_34">"#REF!"</definedName>
    <definedName name="NCBD250">#REF!</definedName>
    <definedName name="NCBD250_18">#REF!</definedName>
    <definedName name="NCBD250_33">"#REF!"</definedName>
    <definedName name="NCBD250_34">"#REF!"</definedName>
    <definedName name="NCBTN">#REF!</definedName>
    <definedName name="NCC">#REF!</definedName>
    <definedName name="NCC2.5">#REF!</definedName>
    <definedName name="NCC2.7">#REF!</definedName>
    <definedName name="NCC3.2">#REF!</definedName>
    <definedName name="ncc3.5">#REF!</definedName>
    <definedName name="ncc3.7">#REF!</definedName>
    <definedName name="NCC4.3">#REF!</definedName>
    <definedName name="NCC4.5">#REF!</definedName>
    <definedName name="NCC4.7">#REF!</definedName>
    <definedName name="ncc5.5">#REF!</definedName>
    <definedName name="ncc5.7">#REF!</definedName>
    <definedName name="ncc6.5">#REF!</definedName>
    <definedName name="ncc6.7">#REF!</definedName>
    <definedName name="NCcap0.7">#REF!</definedName>
    <definedName name="NCcap0_7">#REF!</definedName>
    <definedName name="NCcap1">#REF!</definedName>
    <definedName name="nccau">#N/A</definedName>
    <definedName name="nccc2">#REF!</definedName>
    <definedName name="nccs">#REF!</definedName>
    <definedName name="NCCS_ÂG">#REF!</definedName>
    <definedName name="NCCT3p">#REF!</definedName>
    <definedName name="NCCT3p_18">#REF!</definedName>
    <definedName name="ncd">#REF!</definedName>
    <definedName name="ncday35">#REF!</definedName>
    <definedName name="ncday50">#REF!</definedName>
    <definedName name="ncday70">#REF!</definedName>
    <definedName name="ncday95">#REF!</definedName>
    <definedName name="ncdd">#REF!</definedName>
    <definedName name="ncdd_14">#REF!</definedName>
    <definedName name="NCDD2">#REF!</definedName>
    <definedName name="NCDD2_14">#REF!</definedName>
    <definedName name="ncdg">#REF!</definedName>
    <definedName name="ncdg_tg">#REF!</definedName>
    <definedName name="NCGF">#REF!</definedName>
    <definedName name="ncgff">#REF!</definedName>
    <definedName name="nch">#REF!</definedName>
    <definedName name="NCHC">#REF!</definedName>
    <definedName name="NCHC_14">#REF!</definedName>
    <definedName name="NCITMAF100">#N/A</definedName>
    <definedName name="NCITTSE100">#N/A</definedName>
    <definedName name="ncjj" hidden="1">{#N/A,#N/A,FALSE,"Chi tiÆt"}</definedName>
    <definedName name="NCKday">#REF!</definedName>
    <definedName name="NCKS">#REF!</definedName>
    <definedName name="NCKT">#REF!</definedName>
    <definedName name="nckv1">#REF!</definedName>
    <definedName name="NCL100_18">#REF!</definedName>
    <definedName name="NCL200_18">#REF!</definedName>
    <definedName name="NCL250_18">#REF!</definedName>
    <definedName name="NCLD">#REF!</definedName>
    <definedName name="ncm100lv">#REF!</definedName>
    <definedName name="ncmt2">#REF!</definedName>
    <definedName name="NCMTC">#REF!</definedName>
    <definedName name="NCNCS">#N/A</definedName>
    <definedName name="ncnen6">"#REF!"</definedName>
    <definedName name="nco">#REF!</definedName>
    <definedName name="Ncoc">#REF!</definedName>
    <definedName name="Ncol">#REF!</definedName>
    <definedName name="ncong">#REF!</definedName>
    <definedName name="NCPP">#REF!</definedName>
    <definedName name="NCR_BTS">#REF!</definedName>
    <definedName name="NCR_Phase1">#REF!</definedName>
    <definedName name="NCR_phase2">#REF!</definedName>
    <definedName name="ncs">#REF!</definedName>
    <definedName name="NCSBV">#REF!</definedName>
    <definedName name="ncskttg">#REF!</definedName>
    <definedName name="nct">#REF!</definedName>
    <definedName name="NCT_BKTC">#REF!</definedName>
    <definedName name="NCTBA_ÂG">#REF!</definedName>
    <definedName name="nctdn">#REF!</definedName>
    <definedName name="ncthepnaphl">#REF!</definedName>
    <definedName name="nctn">#REF!</definedName>
    <definedName name="nctn_dzht">#REF!</definedName>
    <definedName name="ncto">#REF!</definedName>
    <definedName name="nctr">#REF!</definedName>
    <definedName name="nctr_14">#REF!</definedName>
    <definedName name="nctram">#REF!</definedName>
    <definedName name="nctram_18">#REF!</definedName>
    <definedName name="ncttctg">#REF!</definedName>
    <definedName name="nctvt">#REF!</definedName>
    <definedName name="ncut">#N/A</definedName>
    <definedName name="NCVC">#REF!</definedName>
    <definedName name="NCVC_BD">#REF!</definedName>
    <definedName name="NCVC100">#REF!</definedName>
    <definedName name="NCVC100_18">#REF!</definedName>
    <definedName name="NCVC200">#REF!</definedName>
    <definedName name="NCVC200_18">#REF!</definedName>
    <definedName name="NCVC250">#REF!</definedName>
    <definedName name="NCVC250_18">#REF!</definedName>
    <definedName name="NCVC3P">#REF!</definedName>
    <definedName name="NCVC3P_18">#REF!</definedName>
    <definedName name="NCXD_CB">#REF!</definedName>
    <definedName name="NCXD_CBL">#REF!</definedName>
    <definedName name="NCXD_CD">#REF!</definedName>
    <definedName name="NCXD_DB">#REF!</definedName>
    <definedName name="NCXD_HSL">#REF!</definedName>
    <definedName name="NCXD_KODSX">#REF!</definedName>
    <definedName name="NCXD_KTT">#REF!</definedName>
    <definedName name="NCXD_LNC">#REF!</definedName>
    <definedName name="NCXD_LP">#REF!</definedName>
    <definedName name="NCXD_MH">#REF!</definedName>
    <definedName name="NCXD_STT">#REF!</definedName>
    <definedName name="NCXD_T">#REF!</definedName>
    <definedName name="NCXD_THUT">#REF!</definedName>
    <definedName name="NCXD_TKP">#REF!</definedName>
    <definedName name="NCXL">#REF!</definedName>
    <definedName name="ncxlkcs">#REF!</definedName>
    <definedName name="ncxlkd">#REF!</definedName>
    <definedName name="ncxlkh">#REF!</definedName>
    <definedName name="ncxlkt">#REF!</definedName>
    <definedName name="ncxlktda">#REF!</definedName>
    <definedName name="ncxlktnl">#REF!</definedName>
    <definedName name="ncxlpxsx">#REF!</definedName>
    <definedName name="ncxltc">#REF!</definedName>
    <definedName name="ND">#REF!</definedName>
    <definedName name="nd_14">#REF!</definedName>
    <definedName name="nd_8">#REF!</definedName>
    <definedName name="nd_9">#REF!</definedName>
    <definedName name="ND_TN">#REF!</definedName>
    <definedName name="ndam">#REF!</definedName>
    <definedName name="ndates">#REF!</definedName>
    <definedName name="ndc">#REF!</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File4Cost">#REF!</definedName>
    <definedName name="ndFile4Inst">#REF!</definedName>
    <definedName name="ndFile4Maint">#REF!</definedName>
    <definedName name="ndFile4Net">#REF!</definedName>
    <definedName name="ndFile5Cost">#REF!</definedName>
    <definedName name="ndFile5Inst">#REF!</definedName>
    <definedName name="ndFile5Maint">#REF!</definedName>
    <definedName name="ndFile5Net">#REF!</definedName>
    <definedName name="ndFile6Cost">#REF!</definedName>
    <definedName name="ndFile6Inst">#REF!</definedName>
    <definedName name="ndFile6Maint">#REF!</definedName>
    <definedName name="ndFile6Net">#REF!</definedName>
    <definedName name="ndFile7Cost">#REF!</definedName>
    <definedName name="ndFile7Inst">#REF!</definedName>
    <definedName name="ndFile7Maint">#REF!</definedName>
    <definedName name="ndFile7Net">#REF!</definedName>
    <definedName name="NDFN">#REF!</definedName>
    <definedName name="NDFP">#REF!</definedName>
    <definedName name="Ndk">#REF!</definedName>
    <definedName name="NDR">#REF!</definedName>
    <definedName name="ndtdbtg">#REF!</definedName>
    <definedName name="NdungChi">#REF!</definedName>
    <definedName name="Ne" localSheetId="6" hidden="1">{"'Sheet1'!$L$16"}</definedName>
    <definedName name="Ne" hidden="1">{"'Sheet1'!$L$16"}</definedName>
    <definedName name="NE_load">#REF!</definedName>
    <definedName name="nebom">#REF!</definedName>
    <definedName name="NEC_Discount">#REF!</definedName>
    <definedName name="NECCO">#REF!</definedName>
    <definedName name="NECCO_bill">#REF!</definedName>
    <definedName name="NECCO_VL">#REF!</definedName>
    <definedName name="neff">#REF!</definedName>
    <definedName name="Neg_Temp_Diff">#REF!</definedName>
    <definedName name="Nego">#REF!</definedName>
    <definedName name="Nego_Marge">#REF!</definedName>
    <definedName name="Nego_margin">#REF!</definedName>
    <definedName name="nehc">#REF!</definedName>
    <definedName name="Néi_dung">#REF!</definedName>
    <definedName name="Néi_dung_c_ng_viÖc">#REF!</definedName>
    <definedName name="Nem" hidden="1">{"'Sheet1'!$L$16"}</definedName>
    <definedName name="NEMm">#REF!</definedName>
    <definedName name="NEN">#REF!</definedName>
    <definedName name="NenCPDD">#REF!</definedName>
    <definedName name="NenDuong">#REF!</definedName>
    <definedName name="nenkhi">#REF!</definedName>
    <definedName name="nenkhi10">#N/A</definedName>
    <definedName name="nenkhi10m3">#REF!</definedName>
    <definedName name="nenkhi1200">#REF!</definedName>
    <definedName name="nenkhi17">#REF!</definedName>
    <definedName name="nenkhi360">#N/A</definedName>
    <definedName name="nenkhi600">#N/A</definedName>
    <definedName name="nenkhidau102">#REF!</definedName>
    <definedName name="nenkhidau120">#REF!</definedName>
    <definedName name="nenkhidau1200">#REF!</definedName>
    <definedName name="nenkhidau200">#REF!</definedName>
    <definedName name="nenkhidau240">#REF!</definedName>
    <definedName name="nenkhidau300">#REF!</definedName>
    <definedName name="nenkhidau360">#REF!</definedName>
    <definedName name="nenkhidau5.5">#REF!</definedName>
    <definedName name="nenkhidau540">#REF!</definedName>
    <definedName name="nenkhidau600">#REF!</definedName>
    <definedName name="nenkhidau660">#REF!</definedName>
    <definedName name="nenkhidau75">#REF!</definedName>
    <definedName name="nenkhidien10">#REF!</definedName>
    <definedName name="nenkhidien150">#REF!</definedName>
    <definedName name="nenkhidien216">#REF!</definedName>
    <definedName name="nenkhidien22">#REF!</definedName>
    <definedName name="nenkhidien270">#REF!</definedName>
    <definedName name="nenkhidien30">#REF!</definedName>
    <definedName name="nenkhidien300">#REF!</definedName>
    <definedName name="nenkhidien5">#REF!</definedName>
    <definedName name="nenkhidien56">#REF!</definedName>
    <definedName name="nenkhidien600">#REF!</definedName>
    <definedName name="nenkhidz10m3">#REF!</definedName>
    <definedName name="nenkhidz4m3">#REF!</definedName>
    <definedName name="nenkhidz6m3">#REF!</definedName>
    <definedName name="nenkhixang11">#REF!</definedName>
    <definedName name="nenkhixang120">#REF!</definedName>
    <definedName name="nenkhixang200">#REF!</definedName>
    <definedName name="nenkhixang25">#REF!</definedName>
    <definedName name="nenkhixang3">#REF!</definedName>
    <definedName name="nenkhixang300">#REF!</definedName>
    <definedName name="nenkhixang40">#REF!</definedName>
    <definedName name="nenkhixang600">#REF!</definedName>
    <definedName name="neo32mm">#REF!</definedName>
    <definedName name="neo4T">#REF!</definedName>
    <definedName name="ner" hidden="1">{"'Sheet1'!$L$16"}</definedName>
    <definedName name="NET" localSheetId="6">#REF!</definedName>
    <definedName name="NET">#REF!</definedName>
    <definedName name="NET_1" localSheetId="6">#REF!</definedName>
    <definedName name="NET_1">#REF!</definedName>
    <definedName name="NET_1_1">"#REF!"</definedName>
    <definedName name="NET_1_14">#REF!</definedName>
    <definedName name="NET_14">#REF!</definedName>
    <definedName name="NET_18">#REF!</definedName>
    <definedName name="NET_ANA" localSheetId="6">#REF!</definedName>
    <definedName name="NET_ANA">#REF!</definedName>
    <definedName name="NET_ANA_1" localSheetId="6">#REF!</definedName>
    <definedName name="NET_ANA_1">#REF!</definedName>
    <definedName name="NET_ANA_1_14">#REF!</definedName>
    <definedName name="NET_ANA_14">#REF!</definedName>
    <definedName name="NET_ANA_18">#REF!</definedName>
    <definedName name="NET_ANA_2" localSheetId="6">#REF!</definedName>
    <definedName name="NET_ANA_2">#REF!</definedName>
    <definedName name="NET_ANA_2_14">#REF!</definedName>
    <definedName name="Net_ban">#REF!</definedName>
    <definedName name="Net_Present_Value">#REF!</definedName>
    <definedName name="Net_vao">#REF!</definedName>
    <definedName name="NET2_14">#REF!</definedName>
    <definedName name="NetCashFlow">#REF!</definedName>
    <definedName name="NetCashFlowB">#REF!</definedName>
    <definedName name="NetCashFlows">#REF!</definedName>
    <definedName name="NetCashFlowsA">#REF!</definedName>
    <definedName name="NetCashFlowsB">#REF!</definedName>
    <definedName name="NetCashFlowsC">#REF!</definedName>
    <definedName name="Network_int_duree">#REF!</definedName>
    <definedName name="network_loading">#REF!</definedName>
    <definedName name="NetworkInt_cell">#REF!</definedName>
    <definedName name="New" hidden="1">#REF!</definedName>
    <definedName name="NEW_AAP">#REF!</definedName>
    <definedName name="NEW_ACC">#REF!</definedName>
    <definedName name="NEW_EDU">#REF!</definedName>
    <definedName name="New_L">#REF!</definedName>
    <definedName name="NEW_MSP">#REF!</definedName>
    <definedName name="New_Price">#REF!</definedName>
    <definedName name="NEW_PROD_DISC">#REF!</definedName>
    <definedName name="NEW_S">#REF!</definedName>
    <definedName name="NEW_SOFAWARE">#REF!</definedName>
    <definedName name="New_Software">#REF!</definedName>
    <definedName name="NEW_SS">#REF!</definedName>
    <definedName name="NEW_SS_DISC">#REF!</definedName>
    <definedName name="NEWNAME">{#N/A,#N/A,FALSE,"CCTV"}</definedName>
    <definedName name="NewPOS">#REF!</definedName>
    <definedName name="NEXT">#REF!</definedName>
    <definedName name="NFICHINIT">#N/A</definedName>
    <definedName name="NFSorTE">#REF!</definedName>
    <definedName name="ng">#REF!</definedName>
    <definedName name="Ng_êi_lËp__NguyÔn_Ho_i__øc">#REF!</definedName>
    <definedName name="Ng_êi_so_t__Phan_C_ng_Tr_êng">#REF!</definedName>
    <definedName name="NG_THANG">#REF!</definedName>
    <definedName name="Ng_y_c_ng">#REF!</definedName>
    <definedName name="ng1.">#REF!</definedName>
    <definedName name="ng2.">#REF!</definedName>
    <definedName name="nga" hidden="1">{"COST",#N/A,FALSE,"SYNTHESE";"MARGIN",#N/A,FALSE,"SYNTHESE";"LOT_COM",#N/A,FALSE,"SYNTHESE"}</definedName>
    <definedName name="NgaBay">#REF!</definedName>
    <definedName name="NgaBay1">[12]NgaBay!$D$13:$S$94</definedName>
    <definedName name="ngan">#REF!</definedName>
    <definedName name="NGANHANG">OFFSET(#REF!,COUNTIF(#REF!,"&lt;&gt;0")-1,0,1)</definedName>
    <definedName name="ngantl">#N/A</definedName>
    <definedName name="NGAØY">#REF!</definedName>
    <definedName name="ngau">#REF!</definedName>
    <definedName name="Ngay">#REF!</definedName>
    <definedName name="Ngày_nhập_kho">#REF!</definedName>
    <definedName name="Ngày_th¸ng" localSheetId="6">#REF!</definedName>
    <definedName name="Ngày_th¸ng">#REF!</definedName>
    <definedName name="ngay23" hidden="1">{"'Sheet1'!$L$16"}</definedName>
    <definedName name="Ngaycong">#REF!</definedName>
    <definedName name="NGAYCTU_B">#REF!</definedName>
    <definedName name="NgayNhapXuat">#REF!</definedName>
    <definedName name="ngdyg" hidden="1">{"'Sheet1'!$L$16"}</definedName>
    <definedName name="NGF">#REF!</definedName>
    <definedName name="ngfhdf">#REF!</definedName>
    <definedName name="NGFNCNG">#REF!</definedName>
    <definedName name="ngfrh">#REF!</definedName>
    <definedName name="NgheAn" localSheetId="6">#REF!</definedName>
    <definedName name="NgheAn">#REF!</definedName>
    <definedName name="NGHETINH1" hidden="1">{"'Sheet1'!$L$16"}</definedName>
    <definedName name="NGHI">#REF!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gio">#REF!</definedName>
    <definedName name="nghi_nv">#REF!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ht">#REF!</definedName>
    <definedName name="ngu" localSheetId="6" hidden="1">{"'Sheet1'!$L$16"}</definedName>
    <definedName name="ngu" hidden="1">{"'Sheet1'!$L$16"}</definedName>
    <definedName name="nguoi">#REF!</definedName>
    <definedName name="NGUON">#REF!</definedName>
    <definedName name="nguongoc" hidden="1">{"'Sheet1'!$L$16"}</definedName>
    <definedName name="nguyentadjf" hidden="1">{#N/A,#N/A,FALSE,"Chi tiÆt"}</definedName>
    <definedName name="nguyÔn_tuÊn_anh">#REF!</definedName>
    <definedName name="ngy">#REF!</definedName>
    <definedName name="NH">#REF!</definedName>
    <definedName name="Nh_n_cáng">#REF!</definedName>
    <definedName name="nh30_2">#REF!</definedName>
    <definedName name="Nha">#REF!</definedName>
    <definedName name="Nhà_cung_cấp">#REF!</definedName>
    <definedName name="NHAÂN_COÂNG">#NAME?</definedName>
    <definedName name="NHAÄP">#REF!</definedName>
    <definedName name="Nhãm">#REF!</definedName>
    <definedName name="Nhâm_CT">#REF!</definedName>
    <definedName name="Nhâm_Ctr">#REF!</definedName>
    <definedName name="Nhâm_Ctr_14">#REF!</definedName>
    <definedName name="nhan">#REF!</definedName>
    <definedName name="Nhan_cong_ky_su">#REF!</definedName>
    <definedName name="Nhan_xet_cua_dai">"Picture 1"</definedName>
    <definedName name="NHANA">#REF!</definedName>
    <definedName name="nhancong">#REF!</definedName>
    <definedName name="Nhancong2">#REF!</definedName>
    <definedName name="nhancongtb">#REF!</definedName>
    <definedName name="NHANTIEN">#REF!</definedName>
    <definedName name="NHAO">#REF!</definedName>
    <definedName name="NHAO1">#REF!</definedName>
    <definedName name="Nhap">#N/A</definedName>
    <definedName name="nhap_hang">#REF!</definedName>
    <definedName name="Nhap_khau_pc">#REF!</definedName>
    <definedName name="nhap2" localSheetId="6">#REF!</definedName>
    <definedName name="nhap2">#N/A</definedName>
    <definedName name="nhap2_1">#N/A</definedName>
    <definedName name="nhap2_15">#N/A</definedName>
    <definedName name="nhap2_16">#N/A</definedName>
    <definedName name="nhap2_17">#N/A</definedName>
    <definedName name="nhap2_19">#N/A</definedName>
    <definedName name="nhap2_20">#N/A</definedName>
    <definedName name="nhap2_21">#N/A</definedName>
    <definedName name="nhap2_22">#N/A</definedName>
    <definedName name="nhap2_23">#N/A</definedName>
    <definedName name="nhap2_24">#N/A</definedName>
    <definedName name="nhap2_25">#N/A</definedName>
    <definedName name="nhap2_26">#N/A</definedName>
    <definedName name="nhap2_27">#N/A</definedName>
    <definedName name="nhap2_28">#N/A</definedName>
    <definedName name="nhap2_29">#N/A</definedName>
    <definedName name="nhap2_3">#N/A</definedName>
    <definedName name="nhap2_30">#N/A</definedName>
    <definedName name="nhap2_31">#N/A</definedName>
    <definedName name="nhap2_32">#N/A</definedName>
    <definedName name="nhap2_33">#N/A</definedName>
    <definedName name="nhap2_34">#N/A</definedName>
    <definedName name="nhap2_35">#N/A</definedName>
    <definedName name="nhap2_36">#N/A</definedName>
    <definedName name="nhap2_37">#N/A</definedName>
    <definedName name="nhap2_38">#N/A</definedName>
    <definedName name="nhap2_39">#N/A</definedName>
    <definedName name="nhap2_40">#N/A</definedName>
    <definedName name="nhap2_41">#N/A</definedName>
    <definedName name="nhap2_43">#N/A</definedName>
    <definedName name="nhap2_44">#N/A</definedName>
    <definedName name="nhap2_7">#N/A</definedName>
    <definedName name="nhapcap">#N/A</definedName>
    <definedName name="nhapcb" localSheetId="6">#REF!</definedName>
    <definedName name="nhapcb">#N/A</definedName>
    <definedName name="nhapcb_1">#N/A</definedName>
    <definedName name="nhapcb_15">#N/A</definedName>
    <definedName name="nhapcb_16">#N/A</definedName>
    <definedName name="nhapcb_17">#N/A</definedName>
    <definedName name="nhapcb_19">#N/A</definedName>
    <definedName name="nhapcb_20">#N/A</definedName>
    <definedName name="nhapcb_21">#N/A</definedName>
    <definedName name="nhapcb_22">#N/A</definedName>
    <definedName name="nhapcb_23">#N/A</definedName>
    <definedName name="nhapcb_24">#N/A</definedName>
    <definedName name="nhapcb_25">#N/A</definedName>
    <definedName name="nhapcb_26">#N/A</definedName>
    <definedName name="nhapcb_27">#N/A</definedName>
    <definedName name="nhapcb_28">#N/A</definedName>
    <definedName name="nhapcb_29">#N/A</definedName>
    <definedName name="nhapcb_3">#N/A</definedName>
    <definedName name="nhapcb_30">#N/A</definedName>
    <definedName name="nhapcb_31">#N/A</definedName>
    <definedName name="nhapcb_32">#N/A</definedName>
    <definedName name="nhapcb_33">#N/A</definedName>
    <definedName name="nhapcb_34">#N/A</definedName>
    <definedName name="nhapcb_35">#N/A</definedName>
    <definedName name="nhapcb_36">#N/A</definedName>
    <definedName name="nhapcb_37">#N/A</definedName>
    <definedName name="nhapcb_38">#N/A</definedName>
    <definedName name="nhapcb_39">#N/A</definedName>
    <definedName name="nhapcb_40">#N/A</definedName>
    <definedName name="nhapcb_41">#N/A</definedName>
    <definedName name="nhapcb_43">#N/A</definedName>
    <definedName name="nhapcb_44">#N/A</definedName>
    <definedName name="nhapcb_7">#N/A</definedName>
    <definedName name="nhapdl">[13]NhapDL_NV2!$F$8</definedName>
    <definedName name="Nhaplieu">#REF!</definedName>
    <definedName name="nhappppppppp" hidden="1">{"'Sheet1'!$L$16"}</definedName>
    <definedName name="Nhapsolieu">#REF!</definedName>
    <definedName name="nharac" hidden="1">{#N/A,#N/A,FALSE,"Chi tiÆt"}</definedName>
    <definedName name="NHATKY">#REF!</definedName>
    <definedName name="Nhaxuong">#REF!</definedName>
    <definedName name="NHChat">#REF!</definedName>
    <definedName name="NHChinh">#REF!</definedName>
    <definedName name="nhd">#REF!</definedName>
    <definedName name="nhfffd">{"DZ-TDTB2.XLS","Dcksat.xls"}</definedName>
    <definedName name="nhfffd_1">{"DZ-TDTB2.XLS","Dcksat.xls"}</definedName>
    <definedName name="nhfffd_10">{"DZ-TDTB2.XLS","Dcksat.xls"}</definedName>
    <definedName name="nhfffd_10_1">{"DZ-TDTB2.XLS","Dcksat.xls"}</definedName>
    <definedName name="nhfffd_11">{"DZ-TDTB2.XLS","Dcksat.xls"}</definedName>
    <definedName name="nhfffd_11_1">{"DZ-TDTB2.XLS","Dcksat.xls"}</definedName>
    <definedName name="nhfffd_12">{"DZ-TDTB2.XLS","Dcksat.xls"}</definedName>
    <definedName name="nhfffd_12_1">{"DZ-TDTB2.XLS","Dcksat.xls"}</definedName>
    <definedName name="nhfffd_14">{"DZ-TDTB2.XLS","Dcksat.xls"}</definedName>
    <definedName name="nhfffd_14_1">{"DZ-TDTB2.XLS","Dcksat.xls"}</definedName>
    <definedName name="nhfffd_15">{"DZ-TDTB2.XLS","Dcksat.xls"}</definedName>
    <definedName name="nhfffd_15_1">{"DZ-TDTB2.XLS","Dcksat.xls"}</definedName>
    <definedName name="nhfffd_16">{"DZ-TDTB2.XLS","Dcksat.xls"}</definedName>
    <definedName name="nhfffd_16_1">{"DZ-TDTB2.XLS","Dcksat.xls"}</definedName>
    <definedName name="nhfffd_17">{"DZ-TDTB2.XLS","Dcksat.xls"}</definedName>
    <definedName name="nhfffd_17_1">{"DZ-TDTB2.XLS","Dcksat.xls"}</definedName>
    <definedName name="nhfffd_19">{"DZ-TDTB2.XLS","Dcksat.xls"}</definedName>
    <definedName name="nhfffd_19_1">{"DZ-TDTB2.XLS","Dcksat.xls"}</definedName>
    <definedName name="nhfffd_26">{"DZ-TDTB2.XLS","Dcksat.xls"}</definedName>
    <definedName name="nhfffd_26_1">{"DZ-TDTB2.XLS","Dcksat.xls"}</definedName>
    <definedName name="nhfffd_28">{"DZ-TDTB2.XLS","Dcksat.xls"}</definedName>
    <definedName name="nhfffd_28_1">{"DZ-TDTB2.XLS","Dcksat.xls"}</definedName>
    <definedName name="nhfffd_3">{"DZ-TDTB2.XLS","Dcksat.xls"}</definedName>
    <definedName name="nhfffd_3_1">{"DZ-TDTB2.XLS","Dcksat.xls"}</definedName>
    <definedName name="nhfffd_32">{"DZ-TDTB2.XLS","Dcksat.xls"}</definedName>
    <definedName name="nhfffd_32_1">{"DZ-TDTB2.XLS","Dcksat.xls"}</definedName>
    <definedName name="nhfffd_7">{"DZ-TDTB2.XLS","Dcksat.xls"}</definedName>
    <definedName name="nhfffd_7_1">{"DZ-TDTB2.XLS","Dcksat.xls"}</definedName>
    <definedName name="nhfffd_9">{"DZ-TDTB2.XLS","Dcksat.xls"}</definedName>
    <definedName name="nhfffd_9_1">{"DZ-TDTB2.XLS","Dcksat.xls"}</definedName>
    <definedName name="nhgtctg">#REF!</definedName>
    <definedName name="nhhkttg">#REF!</definedName>
    <definedName name="NhienlieuNL">#REF!</definedName>
    <definedName name="nhn">#REF!</definedName>
    <definedName name="nhn_1">"#REF!"</definedName>
    <definedName name="nhn_18">#REF!</definedName>
    <definedName name="nhn_33">"#REF!"</definedName>
    <definedName name="nhn_33_1">"#REF!"</definedName>
    <definedName name="nhn_34">"#REF!"</definedName>
    <definedName name="nhn_34_1">"#REF!"</definedName>
    <definedName name="NhNgam">#REF!</definedName>
    <definedName name="nhnnc">#REF!</definedName>
    <definedName name="nhnnc_14">#REF!</definedName>
    <definedName name="nhnvl">#REF!</definedName>
    <definedName name="nhnvl_14">#REF!</definedName>
    <definedName name="Nhom" localSheetId="6">#REF!</definedName>
    <definedName name="Nhom">#REF!</definedName>
    <definedName name="NHOM_CM">#REF!</definedName>
    <definedName name="NHOM_CN">#REF!</definedName>
    <definedName name="nhom2">#REF!</definedName>
    <definedName name="Nhom3">#REF!</definedName>
    <definedName name="Nhom4">#REF!</definedName>
    <definedName name="NhomCanCu">#REF!</definedName>
    <definedName name="NHOMCONGTRINH_6">1</definedName>
    <definedName name="NhomCT">#REF!</definedName>
    <definedName name="Nhomthep">#REF!</definedName>
    <definedName name="nhomxe">#REF!</definedName>
    <definedName name="nhon">16364</definedName>
    <definedName name="NHot">#REF!</definedName>
    <definedName name="nhsdbtg">#REF!</definedName>
    <definedName name="nht">#REF!</definedName>
    <definedName name="NhTreo">#REF!</definedName>
    <definedName name="nhu">#REF!</definedName>
    <definedName name="nhu_18">#REF!</definedName>
    <definedName name="nhua">#REF!</definedName>
    <definedName name="nhua_14">#REF!</definedName>
    <definedName name="nhua_18">#REF!</definedName>
    <definedName name="nhua3">#REF!</definedName>
    <definedName name="nhua4">#REF!</definedName>
    <definedName name="nhuad">#REF!</definedName>
    <definedName name="nhuad_18">#REF!</definedName>
    <definedName name="Nhuadan">#REF!</definedName>
    <definedName name="nhuaduong">#REF!</definedName>
    <definedName name="nhuaRC250">#N/A</definedName>
    <definedName name="Nhucau">#REF!</definedName>
    <definedName name="nhucauvl">#REF!</definedName>
    <definedName name="nhutuong">#REF!</definedName>
    <definedName name="Nia_6">0.0154</definedName>
    <definedName name="Nib_6">0.0105</definedName>
    <definedName name="nig">#REF!</definedName>
    <definedName name="nig_18">#REF!</definedName>
    <definedName name="nig_33">"#REF!"</definedName>
    <definedName name="nig_34">"#REF!"</definedName>
    <definedName name="NIG13p">#REF!</definedName>
    <definedName name="NIG13p_14">#REF!</definedName>
    <definedName name="nig1p">#REF!</definedName>
    <definedName name="nig1p_18">#REF!</definedName>
    <definedName name="nig3p">#REF!</definedName>
    <definedName name="nig3p_18">#REF!</definedName>
    <definedName name="night">#N/A</definedName>
    <definedName name="night.">#N/A</definedName>
    <definedName name="nightnc">#REF!</definedName>
    <definedName name="nightnc_14">#REF!</definedName>
    <definedName name="nightvl">#REF!</definedName>
    <definedName name="nightvl_14">#REF!</definedName>
    <definedName name="NIGnc">#REF!</definedName>
    <definedName name="NIGnc_18">#REF!</definedName>
    <definedName name="nignc1p">#REF!</definedName>
    <definedName name="nignc1p_18">#REF!</definedName>
    <definedName name="nignc3p">#REF!</definedName>
    <definedName name="nignc3p_14">#REF!</definedName>
    <definedName name="NIGvc">#REF!</definedName>
    <definedName name="NIGvc_18">#REF!</definedName>
    <definedName name="NIGvl">#REF!</definedName>
    <definedName name="NIGvl_18">#REF!</definedName>
    <definedName name="nigvl1p">#REF!</definedName>
    <definedName name="nigvl1p_18">#REF!</definedName>
    <definedName name="nigvl3p">#REF!</definedName>
    <definedName name="nigvl3p_14">#REF!</definedName>
    <definedName name="nin">#REF!</definedName>
    <definedName name="nin_18">#REF!</definedName>
    <definedName name="nin_33">"#REF!"</definedName>
    <definedName name="nin_34">"#REF!"</definedName>
    <definedName name="nin14nc3p">#REF!</definedName>
    <definedName name="nin14nc3p_18">#REF!</definedName>
    <definedName name="nin14nc3p_33">"#REF!"</definedName>
    <definedName name="nin14nc3p_34">"#REF!"</definedName>
    <definedName name="nin14vl3p">#REF!</definedName>
    <definedName name="nin14vl3p_18">#REF!</definedName>
    <definedName name="nin14vl3p_33">"#REF!"</definedName>
    <definedName name="nin14vl3p_34">"#REF!"</definedName>
    <definedName name="nin190_18">#REF!</definedName>
    <definedName name="nin1903p">#REF!</definedName>
    <definedName name="nin1903p_18">#REF!</definedName>
    <definedName name="nin190nc">#REF!</definedName>
    <definedName name="nin190nc_14">#REF!</definedName>
    <definedName name="nin190nc3p">#REF!</definedName>
    <definedName name="nin190nc3p_18">#REF!</definedName>
    <definedName name="nin190nc3p_33">"#REF!"</definedName>
    <definedName name="nin190nc3p_34">"#REF!"</definedName>
    <definedName name="nin190vl">#REF!</definedName>
    <definedName name="nin190vl_14">#REF!</definedName>
    <definedName name="nin190vl3p">#REF!</definedName>
    <definedName name="nin190vl3p_18">#REF!</definedName>
    <definedName name="nin190vl3p_33">"#REF!"</definedName>
    <definedName name="nin190vl3p_34">"#REF!"</definedName>
    <definedName name="nin1pnc">#REF!</definedName>
    <definedName name="nin1pnc_14">#REF!</definedName>
    <definedName name="nin1pvl">#REF!</definedName>
    <definedName name="nin1pvl_14">#REF!</definedName>
    <definedName name="nin2903p">#REF!</definedName>
    <definedName name="nin2903p_18">#REF!</definedName>
    <definedName name="nin290nc3p">#REF!</definedName>
    <definedName name="nin290nc3p_18">#REF!</definedName>
    <definedName name="nin290nc3p_33">"#REF!"</definedName>
    <definedName name="nin290nc3p_34">"#REF!"</definedName>
    <definedName name="nin290vl3p">#REF!</definedName>
    <definedName name="nin290vl3p_18">#REF!</definedName>
    <definedName name="nin290vl3p_33">"#REF!"</definedName>
    <definedName name="nin290vl3p_34">"#REF!"</definedName>
    <definedName name="nin3p">#REF!</definedName>
    <definedName name="nin3p_18">#REF!</definedName>
    <definedName name="NINCIT100">#REF!</definedName>
    <definedName name="nind">#REF!</definedName>
    <definedName name="nind_18">#REF!</definedName>
    <definedName name="nind_33">"#REF!"</definedName>
    <definedName name="nind_34">"#REF!"</definedName>
    <definedName name="nind1p">#REF!</definedName>
    <definedName name="nind1p_18">#REF!</definedName>
    <definedName name="nind3p">#REF!</definedName>
    <definedName name="nind3p_18">#REF!</definedName>
    <definedName name="nindnc">#REF!</definedName>
    <definedName name="nindnc_14">#REF!</definedName>
    <definedName name="nindnc1p">#REF!</definedName>
    <definedName name="nindnc1p_18">#REF!</definedName>
    <definedName name="nindnc3p">#REF!</definedName>
    <definedName name="nindnc3p_18">#REF!</definedName>
    <definedName name="nindnc3p_33">"#REF!"</definedName>
    <definedName name="nindnc3p_34">"#REF!"</definedName>
    <definedName name="NINDvc">#REF!</definedName>
    <definedName name="NINDvc_18">#REF!</definedName>
    <definedName name="nindvl">#REF!</definedName>
    <definedName name="nindvl_14">#REF!</definedName>
    <definedName name="nindvl1p">#REF!</definedName>
    <definedName name="nindvl1p_18">#REF!</definedName>
    <definedName name="nindvl3p">#REF!</definedName>
    <definedName name="nindvl3p_18">#REF!</definedName>
    <definedName name="nindvl3p_33">"#REF!"</definedName>
    <definedName name="nindvl3p_34">"#REF!"</definedName>
    <definedName name="ning1p">#REF!</definedName>
    <definedName name="ning1p_18">#REF!</definedName>
    <definedName name="ningnc1p">#REF!</definedName>
    <definedName name="ningnc1p_18">#REF!</definedName>
    <definedName name="ningvl1p">#REF!</definedName>
    <definedName name="ningvl1p_18">#REF!</definedName>
    <definedName name="NinhBinh" localSheetId="6">#REF!</definedName>
    <definedName name="NinhBinh">#REF!</definedName>
    <definedName name="NinhBinh_Nhoquan110">#REF!</definedName>
    <definedName name="NinhThuan" localSheetId="6">#REF!</definedName>
    <definedName name="NinhThuan">#REF!</definedName>
    <definedName name="ninnc">#REF!</definedName>
    <definedName name="ninnc_14">#REF!</definedName>
    <definedName name="ninnc3p">#REF!</definedName>
    <definedName name="ninnc3p_18">#REF!</definedName>
    <definedName name="ninnc3p_33">"#REF!"</definedName>
    <definedName name="ninnc3p_34">"#REF!"</definedName>
    <definedName name="NINSEL100">#REF!</definedName>
    <definedName name="nint1p">#REF!</definedName>
    <definedName name="nint1p_18">#REF!</definedName>
    <definedName name="nintnc1p">#REF!</definedName>
    <definedName name="nintnc1p_18">#REF!</definedName>
    <definedName name="nintvl1p">#REF!</definedName>
    <definedName name="nintvl1p_18">#REF!</definedName>
    <definedName name="NINvc">#REF!</definedName>
    <definedName name="NINvc_18">#REF!</definedName>
    <definedName name="ninvl">#REF!</definedName>
    <definedName name="ninvl_14">#REF!</definedName>
    <definedName name="ninvl3p">#REF!</definedName>
    <definedName name="ninvl3p_18">#REF!</definedName>
    <definedName name="ninvl3p_33">"#REF!"</definedName>
    <definedName name="ninvl3p_34">"#REF!"</definedName>
    <definedName name="NJKÁHNLK">#REF!</definedName>
    <definedName name="njkllhu" hidden="1">{"'Sheet1'!$L$16"}</definedName>
    <definedName name="nk">#REF!</definedName>
    <definedName name="NK__VC">#REF!</definedName>
    <definedName name="NK_khac">#REF!</definedName>
    <definedName name="NK_LinhkienPC">#REF!</definedName>
    <definedName name="NK_Mang">#REF!</definedName>
    <definedName name="NK_Mayin">#REF!</definedName>
    <definedName name="NK_Onap">#REF!</definedName>
    <definedName name="NK_PC">#REF!</definedName>
    <definedName name="NK_UPS">#REF!</definedName>
    <definedName name="NK_VC">#REF!</definedName>
    <definedName name="NKI_6.5">#REF!</definedName>
    <definedName name="NKI_TRX">#REF!</definedName>
    <definedName name="NKL" hidden="1">{"'Sheet1'!$L$16"}</definedName>
    <definedName name="nl">#REF!</definedName>
    <definedName name="nl_18">#REF!</definedName>
    <definedName name="nl_33">"#REF!"</definedName>
    <definedName name="nl_34">"#REF!"</definedName>
    <definedName name="NL12nc">#REF!</definedName>
    <definedName name="NL12nc_14">#REF!</definedName>
    <definedName name="NL12vl">#REF!</definedName>
    <definedName name="NL12vl_14">#REF!</definedName>
    <definedName name="nl1p">#REF!</definedName>
    <definedName name="nl1p_18">#REF!</definedName>
    <definedName name="nl1p_33">"#REF!"</definedName>
    <definedName name="nl1p_34">"#REF!"</definedName>
    <definedName name="nl3p">#REF!</definedName>
    <definedName name="nl3p_18">#REF!</definedName>
    <definedName name="Nlan">#REF!</definedName>
    <definedName name="NlapName">#REF!</definedName>
    <definedName name="NLDLCTG">#REF!</definedName>
    <definedName name="NLFElse">#REF!</definedName>
    <definedName name="NLHC15">#REF!</definedName>
    <definedName name="NLHC25">#REF!</definedName>
    <definedName name="nlht">#REF!</definedName>
    <definedName name="nlht_14">#REF!</definedName>
    <definedName name="NLieu">#REF!</definedName>
    <definedName name="NLLC15">#REF!</definedName>
    <definedName name="NLLC25">#REF!</definedName>
    <definedName name="NLMC15">#REF!</definedName>
    <definedName name="NLMC25">#REF!</definedName>
    <definedName name="nlmtc">#REF!</definedName>
    <definedName name="nlmtc_14">#REF!</definedName>
    <definedName name="nlnc">#REF!</definedName>
    <definedName name="nlnc_14">#REF!</definedName>
    <definedName name="nlnc3p">#REF!</definedName>
    <definedName name="nlnc3p_18">#REF!</definedName>
    <definedName name="nlnc3pha">#REF!</definedName>
    <definedName name="nlnc3pha_18">#REF!</definedName>
    <definedName name="NLP_6.5">#REF!</definedName>
    <definedName name="NLP_TRX">#REF!</definedName>
    <definedName name="NLSCTG">#REF!</definedName>
    <definedName name="NLTK1p">#REF!</definedName>
    <definedName name="NLTK1p_18">#REF!</definedName>
    <definedName name="nlvl">#REF!</definedName>
    <definedName name="nlvl_14">#REF!</definedName>
    <definedName name="nlvl1">#REF!</definedName>
    <definedName name="nlvl1_14">#REF!</definedName>
    <definedName name="nlvl3p">#REF!</definedName>
    <definedName name="nlvl3p_18">#REF!</definedName>
    <definedName name="NM">#REF!</definedName>
    <definedName name="NM_ebac">#REF!</definedName>
    <definedName name="NM_fin">#REF!</definedName>
    <definedName name="NM_FT">#REF!</definedName>
    <definedName name="NM_ini">#REF!</definedName>
    <definedName name="NM_label1">#REF!</definedName>
    <definedName name="NM_platform">#REF!</definedName>
    <definedName name="NMA_6.5">#REF!</definedName>
    <definedName name="NMA_TRX">#REF!</definedName>
    <definedName name="nmhkhtg">#REF!</definedName>
    <definedName name="nmhkttg">#REF!</definedName>
    <definedName name="nmocv">#REF!</definedName>
    <definedName name="Nms">#REF!</definedName>
    <definedName name="Nms_33">"#REF!"</definedName>
    <definedName name="Nms_34">"#REF!"</definedName>
    <definedName name="NMS_type">#REF!</definedName>
    <definedName name="NMS_UPrice">#REF!</definedName>
    <definedName name="NMT">#REF!</definedName>
    <definedName name="nn">#REF!</definedName>
    <definedName name="nn_18">#REF!</definedName>
    <definedName name="nn_33">"#REF!"</definedName>
    <definedName name="nn_34">"#REF!"</definedName>
    <definedName name="nn1p">#REF!</definedName>
    <definedName name="nn1p_18">#REF!</definedName>
    <definedName name="nn1p_33">"#REF!"</definedName>
    <definedName name="nn1p_34">"#REF!"</definedName>
    <definedName name="nn3p">#REF!</definedName>
    <definedName name="nn3p_18">#REF!</definedName>
    <definedName name="nng">#REF!</definedName>
    <definedName name="nnlkttg">#REF!</definedName>
    <definedName name="nnn" localSheetId="6" hidden="1">{"'Sheet1'!$L$16"}</definedName>
    <definedName name="nnn" hidden="1">{"'Sheet1'!$L$16"}</definedName>
    <definedName name="nnnc">#REF!</definedName>
    <definedName name="nnnc_14">#REF!</definedName>
    <definedName name="nnnc3p">#REF!</definedName>
    <definedName name="nnnc3p_18">#REF!</definedName>
    <definedName name="nnnc3p_33">"#REF!"</definedName>
    <definedName name="nnnc3p_34">"#REF!"</definedName>
    <definedName name="nnndbtg">#REF!</definedName>
    <definedName name="NNNL">#REF!</definedName>
    <definedName name="NNNNNN">#REF!</definedName>
    <definedName name="nnnnnnnn" hidden="1">{"'Sheet1'!$L$16"}</definedName>
    <definedName name="NNNNNNNNN">#REF!</definedName>
    <definedName name="NNNNNNNNNNN">#REF!</definedName>
    <definedName name="nnnnnnnnnnnnn" hidden="1">{"'Sheet1'!$L$16"}</definedName>
    <definedName name="nnvl">#REF!</definedName>
    <definedName name="nnvl_14">#REF!</definedName>
    <definedName name="nnvl3p">#REF!</definedName>
    <definedName name="nnvl3p_18">#REF!</definedName>
    <definedName name="nnvl3p_33">"#REF!"</definedName>
    <definedName name="nnvl3p_34">"#REF!"</definedName>
    <definedName name="No">#REF!</definedName>
    <definedName name="No.">#REF!</definedName>
    <definedName name="No.9" hidden="1">{"'Sheet1'!$L$16"}</definedName>
    <definedName name="ÑOÄ_AÅM">#REF!</definedName>
    <definedName name="ÑOÄ_SEÄT">#REF!</definedName>
    <definedName name="NOÄI_DUNG">#REF!</definedName>
    <definedName name="noc">#REF!</definedName>
    <definedName name="NOCU">#REF!</definedName>
    <definedName name="nodalpartno">#REF!</definedName>
    <definedName name="node_type">#REF!</definedName>
    <definedName name="node3Cost">#REF!</definedName>
    <definedName name="Nodes">#REF!</definedName>
    <definedName name="nodes_lim">#REF!</definedName>
    <definedName name="nodes_table">#REF!</definedName>
    <definedName name="nodes_with_BB">#REF!</definedName>
    <definedName name="NODEtimedisc">#REF!</definedName>
    <definedName name="NOFMAN">#N/A</definedName>
    <definedName name="nogo">#REF!</definedName>
    <definedName name="noiden">#REF!</definedName>
    <definedName name="noidi">#REF!</definedName>
    <definedName name="NOIDUNG">OFFSET(#REF!,COUNTA(#REF!)-1,0,1)</definedName>
    <definedName name="NoiSuy_TKP">#REF!</definedName>
    <definedName name="NoiSuyBQL">#REF!</definedName>
    <definedName name="NoiSuyGS">#REF!</definedName>
    <definedName name="NoiSuyGSTBi">#REF!</definedName>
    <definedName name="NoiSuyMoiThau">#REF!</definedName>
    <definedName name="NoiSuyTB">#REF!</definedName>
    <definedName name="NoiSuyTDDT">#REF!</definedName>
    <definedName name="NoiSuyTDTK">#REF!</definedName>
    <definedName name="NoiSuyTK">#REF!</definedName>
    <definedName name="NOK">#REF!</definedName>
    <definedName name="NOK2USD">#REF!</definedName>
    <definedName name="NokiaServiceClass">#REF!</definedName>
    <definedName name="nom_for_etranger_indic">#REF!</definedName>
    <definedName name="nom_for_IH">#REF!</definedName>
    <definedName name="nom_for_ih_indic">#REF!</definedName>
    <definedName name="nom_for_lannion">#REF!</definedName>
    <definedName name="nom_for_lannion_indic">#REF!</definedName>
    <definedName name="nom_for_Nanterre">#REF!</definedName>
    <definedName name="nom_for_nanterre_indic">#REF!</definedName>
    <definedName name="nom_for_Ormes">#REF!</definedName>
    <definedName name="nom_for_ormes_indic">#REF!</definedName>
    <definedName name="nom_pays">#REF!</definedName>
    <definedName name="nominal_shear">#REF!</definedName>
    <definedName name="none">#REF!</definedName>
    <definedName name="NonSales">#REF!</definedName>
    <definedName name="nop">#REF!</definedName>
    <definedName name="NoPrice" localSheetId="6">#REF!</definedName>
    <definedName name="NoPrice">#REF!</definedName>
    <definedName name="Not_combined">"N"</definedName>
    <definedName name="Notes">#REF!</definedName>
    <definedName name="NOTES_ZONE_0">#N/A</definedName>
    <definedName name="NOTES_ZONE_1">#N/A</definedName>
    <definedName name="NOTES_ZONE_2">#N/A</definedName>
    <definedName name="NOUVCIT">#REF!</definedName>
    <definedName name="NOUVCITE10">#REF!</definedName>
    <definedName name="NOUVOT">#REF!</definedName>
    <definedName name="NOUVSEL">#REF!</definedName>
    <definedName name="NOUVTEL">#REF!</definedName>
    <definedName name="Nov19Plan">#REF!</definedName>
    <definedName name="Np">#REF!</definedName>
    <definedName name="Np_">#REF!</definedName>
    <definedName name="NP_APP">#REF!</definedName>
    <definedName name="NP_H">#REF!</definedName>
    <definedName name="NP_PRO">#REF!</definedName>
    <definedName name="NP_S">#REF!</definedName>
    <definedName name="NP_Soft">#REF!</definedName>
    <definedName name="NP_SS">#REF!</definedName>
    <definedName name="npb">#N/A</definedName>
    <definedName name="NPCC">#N/A</definedName>
    <definedName name="npcut1">#N/A</definedName>
    <definedName name="NPM_6.5">#REF!</definedName>
    <definedName name="NPM_TRX">#REF!</definedName>
    <definedName name="NPP">#REF!</definedName>
    <definedName name="npr">#REF!</definedName>
    <definedName name="Nps">#REF!</definedName>
    <definedName name="npt">#N/A</definedName>
    <definedName name="Nq">#REF!</definedName>
    <definedName name="nqctc">#REF!</definedName>
    <definedName name="nqctctg">#REF!</definedName>
    <definedName name="nqctg">#REF!</definedName>
    <definedName name="nqd">#REF!</definedName>
    <definedName name="nqtdbtg">#REF!</definedName>
    <definedName name="nr">#REF!</definedName>
    <definedName name="NRCIT100">#REF!</definedName>
    <definedName name="NRSEL100">#REF!</definedName>
    <definedName name="NRy" hidden="1">{"'Sheet1'!$L$16"}</definedName>
    <definedName name="NrYC">#REF!</definedName>
    <definedName name="NRYRTU1">#REF!</definedName>
    <definedName name="NRYRTU2">#REF!</definedName>
    <definedName name="ns">#REF!</definedName>
    <definedName name="ns.">#N/A</definedName>
    <definedName name="ns..">#REF!</definedName>
    <definedName name="NS.1">#REF!</definedName>
    <definedName name="NS.1_PC">#REF!</definedName>
    <definedName name="NS_ChonThauTB">#REF!</definedName>
    <definedName name="NS_ChonThauXL">#REF!</definedName>
    <definedName name="NS_CPQLDA">#REF!</definedName>
    <definedName name="NS_GiamSatTB">#REF!</definedName>
    <definedName name="NS_GiamSatXL">#REF!</definedName>
    <definedName name="NS_KiemToan">#REF!</definedName>
    <definedName name="NS_QToan">#REF!</definedName>
    <definedName name="NS_ThamTraDT">#REF!</definedName>
    <definedName name="NS_ThamTraTK">#REF!</definedName>
    <definedName name="ns_vtr">#REF!</definedName>
    <definedName name="NsBQL04">#REF!</definedName>
    <definedName name="nsc">#REF!</definedName>
    <definedName name="NSCIT100">#REF!</definedName>
    <definedName name="nsec">#REF!</definedName>
    <definedName name="nsec1">#REF!</definedName>
    <definedName name="nselects">#REF!</definedName>
    <definedName name="NSELMAF100">#N/A</definedName>
    <definedName name="NSELTSE100">#N/A</definedName>
    <definedName name="NsGsTB">#REF!</definedName>
    <definedName name="NsGsXL">#REF!</definedName>
    <definedName name="nsk">#REF!</definedName>
    <definedName name="nsl">#REF!</definedName>
    <definedName name="NSNDFN">#REF!</definedName>
    <definedName name="NsoatName">#REF!</definedName>
    <definedName name="NSSCAT1">#REF!</definedName>
    <definedName name="NSSCAT2">#REF!</definedName>
    <definedName name="NSSEL100">#REF!</definedName>
    <definedName name="NsThauTB">#REF!</definedName>
    <definedName name="NsThauXL">#REF!</definedName>
    <definedName name="NsThTraDT">#REF!</definedName>
    <definedName name="NsThTraTK">#REF!</definedName>
    <definedName name="nstrand">#REF!</definedName>
    <definedName name="nt">#REF!</definedName>
    <definedName name="Nt_1">#REF!</definedName>
    <definedName name="NT_2MB">#REF!</definedName>
    <definedName name="Nt_3">#REF!</definedName>
    <definedName name="Nt_4">#REF!</definedName>
    <definedName name="Nt_5">#REF!</definedName>
    <definedName name="Nt_6">#REF!</definedName>
    <definedName name="Nt_7">#REF!</definedName>
    <definedName name="Nt_8">#REF!</definedName>
    <definedName name="Nt_9">#REF!</definedName>
    <definedName name="NT_nx64">#REF!</definedName>
    <definedName name="NT_PRA">#REF!</definedName>
    <definedName name="NT_subrates">#REF!</definedName>
    <definedName name="NT2COEFCIT">#REF!</definedName>
    <definedName name="NT2COEFSEL">#REF!</definedName>
    <definedName name="NT2COSTCIT">#REF!</definedName>
    <definedName name="NT2COSTSEL">#REF!</definedName>
    <definedName name="NT2PRICECIT">#REF!</definedName>
    <definedName name="NT2PRICESEL">#REF!</definedName>
    <definedName name="nta">#REF!</definedName>
    <definedName name="ntatctg">#REF!</definedName>
    <definedName name="NTB">#REF!</definedName>
    <definedName name="NTCOEFCIT">#REF!</definedName>
    <definedName name="NTCOEFSEL">#REF!</definedName>
    <definedName name="NTCOSTCIT">#REF!</definedName>
    <definedName name="NTCOSTSEL">#REF!</definedName>
    <definedName name="ntdkhtg">#REF!</definedName>
    <definedName name="nthanh">#REF!</definedName>
    <definedName name="ÑTHH">#REF!</definedName>
    <definedName name="nthtvtg">#REF!</definedName>
    <definedName name="ntkttg">#REF!</definedName>
    <definedName name="NTNB4" hidden="1">{"'Sheet1'!$L$16"}</definedName>
    <definedName name="ntntvtg">#REF!</definedName>
    <definedName name="NToS">#REF!</definedName>
    <definedName name="NToS_15">#N/A</definedName>
    <definedName name="NToS_16">#N/A</definedName>
    <definedName name="NToS_17">#N/A</definedName>
    <definedName name="NToS_18">#N/A</definedName>
    <definedName name="NToS_19">#N/A</definedName>
    <definedName name="NToS_20">#N/A</definedName>
    <definedName name="NToS_21">#N/A</definedName>
    <definedName name="NToS_22">#N/A</definedName>
    <definedName name="NToS_23">#N/A</definedName>
    <definedName name="NToS_24">#N/A</definedName>
    <definedName name="NToS_25">#N/A</definedName>
    <definedName name="NToS_26">#N/A</definedName>
    <definedName name="NToS_27">#N/A</definedName>
    <definedName name="NToS_28">#N/A</definedName>
    <definedName name="NToS_29">#N/A</definedName>
    <definedName name="NToS_30">#N/A</definedName>
    <definedName name="NToS_31">#N/A</definedName>
    <definedName name="NToS_32">#N/A</definedName>
    <definedName name="NToS_33">#N/A</definedName>
    <definedName name="NToS_34">#N/A</definedName>
    <definedName name="NToS_35">#N/A</definedName>
    <definedName name="NToS_36">#N/A</definedName>
    <definedName name="NToS_37">#N/A</definedName>
    <definedName name="NToS_38">#N/A</definedName>
    <definedName name="NTPRICECIT">#REF!</definedName>
    <definedName name="NTPRICESEL">#REF!</definedName>
    <definedName name="ntr">#REF!</definedName>
    <definedName name="ntskttg">#REF!</definedName>
    <definedName name="NTT">#REF!</definedName>
    <definedName name="ntt1o">#REF!</definedName>
    <definedName name="ntt2o">#REF!</definedName>
    <definedName name="nttkttg">#REF!</definedName>
    <definedName name="ntvtc">#REF!</definedName>
    <definedName name="ntvtctg">#REF!</definedName>
    <definedName name="NU">#REF!</definedName>
    <definedName name="num_2MB">#REF!</definedName>
    <definedName name="num_ADMs">#REF!</definedName>
    <definedName name="num_ADSL_ISDN">#REF!</definedName>
    <definedName name="num_ADSL12">#REF!</definedName>
    <definedName name="num_ADSL12_s">#REF!</definedName>
    <definedName name="num_ADSL12a">#REF!</definedName>
    <definedName name="num_ADSL12p">#REF!</definedName>
    <definedName name="num_ADSL2">#REF!</definedName>
    <definedName name="num_ADSL24">#REF!</definedName>
    <definedName name="num_ADSL2p">#REF!</definedName>
    <definedName name="num_ADSLoISDN">#REF!</definedName>
    <definedName name="num_BB_operators">#REF!</definedName>
    <definedName name="num_boards_hbm">#REF!</definedName>
    <definedName name="num_boards_lee21">#REF!</definedName>
    <definedName name="num_boards_lee21_hbm">#REF!</definedName>
    <definedName name="num_boards_lem">#REF!</definedName>
    <definedName name="num_cables">#REF!</definedName>
    <definedName name="num_cables32">#REF!</definedName>
    <definedName name="num_courses">#REF!</definedName>
    <definedName name="num_E_M">#REF!</definedName>
    <definedName name="num_E1_IMA">#REF!</definedName>
    <definedName name="NUM_E1_NB">#REF!</definedName>
    <definedName name="Num_E1s_2MB">#REF!</definedName>
    <definedName name="Num_Eng">#REF!</definedName>
    <definedName name="num_eq_lines">#REF!</definedName>
    <definedName name="num_ext">#REF!</definedName>
    <definedName name="num_FE">#REF!</definedName>
    <definedName name="num_fibres">#REF!</definedName>
    <definedName name="num_IMLC">#REF!</definedName>
    <definedName name="num_ISDN_BA">#REF!</definedName>
    <definedName name="num_lineas_MDF">#REF!</definedName>
    <definedName name="num_NB_hbm">#REF!</definedName>
    <definedName name="num_NB_hbm2">#REF!</definedName>
    <definedName name="num_NB_hbm3">#REF!</definedName>
    <definedName name="num_NB_hbm4">#REF!</definedName>
    <definedName name="num_NB_lem">#REF!</definedName>
    <definedName name="num_NB_lem2">#REF!</definedName>
    <definedName name="num_NB_lem3">#REF!</definedName>
    <definedName name="num_NB_lem4">#REF!</definedName>
    <definedName name="num_new_plugs">#REF!</definedName>
    <definedName name="num_nodes">#REF!</definedName>
    <definedName name="num_nodes_BB">#REF!</definedName>
    <definedName name="num_nx64">#REF!</definedName>
    <definedName name="Num_of_bsc">#REF!</definedName>
    <definedName name="num_of_conf">#REF!</definedName>
    <definedName name="num_old_plugs">#REF!</definedName>
    <definedName name="num_operators">#REF!</definedName>
    <definedName name="num_PCs">#REF!</definedName>
    <definedName name="num_PMLC">#REF!</definedName>
    <definedName name="num_POTS">#REF!</definedName>
    <definedName name="num_PRA">#REF!</definedName>
    <definedName name="num_rect">#REF!</definedName>
    <definedName name="num_SHDSL_ATM">#REF!</definedName>
    <definedName name="num_slots_ext1">#REF!</definedName>
    <definedName name="num_slots_ext2">#REF!</definedName>
    <definedName name="num_slots_ext3">#REF!</definedName>
    <definedName name="num_slots_hbe">#REF!</definedName>
    <definedName name="num_slots_main">#REF!</definedName>
    <definedName name="num_SLTC">#REF!</definedName>
    <definedName name="Num_SS7_Channels">#REF!</definedName>
    <definedName name="num_subrates">#REF!</definedName>
    <definedName name="Number" localSheetId="6">#REF!</definedName>
    <definedName name="Number">#REF!</definedName>
    <definedName name="number_lines">#REF!</definedName>
    <definedName name="number_nodes">#REF!</definedName>
    <definedName name="number_of_circles">#REF!</definedName>
    <definedName name="Number_of_lanes">#REF!</definedName>
    <definedName name="number_of_MLS">#REF!</definedName>
    <definedName name="Number_of_Payments" localSheetId="6">MATCH(0.01,End_Bal,-1)+1</definedName>
    <definedName name="Number_of_Payments">MATCH(0.01,End_Bal,-1)+1</definedName>
    <definedName name="NumberOfApplications">#REF!</definedName>
    <definedName name="Numberx" localSheetId="6">#REF!</definedName>
    <definedName name="Numberx">#REF!</definedName>
    <definedName name="NumDeNEHC">#REF!</definedName>
    <definedName name="NumDirectories">#REF!</definedName>
    <definedName name="NumForeignMailSystems">#REF!</definedName>
    <definedName name="NumLCSLocations">#REF!</definedName>
    <definedName name="NUMOF">#N/A</definedName>
    <definedName name="NumShifts_Day">#REF!</definedName>
    <definedName name="Nuo">#REF!</definedName>
    <definedName name="nuoc">#REF!</definedName>
    <definedName name="nuoc_14">#REF!</definedName>
    <definedName name="nuoc15">#N/A</definedName>
    <definedName name="nuoc2">#REF!</definedName>
    <definedName name="nuoc4">#REF!</definedName>
    <definedName name="nuoc5">#REF!</definedName>
    <definedName name="NUOCHKHOAN" hidden="1">{"'Sheet1'!$L$16"}</definedName>
    <definedName name="NUOCHKHOANMOI" hidden="1">{"'Sheet1'!$L$16"}</definedName>
    <definedName name="Nuoclanh">#N/A</definedName>
    <definedName name="nuocngung">#N/A</definedName>
    <definedName name="Nut_tec">#REF!</definedName>
    <definedName name="NutDT605" hidden="1">{"'Sheet1'!$L$16"}</definedName>
    <definedName name="NutTucau" hidden="1">{"'Sheet1'!$L$16"}</definedName>
    <definedName name="nuy">#REF!</definedName>
    <definedName name="nv">#REF!</definedName>
    <definedName name="nv30n1">#REF!</definedName>
    <definedName name="nvdkttg">#REF!</definedName>
    <definedName name="NVF">#REF!</definedName>
    <definedName name="NVH">#REF!</definedName>
    <definedName name="NVLNL">#REF!</definedName>
    <definedName name="nvnbn" hidden="1">{0}</definedName>
    <definedName name="nvskttg">#REF!</definedName>
    <definedName name="nvtdbtg">#REF!</definedName>
    <definedName name="nvtkhtg">#REF!</definedName>
    <definedName name="nvtkttg">#REF!</definedName>
    <definedName name="nvtp2tg">#REF!</definedName>
    <definedName name="NVU">[11]ChiPhiKhac!#REF!</definedName>
    <definedName name="nw">#REF!</definedName>
    <definedName name="NW_CS_average_bhca_sub">#REF!</definedName>
    <definedName name="NW_CS_call_model">#REF!</definedName>
    <definedName name="NW_CS_CS_redundancy">#REF!</definedName>
    <definedName name="NW_CS_HW_version">#REF!</definedName>
    <definedName name="NW_CS_IWF_traff_sub">#REF!</definedName>
    <definedName name="NW_CS_system_release">#REF!</definedName>
    <definedName name="NW_MGW_merlang_sub">#REF!</definedName>
    <definedName name="NW_MGW_perc_AAL1">#REF!</definedName>
    <definedName name="NW_MGW_perc_AAL2">#REF!</definedName>
    <definedName name="NW_MGW_perc_AMR_ATM">#REF!</definedName>
    <definedName name="NW_MGW_perc_AMR_IP">#REF!</definedName>
    <definedName name="NW_MGW_perc_EC">#REF!</definedName>
    <definedName name="NW_MGW_perc_TDM_a">#REF!</definedName>
    <definedName name="NW_MGW_perc_TDM_b">#REF!</definedName>
    <definedName name="NW_MGW_perc_VoIP">#REF!</definedName>
    <definedName name="NW_MGW_phys_itf_ATM">#REF!</definedName>
    <definedName name="NW_MGW_phys_itf_IP">#REF!</definedName>
    <definedName name="NW_MGW_phys_itf_TDM_a">#REF!</definedName>
    <definedName name="NW_MGW_phys_itf_TDM_b">#REF!</definedName>
    <definedName name="NW_MGW_serv_card_AAL1">#REF!</definedName>
    <definedName name="NW_MGW_serv_card_AAL2">#REF!</definedName>
    <definedName name="NW_MGW_serv_card_AMR">#REF!</definedName>
    <definedName name="NW_MGW_serv_card_VoIP">#REF!</definedName>
    <definedName name="NW_MGW_TDM_optical_red">#REF!</definedName>
    <definedName name="NW_NP_2G_perc">#REF!</definedName>
    <definedName name="NW_NP_3G_perc">#REF!</definedName>
    <definedName name="NW_NP_bearer_trunk_util">#REF!</definedName>
    <definedName name="NW_NP_blocking">#REF!</definedName>
    <definedName name="NW_NP_ConfigBase">#REF!</definedName>
    <definedName name="NW_NP_ConfigBase2">#REF!</definedName>
    <definedName name="NW_NP_CS_CPU_util">#REF!</definedName>
    <definedName name="NW_NP_netw_standard">#REF!</definedName>
    <definedName name="NW_NP_num_CS">#REF!</definedName>
    <definedName name="NW_NP_num_IWF">#REF!</definedName>
    <definedName name="NW_NP_num_MGW">#REF!</definedName>
    <definedName name="NW_NP_ss7_link_load">#REF!</definedName>
    <definedName name="NW_NP_ss7_link_type">#REF!</definedName>
    <definedName name="NW_NP_sub">#REF!</definedName>
    <definedName name="NW_NP_sub_port">#REF!</definedName>
    <definedName name="nx">#REF!</definedName>
    <definedName name="nx_14">#REF!</definedName>
    <definedName name="nx64_type">#REF!</definedName>
    <definedName name="nxb_2">#REF!</definedName>
    <definedName name="nxc">#REF!</definedName>
    <definedName name="nxmtc">#REF!</definedName>
    <definedName name="nxmtc_14">#REF!</definedName>
    <definedName name="nxp">#REF!</definedName>
    <definedName name="nxstvtg">#REF!</definedName>
    <definedName name="NXT">#REF!</definedName>
    <definedName name="N販乗率_H">#REF!</definedName>
    <definedName name="N販乗率_S">#REF!</definedName>
    <definedName name="o" localSheetId="6" hidden="1">{"'Sheet1'!$L$16"}</definedName>
    <definedName name="o" hidden="1">{"'Sheet1'!$L$16"}</definedName>
    <definedName name="ø" hidden="1">{"'Sheet1'!$L$16"}</definedName>
    <definedName name="o.n">#REF!</definedName>
    <definedName name="o_18">#REF!</definedName>
    <definedName name="O_M">#REF!</definedName>
    <definedName name="o_n_phÝ_1__thu_nhËp_th_ng">#REF!</definedName>
    <definedName name="o_s">#REF!</definedName>
    <definedName name="O_TO">#REF!</definedName>
    <definedName name="o_to_tù_dæ_10_T">#REF!</definedName>
    <definedName name="Ö135">#REF!</definedName>
    <definedName name="oa" hidden="1">#REF!</definedName>
    <definedName name="OA.">#REF!</definedName>
    <definedName name="oc">#REF!</definedName>
    <definedName name="Oceanfreight">#REF!</definedName>
    <definedName name="ocf" hidden="1">#REF!</definedName>
    <definedName name="OClientComp0" localSheetId="6">#REF!</definedName>
    <definedName name="OClientComp0">#REF!</definedName>
    <definedName name="OClientCompany" localSheetId="6">#REF!</definedName>
    <definedName name="OClientCompany">#REF!</definedName>
    <definedName name="OClientCountry" localSheetId="6">#REF!</definedName>
    <definedName name="OClientCountry">#REF!</definedName>
    <definedName name="OClientEmail" localSheetId="6">#REF!</definedName>
    <definedName name="OClientEmail">#REF!</definedName>
    <definedName name="OClientFax" localSheetId="6">#REF!</definedName>
    <definedName name="OClientFax">#REF!</definedName>
    <definedName name="OClientName" localSheetId="6">#REF!</definedName>
    <definedName name="OClientName">#REF!</definedName>
    <definedName name="OClientStreet" localSheetId="6">#REF!</definedName>
    <definedName name="OClientStreet">#REF!</definedName>
    <definedName name="OClientTel" localSheetId="6">#REF!</definedName>
    <definedName name="OClientTel">#REF!</definedName>
    <definedName name="OClientTown" localSheetId="6">#REF!</definedName>
    <definedName name="OClientTown">#REF!</definedName>
    <definedName name="OCx_TDM_1_N_Max_SSlots">#REF!</definedName>
    <definedName name="OD">#REF!</definedName>
    <definedName name="odaki">#REF!</definedName>
    <definedName name="ODC">#REF!</definedName>
    <definedName name="ODDT">#REF!</definedName>
    <definedName name="ODS">#REF!</definedName>
    <definedName name="ODU">#REF!</definedName>
    <definedName name="OE">#REF!</definedName>
    <definedName name="OE_hb">#REF!</definedName>
    <definedName name="OE_hs">#REF!</definedName>
    <definedName name="OE_lee21">#REF!</definedName>
    <definedName name="OEM_Lic">#REF!</definedName>
    <definedName name="off">#REF!</definedName>
    <definedName name="Offer">#REF!</definedName>
    <definedName name="offer_curr">#REF!</definedName>
    <definedName name="offer_currency">#REF!</definedName>
    <definedName name="Offer_Number">#REF!</definedName>
    <definedName name="offer_to_cost">#REF!</definedName>
    <definedName name="offer_type">#REF!</definedName>
    <definedName name="offset">1</definedName>
    <definedName name="OFOUCONT">#REF!</definedName>
    <definedName name="OFX_Size">#REF!</definedName>
    <definedName name="OH">#REF!</definedName>
    <definedName name="oi">#REF!</definedName>
    <definedName name="Oil_increase_ratio">#REF!</definedName>
    <definedName name="oioyi" hidden="1">{#N/A,#N/A,FALSE,"Chi tiÆt"}</definedName>
    <definedName name="OK">#REF!</definedName>
    <definedName name="okay" hidden="1">{#N/A,#N/A,FALSE,"mgtsum.XLS";#N/A,#N/A,FALSE,"CAPONE";#N/A,#N/A,FALSE,"CAPTWO";#N/A,#N/A,FALSE,"CAPTHREE"}</definedName>
    <definedName name="ol">#REF!</definedName>
    <definedName name="OLA">#REF!</definedName>
    <definedName name="old_data_type">#REF!</definedName>
    <definedName name="old_file">#REF!</definedName>
    <definedName name="old_path">#REF!</definedName>
    <definedName name="Old_Price">#REF!</definedName>
    <definedName name="OldNumber" localSheetId="6">#REF!</definedName>
    <definedName name="OldNumber">#REF!</definedName>
    <definedName name="OLE_LINK1">#REF!</definedName>
    <definedName name="OLE_LINK1_1">#REF!</definedName>
    <definedName name="OM">#REF!</definedName>
    <definedName name="OMC">#REF!</definedName>
    <definedName name="OMC_UPG_factor">#N/A</definedName>
    <definedName name="OMCdiscount">#REF!</definedName>
    <definedName name="OMCR">#REF!</definedName>
    <definedName name="OMCR_Coef">#REF!</definedName>
    <definedName name="OMCRA0">#REF!</definedName>
    <definedName name="OMCRA1">#REF!</definedName>
    <definedName name="OMCRA2">#REF!</definedName>
    <definedName name="OMCRA3">#REF!</definedName>
    <definedName name="OMCRA4">#REF!</definedName>
    <definedName name="OMCRB1">#REF!</definedName>
    <definedName name="OMCRB2">#REF!</definedName>
    <definedName name="OMCRB3">#REF!</definedName>
    <definedName name="OMCRB4">#REF!</definedName>
    <definedName name="OMCRB5">#REF!</definedName>
    <definedName name="OMCREXPENSES">#REF!</definedName>
    <definedName name="OMCREXPENSES0">#REF!</definedName>
    <definedName name="OMCREXPENSES1">#REF!</definedName>
    <definedName name="OME">#REF!</definedName>
    <definedName name="oms">#REF!</definedName>
    <definedName name="OMW">#REF!</definedName>
    <definedName name="ON">#REF!</definedName>
    <definedName name="ON.AP">#REF!</definedName>
    <definedName name="ONAP">#REF!</definedName>
    <definedName name="ONAP1">#REF!</definedName>
    <definedName name="onaph">#REF!</definedName>
    <definedName name="OnePrice">#REF!</definedName>
    <definedName name="ong">#REF!</definedName>
    <definedName name="ong_cong_duc_san">#REF!</definedName>
    <definedName name="Ong_cong_hinh_hop_do_tai_cho">#REF!</definedName>
    <definedName name="Ong_cong_hinh_hop_do_tai_cho_33">"#REF!"</definedName>
    <definedName name="Ong_cong_hinh_hop_do_tai_cho_34">"#REF!"</definedName>
    <definedName name="Ongbaovecap">#REF!</definedName>
    <definedName name="Ongnoiday">#REF!</definedName>
    <definedName name="Ongnoidaybulongtachongrungtabu">#REF!</definedName>
    <definedName name="ongnuoc">#REF!</definedName>
    <definedName name="OngPVC">#REF!</definedName>
    <definedName name="ongsattrangkem">#REF!</definedName>
    <definedName name="onhua150">#REF!</definedName>
    <definedName name="onservice">#REF!</definedName>
    <definedName name="OÑT">#REF!</definedName>
    <definedName name="ONU_POP">#REF!</definedName>
    <definedName name="ONU1000FTTB">#REF!</definedName>
    <definedName name="ONU100FTTB">#REF!</definedName>
    <definedName name="ONU100FTTC">#REF!</definedName>
    <definedName name="ONU250FTTB">#REF!</definedName>
    <definedName name="ONU250FTTB_BB">#REF!</definedName>
    <definedName name="ONU250FTTC">#REF!</definedName>
    <definedName name="ONU250FTTC_BB">#REF!</definedName>
    <definedName name="ØÓ">#N/A</definedName>
    <definedName name="OOM">#REF!</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ooooo" hidden="1">{#N/A,#N/A,TRUE,"SUM";#N/A,#N/A,TRUE,"EE";#N/A,#N/A,TRUE,"AC";#N/A,#N/A,TRUE,"SN"}</definedName>
    <definedName name="OP">#REF!</definedName>
    <definedName name="OP_BSS_E">#REF!</definedName>
    <definedName name="open">#REF!</definedName>
    <definedName name="OPENING_d">#REF!</definedName>
    <definedName name="ophom">#REF!</definedName>
    <definedName name="opo" hidden="1">{#N/A,#N/A,FALSE,"지침";#N/A,#N/A,FALSE,"환경분석";#N/A,#N/A,FALSE,"Sheet16"}</definedName>
    <definedName name="opp" hidden="1">{"'Sheet1'!$L$16"}</definedName>
    <definedName name="OPPTY_SECTION">#N/A</definedName>
    <definedName name="OPT">#N/A</definedName>
    <definedName name="OPT_ACINDOOR">#REF!</definedName>
    <definedName name="OPT_BTSPS">#REF!</definedName>
    <definedName name="opt_HLR_mat">#REF!</definedName>
    <definedName name="opt_VMS_table">#REF!</definedName>
    <definedName name="optbc">#REF!</definedName>
    <definedName name="optical_modules">#REF!</definedName>
    <definedName name="OPTICS_ITP">#REF!</definedName>
    <definedName name="OPTICS_SSP">#REF!</definedName>
    <definedName name="OPTION_TOTAL_foreign">#REF!</definedName>
    <definedName name="OPTIONAL">#REF!</definedName>
    <definedName name="options">#REF!</definedName>
    <definedName name="oracle_db">0.85</definedName>
    <definedName name="ORD">#REF!</definedName>
    <definedName name="order2" hidden="1">0</definedName>
    <definedName name="OrderTable" hidden="1">#REF!</definedName>
    <definedName name="ORF">#REF!</definedName>
    <definedName name="OS" localSheetId="6">#REF!</definedName>
    <definedName name="OS">#REF!</definedName>
    <definedName name="OS_local">#REF!</definedName>
    <definedName name="osapp">200</definedName>
    <definedName name="osc">#REF!</definedName>
    <definedName name="osc_14">#REF!</definedName>
    <definedName name="OSSA">#REF!</definedName>
    <definedName name="OSSACell">#REF!</definedName>
    <definedName name="OSSALevel">#REF!</definedName>
    <definedName name="OT">#REF!</definedName>
    <definedName name="ot10t">#N/A</definedName>
    <definedName name="ot2t">#N/A</definedName>
    <definedName name="ot7t">#N/A</definedName>
    <definedName name="OTDR">#N/A</definedName>
    <definedName name="othep50">#REF!</definedName>
    <definedName name="Other">#REF!</definedName>
    <definedName name="Other_Fees">#REF!</definedName>
    <definedName name="OTHER_PANEL">#REF!</definedName>
    <definedName name="other_service_rev">#REF!</definedName>
    <definedName name="Otherbd">#REF!</definedName>
    <definedName name="Others">#N/A</definedName>
    <definedName name="OTHERS_NO_TAX">#REF!</definedName>
    <definedName name="OTHERS_TAX">#REF!</definedName>
    <definedName name="OtherWork">#N/A</definedName>
    <definedName name="OtherWork_18">#REF!</definedName>
    <definedName name="OTMAF100">#N/A</definedName>
    <definedName name="oto">#REF!</definedName>
    <definedName name="oto10T">#REF!</definedName>
    <definedName name="oto5m3">#REF!</definedName>
    <definedName name="oto5T">#REF!</definedName>
    <definedName name="oto7T">#REF!</definedName>
    <definedName name="otobt6">#REF!</definedName>
    <definedName name="otonhua">#REF!</definedName>
    <definedName name="otothung10">#REF!</definedName>
    <definedName name="otothung12">#REF!</definedName>
    <definedName name="otothung12.5">#REF!</definedName>
    <definedName name="otothung2">#REF!</definedName>
    <definedName name="otothung2.5">#REF!</definedName>
    <definedName name="otothung20">#REF!</definedName>
    <definedName name="otothung4">#REF!</definedName>
    <definedName name="otothung5">#REF!</definedName>
    <definedName name="otothung6">#REF!</definedName>
    <definedName name="otothung7">#REF!</definedName>
    <definedName name="ototudo10">#REF!</definedName>
    <definedName name="ototudo12">#REF!</definedName>
    <definedName name="ototudo15">#REF!</definedName>
    <definedName name="ototudo2.5">#REF!</definedName>
    <definedName name="ototudo20">#REF!</definedName>
    <definedName name="ototudo25">#REF!</definedName>
    <definedName name="ototudo27">#REF!</definedName>
    <definedName name="ototudo3.5">#REF!</definedName>
    <definedName name="ototudo4">#REF!</definedName>
    <definedName name="ototudo5">#REF!</definedName>
    <definedName name="ototudo6">#REF!</definedName>
    <definedName name="ototudo7">#REF!</definedName>
    <definedName name="ototudo9">#REF!</definedName>
    <definedName name="ototuoinuoc4">#REF!</definedName>
    <definedName name="ototuoinuoc5">#REF!</definedName>
    <definedName name="ototuoinuoc6">#REF!</definedName>
    <definedName name="ototuoinuoc7">#REF!</definedName>
    <definedName name="ottaithung2.5T">#REF!</definedName>
    <definedName name="ottaithung2T">#REF!</definedName>
    <definedName name="OTTSE100">#N/A</definedName>
    <definedName name="ottuoinuoc5m3">#REF!</definedName>
    <definedName name="oü0">#REF!</definedName>
    <definedName name="Óu75">#REF!</definedName>
    <definedName name="Óu75_14">#REF!</definedName>
    <definedName name="Out">#REF!</definedName>
    <definedName name="out_1MLS">#REF!</definedName>
    <definedName name="out_2MLS">#REF!</definedName>
    <definedName name="out1_none">#REF!</definedName>
    <definedName name="out2_none">#REF!</definedName>
    <definedName name="OUTILS">#REF!</definedName>
    <definedName name="OutOfCall">#REF!</definedName>
    <definedName name="OutRow">#REF!</definedName>
    <definedName name="ov">#REF!</definedName>
    <definedName name="Overhead">6.5%</definedName>
    <definedName name="Overhead_and_Profit">0</definedName>
    <definedName name="Overhead_Costing_Method">#REF!</definedName>
    <definedName name="OVersion" localSheetId="6">#REF!</definedName>
    <definedName name="OVersion">#REF!</definedName>
    <definedName name="OWP_10">#REF!</definedName>
    <definedName name="OWP_4">#REF!</definedName>
    <definedName name="OWP_5">#REF!</definedName>
    <definedName name="OWP_6">#REF!</definedName>
    <definedName name="OWP_7">#REF!</definedName>
    <definedName name="OWP_8">#REF!</definedName>
    <definedName name="OWP_9">#REF!</definedName>
    <definedName name="OWP_Main">#REF!</definedName>
    <definedName name="OWP_Second">#REF!</definedName>
    <definedName name="OWP_Third">#REF!</definedName>
    <definedName name="oxi">#REF!</definedName>
    <definedName name="oxy">#REF!</definedName>
    <definedName name="P" localSheetId="6">#REF!</definedName>
    <definedName name="P">#REF!</definedName>
    <definedName name="p.m">#N/A</definedName>
    <definedName name="p_">#REF!</definedName>
    <definedName name="P_14">#REF!</definedName>
    <definedName name="p_65_35_0_65">_dao4</definedName>
    <definedName name="P_and_L_1">#REF!</definedName>
    <definedName name="P_and_L_2">#REF!</definedName>
    <definedName name="P_and_L_3">#REF!</definedName>
    <definedName name="P_and_L_4">#REF!</definedName>
    <definedName name="P_and_L_5">#REF!</definedName>
    <definedName name="P_and_L_Choice">#REF!</definedName>
    <definedName name="P_and_L_S">#REF!</definedName>
    <definedName name="P_Class1">#REF!</definedName>
    <definedName name="P_Class2">#REF!</definedName>
    <definedName name="P_Class3">#REF!</definedName>
    <definedName name="P_Class4">#REF!</definedName>
    <definedName name="P_Class5">#REF!</definedName>
    <definedName name="P_con">#REF!</definedName>
    <definedName name="P_d">#REF!</definedName>
    <definedName name="p_libre">#REF!</definedName>
    <definedName name="p_libre_titre">#REF!</definedName>
    <definedName name="P_M">#REF!</definedName>
    <definedName name="P_N">#REF!</definedName>
    <definedName name="P_run">#REF!</definedName>
    <definedName name="P_sed">#REF!</definedName>
    <definedName name="P064_2_2">#REF!</definedName>
    <definedName name="P064_2_4">#REF!</definedName>
    <definedName name="P06B_2_2">#REF!</definedName>
    <definedName name="P06B_2_4">#REF!</definedName>
    <definedName name="p1.">#REF!</definedName>
    <definedName name="p1_">#REF!</definedName>
    <definedName name="P12B_3_2">#REF!</definedName>
    <definedName name="P12B_3_4">#REF!</definedName>
    <definedName name="P12C_4_2">#REF!</definedName>
    <definedName name="P130_3_0.5">#REF!</definedName>
    <definedName name="P130_3_2">#REF!</definedName>
    <definedName name="p130_3_4">#REF!</definedName>
    <definedName name="P183_4_4">#REF!</definedName>
    <definedName name="P18B_4_0.5">#REF!</definedName>
    <definedName name="P18B_4_2">#REF!</definedName>
    <definedName name="P18B_4_4">#REF!</definedName>
    <definedName name="P18C_5_0.5">#REF!</definedName>
    <definedName name="P18C_5_2">#REF!</definedName>
    <definedName name="P18C_6_4">#REF!</definedName>
    <definedName name="P197_4_">#REF!</definedName>
    <definedName name="P197_4_0.5">#REF!</definedName>
    <definedName name="P197_4_2">#REF!</definedName>
    <definedName name="p2.">#REF!</definedName>
    <definedName name="p2_">#REF!</definedName>
    <definedName name="P24B_5_2">#REF!</definedName>
    <definedName name="P24B_5_4">#REF!</definedName>
    <definedName name="P260_5_0.5">#REF!</definedName>
    <definedName name="P260_5_2">#REF!</definedName>
    <definedName name="P260_6_4">#REF!</definedName>
    <definedName name="P2T">#REF!</definedName>
    <definedName name="p3_">#REF!</definedName>
    <definedName name="p3_frais_dep">#REF!,#REF!</definedName>
    <definedName name="p3_titre">#REF!</definedName>
    <definedName name="P30C_8_2">#REF!</definedName>
    <definedName name="P324_6_0.5">#REF!</definedName>
    <definedName name="P324_6_2">#REF!</definedName>
    <definedName name="P324_7_4">#REF!</definedName>
    <definedName name="P36B_7_0.5">#REF!</definedName>
    <definedName name="P36B_7_2">#REF!</definedName>
    <definedName name="P36B_8_4">#REF!</definedName>
    <definedName name="P3HE00002AA">#REF!</definedName>
    <definedName name="P3HE00002AADISCOUNT2018">#REF!</definedName>
    <definedName name="P3HE00020AA">#REF!</definedName>
    <definedName name="P3HE00020AADISCOUNT2021">#REF!</definedName>
    <definedName name="P3HE00021AA">#REF!</definedName>
    <definedName name="P3HE00021AADISCOUNT2022">#REF!</definedName>
    <definedName name="P3HE00022AA">#REF!</definedName>
    <definedName name="P3HE00022AADISCOUNT4055">#REF!</definedName>
    <definedName name="P3HE00024AA">#REF!</definedName>
    <definedName name="P3HE00024AADISCOUNT4050">#REF!</definedName>
    <definedName name="P3HE00025AA">#REF!</definedName>
    <definedName name="P3HE00025AADISCOUNT2022">#REF!</definedName>
    <definedName name="P3HE00027AA">#REF!</definedName>
    <definedName name="P3HE00027AADISCOUNT2023">#REF!</definedName>
    <definedName name="P3HE00027AADISCOUNT4050">#REF!</definedName>
    <definedName name="P3HE00028AADISCOUNT4050">#REF!</definedName>
    <definedName name="P3HE00032AA">#REF!</definedName>
    <definedName name="P3HE00032AADISCOUNT2022">#REF!</definedName>
    <definedName name="P3HE00034AA">#REF!</definedName>
    <definedName name="P3HE00034AADISCOUNT2023">#REF!</definedName>
    <definedName name="P3HE00107AA">#REF!</definedName>
    <definedName name="P3HE00107AADISCOUNT2024">#REF!</definedName>
    <definedName name="P3HE00222AA">#REF!</definedName>
    <definedName name="P3HE00222AADISCOUNT2024">#REF!</definedName>
    <definedName name="P3HE00229AA">#REF!</definedName>
    <definedName name="P3HE00229AADISCOUNT2021">#REF!</definedName>
    <definedName name="P3HE00231AADISCOUNT2021">#REF!</definedName>
    <definedName name="P3HE00233AADISCOUNT2021">#REF!</definedName>
    <definedName name="P3HE00241AB">#REF!</definedName>
    <definedName name="P3HE00241ABDISCOUNT4055">#REF!</definedName>
    <definedName name="P3HE00314AB">#REF!</definedName>
    <definedName name="P3HE00314ABDISCOUNT2018">#REF!</definedName>
    <definedName name="P3HE00316AA">#REF!</definedName>
    <definedName name="P3HE00316AADISCOUNT2021">#REF!</definedName>
    <definedName name="P3HE00317AA">#REF!</definedName>
    <definedName name="P3HE00317AADISCOUNT2021">#REF!</definedName>
    <definedName name="P3HE00470AA">#REF!</definedName>
    <definedName name="P3HE00564AA">#REF!</definedName>
    <definedName name="P3HE00564AADISCOUNT2024">#REF!</definedName>
    <definedName name="P3HE01012AA">#REF!</definedName>
    <definedName name="P3HE01012AADISCOUNT2018">#REF!</definedName>
    <definedName name="P3HE01014AA">#REF!</definedName>
    <definedName name="P3HE01014AADISCOUNT2021">#REF!</definedName>
    <definedName name="P3HE01015AA">#REF!</definedName>
    <definedName name="P3HE01015AADISCOUNT4057">#REF!</definedName>
    <definedName name="P3HE01022AA">#REF!</definedName>
    <definedName name="P3HE01022AADISCOUNT2022">#REF!</definedName>
    <definedName name="P3HE01024AA">#REF!</definedName>
    <definedName name="P3HE01024AADISCOUNT2021">#REF!</definedName>
    <definedName name="p4_frais_dep">#REF!,#REF!</definedName>
    <definedName name="p4_titre">#REF!</definedName>
    <definedName name="P42B_8_2">#REF!</definedName>
    <definedName name="P42C_11_2">#REF!</definedName>
    <definedName name="P460_10_4">#REF!</definedName>
    <definedName name="P460_8_0.5">#REF!</definedName>
    <definedName name="P460_9_2">#REF!</definedName>
    <definedName name="P590_10_0.5">#REF!</definedName>
    <definedName name="P590_11_2">#REF!</definedName>
    <definedName name="P590_13_4">#REF!</definedName>
    <definedName name="P7b">#REF!</definedName>
    <definedName name="P90001010">#REF!</definedName>
    <definedName name="P90001010DISCOUNT">#REF!</definedName>
    <definedName name="P90001014">#REF!</definedName>
    <definedName name="P90001014DISCOUNT">#REF!</definedName>
    <definedName name="P90003809">#REF!</definedName>
    <definedName name="P90003809DISCOUNT">#REF!</definedName>
    <definedName name="P90003819">#REF!</definedName>
    <definedName name="P90003819DISCOUNT">#REF!</definedName>
    <definedName name="P90006001">#REF!</definedName>
    <definedName name="P90006001DISCOUNT">#REF!</definedName>
    <definedName name="P90006009">#REF!</definedName>
    <definedName name="P90006009DISCOUNT">#REF!</definedName>
    <definedName name="P90006010">#REF!</definedName>
    <definedName name="P90006010DISCOUNT">#REF!</definedName>
    <definedName name="P90007905DISCOUNT">#REF!</definedName>
    <definedName name="P90041157">#REF!</definedName>
    <definedName name="P90041157DISCOUNT">#REF!</definedName>
    <definedName name="P90043303">#REF!</definedName>
    <definedName name="P90043303DISCOUNT">#REF!</definedName>
    <definedName name="P90053011DISCOUNT">#REF!</definedName>
    <definedName name="P90055507DISCOUNT">#REF!</definedName>
    <definedName name="P90056508">#REF!</definedName>
    <definedName name="P90056508DISCOUNT">#REF!</definedName>
    <definedName name="P90056802">#REF!</definedName>
    <definedName name="P90056802DISCOUNT">#REF!</definedName>
    <definedName name="P90056903">#REF!</definedName>
    <definedName name="P90056903DISCOUNT">#REF!</definedName>
    <definedName name="P90061765">#REF!</definedName>
    <definedName name="P90061765DISCOUNT">#REF!</definedName>
    <definedName name="P90066705">#REF!</definedName>
    <definedName name="P90066705DISCOUNT">#REF!</definedName>
    <definedName name="P90067001">#REF!</definedName>
    <definedName name="P90067001DISCOUNT">#REF!</definedName>
    <definedName name="P90089001">#REF!</definedName>
    <definedName name="P90089001DISCOUNT">#REF!</definedName>
    <definedName name="P90152465">#REF!</definedName>
    <definedName name="P90152465DISCOUNT">#REF!</definedName>
    <definedName name="P90229301">#REF!</definedName>
    <definedName name="P90229301DISCOUNT">#REF!</definedName>
    <definedName name="P90229502">#REF!</definedName>
    <definedName name="P90229502DISCOUNT">#REF!</definedName>
    <definedName name="P90237801">#REF!</definedName>
    <definedName name="P90237801DISCOUNT">#REF!</definedName>
    <definedName name="P90254301">#REF!</definedName>
    <definedName name="P90254301DISCOUNT">#REF!</definedName>
    <definedName name="P90263501">#REF!</definedName>
    <definedName name="P90263501DISCOUNT">#REF!</definedName>
    <definedName name="P90276702">#REF!</definedName>
    <definedName name="P90276702DISCOUNT">#REF!</definedName>
    <definedName name="P90315201">#REF!</definedName>
    <definedName name="P90315201DISCOUNT">#REF!</definedName>
    <definedName name="P90334701">#REF!</definedName>
    <definedName name="P90334701DISCOUNT">#REF!</definedName>
    <definedName name="P90366905">#REF!</definedName>
    <definedName name="P90366905DISCOUNT">#REF!</definedName>
    <definedName name="P90366906">#REF!</definedName>
    <definedName name="P90366906DISCOUNT">#REF!</definedName>
    <definedName name="P90444202">#REF!</definedName>
    <definedName name="P90444401">#REF!</definedName>
    <definedName name="P90445101">#REF!</definedName>
    <definedName name="P90445102">#REF!</definedName>
    <definedName name="P90445102DISCOUNT2022">#REF!</definedName>
    <definedName name="P90445252">#REF!</definedName>
    <definedName name="P90445252DISCOUNT2021">#REF!</definedName>
    <definedName name="P90445303">#REF!</definedName>
    <definedName name="P90445303DISCOUNT2020">#REF!</definedName>
    <definedName name="P90445722">#REF!</definedName>
    <definedName name="P90445722DISCOUNT2022">#REF!</definedName>
    <definedName name="P90445944">#REF!</definedName>
    <definedName name="P90445944DISCOUNT2022">#REF!</definedName>
    <definedName name="P90446003">#REF!</definedName>
    <definedName name="P90446003DISCOUNT2022">#REF!</definedName>
    <definedName name="P90446202">#REF!</definedName>
    <definedName name="P90446202DISCOUNT2022">#REF!</definedName>
    <definedName name="P90467201">#REF!</definedName>
    <definedName name="P90467201DISCOUNT">#REF!</definedName>
    <definedName name="P90468601">#REF!</definedName>
    <definedName name="P90468601DISCOUNT">#REF!</definedName>
    <definedName name="P90490701">#REF!</definedName>
    <definedName name="P90490701DISCOUNT">#REF!</definedName>
    <definedName name="P9049093A">#REF!</definedName>
    <definedName name="P9049093ADISCOUNT2022">#REF!</definedName>
    <definedName name="P90608511">#REF!</definedName>
    <definedName name="P90608511DISCOUNT">#REF!</definedName>
    <definedName name="P90618423">#REF!</definedName>
    <definedName name="P90618423DISCOUNT">#REF!</definedName>
    <definedName name="P90622617">#REF!</definedName>
    <definedName name="P90622617DISCOUNT">#REF!</definedName>
    <definedName name="P90635132">#REF!</definedName>
    <definedName name="P90635132DISCOUNT">#REF!</definedName>
    <definedName name="P90649901">#REF!</definedName>
    <definedName name="P90649901DISCOUNT2021">#REF!</definedName>
    <definedName name="P90654002">#REF!</definedName>
    <definedName name="P90654002DISCOUNT">#REF!</definedName>
    <definedName name="P90669901">#REF!</definedName>
    <definedName name="P90674301">#REF!</definedName>
    <definedName name="P90674301DISCOUNT2022">#REF!</definedName>
    <definedName name="P90689301">#REF!</definedName>
    <definedName name="P90689301DISCOUNT2024">#REF!</definedName>
    <definedName name="P90703901">#REF!</definedName>
    <definedName name="P90738701">#REF!</definedName>
    <definedName name="P90738701DISCOUNT2020">#REF!</definedName>
    <definedName name="P90738901">#REF!</definedName>
    <definedName name="P90738901DISCOUNT2023">#REF!</definedName>
    <definedName name="P90741802">#REF!</definedName>
    <definedName name="P90741802DISCOUNT2024">#REF!</definedName>
    <definedName name="P90766201">#REF!</definedName>
    <definedName name="P90766201DISCOUNT">#REF!</definedName>
    <definedName name="P90769622">#REF!</definedName>
    <definedName name="P90769622DISCOUNT">#REF!</definedName>
    <definedName name="P90773101">#REF!</definedName>
    <definedName name="P90773201">#REF!</definedName>
    <definedName name="P90801701">#REF!</definedName>
    <definedName name="P90801701DISCOUNT">#REF!</definedName>
    <definedName name="P90819302">#REF!</definedName>
    <definedName name="P90819302DISCOUNT2023">#REF!</definedName>
    <definedName name="P90829101">#REF!</definedName>
    <definedName name="P90829101DISCOUNT2023">#REF!</definedName>
    <definedName name="P90830501">#REF!</definedName>
    <definedName name="P90830501DISCOUNT">#REF!</definedName>
    <definedName name="P90839611">#REF!</definedName>
    <definedName name="P90839611DISCOUNT2021">#REF!</definedName>
    <definedName name="P90847811">#REF!</definedName>
    <definedName name="P90847811DISCOUNT2022">#REF!</definedName>
    <definedName name="P90868711">#REF!</definedName>
    <definedName name="P90868711DISCOUNT2022">#REF!</definedName>
    <definedName name="P90897801">#REF!</definedName>
    <definedName name="P90897801DISCOUNT2022">#REF!</definedName>
    <definedName name="P90906001">#REF!</definedName>
    <definedName name="P90906001DISCOUNT2020">#REF!</definedName>
    <definedName name="P90915003">#REF!</definedName>
    <definedName name="P90915003DISCOUNT4056">#REF!</definedName>
    <definedName name="P90924402">#REF!</definedName>
    <definedName name="P90924402DISCOUNT">#REF!</definedName>
    <definedName name="P90977530">#REF!</definedName>
    <definedName name="P90977530DISCOUNT4057">#REF!</definedName>
    <definedName name="PA">#REF!</definedName>
    <definedName name="pa.">#REF!</definedName>
    <definedName name="PA.2314">#REF!</definedName>
    <definedName name="PA.3114">#REF!</definedName>
    <definedName name="PA1_1">#REF!</definedName>
    <definedName name="PA1_Rate">#REF!</definedName>
    <definedName name="pa1b">#REF!</definedName>
    <definedName name="PA2A">#REF!</definedName>
    <definedName name="PA2CAU39M" hidden="1">{"'Sheet1'!$L$16"}</definedName>
    <definedName name="Packet_Capability">#REF!</definedName>
    <definedName name="PacketMatrix">#REF!</definedName>
    <definedName name="PADAM">#REF!</definedName>
    <definedName name="page">#REF!</definedName>
    <definedName name="paic">#REF!</definedName>
    <definedName name="PAIII_" hidden="1">{"'Sheet1'!$L$16"}</definedName>
    <definedName name="Painting">#N/A</definedName>
    <definedName name="Painting_18">#REF!</definedName>
    <definedName name="palang">#REF!</definedName>
    <definedName name="palang3T">#REF!</definedName>
    <definedName name="Panel" hidden="1">{#N/A,#N/A,TRUE,"SUM";#N/A,#N/A,TRUE,"EE";#N/A,#N/A,TRUE,"AC";#N/A,#N/A,TRUE,"SN"}</definedName>
    <definedName name="panen">#REF!</definedName>
    <definedName name="Parem">#REF!</definedName>
    <definedName name="paremÞ">#REF!</definedName>
    <definedName name="ParmterService">#REF!</definedName>
    <definedName name="Part_Number">#REF!</definedName>
    <definedName name="PARTIEL">#REF!</definedName>
    <definedName name="partno">#REF!</definedName>
    <definedName name="PAss">#REF!</definedName>
    <definedName name="pass1">#REF!</definedName>
    <definedName name="Payment_Date" localSheetId="6">DATE(YEAR(Loan_Start),MONTH(Loan_Start)+Payment_Number,DAY(Loan_Start))</definedName>
    <definedName name="Payment_Date">DATE(YEAR(Loan_Start),MONTH(Loan_Start)+Payment_Number,DAY(Loan_Start))</definedName>
    <definedName name="PAYS">#REF!</definedName>
    <definedName name="PB">#REF!</definedName>
    <definedName name="PBNL">#REF!</definedName>
    <definedName name="Pbt">#REF!</definedName>
    <definedName name="PC">#N/A</definedName>
    <definedName name="PC_ANT">#REF!</definedName>
    <definedName name="PC_desktop">#REF!</definedName>
    <definedName name="PC_DH">#REF!</definedName>
    <definedName name="PC_KV">#REF!</definedName>
    <definedName name="PC_laptop">#REF!</definedName>
    <definedName name="PC_LD">#REF!</definedName>
    <definedName name="PC_locally">#REF!</definedName>
    <definedName name="pcdh">#REF!</definedName>
    <definedName name="PCDHC">#REF!</definedName>
    <definedName name="PChe">#REF!</definedName>
    <definedName name="PChe_18">#REF!</definedName>
    <definedName name="PCISlotMax">#REF!</definedName>
    <definedName name="pckv">#REF!</definedName>
    <definedName name="PCL">#REF!</definedName>
    <definedName name="pcld">#REF!</definedName>
    <definedName name="pcluongcb">26%</definedName>
    <definedName name="pcluudong">20%</definedName>
    <definedName name="PCosts">#REF!</definedName>
    <definedName name="pcs_f_g_cs_f">#REF!</definedName>
    <definedName name="pcs_f_g_cs_l">#REF!</definedName>
    <definedName name="pcs_o_g_cs_f">#REF!</definedName>
    <definedName name="pcs_o_g_cs_l">#REF!</definedName>
    <definedName name="pcs_t_g_cs_f">#REF!</definedName>
    <definedName name="pcs_t_g_cs_l">#REF!</definedName>
    <definedName name="pcth">#REF!</definedName>
    <definedName name="pctrn">#REF!</definedName>
    <definedName name="PCURCIT">#N/A</definedName>
    <definedName name="PCURCITE10">#N/A</definedName>
    <definedName name="PCUROT">#N/A</definedName>
    <definedName name="PCURSEL">#REF!</definedName>
    <definedName name="PCURTEL">#REF!</definedName>
    <definedName name="Pd">#REF!</definedName>
    <definedName name="PD.">#REF!</definedName>
    <definedName name="Pd_33">"#REF!"</definedName>
    <definedName name="Pd_34">"#REF!"</definedName>
    <definedName name="Pdat">#REF!</definedName>
    <definedName name="pdbkttg">#REF!</definedName>
    <definedName name="PDC_large">#REF!</definedName>
    <definedName name="PDC_medium">#REF!</definedName>
    <definedName name="PDC_small">#REF!</definedName>
    <definedName name="PDH_100">#REF!</definedName>
    <definedName name="PDH_1150">#REF!</definedName>
    <definedName name="PDH_1400">#REF!</definedName>
    <definedName name="PDH_1700">#REF!</definedName>
    <definedName name="PDH_200">#REF!</definedName>
    <definedName name="PDH_2000">#REF!</definedName>
    <definedName name="PDH_2300">#REF!</definedName>
    <definedName name="PDH_2600">#REF!</definedName>
    <definedName name="PDH_2900">#REF!</definedName>
    <definedName name="PDH_3200">#REF!</definedName>
    <definedName name="PDH_3500">#REF!</definedName>
    <definedName name="PDH_3750">#REF!</definedName>
    <definedName name="PDH_400">#REF!</definedName>
    <definedName name="PDH_4000">#REF!</definedName>
    <definedName name="PDH_650">#REF!</definedName>
    <definedName name="PDH_900">#REF!</definedName>
    <definedName name="PDH_ANT">#REF!</definedName>
    <definedName name="PDH_K">#REF!</definedName>
    <definedName name="PDH_SERV">#REF!</definedName>
    <definedName name="PDHUXPRICE">#REF!</definedName>
    <definedName name="PDO" localSheetId="6" hidden="1">{"'Summary'!$A$1:$J$46"}</definedName>
    <definedName name="PDO" hidden="1">{"'Summary'!$A$1:$J$46"}</definedName>
    <definedName name="PdoanName">#REF!</definedName>
    <definedName name="pdq" hidden="1">{"'Summary'!$A$1:$J$46"}</definedName>
    <definedName name="pdqt">#REF!</definedName>
    <definedName name="pe" hidden="1">{"'Sheet1'!$L$16"}</definedName>
    <definedName name="Pe_Class1">#REF!</definedName>
    <definedName name="Pe_Class2">#REF!</definedName>
    <definedName name="Pe_Class3">#REF!</definedName>
    <definedName name="Pe_Class4">#REF!</definedName>
    <definedName name="Pe_Class5">#REF!</definedName>
    <definedName name="Pect_Groupe">#REF!</definedName>
    <definedName name="Pect_HGroupe">#REF!</definedName>
    <definedName name="PECTServices">#REF!</definedName>
    <definedName name="PEJM">#REF!</definedName>
    <definedName name="PEJM_10">#REF!</definedName>
    <definedName name="PEJM_11">#REF!</definedName>
    <definedName name="PEJM_12">#REF!</definedName>
    <definedName name="PEJM_13">#REF!</definedName>
    <definedName name="PEJM_14">#REF!</definedName>
    <definedName name="penalty">#REF!</definedName>
    <definedName name="Percent_of_ADT">#REF!</definedName>
    <definedName name="Percent_Trucks_Design_Direction">#REF!</definedName>
    <definedName name="Percentage_upgrade">#REF!</definedName>
    <definedName name="PercentComplete">PercentCompleteBeyond*PeriodInPlan</definedName>
    <definedName name="PercentCompleteBeyond">(#REF!=MEDIAN(#REF!,#REF!,#REF!+#REF!)*(#REF!&gt;0))*((#REF!&lt;(INT(#REF!+#REF!*#REF!)))+(#REF!=#REF!))*(#REF!&gt;0)</definedName>
    <definedName name="PercentTrucks_Design_Lane">#REF!</definedName>
    <definedName name="Performance_Period">#REF!</definedName>
    <definedName name="Period_Const">#REF!</definedName>
    <definedName name="Period_Excav">#REF!</definedName>
    <definedName name="period_selected">#REF!</definedName>
    <definedName name="Period_Struc">#REF!</definedName>
    <definedName name="PeriodInActual">#REF!=MEDIAN(#REF!,#REF!,#REF!+#REF!-1)</definedName>
    <definedName name="PeriodInPlan">#REF!=MEDIAN(#REF!,#REF!,#REF!+#REF!-1)</definedName>
    <definedName name="Periods">#REF!</definedName>
    <definedName name="PersonelGrowthRate2002_2003">#REF!</definedName>
    <definedName name="PF">#REF!</definedName>
    <definedName name="PF_10">#REF!</definedName>
    <definedName name="PF_11">#REF!</definedName>
    <definedName name="PF_12">#REF!</definedName>
    <definedName name="PF_13">#REF!</definedName>
    <definedName name="PF_14">#REF!</definedName>
    <definedName name="PF_FTM_01">#REF!</definedName>
    <definedName name="PF22_CostHW">#REF!</definedName>
    <definedName name="PF22_CostSW">#REF!</definedName>
    <definedName name="PF22_ListPriceHW">#REF!</definedName>
    <definedName name="PF22_ListPriceSW">#REF!</definedName>
    <definedName name="PF22upg_CostHW">#REF!</definedName>
    <definedName name="PF22upg_CostSW">#REF!</definedName>
    <definedName name="PF22upg_ListPriceHW">#REF!</definedName>
    <definedName name="PF22upg_ListPriceSW">#REF!</definedName>
    <definedName name="PFF">#REF!</definedName>
    <definedName name="pg">#REF!</definedName>
    <definedName name="pg_33">"#REF!"</definedName>
    <definedName name="pg_34">"#REF!"</definedName>
    <definedName name="pgia">#REF!</definedName>
    <definedName name="ph" hidden="1">{"'Sheet1'!$L$16"}</definedName>
    <definedName name="Ph_n__oan__Km______Km">#REF!</definedName>
    <definedName name="pha">#REF!</definedName>
    <definedName name="phada">#REF!</definedName>
    <definedName name="phai" hidden="1">{"'Sheet1'!$L$16"}</definedName>
    <definedName name="phainop">#REF!</definedName>
    <definedName name="PHAN_DIEN_DZ0.4KV">#REF!</definedName>
    <definedName name="PHAN_DIEN_DZ22KV">#REF!</definedName>
    <definedName name="PHAN_DIEN_TBA">#REF!</definedName>
    <definedName name="PHAN_MUA_SAM_DZ0.4KV">#REF!</definedName>
    <definedName name="PHAN_MUA_SAM_DZ22KV">#REF!</definedName>
    <definedName name="PHAN_TICH">#REF!</definedName>
    <definedName name="Phan1">#REF!</definedName>
    <definedName name="phanbo">#N/A</definedName>
    <definedName name="phanchia" hidden="1">{#N/A,#N/A,FALSE,"Chi tiÆt"}</definedName>
    <definedName name="PhanChung">#REF!</definedName>
    <definedName name="Phankychitiet">#REF!</definedName>
    <definedName name="phanloai">#REF!</definedName>
    <definedName name="phanloaiYC">#REF!</definedName>
    <definedName name="PhanLoaiYeuCau">#REF!</definedName>
    <definedName name="PHANMEM">#REF!</definedName>
    <definedName name="phantich3" hidden="1">{"'Sheet1'!$L$16"}</definedName>
    <definedName name="PhanTramTangDA">#REF!</definedName>
    <definedName name="Phase_offset">#REF!</definedName>
    <definedName name="Phase_Table">#REF!</definedName>
    <definedName name="Phat_quang_tuyen">#REF!</definedName>
    <definedName name="Phat_sinhDT">#REF!</definedName>
    <definedName name="Phat_sinhDTCo">#REF!</definedName>
    <definedName name="Phat_sinhDTNo">#REF!</definedName>
    <definedName name="phatdien10">#REF!</definedName>
    <definedName name="phatdien112">#REF!</definedName>
    <definedName name="phatdien122">#REF!</definedName>
    <definedName name="phatdien15">#REF!</definedName>
    <definedName name="phatdien20">#REF!</definedName>
    <definedName name="phatdien25">#REF!</definedName>
    <definedName name="phatdien30">#REF!</definedName>
    <definedName name="Phatdien30KW">#REF!</definedName>
    <definedName name="phatdien38">#REF!</definedName>
    <definedName name="phatdien45">#REF!</definedName>
    <definedName name="phatdien5.2">#REF!</definedName>
    <definedName name="phatdien50">#REF!</definedName>
    <definedName name="phatdien60">#REF!</definedName>
    <definedName name="phatdien75">#REF!</definedName>
    <definedName name="phatdien8">#REF!</definedName>
    <definedName name="PHC">#REF!</definedName>
    <definedName name="phdc">#REF!</definedName>
    <definedName name="PHDC_Erlangs">#REF!</definedName>
    <definedName name="phen">#REF!</definedName>
    <definedName name="Pheuhopgang">#REF!</definedName>
    <definedName name="phg" hidden="1">#REF!</definedName>
    <definedName name="phi">#REF!</definedName>
    <definedName name="phi_BL_bao_hanh">#REF!</definedName>
    <definedName name="phi_BL_du_thau">#REF!</definedName>
    <definedName name="phi_BL_tam_ung">#REF!</definedName>
    <definedName name="phi_BL_thuc_hien_HĐ">#REF!</definedName>
    <definedName name="Phi_BL_TU">#REF!</definedName>
    <definedName name="phi_chuyen_tien">#REF!</definedName>
    <definedName name="phi_inertial">#REF!</definedName>
    <definedName name="phi_mo_LC">#REF!</definedName>
    <definedName name="Phi_PH_Thu_BLNH" localSheetId="6">#REF!</definedName>
    <definedName name="Phi_PH_Thu_BLNH">#REF!</definedName>
    <definedName name="phñto2" hidden="1">{"'Sheet1'!$L$16"}</definedName>
    <definedName name="Phone">#REF!</definedName>
    <definedName name="phongnuoc">#REF!</definedName>
    <definedName name="phongve12KmTN" hidden="1">{"'Sheet1'!$L$16"}</definedName>
    <definedName name="phongve12KmTN1" hidden="1">{"'Sheet1'!$L$16"}</definedName>
    <definedName name="phson">#REF!</definedName>
    <definedName name="phtuyen">#REF!</definedName>
    <definedName name="phu" hidden="1">{"'Sheet1'!$L$16"}</definedName>
    <definedName name="phu_luc_vua">#REF!</definedName>
    <definedName name="phu_phi">#N/A</definedName>
    <definedName name="phugia">#REF!</definedName>
    <definedName name="phugia2">#REF!</definedName>
    <definedName name="phugia3">#REF!</definedName>
    <definedName name="phugia4">#REF!</definedName>
    <definedName name="phugia5">#REF!</definedName>
    <definedName name="Phukien2" hidden="1">{"'Sheet1'!$L$16"}</definedName>
    <definedName name="Phukienduongday">#REF!</definedName>
    <definedName name="phuluc" hidden="1">{"'Sheet1'!$L$16"}</definedName>
    <definedName name="phuluc2" hidden="1">{"'Sheet1'!$L$16"}</definedName>
    <definedName name="Phuly">#REF!</definedName>
    <definedName name="PhungHiep">#REF!</definedName>
    <definedName name="PhungHiep1">[12]PhungHiep!$C$12:$R$143</definedName>
    <definedName name="PHUNHUAN">#REF!</definedName>
    <definedName name="phunson">#REF!</definedName>
    <definedName name="PhunVua">#REF!</definedName>
    <definedName name="phuong" hidden="1">{"'Sheet1'!$L$16"}</definedName>
    <definedName name="Phuongtrinh">#REF!</definedName>
    <definedName name="PhuTho" localSheetId="6">#REF!</definedName>
    <definedName name="PhuTho">#REF!</definedName>
    <definedName name="PHUXUYEN">#REF!</definedName>
    <definedName name="PhuYen" localSheetId="6">#REF!</definedName>
    <definedName name="PhuYen">#REF!</definedName>
    <definedName name="Pi">#REF!</definedName>
    <definedName name="piarea">#REF!</definedName>
    <definedName name="pic">#REF!</definedName>
    <definedName name="picture">#REF!</definedName>
    <definedName name="Pier">#REF!</definedName>
    <definedName name="Pier_data">#N/A</definedName>
    <definedName name="Pierdata">#REF!</definedName>
    <definedName name="PII">#N/A</definedName>
    <definedName name="pile">#REF!</definedName>
    <definedName name="PileSize">#REF!</definedName>
    <definedName name="PileType">#REF!</definedName>
    <definedName name="PileType_33">"#REF!"</definedName>
    <definedName name="PileType_34">"#REF!"</definedName>
    <definedName name="PIP" localSheetId="6">BlankMacro1</definedName>
    <definedName name="PIP">BlankMacro1</definedName>
    <definedName name="PIP_1">"blankmacro1"</definedName>
    <definedName name="PIP_11">"blankmacro1"</definedName>
    <definedName name="PIP_11_1">"blankmacro1"</definedName>
    <definedName name="PIP_3">"blankmacro1"</definedName>
    <definedName name="PIP_3_1">"blankmacro1"</definedName>
    <definedName name="PIP_7">"blankmacro1"</definedName>
    <definedName name="PIP_7_1">"blankmacro1"</definedName>
    <definedName name="PIPE2" localSheetId="6">BlankMacro1</definedName>
    <definedName name="PIPE2">BlankMacro1</definedName>
    <definedName name="PIPE2_1">"blankmacro1"</definedName>
    <definedName name="PIPE2_11">"blankmacro1"</definedName>
    <definedName name="PIPE2_11_1">"blankmacro1"</definedName>
    <definedName name="PIPE2_3">"blankmacro1"</definedName>
    <definedName name="PIPE2_3_1">"blankmacro1"</definedName>
    <definedName name="PIPE2_7">"blankmacro1"</definedName>
    <definedName name="PIPE2_7_1">"blankmacro1"</definedName>
    <definedName name="PIPE40">#REF!</definedName>
    <definedName name="PJ">#REF!</definedName>
    <definedName name="PJT">#N/A</definedName>
    <definedName name="PJリスク対策費">#REF!</definedName>
    <definedName name="PK">#REF!</definedName>
    <definedName name="PK_18">#REF!</definedName>
    <definedName name="PKD">#REF!</definedName>
    <definedName name="PKH">#REF!</definedName>
    <definedName name="PKmayin">#REF!</definedName>
    <definedName name="PKT">#REF!</definedName>
    <definedName name="PKTGS">#REF!</definedName>
    <definedName name="PL" localSheetId="6" hidden="1">{"'Sheet1'!$L$16"}</definedName>
    <definedName name="PL" hidden="1">{"'Sheet1'!$L$16"}</definedName>
    <definedName name="PL_???___P.B.___REST_P.B._????">#REF!</definedName>
    <definedName name="PL_10">#REF!</definedName>
    <definedName name="PL_10t">#REF!</definedName>
    <definedName name="Pl_15">#REF!</definedName>
    <definedName name="pl_15t">#REF!</definedName>
    <definedName name="pl_15tc">#REF!</definedName>
    <definedName name="PL_20">#REF!</definedName>
    <definedName name="pl_20t">#REF!</definedName>
    <definedName name="pl_25t">#REF!</definedName>
    <definedName name="PL_5">#REF!</definedName>
    <definedName name="pl_5t">#REF!</definedName>
    <definedName name="pl_5tc">#REF!</definedName>
    <definedName name="PL_Summary">#REF!</definedName>
    <definedName name="PL_指示燈___P.B.___REST_P.B._壓扣開關">#REF!</definedName>
    <definedName name="PL_指示燈___P_B____REST_P_B__壓扣開關">#REF!</definedName>
    <definedName name="PL04TSQD" hidden="1">{"'Sheet1'!$L$16"}</definedName>
    <definedName name="Placas_ADSL">#REF!</definedName>
    <definedName name="Placas_en_main">#REF!</definedName>
    <definedName name="placas_ext">#REF!</definedName>
    <definedName name="Placas_NB">#REF!</definedName>
    <definedName name="Placas_ocupadas_de_20_mm">#REF!</definedName>
    <definedName name="Placas_ocupadas_de_25_mm">#REF!</definedName>
    <definedName name="Plage">[0]!catalogue</definedName>
    <definedName name="Plan">PeriodInPlan*(#REF!&gt;0)</definedName>
    <definedName name="Plaster">#N/A</definedName>
    <definedName name="Plaster_18">#REF!</definedName>
    <definedName name="Platform_cell">#REF!</definedName>
    <definedName name="plc">#REF!</definedName>
    <definedName name="PLitems">#REF!</definedName>
    <definedName name="PLKS" hidden="1">{"'Sheet1'!$L$16"}</definedName>
    <definedName name="PLm">#REF!</definedName>
    <definedName name="PLOT">#REF!</definedName>
    <definedName name="PLs">#REF!</definedName>
    <definedName name="PlucBcaoTD" hidden="1">{"'Sheet1'!$L$16"}</definedName>
    <definedName name="plv">#REF!</definedName>
    <definedName name="PLvuaBT">#REF!</definedName>
    <definedName name="PM">#REF!</definedName>
    <definedName name="pm..">#REF!</definedName>
    <definedName name="PM_10">#REF!</definedName>
    <definedName name="PM_11">#REF!</definedName>
    <definedName name="PM_12">#REF!</definedName>
    <definedName name="PM_13">#REF!</definedName>
    <definedName name="PM_14">#REF!</definedName>
    <definedName name="PM_Rate">#REF!</definedName>
    <definedName name="PM_TRX">#REF!</definedName>
    <definedName name="pmbq">'[14]pmem ban quyen'!$E$8</definedName>
    <definedName name="pmh" localSheetId="6">phm</definedName>
    <definedName name="pmh">phm</definedName>
    <definedName name="PMHT">#REF!</definedName>
    <definedName name="PMHT_ST">#REF!</definedName>
    <definedName name="pmlc">#REF!</definedName>
    <definedName name="PMNB">#REF!</definedName>
    <definedName name="PMNB_Col">#REF!</definedName>
    <definedName name="PMNB_Row">#REF!</definedName>
    <definedName name="pmnoibo2589">[13]THCP!$E$8</definedName>
    <definedName name="PMPRice">#REF!</definedName>
    <definedName name="PMS" hidden="1">{"'Sheet1'!$L$16"}</definedName>
    <definedName name="pmtm">'[14]phan mem thuong mai'!$E$5</definedName>
    <definedName name="PMU_18">#REF!</definedName>
    <definedName name="PMU18_Bill">#REF!</definedName>
    <definedName name="PMU18_VL">#REF!</definedName>
    <definedName name="PN">#REF!</definedName>
    <definedName name="pnatc">#REF!</definedName>
    <definedName name="pnatctg">#REF!</definedName>
    <definedName name="png">#REF!</definedName>
    <definedName name="PNS">#REF!</definedName>
    <definedName name="po" hidden="1">{"'Sheet1'!$L$16"}</definedName>
    <definedName name="POGF">#REF!</definedName>
    <definedName name="Poissons_Ratio_Concrete">#REF!</definedName>
    <definedName name="polycom_ban">#REF!</definedName>
    <definedName name="Polycom_ban_01">#REF!</definedName>
    <definedName name="Polycom_vao_01">#REF!</definedName>
    <definedName name="Polycom_vao_02">#REF!</definedName>
    <definedName name="Poppy">#N/A</definedName>
    <definedName name="Port">#REF!</definedName>
    <definedName name="Port1" hidden="1">{#N/A,#N/A,FALSE,"特殊室（ＢＱ表）"}</definedName>
    <definedName name="port11" hidden="1">{#N/A,#N/A,FALSE,"特殊室（ＢＱ表）"}</definedName>
    <definedName name="pos_indoor_1">#REF!</definedName>
    <definedName name="pos_indoor_10">#REF!</definedName>
    <definedName name="pos_indoor_11">#REF!</definedName>
    <definedName name="pos_indoor_12">#REF!</definedName>
    <definedName name="pos_indoor_2">#REF!</definedName>
    <definedName name="pos_indoor_3">#REF!</definedName>
    <definedName name="pos_indoor_4">#REF!</definedName>
    <definedName name="pos_indoor_5">#REF!</definedName>
    <definedName name="pos_indoor_6">#REF!</definedName>
    <definedName name="pos_indoor_7">#REF!</definedName>
    <definedName name="pos_indoor_8">#REF!</definedName>
    <definedName name="pos_indoor_9">#REF!</definedName>
    <definedName name="Posiciones_de_DUHPA_ocupadas">#REF!</definedName>
    <definedName name="Posiciones_de_DUHPA_totales">#REF!</definedName>
    <definedName name="Posiciones_de_DUMPA_ocupadas">#REF!</definedName>
    <definedName name="Posiciones_de_DUMPA_totales">#REF!</definedName>
    <definedName name="Posiciones_de_DUXPA_ocupadas">#REF!</definedName>
    <definedName name="Posiciones_de_DUXPA_totales">#REF!</definedName>
    <definedName name="Position" localSheetId="6">BlankMacro1</definedName>
    <definedName name="Position">BlankMacro1</definedName>
    <definedName name="Position_1">"blankmacro1"</definedName>
    <definedName name="Position_11">"blankmacro1"</definedName>
    <definedName name="Position_11_1">"blankmacro1"</definedName>
    <definedName name="Position_3">"blankmacro1"</definedName>
    <definedName name="Position_3_1">"blankmacro1"</definedName>
    <definedName name="Position_7">"blankmacro1"</definedName>
    <definedName name="Position_7_1">"blankmacro1"</definedName>
    <definedName name="pots">#REF!</definedName>
    <definedName name="POTS_con_ring">#REF!</definedName>
    <definedName name="pots_d">#REF!</definedName>
    <definedName name="pots_d_main">#REF!</definedName>
    <definedName name="pots_d_rest">#REF!</definedName>
    <definedName name="pots_e">#REF!</definedName>
    <definedName name="POTS_eq">#REF!</definedName>
    <definedName name="POTS_for_VoIP">#REF!</definedName>
    <definedName name="POTS_HUB_REUS">#REF!</definedName>
    <definedName name="POTS_option">#REF!</definedName>
    <definedName name="POTS_t">#REF!</definedName>
    <definedName name="POTS_traffic">#REF!</definedName>
    <definedName name="Power">ErrorHandler_1</definedName>
    <definedName name="power_cable1">#REF!</definedName>
    <definedName name="power_data">#REF!</definedName>
    <definedName name="power_ini">#REF!</definedName>
    <definedName name="power_redund">#REF!</definedName>
    <definedName name="powercable_OLA1">#REF!</definedName>
    <definedName name="powercable_OLA2">#REF!</definedName>
    <definedName name="powercable_OLA3">#REF!</definedName>
    <definedName name="powercable_OLA4">#REF!</definedName>
    <definedName name="powercable_OLA5">#REF!</definedName>
    <definedName name="powercable2">#REF!</definedName>
    <definedName name="powercable3">#REF!</definedName>
    <definedName name="powercable4">#REF!</definedName>
    <definedName name="powercalbe_OSN1">#REF!</definedName>
    <definedName name="powercalbe_OSN2">#REF!</definedName>
    <definedName name="powercalbe_OSN3">#REF!</definedName>
    <definedName name="powercalbe_OSN4">#REF!</definedName>
    <definedName name="powercalbe_OSN6">#REF!</definedName>
    <definedName name="powercalbe6">#REF!</definedName>
    <definedName name="PowerCord">#REF!</definedName>
    <definedName name="powering">#REF!</definedName>
    <definedName name="PP114_2P114_3P60">#REF!</definedName>
    <definedName name="PPCAmbient">#REF!</definedName>
    <definedName name="PPCCurrency">#REF!</definedName>
    <definedName name="PPCStart">#REF!</definedName>
    <definedName name="pph">#REF!</definedName>
    <definedName name="PPP" localSheetId="6">BlankMacro1</definedName>
    <definedName name="PPP">BlankMacro1</definedName>
    <definedName name="PPP_1">"blankmacro1"</definedName>
    <definedName name="PPP_11">"blankmacro1"</definedName>
    <definedName name="PPP_11_1">"blankmacro1"</definedName>
    <definedName name="PPP_3">"blankmacro1"</definedName>
    <definedName name="PPP_3_1">"blankmacro1"</definedName>
    <definedName name="PPP_7">"blankmacro1"</definedName>
    <definedName name="PPP_7_1">"blankmacro1"</definedName>
    <definedName name="ｐｐｐｐ" hidden="1">{"'Sheet1'!$L$16"}</definedName>
    <definedName name="PPSPS">#REF!</definedName>
    <definedName name="PPTinhCuoc">'[15]Cước CG'!#REF!</definedName>
    <definedName name="pr">#REF!</definedName>
    <definedName name="Pr.">#REF!</definedName>
    <definedName name="pr_col">#REF!</definedName>
    <definedName name="pr_dc">#REF!</definedName>
    <definedName name="pr_nw">#REF!</definedName>
    <definedName name="pr_or">#REF!</definedName>
    <definedName name="PR_Summary">#REF!</definedName>
    <definedName name="pr_sw">#REF!</definedName>
    <definedName name="PRA_eq">#REF!</definedName>
    <definedName name="PRA_type">#REF!</definedName>
    <definedName name="PRC">#REF!</definedName>
    <definedName name="prcc">#REF!</definedName>
    <definedName name="prcc_for_REU">#REF!</definedName>
    <definedName name="prcc_services">#REF!</definedName>
    <definedName name="prcc75">#REF!</definedName>
    <definedName name="PRCIT">#N/A</definedName>
    <definedName name="PRCITE10">#N/A</definedName>
    <definedName name="prcp">#REF!</definedName>
    <definedName name="prcp_new">#REF!</definedName>
    <definedName name="Prdb">#REF!</definedName>
    <definedName name="PRDump">#REF!</definedName>
    <definedName name="PRECIP">#REF!</definedName>
    <definedName name="Precip_d">#REF!</definedName>
    <definedName name="Precip_nd">#REF!</definedName>
    <definedName name="PrecNden">#REF!</definedName>
    <definedName name="PRECONTRACT_FLD_CFG_NAME">#REF!</definedName>
    <definedName name="PRECONTRACT_FLD_CSI_DESCIPTION">#REF!</definedName>
    <definedName name="PRECONTRACT_FLD_CSI_NAME">#REF!</definedName>
    <definedName name="PRECONTRACT_LINE">#REF!</definedName>
    <definedName name="PRECONTRACT_SECTION">#REF!</definedName>
    <definedName name="PRECONTRACT_SECTION_CFG_TITLE">#REF!</definedName>
    <definedName name="PRECONTRACT_SECTION_CSI">#REF!</definedName>
    <definedName name="Preject_managt">#REF!</definedName>
    <definedName name="Preliminary" hidden="1">{#N/A,#N/A,TRUE,"Str.";#N/A,#N/A,TRUE,"Steel &amp; Roof";#N/A,#N/A,TRUE,"Arc.";#N/A,#N/A,TRUE,"Preliminary";#N/A,#N/A,TRUE,"Sum_Prelim"}</definedName>
    <definedName name="Premium">#REF!</definedName>
    <definedName name="Prepare_Rate">#REF!</definedName>
    <definedName name="Presale1">#REF!</definedName>
    <definedName name="Presale2">#REF!</definedName>
    <definedName name="PREST">#REF!</definedName>
    <definedName name="prestation_fd_t12_dsg">#REF!</definedName>
    <definedName name="prestation_fd_t12_fl">#REF!</definedName>
    <definedName name="prestation_fd_t12_lot">#REF!</definedName>
    <definedName name="prestation_fd_t12_mn">#REF!</definedName>
    <definedName name="prestation_fd_t12_pr">#REF!</definedName>
    <definedName name="prestation_fd_t12_prt">#REF!</definedName>
    <definedName name="prestation_fd_t12_pru">#REF!</definedName>
    <definedName name="prestation_fd_t12_pv">#REF!</definedName>
    <definedName name="prestation_fd_t12_qtty">#REF!</definedName>
    <definedName name="prestation_fd_t34_dsg">#REF!</definedName>
    <definedName name="prestation_fd_t34_fl">#REF!</definedName>
    <definedName name="prestation_fd_t34_lot">#REF!</definedName>
    <definedName name="prestation_fd_t34_mn">#REF!</definedName>
    <definedName name="prestation_fd_t34_pr">#REF!</definedName>
    <definedName name="prestation_fd_t34_prt">#REF!</definedName>
    <definedName name="prestation_fd_t34_pru">#REF!</definedName>
    <definedName name="prestation_fd_t34_pv">#REF!</definedName>
    <definedName name="prestation_fd_t34_qtty">#REF!</definedName>
    <definedName name="prestation_fd_tg_dsg">#REF!</definedName>
    <definedName name="prestation_fd_tg_fl">#REF!</definedName>
    <definedName name="prestation_fd_tg_lot">#REF!</definedName>
    <definedName name="prestation_fd_tg_mn">#REF!</definedName>
    <definedName name="prestation_fd_tg_prt">#REF!</definedName>
    <definedName name="prestation_fd_tg_pru">#REF!</definedName>
    <definedName name="prestation_fd_tg_pv">#REF!</definedName>
    <definedName name="prestation_fd_tg_qtty">#REF!</definedName>
    <definedName name="prestation_fd_tgo_dsg">#REF!</definedName>
    <definedName name="prestation_fd_tgo_fl">#REF!</definedName>
    <definedName name="prestation_fd_tgo_lot">#REF!</definedName>
    <definedName name="prestation_fd_tgo_mn">#REF!</definedName>
    <definedName name="prestation_fd_tgo_prt">#REF!</definedName>
    <definedName name="prestation_fd_tgo_pru">#REF!</definedName>
    <definedName name="prestation_fd_tgo_pv">#REF!</definedName>
    <definedName name="prestation_fd_tgo_qtty">#REF!</definedName>
    <definedName name="prestation_gpma_tf_cs">#REF!</definedName>
    <definedName name="prestation_gpma_tf_sp">#REF!</definedName>
    <definedName name="prestation_gpma_to_cs">#REF!</definedName>
    <definedName name="prestation_gpma_to_sp">#REF!</definedName>
    <definedName name="prestation_t12_sp">#REF!</definedName>
    <definedName name="prestation_t34_sp">#REF!</definedName>
    <definedName name="PRESTATIONS">#REF!</definedName>
    <definedName name="Previous_Year">#REF!</definedName>
    <definedName name="PreviousRev">#REF!</definedName>
    <definedName name="Prf_APC">#REF!</definedName>
    <definedName name="Prf_CS">#REF!</definedName>
    <definedName name="Prf_FJ">#REF!</definedName>
    <definedName name="Prf_FPT">#REF!</definedName>
    <definedName name="Prf_HP">#REF!</definedName>
    <definedName name="Prf_IBM">#REF!</definedName>
    <definedName name="Prf_MS">#REF!</definedName>
    <definedName name="Prf_ORC">#REF!</definedName>
    <definedName name="Prf_Other">#REF!</definedName>
    <definedName name="Prf_Redhat">#REF!</definedName>
    <definedName name="pri" hidden="1">{#N/A,#N/A,TRUE,"Str.";#N/A,#N/A,TRUE,"Steel &amp; Roof";#N/A,#N/A,TRUE,"Arc.";#N/A,#N/A,TRUE,"Preliminary";#N/A,#N/A,TRUE,"Sum_Prelim"}</definedName>
    <definedName name="pri_tile">#REF!</definedName>
    <definedName name="PRICE" localSheetId="6">#REF!</definedName>
    <definedName name="PRICE">#REF!</definedName>
    <definedName name="PRICE_1">"#REF!"</definedName>
    <definedName name="PRICE_18">#REF!</definedName>
    <definedName name="Price_Acoust._Ceil">#REF!</definedName>
    <definedName name="Price_Block">#REF!</definedName>
    <definedName name="Price_board">#REF!</definedName>
    <definedName name="Price_Brick">#REF!</definedName>
    <definedName name="Price_Conc_4000">#REF!</definedName>
    <definedName name="Price_Conc_5000">#REF!</definedName>
    <definedName name="Price_Conc_6000">#REF!</definedName>
    <definedName name="price_day">#REF!</definedName>
    <definedName name="price_day_USD">#REF!</definedName>
    <definedName name="price_doc_day_trainee">#REF!</definedName>
    <definedName name="Price_doc_day_trainee_USD">#REF!</definedName>
    <definedName name="price_fix">#REF!</definedName>
    <definedName name="price_fix_USD">#REF!</definedName>
    <definedName name="Price_Form_Beam">#REF!</definedName>
    <definedName name="Price_Form_Colmn">#REF!</definedName>
    <definedName name="Price_Form_Core">#REF!</definedName>
    <definedName name="Price_Form_Slab">#REF!</definedName>
    <definedName name="Price_Form_Wall">#REF!</definedName>
    <definedName name="price_gr">#REF!</definedName>
    <definedName name="Price_Gyp._Ceil">#REF!</definedName>
    <definedName name="Price_Gyp.W_Both">#REF!</definedName>
    <definedName name="Price_Gyp.W_One">#REF!</definedName>
    <definedName name="price_incoterm">#N/A</definedName>
    <definedName name="PRICE_JUST_COMMENT">#REF!</definedName>
    <definedName name="Price_Paint_Emulsn">#REF!</definedName>
    <definedName name="Price_Plaster_Ceil">#REF!</definedName>
    <definedName name="Price_Plaster_Ext">#REF!</definedName>
    <definedName name="Price_Plaster_Floor">#REF!</definedName>
    <definedName name="Price_Plaster_Wall">#REF!</definedName>
    <definedName name="Price_Rebar_High">#REF!</definedName>
    <definedName name="Price_Rebar_Mild">#REF!</definedName>
    <definedName name="price_sel">#REF!</definedName>
    <definedName name="Price_Stl.Door_D">#REF!</definedName>
    <definedName name="Price_Stl.Door_S">#REF!</definedName>
    <definedName name="Price_Stone_Floor">#REF!</definedName>
    <definedName name="Price_Stone_Wall">#REF!</definedName>
    <definedName name="price_trainee">#REF!</definedName>
    <definedName name="Price_Wd.Door_D">#REF!</definedName>
    <definedName name="Price_Wd.Door_S">#REF!</definedName>
    <definedName name="PRICE1" localSheetId="6">#REF!</definedName>
    <definedName name="PRICE1">#REF!</definedName>
    <definedName name="PRICE1_1">"#REF!"</definedName>
    <definedName name="PRICE1_18">#REF!</definedName>
    <definedName name="PriceColumn" localSheetId="6">#REF!</definedName>
    <definedName name="PriceColumn">#REF!</definedName>
    <definedName name="PriceColumnEuro" localSheetId="6">#REF!</definedName>
    <definedName name="PriceColumnEuro">#REF!</definedName>
    <definedName name="PriceCOMPAQ">#REF!</definedName>
    <definedName name="PriceCur" localSheetId="6">#REF!</definedName>
    <definedName name="PriceCur">#REF!</definedName>
    <definedName name="PriceFTHWPF22">#REF!</definedName>
    <definedName name="PriceFTSWPF22">#REF!</definedName>
    <definedName name="PriceName1">#REF!</definedName>
    <definedName name="PriceName4">#REF!</definedName>
    <definedName name="Prices_NE_fin">#REF!</definedName>
    <definedName name="Prices_NE_ini">#REF!</definedName>
    <definedName name="Prices_NM_fin">#REF!</definedName>
    <definedName name="Prices_NM_ini">#REF!</definedName>
    <definedName name="Prices_RTU_fin">#REF!</definedName>
    <definedName name="Prices_RTU_ini">#REF!</definedName>
    <definedName name="Pricing_catalogue">#REF!</definedName>
    <definedName name="Pricing_Strategy">#REF!</definedName>
    <definedName name="prin_area">#REF!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28">#REF!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print">#N/A</definedName>
    <definedName name="_xlnm.Print_Area" localSheetId="6">'Chi phí AI'!$A$1:$I$16</definedName>
    <definedName name="_xlnm.Print_Area">#REF!</definedName>
    <definedName name="Print_Area_0">#NAME?</definedName>
    <definedName name="Print_Area_2">#REF!</definedName>
    <definedName name="Print_Area_MI">#REF!</definedName>
    <definedName name="Print_Area_MI_10">#REF!</definedName>
    <definedName name="Print_Area_MI_11">#REF!</definedName>
    <definedName name="Print_Area_MI_12">#REF!</definedName>
    <definedName name="Print_Area_MI_13">#REF!</definedName>
    <definedName name="Print_Area_MI_14">#REF!</definedName>
    <definedName name="Print_Area_Reset" localSheetId="6">OFFSET(Full_Print,0,0,[0]!Last_Row)</definedName>
    <definedName name="Print_Area_Reset">OFFSET(Full_Print,0,0,[0]!Last_Row)</definedName>
    <definedName name="Print_Area2">#REF!</definedName>
    <definedName name="print_ares">#REF!</definedName>
    <definedName name="print_Click">#REF!</definedName>
    <definedName name="Print_GM">#REF!</definedName>
    <definedName name="Print_Terms_Tatene">"Text 2"</definedName>
    <definedName name="Print_Title">#REF!</definedName>
    <definedName name="_xlnm.Print_Titles" localSheetId="6">#N/A</definedName>
    <definedName name="_xlnm.Print_Titles">#REF!</definedName>
    <definedName name="Print_Titles_MI" localSheetId="6">#REF!</definedName>
    <definedName name="Print_Titles_MI">#REF!</definedName>
    <definedName name="PRINT_TITLES_MI_1">"#REF!"</definedName>
    <definedName name="PRINT_TITLES_MI_14">#REF!</definedName>
    <definedName name="Print_Titles_MI_18">#REF!</definedName>
    <definedName name="PRINT1">#REF!</definedName>
    <definedName name="PRINTA" localSheetId="6">#REF!</definedName>
    <definedName name="PRINTA">#REF!</definedName>
    <definedName name="PRINTA_14">#REF!</definedName>
    <definedName name="PRINTB" localSheetId="6">#REF!</definedName>
    <definedName name="PRINTB">#REF!</definedName>
    <definedName name="PRINTB_14">#REF!</definedName>
    <definedName name="PRINTC" localSheetId="6">#REF!</definedName>
    <definedName name="PRINTC">#REF!</definedName>
    <definedName name="PRINTC_14">#REF!</definedName>
    <definedName name="priority">#REF!</definedName>
    <definedName name="PriorityList">#REF!</definedName>
    <definedName name="Prisma_DT">#REF!</definedName>
    <definedName name="PrismaII">#REF!</definedName>
    <definedName name="PRJ_TYPE">#REF!</definedName>
    <definedName name="prjName">#REF!</definedName>
    <definedName name="prjNo">#REF!</definedName>
    <definedName name="Pro_Dis">#REF!</definedName>
    <definedName name="Pro_S_Disc">#REF!</definedName>
    <definedName name="Pro_Soil">#REF!</definedName>
    <definedName name="Pro2_S_Disc">#REF!</definedName>
    <definedName name="Probability">#REF!</definedName>
    <definedName name="PROD_DISC">#REF!</definedName>
    <definedName name="ProdForm" hidden="1">#REF!</definedName>
    <definedName name="Product">#REF!</definedName>
    <definedName name="Product_Costs">#REF!</definedName>
    <definedName name="PRODuct_DISC">#REF!</definedName>
    <definedName name="PRODUCTION" hidden="1">{"'Sheet1'!$L$16"}</definedName>
    <definedName name="producto">#REF!</definedName>
    <definedName name="ProductSummary">#REF!</definedName>
    <definedName name="Produit">#REF!</definedName>
    <definedName name="produit_form">#REF!</definedName>
    <definedName name="Profit">#REF!</definedName>
    <definedName name="pROGRESS" hidden="1">{#N/A,#N/A,TRUE,"SUM";#N/A,#N/A,TRUE,"EE";#N/A,#N/A,TRUE,"AC";#N/A,#N/A,TRUE,"SN"}</definedName>
    <definedName name="PROJ">#REF!</definedName>
    <definedName name="project">#REF!</definedName>
    <definedName name="project_man2">#REF!</definedName>
    <definedName name="Project_Number">#REF!</definedName>
    <definedName name="Project_specific_conditions">#REF!</definedName>
    <definedName name="ProjectDiscount">#REF!</definedName>
    <definedName name="ProjectID">#REF!</definedName>
    <definedName name="ProjectIssue">#REF!</definedName>
    <definedName name="ProjectList">#REF!</definedName>
    <definedName name="PROJECTMAN">#REF!</definedName>
    <definedName name="PROJECTMAN0">#REF!</definedName>
    <definedName name="PROJECTMAN1">#REF!</definedName>
    <definedName name="ProjectTitle">#REF!</definedName>
    <definedName name="PROJTIT">#N/A</definedName>
    <definedName name="PROMO_SECTION">#REF!</definedName>
    <definedName name="PROPOSAL" localSheetId="6">#REF!</definedName>
    <definedName name="PROPOSAL">#REF!</definedName>
    <definedName name="PROPOSAL_18">#REF!</definedName>
    <definedName name="PROPOSAL_SECTION">#REF!</definedName>
    <definedName name="PROPOSAL_SECTION_MW">#REF!</definedName>
    <definedName name="PROPOSAL_SUBTOTAL_HW">#REF!</definedName>
    <definedName name="PROPOSAL_SUBTOTAL_MW_HW">#REF!</definedName>
    <definedName name="PROPOSAL_SUBTOTAL_MW_SW">#REF!</definedName>
    <definedName name="PROPOSAL_SUBTOTAL_MW_WAR">#REF!</definedName>
    <definedName name="PROPOSAL_SUBTOTAL_PS">#REF!</definedName>
    <definedName name="PROPOSAL_SUBTOTAL_SW">#REF!</definedName>
    <definedName name="PROT">#N/A</definedName>
    <definedName name="Protection" hidden="1">{#N/A,#N/A,TRUE,"SUM";#N/A,#N/A,TRUE,"EE";#N/A,#N/A,TRUE,"AC";#N/A,#N/A,TRUE,"SN"}</definedName>
    <definedName name="Protex">#REF!</definedName>
    <definedName name="Prov_01">#REF!</definedName>
    <definedName name="prov_sums">#REF!</definedName>
    <definedName name="province">#REF!</definedName>
    <definedName name="PS">#REF!</definedName>
    <definedName name="PSCO_CD">#REF!</definedName>
    <definedName name="PSdiscount">#REF!</definedName>
    <definedName name="Pse">#REF!</definedName>
    <definedName name="Pseb">#N/A</definedName>
    <definedName name="Pset">#N/A</definedName>
    <definedName name="Psi0">#REF!</definedName>
    <definedName name="PsiT">#REF!</definedName>
    <definedName name="PSNO_CD">#REF!</definedName>
    <definedName name="Pso">#REF!</definedName>
    <definedName name="Psob">#N/A</definedName>
    <definedName name="Psot">#N/A</definedName>
    <definedName name="PST">#REF!</definedName>
    <definedName name="PT" localSheetId="6">#REF!</definedName>
    <definedName name="pt">#REF!</definedName>
    <definedName name="PT_A1">#REF!</definedName>
    <definedName name="PT_A2">#REF!</definedName>
    <definedName name="PT_anca">#REF!</definedName>
    <definedName name="PT_Duong">#REF!</definedName>
    <definedName name="PT_duong_goi1">#REF!</definedName>
    <definedName name="PT_duong_goi3">#REF!</definedName>
    <definedName name="PT_P1">#REF!</definedName>
    <definedName name="PT_P10">#REF!</definedName>
    <definedName name="PT_P11">#REF!</definedName>
    <definedName name="PT_P2">#REF!</definedName>
    <definedName name="PT_P3">#REF!</definedName>
    <definedName name="PT_P4">#REF!</definedName>
    <definedName name="PT_P5">#REF!</definedName>
    <definedName name="PT_P6">#REF!</definedName>
    <definedName name="PT_P7">#REF!</definedName>
    <definedName name="PT_P8">#REF!</definedName>
    <definedName name="PT_P9">#REF!</definedName>
    <definedName name="pt1_">#N/A</definedName>
    <definedName name="pt2_">#N/A</definedName>
    <definedName name="ptanca">#REF!</definedName>
    <definedName name="ptancadg">#REF!</definedName>
    <definedName name="ptbc">#REF!</definedName>
    <definedName name="PTC">#REF!</definedName>
    <definedName name="PTCT1">#REF!</definedName>
    <definedName name="PTCT2">#REF!</definedName>
    <definedName name="PTCT3">#REF!</definedName>
    <definedName name="PTD">#REF!</definedName>
    <definedName name="ptdg">#REF!</definedName>
    <definedName name="ptdg_1">"#REF!"</definedName>
    <definedName name="PTDG_cau">#REF!</definedName>
    <definedName name="PTDG_cau_sau30_4">#REF!</definedName>
    <definedName name="PTDG_cau_tam">#REF!</definedName>
    <definedName name="ptdg_cong">#REF!</definedName>
    <definedName name="PTDG_D">#REF!</definedName>
    <definedName name="PTDG_DCV">#REF!</definedName>
    <definedName name="ptdg_duong">#REF!</definedName>
    <definedName name="ptdg_ke">#REF!</definedName>
    <definedName name="ptdg14d">#REF!</definedName>
    <definedName name="PTDGBPTC">#REF!</definedName>
    <definedName name="ptdgc">#REF!</definedName>
    <definedName name="ptdgcd">#REF!</definedName>
    <definedName name="ptdgcdt">#REF!</definedName>
    <definedName name="PTDGCT1">#REF!</definedName>
    <definedName name="PTDGCT2">#REF!</definedName>
    <definedName name="ptdgd">#REF!</definedName>
    <definedName name="ptdggc">#REF!</definedName>
    <definedName name="ptdghg">#REF!</definedName>
    <definedName name="ptdgnv">#REF!</definedName>
    <definedName name="PTH">#REF!</definedName>
    <definedName name="ptich3" hidden="1">{"'Sheet1'!$L$16"}</definedName>
    <definedName name="PtichDTL">#N/A</definedName>
    <definedName name="PtichDTL_15">NA()</definedName>
    <definedName name="PtichDTL_16">NA()</definedName>
    <definedName name="PtichDTL_17">NA()</definedName>
    <definedName name="PtichDTL_19">NA()</definedName>
    <definedName name="PtichDTL_20">NA()</definedName>
    <definedName name="PtichDTL_21">NA()</definedName>
    <definedName name="PtichDTL_22">NA()</definedName>
    <definedName name="PtichDTL_23">NA()</definedName>
    <definedName name="PtichDTL_24">NA()</definedName>
    <definedName name="PtichDTL_25">NA()</definedName>
    <definedName name="PtichDTL_26">NA()</definedName>
    <definedName name="PtichDTL_27">NA()</definedName>
    <definedName name="PtichDTL_28">NA()</definedName>
    <definedName name="PtichDTL_29">NA()</definedName>
    <definedName name="PtichDTL_30">NA()</definedName>
    <definedName name="PtichDTL_31">NA()</definedName>
    <definedName name="PtichDTL_32">NA()</definedName>
    <definedName name="PtichDTL_33">NA()</definedName>
    <definedName name="PtichDTL_34">NA()</definedName>
    <definedName name="PtichDTL_35">NA()</definedName>
    <definedName name="PtichDTL_36">NA()</definedName>
    <definedName name="PtichDTL_37">NA()</definedName>
    <definedName name="PtichDTL_38">NA()</definedName>
    <definedName name="PtichDTL_7">NA()</definedName>
    <definedName name="ptkl1">#REF!</definedName>
    <definedName name="ptks">#REF!</definedName>
    <definedName name="PTL">#REF!</definedName>
    <definedName name="ptltctg">#REF!</definedName>
    <definedName name="PTMT">#N/A</definedName>
    <definedName name="ptn">#N/A</definedName>
    <definedName name="PTNC">#REF!</definedName>
    <definedName name="PTNC_14">#REF!</definedName>
    <definedName name="PtokN">#REF!</definedName>
    <definedName name="ptran">#REF!</definedName>
    <definedName name="PTST">#REF!</definedName>
    <definedName name="PTsx">#REF!</definedName>
    <definedName name="PTVT">#REF!</definedName>
    <definedName name="PTVT_AnCotHeSo">#REF!</definedName>
    <definedName name="PTVT_CoPTMay">#REF!</definedName>
    <definedName name="PTVT_CoPTNC">#REF!</definedName>
    <definedName name="PTVT_DaTaoBang">#REF!</definedName>
    <definedName name="PTVT_HienCotGia">#REF!</definedName>
    <definedName name="PTVT_HienDGCT">#REF!</definedName>
    <definedName name="PTVT_HienMSVT">#REF!</definedName>
    <definedName name="PTVT1">#REF!</definedName>
    <definedName name="ptvtgiam" hidden="1">{"'Sheet1'!$L$16"}</definedName>
    <definedName name="Pu">#REF!</definedName>
    <definedName name="PU_margin_row">#REF!</definedName>
    <definedName name="PU_margin_row2">#REF!</definedName>
    <definedName name="PUBLIC" hidden="1">{"'Sheet1'!$L$16"}</definedName>
    <definedName name="PV">#REF!</definedName>
    <definedName name="PV_Airplane_homebased">#REF!</definedName>
    <definedName name="PV_Airplane_ISC">#REF!</definedName>
    <definedName name="PV_DA_homebased">#REF!</definedName>
    <definedName name="PV_HR_Homebased">#REF!</definedName>
    <definedName name="PV_ISC_HR">#REF!</definedName>
    <definedName name="PV_localservices">#REF!</definedName>
    <definedName name="PV_source">#REF!</definedName>
    <definedName name="pv_tableau_achats_f">#REF!</definedName>
    <definedName name="pv_tableau_achats_o">#REF!</definedName>
    <definedName name="pv_tableau_pi_f">#REF!</definedName>
    <definedName name="pv_tableau_pi_o">#REF!</definedName>
    <definedName name="PV_TOT">#N/A</definedName>
    <definedName name="PV_UNIT">#N/A</definedName>
    <definedName name="pvd">#REF!</definedName>
    <definedName name="PvmtType">#REF!</definedName>
    <definedName name="pw">#REF!</definedName>
    <definedName name="Px">#REF!</definedName>
    <definedName name="pxhtctg">#REF!</definedName>
    <definedName name="PXM_OC3_Pr">#REF!</definedName>
    <definedName name="PXM1_Pr">#REF!</definedName>
    <definedName name="PXM2_Pr">#REF!</definedName>
    <definedName name="PXT">#REF!</definedName>
    <definedName name="Py">#REF!</definedName>
    <definedName name="q">#REF!</definedName>
    <definedName name="Q__sè_721_Q__KH_T___27_5_03">#N/A</definedName>
    <definedName name="Q_1353">#REF!</definedName>
    <definedName name="Q_1353_IOO">#REF!</definedName>
    <definedName name="Q_1353_IOO_AH">#REF!</definedName>
    <definedName name="Q_1353_IOO_PM">#REF!</definedName>
    <definedName name="Q_1353_IOO_RI">#REF!</definedName>
    <definedName name="Q_1353_LMS_PC">#REF!</definedName>
    <definedName name="Q_1353_PC_OSS">#REF!</definedName>
    <definedName name="Q_1355">#REF!</definedName>
    <definedName name="Q_1355_integrated">#REF!</definedName>
    <definedName name="Q_14">#REF!</definedName>
    <definedName name="Q_5523_AWS">#REF!</definedName>
    <definedName name="Q_growing">#REF!</definedName>
    <definedName name="Q_LMS_bought_locally">#REF!</definedName>
    <definedName name="Q_num_lines_BB">#REF!</definedName>
    <definedName name="Q_num_lines_NB">#REF!</definedName>
    <definedName name="Q_num_nodes_BB">#REF!</definedName>
    <definedName name="Q_num_oper_BB">#REF!</definedName>
    <definedName name="Q_num_oper_NB">#REF!</definedName>
    <definedName name="Q_ty">#REF!</definedName>
    <definedName name="Q52_ＥＸＣＥＬ変換">#REF!</definedName>
    <definedName name="qa">#REF!</definedName>
    <definedName name="QA.">#REF!</definedName>
    <definedName name="QẮEDRTYGHJK">#REF!</definedName>
    <definedName name="qc">#REF!</definedName>
    <definedName name="Qcoc">#REF!</definedName>
    <definedName name="qd">#REF!</definedName>
    <definedName name="qd10_gt" hidden="1">{"'Sheet1'!$L$16"}</definedName>
    <definedName name="Qdd">#REF!</definedName>
    <definedName name="QDV_">#REF!</definedName>
    <definedName name="QDWQ">#REF!</definedName>
    <definedName name="qe">#REF!</definedName>
    <definedName name="qềqg" hidden="1">{"'Sheet1'!$L$16"}</definedName>
    <definedName name="qew5r4et" hidden="1">{"'Sheet1'!$L$16"}</definedName>
    <definedName name="QF_COL_REMARK_H">#REF!</definedName>
    <definedName name="QF_COL_TOTAL_LISTPRICE">#REF!</definedName>
    <definedName name="QF_SYS_AGENTNAME">#REF!</definedName>
    <definedName name="QF_SYS_BADRATIO">#REF!</definedName>
    <definedName name="QF_SYS_BRANCHOFFICE">#REF!</definedName>
    <definedName name="QF_SYS_COE">#REF!</definedName>
    <definedName name="QF_SYS_COMPANYINFO">#REF!</definedName>
    <definedName name="QF_SYS_CTRLTEST">#REF!</definedName>
    <definedName name="QF_SYS_DDP">#REF!</definedName>
    <definedName name="QF_SYS_DEFAULT_CURRENCY">#REF!</definedName>
    <definedName name="QF_SYS_DEPARTMENTINFO">#REF!</definedName>
    <definedName name="QF_SYS_DLVYPLACE">#REF!</definedName>
    <definedName name="QF_SYS_ERATE">#REF!</definedName>
    <definedName name="QF_SYS_EXCHANGE">#REF!</definedName>
    <definedName name="QF_SYS_HWSPLIT_FLAG">#REF!</definedName>
    <definedName name="QF_SYS_HWSPLIT_MODE">#REF!</definedName>
    <definedName name="QF_SYS_HWSPLIT_RATIO">#REF!</definedName>
    <definedName name="QF_SYS_OPERATOR">#REF!</definedName>
    <definedName name="QF_SYS_PCOE">#REF!</definedName>
    <definedName name="QF_SYS_PRODUCT_LINE">#REF!</definedName>
    <definedName name="QF_SYS_PROJNAME">#REF!</definedName>
    <definedName name="QF_SYS_QUOTATION_NAME">#REF!</definedName>
    <definedName name="QF_SYS_QUOTATION_NO">#REF!</definedName>
    <definedName name="QF_SYS_QUOTATION_PONUMBER">#REF!</definedName>
    <definedName name="QF_SYS_REGHEAD">#REF!</definedName>
    <definedName name="QF_SYS_ROUNDUP_DECIMAL">#REF!</definedName>
    <definedName name="QF_SYS_RRATE">#REF!</definedName>
    <definedName name="QF_SYS_SCOE">#REF!</definedName>
    <definedName name="QF_SYS_SECURITY_FLAG">#REF!</definedName>
    <definedName name="QF_SYS_SERVICE_ONLY">0</definedName>
    <definedName name="QF_SYS_SPARE_COEFFICIENT">1</definedName>
    <definedName name="QF_SYS_SPARMAXPER">#REF!</definedName>
    <definedName name="QF_SYS_SPDISCOUNT">#REF!</definedName>
    <definedName name="QF_SYS_TRADE_DESC">#REF!</definedName>
    <definedName name="QF_SYS_TRADE_TYPE">#REF!</definedName>
    <definedName name="QF_SYS_TRADETERM">#REF!</definedName>
    <definedName name="QF_SYS_TRANSPORT">#REF!</definedName>
    <definedName name="QF_SYS_USE_ISSUENO">#REF!</definedName>
    <definedName name="QF_SYS_USED_CONTRACT_PRICE">#REF!</definedName>
    <definedName name="QF_SYS_VALIDITY_DATE">#REF!</definedName>
    <definedName name="QFLAG_00034_EQUIPMENT_34_TOTALLISTPRICE">#REF!</definedName>
    <definedName name="QFLAG_00036_EQUIPMENT_36_TOTALLISTPRICE">#REF!</definedName>
    <definedName name="QFLAG_00050_EQUIPMENT_343_TOTALDISCOUNTPRICE_0">#REF!</definedName>
    <definedName name="QFLAG_00050_EQUIPMENT_343_TOTALLISTPRICE">#REF!</definedName>
    <definedName name="QFLAG_00050_EQUIPMENT_343_TOTALLISTPRICE_0">#REF!</definedName>
    <definedName name="QFLAG_00080_EQUIPMENT_655_QFCOLLOCALTOTALPRICE_0">#REF!</definedName>
    <definedName name="QFLAG_00080_EQUIPMENT_655_QFCOLORIGINALTOTALPRICE_0">#REF!</definedName>
    <definedName name="QFLAG_00085_EQUIPMENT_656_QFCOLLOCALTOTALPRICE_0">#REF!</definedName>
    <definedName name="QFLAG_00085_EQUIPMENT_656_QFCOLORIGINALTOTALPRICE_0">#REF!</definedName>
    <definedName name="QFLAG_00250_EQUIPMENT_424_TOTALLISTPRICE">#REF!</definedName>
    <definedName name="QFLAG_00260_EQUIPMENT_425_TOTALDISCOUNTPRICE_0">#REF!</definedName>
    <definedName name="QFLAG_00260_EQUIPMENT_425_TOTALLISTPRICE_0">#REF!</definedName>
    <definedName name="QFLAG_00280_EQUIPMENT_695_QFCOLLOCALTOTALPRICE_0">#REF!</definedName>
    <definedName name="QFLAG_00280_EQUIPMENT_695_QFCOLORIGINALTOTALPRICE_0">#REF!</definedName>
    <definedName name="QFLAG_00385_EQUIPMENT_2496_QFCOLLOCALTOTALPRICE_0">#REF!</definedName>
    <definedName name="QFLAG_00385_EQUIPMENT_2496_QFCOLORIGINALTOTALPRICE_0">#REF!</definedName>
    <definedName name="QFLAG_00385_EQUIPMENT_2496_QFCOLTOTALPRICE_0">#REF!</definedName>
    <definedName name="QFLAG_00500_SPAREPART_357_TOTALDISCOUNTPRICE_0">#REF!</definedName>
    <definedName name="QFLAG_00500_SPAREPART_357_TOTALLISTPRICE">#REF!</definedName>
    <definedName name="QFLAG_00500_SPAREPART_357_TOTALLISTPRICE_0">#REF!</definedName>
    <definedName name="QFLAG_00600_EQUIPMENT_229_QFCOLLOCALTOTALPRICE_0">#REF!</definedName>
    <definedName name="QFLAG_00600_EQUIPMENT_229_QFCOLORIGINALTOTALPRICE_0">#REF!</definedName>
    <definedName name="QFLAG_DECIMAL">#REF!</definedName>
    <definedName name="QFLAG_DescColumn">#REF!</definedName>
    <definedName name="QG" hidden="1">#REF!</definedName>
    <definedName name="qg1g">#REF!</definedName>
    <definedName name="qg1h">#REF!</definedName>
    <definedName name="qg1x">#REF!</definedName>
    <definedName name="qg2g">#REF!</definedName>
    <definedName name="qg2h">#REF!</definedName>
    <definedName name="qg2x">#REF!</definedName>
    <definedName name="qgl">#REF!</definedName>
    <definedName name="qh">#REF!</definedName>
    <definedName name="qhan">#N/A</definedName>
    <definedName name="qhCu">#REF!</definedName>
    <definedName name="QHĐT">#REF!</definedName>
    <definedName name="ql">#REF!</definedName>
    <definedName name="qlac_dg">#REF!</definedName>
    <definedName name="QLAccura" hidden="1">{"Complete Spreadsheet",#N/A,FALSE,"BASIC"}</definedName>
    <definedName name="qlan">#REF!</definedName>
    <definedName name="qlda">#REF!</definedName>
    <definedName name="QLDA_">#REF!</definedName>
    <definedName name="qlda_15">#N/A</definedName>
    <definedName name="qlda_16">#N/A</definedName>
    <definedName name="qlda_17">#N/A</definedName>
    <definedName name="qlda_19">#N/A</definedName>
    <definedName name="qlda_20">#N/A</definedName>
    <definedName name="qlda_21">#N/A</definedName>
    <definedName name="qlda_22">#N/A</definedName>
    <definedName name="qlda_23">#N/A</definedName>
    <definedName name="qlda_24">#N/A</definedName>
    <definedName name="qlda_25">#N/A</definedName>
    <definedName name="qlda_26">#N/A</definedName>
    <definedName name="qlda_27">#N/A</definedName>
    <definedName name="qlda_28">#N/A</definedName>
    <definedName name="qlda_29">#N/A</definedName>
    <definedName name="qlda_30">#N/A</definedName>
    <definedName name="qlda_31">#N/A</definedName>
    <definedName name="qlda_32">#N/A</definedName>
    <definedName name="qlda_33">#N/A</definedName>
    <definedName name="qlda_34">#N/A</definedName>
    <definedName name="qlda_35">#N/A</definedName>
    <definedName name="qlda_36">#N/A</definedName>
    <definedName name="qlda_37">#N/A</definedName>
    <definedName name="qlda_38">#N/A</definedName>
    <definedName name="qlda_7">#N/A</definedName>
    <definedName name="qldabtg">#REF!</definedName>
    <definedName name="qldax">#REF!</definedName>
    <definedName name="qlday1">#REF!</definedName>
    <definedName name="qlday2">#REF!</definedName>
    <definedName name="qlday3">#REF!</definedName>
    <definedName name="qlday4">#REF!</definedName>
    <definedName name="qlday5">#REF!</definedName>
    <definedName name="QLDH_TDTT_41">#REF!</definedName>
    <definedName name="QLDH_TDTT_412">#REF!</definedName>
    <definedName name="QLHD_CDHD_15">#REF!</definedName>
    <definedName name="QLHD_CDHD_152">#REF!</definedName>
    <definedName name="QLHD_CNHD_34">#REF!</definedName>
    <definedName name="QLHD_CNHD_342">#REF!</definedName>
    <definedName name="QLHD_GHD_34">#REF!</definedName>
    <definedName name="QLHD_GHD_342">#REF!</definedName>
    <definedName name="QLHD_HHD_13">#REF!</definedName>
    <definedName name="QLHD_HHD_132">#REF!</definedName>
    <definedName name="QLHD_KHD_6">#REF!</definedName>
    <definedName name="QLHD_KHD_62">#REF!</definedName>
    <definedName name="QLHD_TH_1">#REF!</definedName>
    <definedName name="QLHD_TH_12">#REF!</definedName>
    <definedName name="QLHD_THD_34">#REF!</definedName>
    <definedName name="QLHD_THD_342">#REF!</definedName>
    <definedName name="QLMDL">#REF!</definedName>
    <definedName name="QLMPT">#REF!</definedName>
    <definedName name="QLNS">#REF!</definedName>
    <definedName name="QLNSDL">#REF!</definedName>
    <definedName name="QLNSPT">#REF!</definedName>
    <definedName name="Qmax">#REF!</definedName>
    <definedName name="Qmb">#REF!</definedName>
    <definedName name="Qmin">#REF!</definedName>
    <definedName name="Qmt">#REF!</definedName>
    <definedName name="Qn">#REF!</definedName>
    <definedName name="qnn">#N/A</definedName>
    <definedName name="qp">#REF!</definedName>
    <definedName name="qq" localSheetId="6">BlankMacro1</definedName>
    <definedName name="qq">BlankMacro1</definedName>
    <definedName name="qq_1">"blankmacro1"</definedName>
    <definedName name="qq_11">"blankmacro1"</definedName>
    <definedName name="qq_11_1">"blankmacro1"</definedName>
    <definedName name="qq_3">"blankmacro1"</definedName>
    <definedName name="qq_3_1">"blankmacro1"</definedName>
    <definedName name="qq_7">"blankmacro1"</definedName>
    <definedName name="qq_7_1">"blankmacro1"</definedName>
    <definedName name="qqq">#REF!</definedName>
    <definedName name="ｑｑｑ" hidden="1">{"'Sheet1'!$L$16"}</definedName>
    <definedName name="qqqq" hidden="1">{"'Sheet1'!$L$16"}</definedName>
    <definedName name="ｑｑｑｑ" hidden="1">{"'Sheet1'!$L$16"}</definedName>
    <definedName name="qqqqq" hidden="1">{#N/A,#N/A,TRUE,"Config1";#N/A,#N/A,TRUE,"Config2";#N/A,#N/A,TRUE,"Config3";#N/A,#N/A,TRUE,"Config4";#N/A,#N/A,TRUE,"Config5";#N/A,#N/A,TRUE,"Config6";#N/A,#N/A,TRUE,"Config7"}</definedName>
    <definedName name="qqqqqq" hidden="1">#REF!</definedName>
    <definedName name="qqqqqqqqqqqqqqqq" hidden="1">{"'Sheet1'!$L$16"}</definedName>
    <definedName name="qqqqqqqqqqqqqqqqqqqqqq" hidden="1">{"'Sheet1'!$L$16"}</definedName>
    <definedName name="qSF">#REF!</definedName>
    <definedName name="qsqs"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tatus">#REF!</definedName>
    <definedName name="Qt">#REF!</definedName>
    <definedName name="qtcgdII">#REF!</definedName>
    <definedName name="qtcgdII_1">"#REF!"</definedName>
    <definedName name="qtdm">#REF!</definedName>
    <definedName name="Qté">#N/A</definedName>
    <definedName name="QTE_TOT">#N/A</definedName>
    <definedName name="qtebt">#REF!</definedName>
    <definedName name="qth">#REF!</definedName>
    <definedName name="qtrwey" hidden="1">{"'Sheet1'!$L$16"}</definedName>
    <definedName name="Qtt">#REF!</definedName>
    <definedName name="qttgdII">#REF!</definedName>
    <definedName name="qttgdII_1">"#REF!"</definedName>
    <definedName name="QtuÊn" localSheetId="6">#REF!</definedName>
    <definedName name="QtuÊn">#N/A</definedName>
    <definedName name="Qty">#REF!</definedName>
    <definedName name="Qty_Ceiling">#REF!</definedName>
    <definedName name="Qty_Conc">#REF!</definedName>
    <definedName name="Qty_Door.Window">#REF!</definedName>
    <definedName name="Qty_Excavation">#REF!</definedName>
    <definedName name="Qty_Form">#REF!</definedName>
    <definedName name="Qty_Masonry">#REF!</definedName>
    <definedName name="Qty_of_eqpt.">#REF!</definedName>
    <definedName name="Qty_Painting">#REF!</definedName>
    <definedName name="Qty_Plastering">#REF!</definedName>
    <definedName name="Qty_Rebar">#REF!</definedName>
    <definedName name="Qty_Stone">#REF!</definedName>
    <definedName name="Qty_Total">#N/A</definedName>
    <definedName name="Qty_Wall">#REF!</definedName>
    <definedName name="qu">#REF!</definedName>
    <definedName name="qu_1">"#REF!"</definedName>
    <definedName name="qu_33">"#REF!"</definedName>
    <definedName name="qu_34">"#REF!"</definedName>
    <definedName name="qua" hidden="1">{"'Sheet1'!$L$16"}</definedName>
    <definedName name="Quan">#REF!</definedName>
    <definedName name="quan.P12" hidden="1">{"'Sheet1'!$L$16"}</definedName>
    <definedName name="Quan03">#REF!</definedName>
    <definedName name="Quan05">#REF!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Binh" localSheetId="6">#REF!</definedName>
    <definedName name="QuangBinh">#REF!</definedName>
    <definedName name="QuangNam" localSheetId="6">#REF!</definedName>
    <definedName name="QuangNam">#REF!</definedName>
    <definedName name="QuangNgai" localSheetId="6">#REF!</definedName>
    <definedName name="QuangNgai">#REF!</definedName>
    <definedName name="QuangNinh" localSheetId="6">#REF!</definedName>
    <definedName name="QuangNinh">#REF!</definedName>
    <definedName name="QUANGTIEN2">#REF!</definedName>
    <definedName name="QuangTri" localSheetId="6">#REF!</definedName>
    <definedName name="QuangTri">#REF!</definedName>
    <definedName name="quanly">#REF!</definedName>
    <definedName name="Quantities">#REF!</definedName>
    <definedName name="Quantity">#REF!</definedName>
    <definedName name="quehan">#REF!</definedName>
    <definedName name="Query1">#REF!</definedName>
    <definedName name="quetkeo">#REF!</definedName>
    <definedName name="quit">#REF!</definedName>
    <definedName name="quoan" hidden="1">{"'Sheet1'!$L$16"}</definedName>
    <definedName name="QUOC" hidden="1">[7]tifico!#REF!</definedName>
    <definedName name="QuotationByID">"None"</definedName>
    <definedName name="QuotationByName">"None"</definedName>
    <definedName name="Quote">#REF!</definedName>
    <definedName name="QUOTE_PRICEBREAK">#REF!</definedName>
    <definedName name="QUOTE_PS_PRICEBREAK">#REF!</definedName>
    <definedName name="QUOTEHOME">#REF!</definedName>
    <definedName name="quotenum">#REF!</definedName>
    <definedName name="qừq" hidden="1">{#N/A,#N/A,FALSE,"Chi tiÆt"}</definedName>
    <definedName name="quy" hidden="1">{"'Sheet1'!$L$16"}</definedName>
    <definedName name="QUYLUONG">#REF!</definedName>
    <definedName name="Quymo_1">[16]Ty_le_cntt!$K$15:$T$15</definedName>
    <definedName name="Quymo_2">[16]Ty_le_cntt!$K$45:$Q$45</definedName>
    <definedName name="Quymo_3">[16]Ty_le_cntt!$K$49:$T$49</definedName>
    <definedName name="Quymo_4">[16]Ty_le_cntt!$K$52:$S$52</definedName>
    <definedName name="qvv" hidden="1">{"'Sheet1'!$L$16"}</definedName>
    <definedName name="qW">#REF!</definedName>
    <definedName name="qwe" hidden="1">{"'Sheet1'!$L$16"}</definedName>
    <definedName name="QWER" hidden="1">{#N/A,#N/A,FALSE,"이태원철근"}</definedName>
    <definedName name="qwerr" hidden="1">{#N/A,#N/A,FALSE,"Chung"}</definedName>
    <definedName name="qwrqrq">#REF!</definedName>
    <definedName name="qwwqe" hidden="1">{"'Sheet1'!$L$16"}</definedName>
    <definedName name="qx">#REF!</definedName>
    <definedName name="qy">#REF!</definedName>
    <definedName name="qzqzqz10">#REF!</definedName>
    <definedName name="qzqzqz11">#REF!</definedName>
    <definedName name="qzqzqz12">#REF!</definedName>
    <definedName name="qzqzqz13">#REF!</definedName>
    <definedName name="qzqzqz14">#REF!</definedName>
    <definedName name="qzqzqz15">#REF!</definedName>
    <definedName name="qzqzqz16">#REF!</definedName>
    <definedName name="qzqzqz17">#REF!</definedName>
    <definedName name="qzqzqz18">#REF!</definedName>
    <definedName name="qzqzqz19">#REF!</definedName>
    <definedName name="qzqzqz20">#REF!</definedName>
    <definedName name="qzqzqz21">#REF!</definedName>
    <definedName name="qzqzqz22">#REF!</definedName>
    <definedName name="qzqzqz23">#REF!</definedName>
    <definedName name="qzqzqz24">#REF!</definedName>
    <definedName name="qzqzqz25">#REF!</definedName>
    <definedName name="qzqzqz26">#REF!</definedName>
    <definedName name="qzqzqz27">#REF!</definedName>
    <definedName name="qzqzqz28">#REF!</definedName>
    <definedName name="qzqzqz29">#REF!</definedName>
    <definedName name="qzqzqz30">#REF!</definedName>
    <definedName name="qzqzqz31">#REF!</definedName>
    <definedName name="qzqzqz32">#REF!</definedName>
    <definedName name="qzqzqz6">#REF!</definedName>
    <definedName name="qzqzqz7">#REF!</definedName>
    <definedName name="qzqzqz8">#REF!</definedName>
    <definedName name="qzqzqz9">#REF!</definedName>
    <definedName name="r_">#REF!</definedName>
    <definedName name="R_GENERAL_RISK">#REF!</definedName>
    <definedName name="R_GSTC1">#N/A</definedName>
    <definedName name="R_GSTC2">#N/A</definedName>
    <definedName name="R_HSMT_TB1">#N/A</definedName>
    <definedName name="R_HSMT_TB2">#N/A</definedName>
    <definedName name="R_HSMT_XL">#REF!</definedName>
    <definedName name="R_ke">#N/A</definedName>
    <definedName name="R_KIEMTOAN">#N/A</definedName>
    <definedName name="R_LAPDUAN1">#N/A</definedName>
    <definedName name="R_LAPDUAN2">#N/A</definedName>
    <definedName name="r_loc_hb">#REF!</definedName>
    <definedName name="R_mong">#REF!</definedName>
    <definedName name="R_QLDA1">#N/A</definedName>
    <definedName name="R_QLDA2">#N/A</definedName>
    <definedName name="R_QUYETTOAN">#N/A</definedName>
    <definedName name="R_THAMTRA_TDT1">#N/A</definedName>
    <definedName name="R_THAMTRA_TDT2">#N/A</definedName>
    <definedName name="R_THAMTRA_TKTC1">#N/A</definedName>
    <definedName name="R_THAMTRA_TKTC2">#N/A</definedName>
    <definedName name="R_THAMTRADUAN1">#REF!</definedName>
    <definedName name="R_THAMTRADUAN2">#REF!</definedName>
    <definedName name="R_TKTC1">#N/A</definedName>
    <definedName name="R_TKTC2">#REF!</definedName>
    <definedName name="R_TKTC3">#N/A</definedName>
    <definedName name="R_tt">#REF!</definedName>
    <definedName name="R_WAR_PROF">#REF!</definedName>
    <definedName name="R0_1">#REF!</definedName>
    <definedName name="r0_14">#REF!</definedName>
    <definedName name="r0_18">#REF!</definedName>
    <definedName name="R0_2">#REF!</definedName>
    <definedName name="R00">#REF!</definedName>
    <definedName name="R00t">#REF!</definedName>
    <definedName name="R2.6">#REF!</definedName>
    <definedName name="ra">#REF!</definedName>
    <definedName name="ra.">#REF!</definedName>
    <definedName name="Ra_">#REF!</definedName>
    <definedName name="ra11p">#REF!</definedName>
    <definedName name="ra11p_18">#REF!</definedName>
    <definedName name="ra13p">#REF!</definedName>
    <definedName name="ra13p_18">#REF!</definedName>
    <definedName name="rachCam" hidden="1">{"'Sheet1'!$L$16"}</definedName>
    <definedName name="Rack">#REF!</definedName>
    <definedName name="RACK___REC">#REF!</definedName>
    <definedName name="rack1">#REF!</definedName>
    <definedName name="rack1_14">#REF!</definedName>
    <definedName name="rack2">#REF!</definedName>
    <definedName name="rack2_14">#REF!</definedName>
    <definedName name="rack3">#REF!</definedName>
    <definedName name="rack3_14">#REF!</definedName>
    <definedName name="rack4">#REF!</definedName>
    <definedName name="rack4_14">#REF!</definedName>
    <definedName name="RACKHOME">#REF!</definedName>
    <definedName name="Racot">#REF!</definedName>
    <definedName name="Radam">#REF!</definedName>
    <definedName name="radio">#REF!</definedName>
    <definedName name="radio_test_equipment">#REF!</definedName>
    <definedName name="RADIOPDH">#REF!</definedName>
    <definedName name="RADIOPDHUX">#REF!</definedName>
    <definedName name="RADIOSDH">#REF!</definedName>
    <definedName name="Radius_Relative_Stiffness_d">#REF!</definedName>
    <definedName name="rai">#N/A</definedName>
    <definedName name="raiAC60">#N/A</definedName>
    <definedName name="raiasphalt100">#REF!</definedName>
    <definedName name="raiasphalt65">#REF!</definedName>
    <definedName name="raibtn20T">#REF!</definedName>
    <definedName name="raicangday">#REF!</definedName>
    <definedName name="raicapphoi">#N/A</definedName>
    <definedName name="raicp">#REF!</definedName>
    <definedName name="raicp50_60m3">#REF!</definedName>
    <definedName name="Rain">#N/A</definedName>
    <definedName name="rain.">#N/A</definedName>
    <definedName name="rain..">#REF!</definedName>
    <definedName name="RAM">#REF!</definedName>
    <definedName name="RAM_ratio">70%</definedName>
    <definedName name="rang1">#REF!</definedName>
    <definedName name="range">#REF!</definedName>
    <definedName name="range_cfo">#REF!</definedName>
    <definedName name="RANGE2">#REF!</definedName>
    <definedName name="ranhtrai" hidden="1">{"'Sheet1'!$L$16"}</definedName>
    <definedName name="Ranhxay" hidden="1">{"'Sheet1'!$L$16"}</definedName>
    <definedName name="Rate" localSheetId="6">14563</definedName>
    <definedName name="rate">14000</definedName>
    <definedName name="rate_14">14000</definedName>
    <definedName name="Rate_18">14563</definedName>
    <definedName name="Rate_APPROVE">#REF!</definedName>
    <definedName name="Rate_AUDIT">#REF!</definedName>
    <definedName name="Rate_BID">#REF!</definedName>
    <definedName name="Rate_DESIGN">#REF!</definedName>
    <definedName name="Rate_DEVICES">#REF!</definedName>
    <definedName name="Rate_ESTIMATE">#REF!</definedName>
    <definedName name="Rate_QLDA">#REF!</definedName>
    <definedName name="rate_USD">#REF!</definedName>
    <definedName name="Rate_VERIFY">#REF!</definedName>
    <definedName name="rate1">17823</definedName>
    <definedName name="Rate2004">#REF!</definedName>
    <definedName name="ratem">#REF!</definedName>
    <definedName name="ratePC">#REF!</definedName>
    <definedName name="ratePC2">#REF!</definedName>
    <definedName name="rates">#REF!</definedName>
    <definedName name="ratio">70%</definedName>
    <definedName name="Raûi_pheân_tre">#REF!</definedName>
    <definedName name="RawAgencyPrice">#REF!</definedName>
    <definedName name="RAY">#REF!</definedName>
    <definedName name="raypb43">#REF!</definedName>
    <definedName name="rb">#REF!</definedName>
    <definedName name="rb.">#REF!</definedName>
    <definedName name="RBData">#REF!</definedName>
    <definedName name="Rbe">#REF!</definedName>
    <definedName name="rc.">#REF!</definedName>
    <definedName name="Rc_">#REF!</definedName>
    <definedName name="Rc_ct">#REF!</definedName>
    <definedName name="RCArea" hidden="1">#REF!</definedName>
    <definedName name="Rcc">#REF!</definedName>
    <definedName name="RCF">#REF!</definedName>
    <definedName name="rche">#REF!</definedName>
    <definedName name="RCKM">#REF!</definedName>
    <definedName name="RCL_24">#REF!</definedName>
    <definedName name="RCL_24a">#REF!</definedName>
    <definedName name="RCL_35">#REF!</definedName>
    <definedName name="Rcsd">#REF!</definedName>
    <definedName name="Rcsd_1">"#REF!"</definedName>
    <definedName name="rct">#REF!</definedName>
    <definedName name="Rctc">#REF!</definedName>
    <definedName name="Rctc_1">"#REF!"</definedName>
    <definedName name="Rctpt">#REF!</definedName>
    <definedName name="Rctt">#REF!</definedName>
    <definedName name="Rctt_1">"#REF!"</definedName>
    <definedName name="RCU_Area1">#REF!,#REF!,#REF!,#REF!,#REF!,#REF!,#REF!,#REF!,#REF!,#REF!,#REF!,#REF!,#REF!,#REF!,#REF!</definedName>
    <definedName name="RCU_Area2">#REF!,#REF!,#REF!,#REF!,#REF!,#REF!,#REF!,#REF!,#REF!,#REF!,#REF!,#REF!,#REF!,#REF!,#REF!,#REF!</definedName>
    <definedName name="RD">[17]HS!$H$2</definedName>
    <definedName name="RDAM">#REF!</definedName>
    <definedName name="RDEC">#REF!</definedName>
    <definedName name="RDEFF">#REF!</definedName>
    <definedName name="RDFC">#REF!</definedName>
    <definedName name="RDFU">#REF!</definedName>
    <definedName name="RDLIF">#REF!</definedName>
    <definedName name="RDOM">#REF!</definedName>
    <definedName name="RDPC">#REF!</definedName>
    <definedName name="rdpcf">#REF!</definedName>
    <definedName name="RDRC">#REF!</definedName>
    <definedName name="rdrdd" hidden="1">{#N/A,#N/A,FALSE,"Chi tiÆt"}</definedName>
    <definedName name="RDRF">#REF!</definedName>
    <definedName name="Rdtc">#REF!</definedName>
    <definedName name="re">#REF!</definedName>
    <definedName name="re_price">#REF!</definedName>
    <definedName name="ready_in_band">#REF!</definedName>
    <definedName name="RearSlotDatabase">#REF!</definedName>
    <definedName name="RearSlotIndex">#REF!</definedName>
    <definedName name="RearSlotLabels">#REF!</definedName>
    <definedName name="RECBSS">#REF!</definedName>
    <definedName name="RECMW">#REF!</definedName>
    <definedName name="RECNCIT">#REF!</definedName>
    <definedName name="RECNSEL">#REF!</definedName>
    <definedName name="_xlnm.Recorder">#REF!</definedName>
    <definedName name="RECOT">#REF!</definedName>
    <definedName name="RECOUT" localSheetId="6">#REF!</definedName>
    <definedName name="RECOUT">#N/A</definedName>
    <definedName name="RECOUT_14">NA()</definedName>
    <definedName name="RECOUT_18">NA()</definedName>
    <definedName name="Recover">#REF!</definedName>
    <definedName name="RECT_SW">#REF!</definedName>
    <definedName name="rectifiers">#REF!</definedName>
    <definedName name="RECTOT">#REF!</definedName>
    <definedName name="RED">[0]!RED</definedName>
    <definedName name="RED_RIVER_BRIDGE__THANH_TRI_BRIDGE__CONSTRUCTION_PROJECT">#REF!</definedName>
    <definedName name="REDIRECT_SECTION">#N/A</definedName>
    <definedName name="Reduction" hidden="1">{#N/A,#N/A,TRUE,"Str.";#N/A,#N/A,TRUE,"Steel &amp; Roof";#N/A,#N/A,TRUE,"Arc.";#N/A,#N/A,TRUE,"Preliminary";#N/A,#N/A,TRUE,"Sum_Prelim"}</definedName>
    <definedName name="Redundancy_Scheme">#REF!</definedName>
    <definedName name="REE">#REF!</definedName>
    <definedName name="REENTECH">#REF!</definedName>
    <definedName name="ref">#REF!</definedName>
    <definedName name="REF_A_DISC62148250">#REF!</definedName>
    <definedName name="REF_B_DISC62148250">#REF!</definedName>
    <definedName name="REF_C1_DISC62148250">#REF!</definedName>
    <definedName name="REF_C2_DISC62148250">#REF!</definedName>
    <definedName name="REF_C3_DISC62148250">#REF!</definedName>
    <definedName name="REF_D_DISC62148250">#REF!</definedName>
    <definedName name="REF_F_DISC62148250">#REF!</definedName>
    <definedName name="Ref_item_R22">#REF!</definedName>
    <definedName name="Ref_item_R22upg">#REF!</definedName>
    <definedName name="ref_prix">#REF!</definedName>
    <definedName name="Ref_to_Sell">#REF!</definedName>
    <definedName name="reference">#N/A</definedName>
    <definedName name="RefTableau">#REF!</definedName>
    <definedName name="REG">#REF!</definedName>
    <definedName name="reg_plane">#REF!</definedName>
    <definedName name="REGATTS">#REF!</definedName>
    <definedName name="Region">#REF!</definedName>
    <definedName name="region_nb">#REF!</definedName>
    <definedName name="Regional" hidden="1">{#N/A,#N/A,FALSE,"mgtsum.XLS";#N/A,#N/A,FALSE,"CAPONE";#N/A,#N/A,FALSE,"CAPTWO";#N/A,#N/A,FALSE,"CAPTHREE"}</definedName>
    <definedName name="reheh">#REF!</definedName>
    <definedName name="Relative_Damage">#REF!</definedName>
    <definedName name="Release">#REF!</definedName>
    <definedName name="Reliability">#REF!</definedName>
    <definedName name="REM">#N/A</definedName>
    <definedName name="rembsc">#REF!</definedName>
    <definedName name="rembts">#REF!</definedName>
    <definedName name="remise2000">#REF!</definedName>
    <definedName name="remise2001">#REF!</definedName>
    <definedName name="remise99">#REF!</definedName>
    <definedName name="REMK">#N/A</definedName>
    <definedName name="RemoteAccess">#REF!</definedName>
    <definedName name="REO">#REF!</definedName>
    <definedName name="rep_col">#REF!</definedName>
    <definedName name="Repair_Basic_Enh_SN">#REF!</definedName>
    <definedName name="Repair_Basic_Enh_VLN">#REF!</definedName>
    <definedName name="Repair_Basic_Std_LN">#REF!</definedName>
    <definedName name="Repair_Basic_Std_SN">#REF!</definedName>
    <definedName name="Repair_Basic_Std_VLN">#REF!</definedName>
    <definedName name="repair_costs">#REF!</definedName>
    <definedName name="Repair_L">#REF!</definedName>
    <definedName name="Repair_M">#REF!</definedName>
    <definedName name="Repair_Plus_Enh_LN">#REF!</definedName>
    <definedName name="Repair_Plus_Enh_SN">#REF!</definedName>
    <definedName name="Repair_Plus_Enh_VLN">#REF!</definedName>
    <definedName name="Repair_Plus_Std_LN">#REF!</definedName>
    <definedName name="Repair_Plus_Std_SN">#REF!</definedName>
    <definedName name="Repair_Plus_Std_VLN">#REF!</definedName>
    <definedName name="Repair_Premier_Enh_LN">#REF!</definedName>
    <definedName name="Repair_Premier_Enh_SN">#REF!</definedName>
    <definedName name="Repair_Premier_Enh_VLN">#REF!</definedName>
    <definedName name="Repair_Premier_Std_LN">#REF!</definedName>
    <definedName name="Repair_Premier_Std_SN">#REF!</definedName>
    <definedName name="Repair_Premier_Std_VLN">#REF!</definedName>
    <definedName name="Repair_S">#REF!</definedName>
    <definedName name="Repair_VL">#REF!</definedName>
    <definedName name="repairs_UP">#REF!</definedName>
    <definedName name="Repat_tax">#REF!</definedName>
    <definedName name="replacement_cost">#REF!</definedName>
    <definedName name="REPORT_LINES_TO_FORMAT">#N/A</definedName>
    <definedName name="REPORT_LINES_TO_FORMAT0">#N/A</definedName>
    <definedName name="REPORT_LINES_TO_FORMAT1">#N/A</definedName>
    <definedName name="REPORT_LINES_TO_FORMAT2">#N/A</definedName>
    <definedName name="REPORT_TOTALS_TO_FORMAT">#N/A</definedName>
    <definedName name="REPORT_TOTALS_TO_FORMAT0">#N/A</definedName>
    <definedName name="REPORT_TOTALS_TO_FORMAT1">#N/A</definedName>
    <definedName name="REPORT_TOTALS_TO_FORMAT2">#N/A</definedName>
    <definedName name="REPORT_TOTALS_TO_FORMAT3">#N/A</definedName>
    <definedName name="REPORT_TOTALS_TO_FORMAT4">#N/A</definedName>
    <definedName name="REPORT_TOTALS_TO_FORMAT5">#N/A</definedName>
    <definedName name="REPORT01">#REF!</definedName>
    <definedName name="REPORT02">#REF!</definedName>
    <definedName name="report1" hidden="1">{#N/A,#N/A,FALSE,"特殊室（ＢＱ表）"}</definedName>
    <definedName name="report2" hidden="1">{#N/A,#N/A,FALSE,"特殊室（ＢＱ表）"}</definedName>
    <definedName name="reportanz">#REF!</definedName>
    <definedName name="reportcf">#REF!</definedName>
    <definedName name="ReportTitle11">#REF!</definedName>
    <definedName name="ReportTitle12">#REF!</definedName>
    <definedName name="ReportTitle13">#REF!</definedName>
    <definedName name="ReportTitle14">#REF!</definedName>
    <definedName name="ReportTitle21">#REF!</definedName>
    <definedName name="ReportTitle31">#REF!</definedName>
    <definedName name="ReportTitle32">#REF!</definedName>
    <definedName name="ReportTitle33">#REF!</definedName>
    <definedName name="ReportTitle41">#REF!</definedName>
    <definedName name="ReportTitle51">#REF!</definedName>
    <definedName name="ReportTitle52">#REF!</definedName>
    <definedName name="ReportTitle61">#REF!</definedName>
    <definedName name="ReportTitle62">#REF!</definedName>
    <definedName name="ReportTitle63">#REF!</definedName>
    <definedName name="ReportTitle64">#REF!</definedName>
    <definedName name="ReportTitle65">#REF!</definedName>
    <definedName name="ReportTitle66">#REF!</definedName>
    <definedName name="ReportTitle67">#REF!</definedName>
    <definedName name="ReportTitle71">#REF!</definedName>
    <definedName name="ReportTitle72">#REF!</definedName>
    <definedName name="ReportTitle73">#REF!</definedName>
    <definedName name="ReportTitle81">#REF!</definedName>
    <definedName name="ReportTitle82">#REF!</definedName>
    <definedName name="ReportTitle83">#REF!</definedName>
    <definedName name="ReportTitle84">#REF!</definedName>
    <definedName name="ReportTitle91">#REF!</definedName>
    <definedName name="ReportTitle92">#REF!</definedName>
    <definedName name="ReportTitle93">#REF!</definedName>
    <definedName name="reportvcbE">#REF!</definedName>
    <definedName name="reportvcbV">#REF!</definedName>
    <definedName name="RepZeit">#REF!</definedName>
    <definedName name="requestreason">#REF!</definedName>
    <definedName name="requestreason2">#REF!</definedName>
    <definedName name="res" hidden="1">{"MG-2002-F1",#N/A,FALSE,"PPU-Telemig";"MG-2002-F2",#N/A,FALSE,"PPU-Telemig";"MG-2002-F3",#N/A,FALSE,"PPU-Telemig";"MG-2002-F4",#N/A,FALSE,"PPU-Telemig";"MG-2003-F1",#N/A,FALSE,"PPU-Telemig";"MG-2004-F1",#N/A,FALSE,"PPU-Telemig"}</definedName>
    <definedName name="Resale">#REF!</definedName>
    <definedName name="Reselects">#REF!</definedName>
    <definedName name="reset_conf">#REF!</definedName>
    <definedName name="ResourceList">#REF!</definedName>
    <definedName name="Resources">#REF!</definedName>
    <definedName name="Restric">#REF!</definedName>
    <definedName name="Result">#REF!</definedName>
    <definedName name="Result21" hidden="1">{"'Sheet1'!$L$16"}</definedName>
    <definedName name="RET_6.5">#REF!</definedName>
    <definedName name="retÎtettt">#REF!</definedName>
    <definedName name="retn" hidden="1">{"'Sheet1'!$L$16"}</definedName>
    <definedName name="Retrofit">#REF!</definedName>
    <definedName name="reuse">#REF!</definedName>
    <definedName name="RevenueList">#REF!</definedName>
    <definedName name="Revised" hidden="1">[7]tifico!#REF!</definedName>
    <definedName name="rew" hidden="1">{#N/A,#N/A,FALSE,"Chi tiÆt"}</definedName>
    <definedName name="RFBSS">#N/A</definedName>
    <definedName name="RFE">#REF!</definedName>
    <definedName name="RFE_cost">#REF!</definedName>
    <definedName name="rfhfgjfgjgfjfjfh" hidden="1">{"'Sheet1'!$L$16"}</definedName>
    <definedName name="RFMW">#REF!,#REF!,#REF!,#REF!,#REF!,#REF!,#REF!,#REF!,#REF!,#REF!,#REF!,#REF!,#REF!</definedName>
    <definedName name="RFNCIT">#N/A</definedName>
    <definedName name="RFNSEL">#N/A</definedName>
    <definedName name="RFNZ3">#REF!</definedName>
    <definedName name="RFOT">#N/A</definedName>
    <definedName name="RFP003A" localSheetId="6">#REF!</definedName>
    <definedName name="RFP003A">#REF!</definedName>
    <definedName name="RFP003A_1">"#REF!"</definedName>
    <definedName name="RFP003A_18">#REF!</definedName>
    <definedName name="RFP003AA">#REF!</definedName>
    <definedName name="RFP003B" localSheetId="6">#REF!</definedName>
    <definedName name="RFP003B">#REF!</definedName>
    <definedName name="RFP003B_1">"#REF!"</definedName>
    <definedName name="RFP003B_18">#REF!</definedName>
    <definedName name="RFP003C" localSheetId="6">#REF!</definedName>
    <definedName name="RFP003C">#REF!</definedName>
    <definedName name="RFP003C_1">"#REF!"</definedName>
    <definedName name="RFP003C_18">#REF!</definedName>
    <definedName name="RFP003D" localSheetId="6">#REF!</definedName>
    <definedName name="RFP003D">#REF!</definedName>
    <definedName name="RFP003D_18">#REF!</definedName>
    <definedName name="RFP003E" localSheetId="6">#REF!</definedName>
    <definedName name="RFP003E">#REF!</definedName>
    <definedName name="RFP003E_18">#REF!</definedName>
    <definedName name="RFP003F" localSheetId="6">#REF!</definedName>
    <definedName name="RFP003F">#REF!</definedName>
    <definedName name="RFP003F_18">#REF!</definedName>
    <definedName name="RFS">#REF!</definedName>
    <definedName name="RFWR">#REF!</definedName>
    <definedName name="rfyu" hidden="1">{#N/A,#N/A,FALSE,"Chi tiÆt"}</definedName>
    <definedName name="rgdf" hidden="1">{"'Sheet1'!$L$16"}</definedName>
    <definedName name="rggsg" hidden="1">{"'Sheet1'!$L$16"}</definedName>
    <definedName name="RGLIF">#REF!</definedName>
    <definedName name="rgrsg">#N/A</definedName>
    <definedName name="rgshds" hidden="1">{"'Sheet1'!$L$16"}</definedName>
    <definedName name="RH" hidden="1">{"'Sheet1'!$L$16"}</definedName>
    <definedName name="RhCockh">#REF!</definedName>
    <definedName name="RHEC">#REF!</definedName>
    <definedName name="RHEFF">#REF!</definedName>
    <definedName name="rheh">#REF!</definedName>
    <definedName name="rhgrs" hidden="1">{"'Sheet1'!$L$16"}</definedName>
    <definedName name="RHHC">#REF!</definedName>
    <definedName name="RHLIF">#REF!</definedName>
    <definedName name="RHODIA" hidden="1">{"'DocTypeCode'!$A$142:$A$226"}</definedName>
    <definedName name="RHOM">#REF!</definedName>
    <definedName name="rhrewhehe" hidden="1">{#N/A,#N/A,FALSE,"Chi tiÆt"}</definedName>
    <definedName name="ri">#REF!</definedName>
    <definedName name="Ricoh">#REF!</definedName>
    <definedName name="right">2</definedName>
    <definedName name="ring1">#REF!</definedName>
    <definedName name="ring2">#REF!</definedName>
    <definedName name="RIR">#REF!</definedName>
    <definedName name="Risk">#REF!</definedName>
    <definedName name="RiskAutoStopPercChange">1.5</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10000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StatFunctionsUpdateFreq">1</definedName>
    <definedName name="RiskTemplateSheetName">"myTemplate"</definedName>
    <definedName name="RiskUpdateDisplay">FALSE</definedName>
    <definedName name="RiskUpdateStatFunctions">TRUE</definedName>
    <definedName name="RiskUseDifferentSeedForEachSim">FALSE</definedName>
    <definedName name="RiskUseFixedSeed">FALSE</definedName>
    <definedName name="RiskUseMultipleCPUs">FALSE</definedName>
    <definedName name="River">#REF!</definedName>
    <definedName name="River_Code">#REF!</definedName>
    <definedName name="rjf" hidden="1">{"Offgrid",#N/A,FALSE,"OFFGRID";"Region",#N/A,FALSE,"REGION";"Offgrid -2",#N/A,FALSE,"OFFGRID";"WTP",#N/A,FALSE,"WTP";"WTP -2",#N/A,FALSE,"WTP";"Project",#N/A,FALSE,"PROJECT";"Summary -2",#N/A,FALSE,"SUMMARY"}</definedName>
    <definedName name="rk">#REF!</definedName>
    <definedName name="rkc">#REF!</definedName>
    <definedName name="rkd">{#N/A,#N/A,FALSE,"CCTV"}</definedName>
    <definedName name="Rl">#REF!</definedName>
    <definedName name="RLd">#REF!</definedName>
    <definedName name="RLF">#REF!</definedName>
    <definedName name="RLKM">#REF!</definedName>
    <definedName name="RLL">#REF!</definedName>
    <definedName name="RLOM">#REF!</definedName>
    <definedName name="Rlt_bt">#REF!</definedName>
    <definedName name="Rm_FF">#REF!</definedName>
    <definedName name="RMCG">#REF!</definedName>
    <definedName name="RMP">#N/A</definedName>
    <definedName name="RMSP_LSY">#REF!</definedName>
    <definedName name="rmx_ban">#REF!</definedName>
    <definedName name="RMX_vao">#REF!</definedName>
    <definedName name="rn">#REF!</definedName>
    <definedName name="Rncot">#REF!</definedName>
    <definedName name="Rnd">#REF!</definedName>
    <definedName name="Rndam">#REF!</definedName>
    <definedName name="rng3630_Spare">#REF!</definedName>
    <definedName name="rng5620_NM">#REF!</definedName>
    <definedName name="rng7270_MSC">#REF!</definedName>
    <definedName name="rng7450_ESS_1">#REF!</definedName>
    <definedName name="rng7450_ESS_7">#REF!</definedName>
    <definedName name="rng7470_MSP">#REF!</definedName>
    <definedName name="rng7670_RSP">#REF!</definedName>
    <definedName name="rng7670_RSP_ESE">#REF!</definedName>
    <definedName name="rng7710_SR_c12">#REF!</definedName>
    <definedName name="rng7750_SR_4">#REF!</definedName>
    <definedName name="rng7750_SR_7">#REF!</definedName>
    <definedName name="rng7770_OBX">#REF!</definedName>
    <definedName name="rnhum" hidden="1">{"'Sheet1'!$L$16"}</definedName>
    <definedName name="RNOdiscount">#REF!</definedName>
    <definedName name="rnp" localSheetId="6">32</definedName>
    <definedName name="Rnp">#REF!</definedName>
    <definedName name="RNPWKSA">#REF!</definedName>
    <definedName name="RNR">#REF!</definedName>
    <definedName name="ro">#N/A</definedName>
    <definedName name="ro0">#REF!</definedName>
    <definedName name="Road" hidden="1">{"'Sheet1'!$L$16"}</definedName>
    <definedName name="Road_Code">#REF!</definedName>
    <definedName name="Road_Name">#REF!</definedName>
    <definedName name="Roadfreight">#REF!</definedName>
    <definedName name="RoadNo_373">#REF!</definedName>
    <definedName name="roamgrow">#REF!</definedName>
    <definedName name="RoamingCell">#REF!</definedName>
    <definedName name="ROE_TRX">#REF!</definedName>
    <definedName name="rong1">#REF!</definedName>
    <definedName name="rong2">#REF!</definedName>
    <definedName name="rong3">#REF!</definedName>
    <definedName name="rong4">#REF!</definedName>
    <definedName name="rong5">#REF!</definedName>
    <definedName name="rong6">#REF!</definedName>
    <definedName name="RoofingWork">#N/A</definedName>
    <definedName name="RoofingWork_18">#REF!</definedName>
    <definedName name="Round">#REF!</definedName>
    <definedName name="Roundabout2030" hidden="1">{"'Sheet1'!$L$16"}</definedName>
    <definedName name="ROUNDING">#REF!</definedName>
    <definedName name="roundup">#REF!</definedName>
    <definedName name="RoundUps">#REF!</definedName>
    <definedName name="ROUTER">#REF!</definedName>
    <definedName name="row" hidden="1">#REF!</definedName>
    <definedName name="row_hide">#REF!</definedName>
    <definedName name="row_unhide">#REF!</definedName>
    <definedName name="row1_XN">#REF!</definedName>
    <definedName name="row1_XNR">#REF!</definedName>
    <definedName name="rowdex">#REF!</definedName>
    <definedName name="rowhide">#REF!</definedName>
    <definedName name="RP_label">#REF!</definedName>
    <definedName name="RPHEC">#REF!</definedName>
    <definedName name="RPHLIF">#REF!</definedName>
    <definedName name="RPHOM">#REF!</definedName>
    <definedName name="RPHPC">#REF!</definedName>
    <definedName name="RPLA" hidden="1">{"'Sheet1'!$L$16"}</definedName>
    <definedName name="RPM_Pr">#REF!</definedName>
    <definedName name="rps">#REF!</definedName>
    <definedName name="rr"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rr_">#REF!</definedName>
    <definedName name="RRA">#REF!</definedName>
    <definedName name="Rrpo">#REF!</definedName>
    <definedName name="rrr" hidden="1">{"'现金流量表（全部投资）'!$B$4:$P$23"}</definedName>
    <definedName name="ｒｒｒｒ" hidden="1">{"'Sheet1'!$L$16"}</definedName>
    <definedName name="RRRRR">#REF!</definedName>
    <definedName name="rrrrt" hidden="1">#REF!</definedName>
    <definedName name="RRT_Cell">#REF!</definedName>
    <definedName name="rrtr" hidden="1">{"'Sheet1'!$L$16"}</definedName>
    <definedName name="rrtrtrt" hidden="1">{"'Summary'!$A$1:$J$46"}</definedName>
    <definedName name="rryrr" hidden="1">{"'Sheet1'!$L$16"}</definedName>
    <definedName name="Rs">#REF!</definedName>
    <definedName name="rs_faf">#REF!</definedName>
    <definedName name="rs16k_cm_nbr">#REF!</definedName>
    <definedName name="rs16k_pup">#REF!</definedName>
    <definedName name="rs16k_reup">#REF!</definedName>
    <definedName name="rs16k_slot_nbrs">#REF!</definedName>
    <definedName name="rs38k_pup">#REF!</definedName>
    <definedName name="rs38k_reup">#REF!</definedName>
    <definedName name="rs3k_base">#REF!</definedName>
    <definedName name="rs3k_pup">#REF!</definedName>
    <definedName name="rs3k_reup">#REF!</definedName>
    <definedName name="rs3k_slot_nbrs">#REF!</definedName>
    <definedName name="rs86k_base">#REF!</definedName>
    <definedName name="rs86k_cm">#REF!</definedName>
    <definedName name="rs86k_cm_nbr">#REF!</definedName>
    <definedName name="rs86k_pwr">#REF!</definedName>
    <definedName name="rs86k_slot_nbrs">#REF!</definedName>
    <definedName name="rs8k_cm_nbr">#REF!</definedName>
    <definedName name="rs8k_pup">#REF!</definedName>
    <definedName name="rs8k_reup">#REF!</definedName>
    <definedName name="rs8k_slot_nbrs">#REF!</definedName>
    <definedName name="RSA">#REF!</definedName>
    <definedName name="RSBC">#REF!</definedName>
    <definedName name="RSBLIF">#REF!</definedName>
    <definedName name="RSD">#REF!</definedName>
    <definedName name="RSIC">#REF!</definedName>
    <definedName name="RSIN">#REF!</definedName>
    <definedName name="RSLIF">#REF!</definedName>
    <definedName name="RSOM">#REF!</definedName>
    <definedName name="RSPI">#REF!</definedName>
    <definedName name="RSPriceHWPF22">#REF!</definedName>
    <definedName name="RSPriceSWPF22">#REF!</definedName>
    <definedName name="rss" hidden="1">'[18]TOSHIBA-Structure'!#REF!</definedName>
    <definedName name="RSSC">#REF!</definedName>
    <definedName name="rsýhd">#N/A</definedName>
    <definedName name="RT">#REF!</definedName>
    <definedName name="RT_10">#REF!</definedName>
    <definedName name="RT_11">#REF!</definedName>
    <definedName name="RT_12">#REF!</definedName>
    <definedName name="RT_13">#REF!</definedName>
    <definedName name="RT_14">#REF!</definedName>
    <definedName name="rtc">#REF!</definedName>
    <definedName name="Rtc_14">#REF!</definedName>
    <definedName name="Rtc_18">#REF!</definedName>
    <definedName name="Rtd">#REF!</definedName>
    <definedName name="RTEflag">#REF!</definedName>
    <definedName name="RTEG">#REF!</definedName>
    <definedName name="Rth">#REF!</definedName>
    <definedName name="rthan">#REF!</definedName>
    <definedName name="rthttr" hidden="1">{"'Sheet1'!$L$16"}</definedName>
    <definedName name="rtÎ">#REF!</definedName>
    <definedName name="rtjrt">#REF!</definedName>
    <definedName name="rtr" hidden="1">{"'Sheet1'!$L$16"}</definedName>
    <definedName name="rtrt44t4" hidden="1">{"'Sheet1'!$L$16"}</definedName>
    <definedName name="rtrtr" hidden="1">{"'Sheet1'!$L$16"}</definedName>
    <definedName name="rtrtrtr" hidden="1">{"'Sheet1'!$L$16"}</definedName>
    <definedName name="rtrtryry" hidden="1">{"'Sheet1'!$L$16"}</definedName>
    <definedName name="RTSP">#REF!</definedName>
    <definedName name="RTT">#REF!</definedName>
    <definedName name="RTU_Radio">#REF!</definedName>
    <definedName name="RTU_SCP">#REF!</definedName>
    <definedName name="RTUDiscount">#REF!</definedName>
    <definedName name="RTUOptions">#REF!</definedName>
    <definedName name="RTUPlatform">#REF!</definedName>
    <definedName name="RTUs">#REF!</definedName>
    <definedName name="RTUService">#REF!</definedName>
    <definedName name="RTV">#REF!</definedName>
    <definedName name="RTVD">#REF!</definedName>
    <definedName name="Ru">#REF!</definedName>
    <definedName name="Ru_bt">#REF!</definedName>
    <definedName name="RU_EOTCA">#REF!</definedName>
    <definedName name="RU_SLTC">#REF!</definedName>
    <definedName name="Rückkehrzeit">#REF!</definedName>
    <definedName name="Rucoc">#REF!</definedName>
    <definedName name="RuleHelp">#REF!</definedName>
    <definedName name="rung25">#N/A</definedName>
    <definedName name="Rustic20">#REF!</definedName>
    <definedName name="ruu">#REF!</definedName>
    <definedName name="ruv">#REF!</definedName>
    <definedName name="ruw">#REF!</definedName>
    <definedName name="ruỷuyury" hidden="1">{#N/A,#N/A,FALSE,"Chi tiÆt"}</definedName>
    <definedName name="rvv">#REF!</definedName>
    <definedName name="rvw">#REF!</definedName>
    <definedName name="RWTPhi">#REF!</definedName>
    <definedName name="RWTPlo">#REF!</definedName>
    <definedName name="rww">#REF!</definedName>
    <definedName name="RXGD">#REF!</definedName>
    <definedName name="ryedfg">{#N/A,#N/A,FALSE,"CCTV"}</definedName>
    <definedName name="ryhtrd" hidden="1">{#N/A,#N/A,FALSE,"Chi tiÆt"}</definedName>
    <definedName name="rỷyryry" hidden="1">{#N/A,#N/A,FALSE,"Chi tiÆt"}</definedName>
    <definedName name="s" localSheetId="6" hidden="1">{"'Sheet1'!$L$16"}</definedName>
    <definedName name="s">#N/A</definedName>
    <definedName name="s.">#REF!</definedName>
    <definedName name="S_">#REF!</definedName>
    <definedName name="s_0">#REF!</definedName>
    <definedName name="s_0cd">#REF!</definedName>
    <definedName name="S_1">#REF!</definedName>
    <definedName name="S_1_ong">#REF!</definedName>
    <definedName name="S_1ong">#REF!</definedName>
    <definedName name="S_2">#REF!</definedName>
    <definedName name="S_2_Bï_v_nh">#REF!</definedName>
    <definedName name="s_58">#REF!</definedName>
    <definedName name="s_58g">#REF!</definedName>
    <definedName name="s_59">#REF!</definedName>
    <definedName name="s_59g">#REF!</definedName>
    <definedName name="S_C">#N/A</definedName>
    <definedName name="S_DISC">#REF!</definedName>
    <definedName name="S_Dyn_EC">#REF!</definedName>
    <definedName name="s_Icd">#REF!</definedName>
    <definedName name="S_incoterm_cost">#REF!</definedName>
    <definedName name="S_incoterm_price">#REF!</definedName>
    <definedName name="S_LOI_Alcaltel">#REF!</definedName>
    <definedName name="s0">#REF!</definedName>
    <definedName name="s1_">#REF!</definedName>
    <definedName name="S1_S">#REF!</definedName>
    <definedName name="s2_">#REF!</definedName>
    <definedName name="S2_S">#REF!</definedName>
    <definedName name="S2販直">#REF!</definedName>
    <definedName name="s3_">#REF!</definedName>
    <definedName name="S3_S">#REF!</definedName>
    <definedName name="s3tb">#REF!</definedName>
    <definedName name="s4_">#REF!</definedName>
    <definedName name="S4_S">#REF!</definedName>
    <definedName name="s4tb">#REF!</definedName>
    <definedName name="S5_S">#REF!</definedName>
    <definedName name="s51.5">#REF!</definedName>
    <definedName name="s5tb">#REF!</definedName>
    <definedName name="s71.5">#REF!</definedName>
    <definedName name="s75F29">#REF!</definedName>
    <definedName name="s75F29_14">#REF!</definedName>
    <definedName name="s7tb">#REF!</definedName>
    <definedName name="sa">#REF!</definedName>
    <definedName name="sà">#REF!</definedName>
    <definedName name="sa.">#REF!</definedName>
    <definedName name="SÂ_22">#REF!</definedName>
    <definedName name="SÂ_35">#REF!</definedName>
    <definedName name="SAAKFJAJF" hidden="1">{#N/A,#N/A,TRUE,"Str.";#N/A,#N/A,TRUE,"Steel &amp; Roof";#N/A,#N/A,TRUE,"Arc.";#N/A,#N/A,TRUE,"Preliminary";#N/A,#N/A,TRUE,"Sum_Prelim"}</definedName>
    <definedName name="Sâau">#N/A</definedName>
    <definedName name="SACE">#REF!</definedName>
    <definedName name="sad" hidden="1">{"'Sheet1'!$L$16"}</definedName>
    <definedName name="sadf">#N/A</definedName>
    <definedName name="SADFSADF" hidden="1">{"Offgrid",#N/A,FALSE,"OFFGRID";"Region",#N/A,FALSE,"REGION";"Offgrid -2",#N/A,FALSE,"OFFGRID";"WTP",#N/A,FALSE,"WTP";"WTP -2",#N/A,FALSE,"WTP";"Project",#N/A,FALSE,"PROJECT";"Summary -2",#N/A,FALSE,"SUMMARY"}</definedName>
    <definedName name="sae" localSheetId="6">BlankMacro1</definedName>
    <definedName name="sae">BlankMacro1</definedName>
    <definedName name="sagawa" hidden="1">#REF!</definedName>
    <definedName name="Saidong">#REF!</definedName>
    <definedName name="SAJAKKALAL" hidden="1">{#N/A,#N/A,TRUE,"SUM";#N/A,#N/A,TRUE,"EE";#N/A,#N/A,TRUE,"AC";#N/A,#N/A,TRUE,"SN"}</definedName>
    <definedName name="Sal.Escal_Korean">#REF!</definedName>
    <definedName name="Sal.Escal_Local.Reg">#REF!</definedName>
    <definedName name="Sal.Escal_Third.N">#REF!</definedName>
    <definedName name="salan200">#REF!</definedName>
    <definedName name="salan400">#REF!</definedName>
    <definedName name="Salary_Korean">#REF!</definedName>
    <definedName name="Salary_Local.Reg">#REF!</definedName>
    <definedName name="Salary_Percentage_Empl">#REF!</definedName>
    <definedName name="Salary_Percentage_Expert">#REF!</definedName>
    <definedName name="Salary_Percentage_Manager">#REF!</definedName>
    <definedName name="Salary_Percentage_Sale">#REF!</definedName>
    <definedName name="Salary_Third.N">#REF!</definedName>
    <definedName name="SalaryT604">#REF!</definedName>
    <definedName name="salc">#REF!</definedName>
    <definedName name="Sale">#REF!</definedName>
    <definedName name="Sale_Target_Max">#REF!</definedName>
    <definedName name="Sale_Target_Max_PhanTram">#REF!</definedName>
    <definedName name="Sale_Target_Min">#REF!</definedName>
    <definedName name="Sale_Target_Min_PhanTram">#REF!</definedName>
    <definedName name="Sale_Target_Nomal">#REF!</definedName>
    <definedName name="Sale_Target_Nomal_PhanTram">#REF!</definedName>
    <definedName name="Sale_Target_PhanTram">#REF!</definedName>
    <definedName name="Sale1">#REF!</definedName>
    <definedName name="Sale2">#REF!</definedName>
    <definedName name="Sale3">#REF!</definedName>
    <definedName name="Sale4">#REF!</definedName>
    <definedName name="SaleGrowthRate2002_2003">#REF!</definedName>
    <definedName name="SALES_TAX">#REF!</definedName>
    <definedName name="SALESPLAN">#REF!</definedName>
    <definedName name="SAM_ITP">#REF!</definedName>
    <definedName name="SAM_SSP">#REF!</definedName>
    <definedName name="SAM5620_ITP">#REF!</definedName>
    <definedName name="SAM5620_SSP">#REF!</definedName>
    <definedName name="san">#REF!</definedName>
    <definedName name="San_truoc">#REF!</definedName>
    <definedName name="san2.4">#REF!</definedName>
    <definedName name="SANComplexity">#REF!</definedName>
    <definedName name="sand">#REF!</definedName>
    <definedName name="sang" hidden="1">{"'Sheet1'!$L$16"}</definedName>
    <definedName name="sangbentonite">#REF!</definedName>
    <definedName name="sangd">#N/A</definedName>
    <definedName name="SAP" localSheetId="6">#REF!</definedName>
    <definedName name="SAP">#REF!</definedName>
    <definedName name="SAPBEXrevision" hidden="1">7</definedName>
    <definedName name="SAPBEXsysID" hidden="1">"P57"</definedName>
    <definedName name="SAPBEXwbID" hidden="1">"3JX5BV41R2KVEX9FV6LB6ZNYC"</definedName>
    <definedName name="sapxep">#REF!</definedName>
    <definedName name="SAR">#REF!</definedName>
    <definedName name="sas" hidden="1">{"'Sheet1'!$L$16"}</definedName>
    <definedName name="sasa">#REF!</definedName>
    <definedName name="sâsasas" hidden="1">#REF!</definedName>
    <definedName name="sat">#REF!</definedName>
    <definedName name="sat10_18">#REF!</definedName>
    <definedName name="sat12_18">#REF!</definedName>
    <definedName name="sat14_18">#REF!</definedName>
    <definedName name="sat16_18">#REF!</definedName>
    <definedName name="sat20_18">#REF!</definedName>
    <definedName name="Sat27_18">#REF!</definedName>
    <definedName name="Sat6_18">#REF!</definedName>
    <definedName name="sat8_18">#REF!</definedName>
    <definedName name="satCT10">#REF!</definedName>
    <definedName name="SatCThon10">#REF!</definedName>
    <definedName name="SatCTlon10">#REF!</definedName>
    <definedName name="satf10">#REF!</definedName>
    <definedName name="satf27">#REF!</definedName>
    <definedName name="satf6">#REF!</definedName>
    <definedName name="satf8">#REF!</definedName>
    <definedName name="satma">#REF!</definedName>
    <definedName name="satmong">#REF!</definedName>
    <definedName name="satt">#REF!</definedName>
    <definedName name="sattron">#N/A</definedName>
    <definedName name="satu">#REF!</definedName>
    <definedName name="satu_18">#REF!</definedName>
    <definedName name="sau">#REF!</definedName>
    <definedName name="Sau_cong_to">#REF!</definedName>
    <definedName name="saugiamgia">97%</definedName>
    <definedName name="sauv2">#REF!</definedName>
    <definedName name="sav" hidden="1">{"'Sheet1'!$L$16"}</definedName>
    <definedName name="SB">#REF!</definedName>
    <definedName name="SB_10">#REF!</definedName>
    <definedName name="SB_11">#REF!</definedName>
    <definedName name="SB_12">#REF!</definedName>
    <definedName name="SB_13">#REF!</definedName>
    <definedName name="SB_14">#REF!</definedName>
    <definedName name="sb_8">#REF!</definedName>
    <definedName name="sb_8g">#REF!</definedName>
    <definedName name="sb_9">#REF!</definedName>
    <definedName name="sb_9g">#REF!</definedName>
    <definedName name="SBBK">#REF!</definedName>
    <definedName name="Sbc">#N/A</definedName>
    <definedName name="sbet">#REF!</definedName>
    <definedName name="SBR">#REF!</definedName>
    <definedName name="SBSLOG1">#REF!</definedName>
    <definedName name="SBSLOG2">#REF!</definedName>
    <definedName name="SBSLOG3">#REF!</definedName>
    <definedName name="SBSLOGON">#REF!</definedName>
    <definedName name="SBU">#REF!</definedName>
    <definedName name="Sc">#REF!</definedName>
    <definedName name="sc1_18">#REF!</definedName>
    <definedName name="SC2_18">#REF!</definedName>
    <definedName name="sc3_18">#REF!</definedName>
    <definedName name="scan">#REF!</definedName>
    <definedName name="scao98">#REF!</definedName>
    <definedName name="SCCMPMBuild">#REF!</definedName>
    <definedName name="SCCMPMDeploy">#REF!</definedName>
    <definedName name="SCCMPMEnvision">#REF!</definedName>
    <definedName name="SCCMPMPlan">#REF!</definedName>
    <definedName name="SCCMQABuild">#REF!</definedName>
    <definedName name="SCCMQADeploy">#REF!</definedName>
    <definedName name="SCCMQAEnvision">#REF!</definedName>
    <definedName name="SCCMQAPlan">#REF!</definedName>
    <definedName name="SCcost">#REF!</definedName>
    <definedName name="SCCR">#REF!</definedName>
    <definedName name="scdk">#REF!</definedName>
    <definedName name="scdl">#REF!</definedName>
    <definedName name="SCDT">#REF!</definedName>
    <definedName name="sce">#REF!</definedName>
    <definedName name="SCFE">#REF!</definedName>
    <definedName name="SCH" localSheetId="6">#REF!</definedName>
    <definedName name="SCH">#REF!</definedName>
    <definedName name="SCH_18">#REF!</definedName>
    <definedName name="Schaltfläche2_BeiKlick">#N/A</definedName>
    <definedName name="scm">#REF!</definedName>
    <definedName name="sCol" hidden="1">zIsDgiaCTiet_Gia.VTu*2+3</definedName>
    <definedName name="SCOMPMBuild">#REF!</definedName>
    <definedName name="SCOMPMDeploy">#REF!</definedName>
    <definedName name="SCOMPMEnvision">#REF!</definedName>
    <definedName name="SCOMPMPlan">#REF!</definedName>
    <definedName name="SCOMQABuild">#REF!</definedName>
    <definedName name="SCOMQADeploy">#REF!</definedName>
    <definedName name="SCOMQAEnvision">#REF!</definedName>
    <definedName name="SCOMQAPlan">#REF!</definedName>
    <definedName name="SCP_Freq">#REF!</definedName>
    <definedName name="scr">#REF!</definedName>
    <definedName name="SCref_prc">#REF!</definedName>
    <definedName name="SCT">#REF!</definedName>
    <definedName name="SCT_BKTC">#REF!</definedName>
    <definedName name="sctdk">#REF!</definedName>
    <definedName name="sctdl">#REF!</definedName>
    <definedName name="sctqdl">#REF!</definedName>
    <definedName name="scv">#REF!</definedName>
    <definedName name="sd" localSheetId="6">#REF!</definedName>
    <definedName name="sd">#N/A</definedName>
    <definedName name="SD_bill">#REF!</definedName>
    <definedName name="SD_VL">#REF!</definedName>
    <definedName name="sd¸d" hidden="1">{"'Sheet1'!$L$16"}</definedName>
    <definedName name="sd1p">#REF!</definedName>
    <definedName name="sd1p_18">#REF!</definedName>
    <definedName name="SD3.02">#REF!</definedName>
    <definedName name="sd3p">#REF!</definedName>
    <definedName name="sd3p_14">#REF!</definedName>
    <definedName name="sda">#REF!</definedName>
    <definedName name="sdaf">#N/A</definedName>
    <definedName name="SDAFASF" hidden="1">{"'Sheet1'!$L$16"}</definedName>
    <definedName name="sdas">#N/A</definedName>
    <definedName name="sdbv" hidden="1">{"'Sheet1'!$L$16"}</definedName>
    <definedName name="SDCCK">#REF!</definedName>
    <definedName name="SDCDK">#REF!</definedName>
    <definedName name="sdcsd" hidden="1">{"'Sheet1'!$L$16"}</definedName>
    <definedName name="sđcsdsdsds">#REF!</definedName>
    <definedName name="sdd" hidden="1">{"'Sheet1'!$L$16"}</definedName>
    <definedName name="sdddddddddddddddddd" hidden="1">{"'Sheet1'!$L$16"}</definedName>
    <definedName name="SDDL">#REF!</definedName>
    <definedName name="sdf" hidden="1">{"'Sheet1'!$L$16"}</definedName>
    <definedName name="sdfasfasdfasd">#REF!</definedName>
    <definedName name="sdfd" hidden="1">{"'Sheet1'!$L$16"}</definedName>
    <definedName name="sdfda" hidden="1">{"'Sheet1'!$L$16"}</definedName>
    <definedName name="sdfdsfd">#REF!</definedName>
    <definedName name="sdfdsfsfsdgfs">#REF!</definedName>
    <definedName name="sdffffffffff" hidden="1">{"Offgrid",#N/A,FALSE,"OFFGRID";"Region",#N/A,FALSE,"REGION";"Offgrid -2",#N/A,FALSE,"OFFGRID";"WTP",#N/A,FALSE,"WTP";"WTP -2",#N/A,FALSE,"WTP";"Project",#N/A,FALSE,"PROJECT";"Summary -2",#N/A,FALSE,"SUMMARY"}</definedName>
    <definedName name="sdfgdbdfb" hidden="1">{"'Sheet1'!$L$16"}</definedName>
    <definedName name="sdfgsf" hidden="1">#REF!</definedName>
    <definedName name="sdfhsrtjh">#REF!</definedName>
    <definedName name="sdfs">#REF!</definedName>
    <definedName name="sdfsa" localSheetId="6">BlankMacro1</definedName>
    <definedName name="sdfsa">BlankMacro1</definedName>
    <definedName name="sdfsd">#REF!</definedName>
    <definedName name="sdfsdfsd" hidden="1">{"'Sheet1'!$L$16"}</definedName>
    <definedName name="sdfsdfsf">#REF!</definedName>
    <definedName name="SDG" hidden="1">{"'Sheet1'!$L$16"}</definedName>
    <definedName name="sdgdfhfgh" hidden="1">#REF!</definedName>
    <definedName name="sdgdsg" hidden="1">{"'Sheet1'!$L$16"}</definedName>
    <definedName name="sdgf" hidden="1">{"COST",#N/A,FALSE,"SYNTHESE";"MARGIN",#N/A,FALSE,"SYNTHESE";"LOT_COM",#N/A,FALSE,"SYNTHESE"}</definedName>
    <definedName name="sdgfdg" hidden="1">{"'Sheet1'!$L$16"}</definedName>
    <definedName name="sdgfjhfj" hidden="1">{"'Sheet1'!$L$16"}</definedName>
    <definedName name="sdgsdfgdf" hidden="1">{0}</definedName>
    <definedName name="SDH">#REF!</definedName>
    <definedName name="SDH_detail" hidden="1">{"COST",#N/A,FALSE,"SYNTHESE";"MARGIN",#N/A,FALSE,"SYNTHESE";"LOT_COM",#N/A,FALSE,"SYNTHESE"}</definedName>
    <definedName name="sdh_ne">#REF!</definedName>
    <definedName name="SDH_SERV">#REF!</definedName>
    <definedName name="SDH_topology">#REF!</definedName>
    <definedName name="sdkjghkjdfhgkjdf" hidden="1">{0}</definedName>
    <definedName name="SDMONG">#REF!</definedName>
    <definedName name="SDMONG_18">#REF!</definedName>
    <definedName name="SDNCK">#REF!</definedName>
    <definedName name="SDNDK">#REF!</definedName>
    <definedName name="sdo">#REF!</definedName>
    <definedName name="SDP_Freq">#REF!</definedName>
    <definedName name="sds" hidden="1">{"'Sheet1'!$L$16"}</definedName>
    <definedName name="sdsadsad">#REF!</definedName>
    <definedName name="SDSD">'[19]Lương nhân công XD TT05-2016'!$F$16</definedName>
    <definedName name="sdsf">#REF!</definedName>
    <definedName name="sdsss">#REF!</definedName>
    <definedName name="sduong">#REF!</definedName>
    <definedName name="sdz" hidden="1">{"'Sheet1'!$L$16"}</definedName>
    <definedName name="se">#REF!</definedName>
    <definedName name="Sè">#REF!</definedName>
    <definedName name="Sè_hiÖu">#REF!</definedName>
    <definedName name="Sè_l_îng">#REF!</definedName>
    <definedName name="SEARE">#REF!</definedName>
    <definedName name="Seasonally_Adjusted_k_Value">#REF!</definedName>
    <definedName name="SEC.C1" hidden="1">#REF!</definedName>
    <definedName name="second">#N/A</definedName>
    <definedName name="SEDI">#REF!</definedName>
    <definedName name="SEE">#REF!</definedName>
    <definedName name="seet2" hidden="1">{"'Sheet1'!$L$16"}</definedName>
    <definedName name="Seg">#REF!</definedName>
    <definedName name="sel_pc">#REF!</definedName>
    <definedName name="sel_price">#REF!</definedName>
    <definedName name="SELECT">#N/A</definedName>
    <definedName name="SelectDésignation_QuandChangement">#N/A</definedName>
    <definedName name="SélectDésignation1_QuandChangement">#N/A</definedName>
    <definedName name="Sell_CDE">#REF!</definedName>
    <definedName name="Sell_IN_Hardware">#REF!</definedName>
    <definedName name="Sell_RTU">#REF!</definedName>
    <definedName name="sencount" hidden="1">1</definedName>
    <definedName name="Sensation">#REF!</definedName>
    <definedName name="Senteon_SS7_CapReq">#REF!</definedName>
    <definedName name="SEQU">#N/A</definedName>
    <definedName name="Serv_2_4_EM_Interf">#REF!</definedName>
    <definedName name="Serv_ADSL_12">#REF!</definedName>
    <definedName name="Serv_ADSL_12_splitterless">#REF!</definedName>
    <definedName name="Serv_ADSL_24">#REF!</definedName>
    <definedName name="Serv_ADSL_24_splitterless">#REF!</definedName>
    <definedName name="Serv_ADSL_4">#REF!</definedName>
    <definedName name="Serv_DS3_BB">#REF!</definedName>
    <definedName name="Serv_E3_BB">#REF!</definedName>
    <definedName name="Serv_E3_DS3_BB">#REF!</definedName>
    <definedName name="Serv_Exster">#REF!</definedName>
    <definedName name="serv_hdb3">#REF!</definedName>
    <definedName name="Serv_HDB3_extend">#REF!</definedName>
    <definedName name="Serv_IMA_BB">#REF!</definedName>
    <definedName name="Serv_ISDN_4B3T">#REF!</definedName>
    <definedName name="Serv_ISDN_ADSL_4">#REF!</definedName>
    <definedName name="Serv_ISDN_BA_16">#REF!</definedName>
    <definedName name="Serv_ISDN_BA_8">#REF!</definedName>
    <definedName name="Serv_ISDN_PRA">#REF!</definedName>
    <definedName name="Serv_Local">#REF!</definedName>
    <definedName name="Serv_nx64">#REF!</definedName>
    <definedName name="Serv_POTS_30_1.5Km">#REF!</definedName>
    <definedName name="Serv_POTS_30_5Km">#REF!</definedName>
    <definedName name="Serv_POTS_Mirror">#REF!</definedName>
    <definedName name="serv_shdsl">#REF!</definedName>
    <definedName name="Serv_SHDSL_ATM">#REF!</definedName>
    <definedName name="Serv_SHDSL_TDM_2M">#REF!</definedName>
    <definedName name="Serv_SHDSL_TDM_nx64">#REF!</definedName>
    <definedName name="Serv_STM1_BB">#REF!</definedName>
    <definedName name="Serv_subrate_AMI">#REF!</definedName>
    <definedName name="Serv_VC3_BB">#REF!</definedName>
    <definedName name="server_type">#REF!</definedName>
    <definedName name="SERVICE" hidden="1">{#N/A,#N/A,FALSE,"이태원철근"}</definedName>
    <definedName name="SERVICE_DISC">#REF!</definedName>
    <definedName name="Service_Fr">#REF!</definedName>
    <definedName name="Service_Thai">#REF!</definedName>
    <definedName name="Serviceclass">#REF!</definedName>
    <definedName name="ServiceName1">#REF!</definedName>
    <definedName name="ServiceName2">#REF!</definedName>
    <definedName name="ServiceName3">#REF!</definedName>
    <definedName name="ServiceName4">#REF!</definedName>
    <definedName name="ServiceName5">#REF!</definedName>
    <definedName name="ServiceOwnership">#REF!</definedName>
    <definedName name="Services">#REF!</definedName>
    <definedName name="ServiceYears">#REF!</definedName>
    <definedName name="ServNegFactor">#REF!</definedName>
    <definedName name="ServNegON">#REF!</definedName>
    <definedName name="SETVAR">#REF!</definedName>
    <definedName name="Seven">#REF!</definedName>
    <definedName name="SEXP">#N/A</definedName>
    <definedName name="sf" hidden="1">{"'Sheet1'!$L$16"}</definedName>
    <definedName name="SFAA" hidden="1">{#N/A,#N/A,TRUE,"SUM";#N/A,#N/A,TRUE,"EE";#N/A,#N/A,TRUE,"AC";#N/A,#N/A,TRUE,"SN"}</definedName>
    <definedName name="SFAAA" hidden="1">{#N/A,#N/A,TRUE,"SUM";#N/A,#N/A,TRUE,"EE";#N/A,#N/A,TRUE,"AC";#N/A,#N/A,TRUE,"SN"}</definedName>
    <definedName name="SFaaag" hidden="1">{#N/A,#N/A,TRUE,"SUM";#N/A,#N/A,TRUE,"EE";#N/A,#N/A,TRUE,"AC";#N/A,#N/A,TRUE,"SN"}</definedName>
    <definedName name="SFAB" hidden="1">{#N/A,#N/A,TRUE,"SUM";#N/A,#N/A,TRUE,"EE";#N/A,#N/A,TRUE,"AC";#N/A,#N/A,TRUE,"SN"}</definedName>
    <definedName name="sfaFsF" hidden="1">{#N/A,#N/A,TRUE,"Perm";#N/A,#N/A,TRUE,"Architecture"}</definedName>
    <definedName name="sfAFSsaf" hidden="1">{#N/A,#N/A,FALSE,"Main"}</definedName>
    <definedName name="SFBIGC" hidden="1">{#N/A,#N/A,TRUE,"Str.";#N/A,#N/A,TRUE,"Steel &amp; Roof";#N/A,#N/A,TRUE,"Arc.";#N/A,#N/A,TRUE,"Preliminary";#N/A,#N/A,TRUE,"Sum_Prelim"}</definedName>
    <definedName name="SFCA" hidden="1">{#N/A,#N/A,TRUE,"SUM";#N/A,#N/A,TRUE,"EE";#N/A,#N/A,TRUE,"AC";#N/A,#N/A,TRUE,"SN"}</definedName>
    <definedName name="sfcas" hidden="1">{#N/A,#N/A,TRUE,"Perm";#N/A,#N/A,TRUE,"Architecture"}</definedName>
    <definedName name="SFcccc" hidden="1">{#N/A,#N/A,TRUE,"SUM";#N/A,#N/A,TRUE,"EE";#N/A,#N/A,TRUE,"AC";#N/A,#N/A,TRUE,"SN"}</definedName>
    <definedName name="SFCSODJWO" hidden="1">{#N/A,#N/A,TRUE,"SUM";#N/A,#N/A,TRUE,"EE";#N/A,#N/A,TRUE,"AC";#N/A,#N/A,TRUE,"SN"}</definedName>
    <definedName name="sfd" hidden="1">{"'Sheet1'!$L$16"}</definedName>
    <definedName name="SFdata" hidden="1">{#N/A,#N/A,TRUE,"SUM";#N/A,#N/A,TRUE,"EE";#N/A,#N/A,TRUE,"AC";#N/A,#N/A,TRUE,"SN"}</definedName>
    <definedName name="SFdddddd" hidden="1">{#N/A,#N/A,TRUE,"SUM";#N/A,#N/A,TRUE,"EE";#N/A,#N/A,TRUE,"AC";#N/A,#N/A,TRUE,"SN"}</definedName>
    <definedName name="SFDDDDDDDD" hidden="1">{#N/A,#N/A,TRUE,"SUM";#N/A,#N/A,TRUE,"EE";#N/A,#N/A,TRUE,"AC";#N/A,#N/A,TRUE,"SN"}</definedName>
    <definedName name="SFDEWSLDW" hidden="1">{#N/A,#N/A,TRUE,"SUM";#N/A,#N/A,TRUE,"EE";#N/A,#N/A,TRUE,"AC";#N/A,#N/A,TRUE,"SN"}</definedName>
    <definedName name="SFDFDFDS" hidden="1">{#N/A,#N/A,TRUE,"SUM";#N/A,#N/A,TRUE,"EE";#N/A,#N/A,TRUE,"AC";#N/A,#N/A,TRUE,"SN"}</definedName>
    <definedName name="SFDFDFSDFSD" hidden="1">{#N/A,#N/A,TRUE,"SUM";#N/A,#N/A,TRUE,"EE";#N/A,#N/A,TRUE,"AC";#N/A,#N/A,TRUE,"SN"}</definedName>
    <definedName name="SFDFF" hidden="1">{#N/A,#N/A,TRUE,"SUM";#N/A,#N/A,TRUE,"EE";#N/A,#N/A,TRUE,"AC";#N/A,#N/A,TRUE,"SN"}</definedName>
    <definedName name="sfds">#N/A</definedName>
    <definedName name="sff" hidden="1">{"'Sheet1'!$L$16"}</definedName>
    <definedName name="sfh" hidden="1">{"'Sheet1'!$L$16"}</definedName>
    <definedName name="sfsd" hidden="1">{"'Sheet1'!$L$16"}</definedName>
    <definedName name="sfsdg" hidden="1">{"'Sheet1'!$L$16"}</definedName>
    <definedName name="sfsf">#REF!</definedName>
    <definedName name="sfsfs">#REF!</definedName>
    <definedName name="sfwe" hidden="1">#REF!</definedName>
    <definedName name="SG">#REF!</definedName>
    <definedName name="sg1.">#REF!</definedName>
    <definedName name="sg2.">#REF!</definedName>
    <definedName name="SGD">#REF!</definedName>
    <definedName name="sgfhsdhe" hidden="1">{"'Sheet1'!$L$16"}</definedName>
    <definedName name="sgfnvb">#REF!,#REF!,#REF!,#REF!,#REF!,#REF!,#REF!,#REF!,#REF!,#REF!,#REF!,#REF!</definedName>
    <definedName name="SGG" hidden="1">{"'Sheet1'!$L$16"}</definedName>
    <definedName name="sgnc">#REF!</definedName>
    <definedName name="sgnc_14">#REF!</definedName>
    <definedName name="sgsdg" hidden="1">{"'Sheet1'!$L$16"}</definedName>
    <definedName name="sgsg">#REF!</definedName>
    <definedName name="SGSN_2A">#REF!</definedName>
    <definedName name="sgsr" hidden="1">{"'Sheet1'!$L$16"}</definedName>
    <definedName name="sgvl">#REF!</definedName>
    <definedName name="sgvl_14">#REF!</definedName>
    <definedName name="sh">#REF!</definedName>
    <definedName name="shaft">#REF!</definedName>
    <definedName name="shared">#REF!</definedName>
    <definedName name="SharePointScopeIncluded">#REF!</definedName>
    <definedName name="sharp">#REF!</definedName>
    <definedName name="SHCUOC">#REF!</definedName>
    <definedName name="SHDG">#REF!</definedName>
    <definedName name="SHDGC">#REF!</definedName>
    <definedName name="SHDGD">#REF!</definedName>
    <definedName name="SHDM">#REF!</definedName>
    <definedName name="SHDSL_Erlangs">#REF!</definedName>
    <definedName name="SHDSL_Erlangs2">#REF!</definedName>
    <definedName name="shdsl_transp">#REF!</definedName>
    <definedName name="sheet">{"Book1"}</definedName>
    <definedName name="Sheet1">#REF!</definedName>
    <definedName name="Sheet1_Without_Matching_CUOC_INTERNET_TRU_T4">#REF!</definedName>
    <definedName name="SHEET100" hidden="1">#REF!</definedName>
    <definedName name="sheet2" hidden="1">{"'Sheet1'!$L$16"}</definedName>
    <definedName name="sheet3" hidden="1">{"NGUYEN QUI THIEP - Personal View",#N/A,FALSE,"XDCB.HT.FUR."}</definedName>
    <definedName name="SheetName">"[Bao_cao_cua_NVTK_tai_NPP_bieu_mau_moi_4___Mau_moi.xls]~         "</definedName>
    <definedName name="Shelterdiscount">#REF!</definedName>
    <definedName name="shfkahfjka">#REF!</definedName>
    <definedName name="SHGDFHGGH" hidden="1">{#N/A,#N/A,TRUE,"SUM";#N/A,#N/A,TRUE,"EE";#N/A,#N/A,TRUE,"AC";#N/A,#N/A,TRUE,"SN"}</definedName>
    <definedName name="SHIP_TO_ADDRESS">#N/A</definedName>
    <definedName name="SHIP_TO_CONTACT">#N/A</definedName>
    <definedName name="SHIP_TO_LABEL">#N/A</definedName>
    <definedName name="SHIP_TO_NAME">#N/A</definedName>
    <definedName name="SHIP_TO_PHONE">#N/A</definedName>
    <definedName name="SHIPPING_ZONE_0">#N/A</definedName>
    <definedName name="SHIPPING_ZONE_1">#N/A</definedName>
    <definedName name="SHIPPING_ZONE_2">#N/A</definedName>
    <definedName name="sho">#REF!</definedName>
    <definedName name="Shoes">#REF!</definedName>
    <definedName name="show_cost">#REF!</definedName>
    <definedName name="SHPC">#REF!</definedName>
    <definedName name="SHPD">#REF!</definedName>
    <definedName name="shsrhtr" hidden="1">{"'Sheet1'!$L$16"}</definedName>
    <definedName name="sHsVlNcCm" hidden="1">VALUE(IF(LEFT(OFFSET(Acell,0,-4),1)="A",dTHKP_HsVl,IF(LEFT(OFFSET(Acell,0,-4),1)="B",dTHKP_HsNc,dTHKP_HsCm)))</definedName>
    <definedName name="sht">#REF!</definedName>
    <definedName name="sht_14">#REF!</definedName>
    <definedName name="sht1p">#REF!</definedName>
    <definedName name="sht1p_18">#REF!</definedName>
    <definedName name="sht3p">#REF!</definedName>
    <definedName name="sht3p_14">#REF!</definedName>
    <definedName name="sieuam">#N/A</definedName>
    <definedName name="sieucao">#REF!</definedName>
    <definedName name="SIGN">#REF!</definedName>
    <definedName name="sika">#REF!</definedName>
    <definedName name="simumarge_f_fch_cs">#REF!</definedName>
    <definedName name="simumarge_o_fch_cs">#REF!</definedName>
    <definedName name="sin">#REF!</definedName>
    <definedName name="SingleCur" localSheetId="6">#REF!</definedName>
    <definedName name="SingleCur">#REF!</definedName>
    <definedName name="SingleEuro" localSheetId="6">#REF!</definedName>
    <definedName name="SingleEuro">#REF!</definedName>
    <definedName name="SinglrCur" localSheetId="6">#REF!</definedName>
    <definedName name="SinglrCur">#REF!</definedName>
    <definedName name="sisis" hidden="1">{"'Sheet1'!$L$16"}</definedName>
    <definedName name="SISUSM" hidden="1">{"'Sheet1'!$L$16"}</definedName>
    <definedName name="site">#REF!</definedName>
    <definedName name="SITE_EXPENSE" hidden="1">#REF!</definedName>
    <definedName name="SITE_NUM">#REF!</definedName>
    <definedName name="sitea">#REF!</definedName>
    <definedName name="sitecp">#REF!</definedName>
    <definedName name="sitecv">#REF!</definedName>
    <definedName name="sitef">#REF!</definedName>
    <definedName name="sitenew">#REF!</definedName>
    <definedName name="Sites">#REF!</definedName>
    <definedName name="SITP">#REF!</definedName>
    <definedName name="SITP_APPLICABLE">#REF!</definedName>
    <definedName name="SITP_Rate">#REF!</definedName>
    <definedName name="SITPRATE">#REF!</definedName>
    <definedName name="Six">#REF!</definedName>
    <definedName name="SIZE" localSheetId="6">#REF!</definedName>
    <definedName name="SIZE">#REF!</definedName>
    <definedName name="SIZE_18">#REF!</definedName>
    <definedName name="SJJTWOETGJFGF" hidden="1">{#N/A,#N/A,TRUE,"SUM";#N/A,#N/A,TRUE,"EE";#N/A,#N/A,TRUE,"AC";#N/A,#N/A,TRUE,"SN"}</definedName>
    <definedName name="sjkdfsjkldf" hidden="1">{0}</definedName>
    <definedName name="sjkdghkdjfghd" hidden="1">{0}</definedName>
    <definedName name="sk">#REF!</definedName>
    <definedName name="skadjf">#N/A</definedName>
    <definedName name="skd">#REF!</definedName>
    <definedName name="skd_14">#REF!</definedName>
    <definedName name="SKN_TRX">#REF!</definedName>
    <definedName name="skt">#REF!</definedName>
    <definedName name="SKUcoverage">#REF!</definedName>
    <definedName name="SL">#REF!</definedName>
    <definedName name="SL_CRD">#REF!</definedName>
    <definedName name="SL_CRD_18">#REF!</definedName>
    <definedName name="SL_CRS">#REF!</definedName>
    <definedName name="SL_CRS_18">#REF!</definedName>
    <definedName name="SL_CS">#REF!</definedName>
    <definedName name="SL_CS_18">#REF!</definedName>
    <definedName name="SL_DD">#REF!</definedName>
    <definedName name="SL_DD_18">#REF!</definedName>
    <definedName name="SL_DZ">#REF!</definedName>
    <definedName name="SL_TBA">#REF!</definedName>
    <definedName name="SLA">#REF!</definedName>
    <definedName name="SLAB">#N/A</definedName>
    <definedName name="Slab_Base_Friction_Factor">#REF!</definedName>
    <definedName name="slb">#REF!</definedName>
    <definedName name="SLC_BocDoCG">#REF!</definedName>
    <definedName name="SLC_BocDoTC">#REF!</definedName>
    <definedName name="SLC_Cuoc13">#REF!</definedName>
    <definedName name="SLC_Cuoc89">#REF!</definedName>
    <definedName name="SLC_CuocDB">#REF!</definedName>
    <definedName name="SLC_CuocPT">#REF!</definedName>
    <definedName name="SLC_DangDiaHinh">#REF!</definedName>
    <definedName name="SLC_HinhThucVCBo">#REF!</definedName>
    <definedName name="SLC_HSBH">#REF!</definedName>
    <definedName name="SLC_LoaiPT">#REF!</definedName>
    <definedName name="SLC_NguonHang">#REF!</definedName>
    <definedName name="SLC_NhanCongBX">#REF!</definedName>
    <definedName name="SLC_PPTinhCuoc">#REF!</definedName>
    <definedName name="SLC_Thucong1778">#REF!</definedName>
    <definedName name="SLCD">"#REF!"</definedName>
    <definedName name="slg">#REF!</definedName>
    <definedName name="slk">#REF!</definedName>
    <definedName name="sll">#REF!</definedName>
    <definedName name="slot">#REF!</definedName>
    <definedName name="slots_ext1">#REF!</definedName>
    <definedName name="slots_ext10">#REF!</definedName>
    <definedName name="slots_ext11">#REF!</definedName>
    <definedName name="slots_ext2">#REF!</definedName>
    <definedName name="slots_ext3">#REF!</definedName>
    <definedName name="slots_ext4">#REF!</definedName>
    <definedName name="slots_ext5">#REF!</definedName>
    <definedName name="slots_ext6">#REF!</definedName>
    <definedName name="slots_ext7">#REF!</definedName>
    <definedName name="slots_ext8">#REF!</definedName>
    <definedName name="slots_ext9">#REF!</definedName>
    <definedName name="slots_main">#REF!</definedName>
    <definedName name="SLT">#REF!</definedName>
    <definedName name="sltc">#REF!</definedName>
    <definedName name="sltc_tt">#REF!</definedName>
    <definedName name="SLTL">#REF!</definedName>
    <definedName name="SLTL_12">#REF!</definedName>
    <definedName name="sltp">#REF!</definedName>
    <definedName name="sltp_new">#REF!</definedName>
    <definedName name="SM">#REF!</definedName>
    <definedName name="SM_ABIS4_g1">#REF!</definedName>
    <definedName name="SM_ATER_g1">#REF!</definedName>
    <definedName name="SM_CAB_g1">#REF!</definedName>
    <definedName name="sm_cost">#REF!</definedName>
    <definedName name="SM_discount">#REF!</definedName>
    <definedName name="SM_ext_CAB_g1">#REF!</definedName>
    <definedName name="small_TCH">#REF!</definedName>
    <definedName name="SmartRateFactor">#REF!</definedName>
    <definedName name="SmartRateON">#REF!</definedName>
    <definedName name="SMAT">#N/A</definedName>
    <definedName name="smax">#REF!</definedName>
    <definedName name="smax1">#REF!</definedName>
    <definedName name="SMBA">#REF!</definedName>
    <definedName name="SMBI">#REF!</definedName>
    <definedName name="SMBS11">#REF!</definedName>
    <definedName name="SMBS13">#REF!</definedName>
    <definedName name="SMBS14">#REF!</definedName>
    <definedName name="SMC">#REF!</definedName>
    <definedName name="SMCind">#REF!</definedName>
    <definedName name="SMCPTS">#REF!</definedName>
    <definedName name="sMh" hidden="1">IF(LEFT(OFFSET(Acell,0,-6),1)="1",dVTu_Mh,IF(LEFT(OFFSET(Acell,0,-6),1)="2",dNCong_Mh,dCMay_Mh))</definedName>
    <definedName name="SMHR">#N/A</definedName>
    <definedName name="SMHW13">#REF!</definedName>
    <definedName name="SMHW14">#REF!</definedName>
    <definedName name="smin">#REF!</definedName>
    <definedName name="SMK">#REF!</definedName>
    <definedName name="SMO_DISC">#REF!</definedName>
    <definedName name="SMO_S_DISC">#REF!</definedName>
    <definedName name="SMO_SS_DISC">#REF!</definedName>
    <definedName name="smoke_sensor">#REF!</definedName>
    <definedName name="SMP_Freq">#REF!</definedName>
    <definedName name="SMSAppPackaging">#REF!</definedName>
    <definedName name="SMSCell">#REF!</definedName>
    <definedName name="SMSComplexity">#REF!</definedName>
    <definedName name="SMSDevStabil">#REF!</definedName>
    <definedName name="SMSEnv">#REF!</definedName>
    <definedName name="SMSManagedDesktops">#REF!</definedName>
    <definedName name="SMSManagedServers">#REF!</definedName>
    <definedName name="SMSPlan">#REF!</definedName>
    <definedName name="SMSPrimarySites">#REF!</definedName>
    <definedName name="SMSScopeIncluded">#REF!</definedName>
    <definedName name="sn">#REF!</definedName>
    <definedName name="SN3_18">#REF!</definedName>
    <definedName name="sName" hidden="1">IF(LEFT(OFFSET(Acell,0,-6),1)="1",dVTu_Name,IF(LEFT(OFFSET(Acell,0,-6),1)="2",dNCong_Name,dCMay_Name))</definedName>
    <definedName name="Sng">#REF!</definedName>
    <definedName name="SNK_6.5">#REF!</definedName>
    <definedName name="SNUS">#REF!</definedName>
    <definedName name="SNV12Q2">#REF!</definedName>
    <definedName name="SO">OFFSET(#REF!,COUNTA(#REF!)-1,0,1)</definedName>
    <definedName name="SO_0.4">#REF!</definedName>
    <definedName name="Sõ_au">#N/A</definedName>
    <definedName name="So_Chu">#REF!</definedName>
    <definedName name="So_Chu.Drop1">#N/A</definedName>
    <definedName name="So_Chu.Drop1_40">So_Chu.Drop1</definedName>
    <definedName name="So_Chu.Drop1_41">So_Chu.Drop1</definedName>
    <definedName name="So_Chu.Drop3">#N/A</definedName>
    <definedName name="So_Chu.Drop3_39">So_Chu.Drop3</definedName>
    <definedName name="So_Chu.Drop3_40">So_Chu.Drop3</definedName>
    <definedName name="So_Chu.Drop3_41">So_Chu.Drop3</definedName>
    <definedName name="so_chu.So_Xau">#N/A</definedName>
    <definedName name="So_Chu.So_Xau_39">so_chu.So_Xau</definedName>
    <definedName name="so_chu.So_Xau_40">so_chu.So_Xau</definedName>
    <definedName name="so_chu.So_Xau_41">so_chu.So_Xau</definedName>
    <definedName name="So_do_9">#REF!</definedName>
    <definedName name="Số_lượng">#REF!</definedName>
    <definedName name="So_tien">#REF!</definedName>
    <definedName name="So_Xau">#N/A</definedName>
    <definedName name="So_Xau_39">#N/A</definedName>
    <definedName name="So_Xau_40">#N/A</definedName>
    <definedName name="So_Xau_41">#N/A</definedName>
    <definedName name="soc3p">#REF!</definedName>
    <definedName name="soc3p_18">#REF!</definedName>
    <definedName name="SoCB_CapHuyen">#REF!</definedName>
    <definedName name="SoCB_CapTinh">#REF!</definedName>
    <definedName name="SoCB_CapXa">#REF!</definedName>
    <definedName name="SoChinhanh">#REF!</definedName>
    <definedName name="sochu">#N/A</definedName>
    <definedName name="sochuc">IF(LEN(SO)&gt;1,VALUE(LEFT(RIGHT(SO,2),1)),"")</definedName>
    <definedName name="sochucnghin">IF(LEN(SO)&gt;4,VALUE(LEFT(RIGHT(SO,5),1)),"")</definedName>
    <definedName name="sochucnghinty">IF(LEN(SO)&gt;13,VALUE(LEFT(RIGHT(SO,14),1)),"")</definedName>
    <definedName name="sochuctrieu">IF(LEN(SO)&gt;7,VALUE(LEFT(RIGHT(SO,8),1)),"")</definedName>
    <definedName name="sochucty">IF(LEN(SO)&gt;10,VALUE(LEFT(RIGHT(SO,11),1)),"")</definedName>
    <definedName name="soct">"#REF!"</definedName>
    <definedName name="SocTrang" localSheetId="6">#REF!</definedName>
    <definedName name="SocTrang">#REF!</definedName>
    <definedName name="SOCTU_B">#REF!</definedName>
    <definedName name="SOCTU_NK">#REF!</definedName>
    <definedName name="SOCTU_NK_BH">#REF!</definedName>
    <definedName name="sodam">#REF!</definedName>
    <definedName name="sodonvi">VALUE(RIGHT(SO,1))</definedName>
    <definedName name="sodu">#REF!</definedName>
    <definedName name="SoDVDaoTao">#REF!</definedName>
    <definedName name="SoDVTrienKhai">#REF!</definedName>
    <definedName name="SoDVTrienKhaiTB">#REF!</definedName>
    <definedName name="SOFA_DISC">#REF!</definedName>
    <definedName name="SofaWare">#REF!</definedName>
    <definedName name="Soft" localSheetId="6">#REF!</definedName>
    <definedName name="Soft">#REF!</definedName>
    <definedName name="Soft_L">#REF!</definedName>
    <definedName name="Soft_M">#REF!</definedName>
    <definedName name="Soft_Premier_MN">#REF!</definedName>
    <definedName name="Soft_Premier_SN">#REF!</definedName>
    <definedName name="Soft_Premier_VLN">#REF!</definedName>
    <definedName name="Soft_S">#REF!</definedName>
    <definedName name="Soft_VL">#REF!</definedName>
    <definedName name="Software_Application">#REF!</definedName>
    <definedName name="software_load_list">#REF!</definedName>
    <definedName name="SoftWarrantyRate">15%</definedName>
    <definedName name="sohieuthua">#REF!</definedName>
    <definedName name="soho">#REF!</definedName>
    <definedName name="SoHocVienCV">#REF!</definedName>
    <definedName name="SoHocVienLD">#REF!</definedName>
    <definedName name="SoHocVienVT">#REF!</definedName>
    <definedName name="SoHT">1</definedName>
    <definedName name="Soi">#REF!</definedName>
    <definedName name="soi_18">#REF!</definedName>
    <definedName name="Soi_HamYen">#N/A</definedName>
    <definedName name="Soichon">#REF!</definedName>
    <definedName name="soichon12">#REF!</definedName>
    <definedName name="soichon1x2">#REF!</definedName>
    <definedName name="soichon24">#REF!</definedName>
    <definedName name="Soichon2x4">#REF!</definedName>
    <definedName name="soichon46">#REF!</definedName>
    <definedName name="soichon4x6">#N/A</definedName>
    <definedName name="soigai">#REF!</definedName>
    <definedName name="SoilType">#REF!</definedName>
    <definedName name="SoilType_">#REF!</definedName>
    <definedName name="SoilType_33">"#REF!"</definedName>
    <definedName name="SoilType_34">"#REF!"</definedName>
    <definedName name="SOKO">#REF!</definedName>
    <definedName name="sol">#REF!</definedName>
    <definedName name="Solan">#REF!</definedName>
    <definedName name="solanETC">#REF!</definedName>
    <definedName name="SoLanTong">#REF!</definedName>
    <definedName name="SOLD_TO_ADDRESS">#N/A</definedName>
    <definedName name="SOLD_TO_CONTACT">#N/A</definedName>
    <definedName name="SOLD_TO_LABEL">#N/A</definedName>
    <definedName name="SOLD_TO_NAME">#N/A</definedName>
    <definedName name="SOLD_TO_PHONE">#N/A</definedName>
    <definedName name="solieu">#REF!</definedName>
    <definedName name="solieu_14">#REF!</definedName>
    <definedName name="solieu_18">#REF!</definedName>
    <definedName name="Solop_tinh">#REF!</definedName>
    <definedName name="SOLUONG">#REF!</definedName>
    <definedName name="soluong_n">#REF!</definedName>
    <definedName name="soluong_td">#REF!</definedName>
    <definedName name="soluong_x">#REF!</definedName>
    <definedName name="SoLuongBuoi">#REF!</definedName>
    <definedName name="SoLuongKySu">#REF!</definedName>
    <definedName name="Solve_Basic_Enh_SN">#REF!</definedName>
    <definedName name="Solve_Basic_Enh_VLN">#REF!</definedName>
    <definedName name="Solve_Basic_Std_SN">#REF!</definedName>
    <definedName name="Solve_Basic_Std_VLN">#REF!</definedName>
    <definedName name="Solve_HG_L">#REF!</definedName>
    <definedName name="Solve_HG_M">#REF!</definedName>
    <definedName name="Solve_HG_S">#REF!</definedName>
    <definedName name="Solve_HG_VL">#REF!</definedName>
    <definedName name="Solve_Plus_Enh_SN">#REF!</definedName>
    <definedName name="Solve_Plus_Enh_VLN">#REF!</definedName>
    <definedName name="Solve_Plus_Std_SN">#REF!</definedName>
    <definedName name="Solve_Plus_Std_VLN">#REF!</definedName>
    <definedName name="Solve_Premier_Enh_SN">#REF!</definedName>
    <definedName name="Solve_Premier_Enh_VLN">#REF!</definedName>
    <definedName name="Solve_Premier_Std_MN">#REF!</definedName>
    <definedName name="Solve_Premier_Std_SN">#REF!</definedName>
    <definedName name="Solve_SG_L">#REF!</definedName>
    <definedName name="Solve_SG_M">#REF!</definedName>
    <definedName name="Solve_SG_S">#REF!</definedName>
    <definedName name="Solve_SG_VL">#REF!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ommaire_BTS">#REF!</definedName>
    <definedName name="son">#REF!</definedName>
    <definedName name="sonam">#REF!</definedName>
    <definedName name="Sonam_Trienkhai">#REF!</definedName>
    <definedName name="sonduong">#REF!</definedName>
    <definedName name="Song_da">#REF!</definedName>
    <definedName name="SoNgayDaoTaoCV">#REF!</definedName>
    <definedName name="SoNgayDaoTaoLD">#REF!</definedName>
    <definedName name="SoNgayDaoTaoVT">#REF!</definedName>
    <definedName name="songhin">IF(LEN(SO)&gt;3,VALUE(LEFT(RIGHT(SO,4),1)),"")</definedName>
    <definedName name="songhinnghinty">IF(LEN(SO)&gt;15,VALUE(LEFT(RIGHT(SO,16),1)),"")</definedName>
    <definedName name="songhinty">IF(LEN(SO)&gt;12,VALUE(LEFT(RIGHT(SO,13),1)),"")</definedName>
    <definedName name="sonhip">#REF!</definedName>
    <definedName name="SonLa" localSheetId="6">#REF!</definedName>
    <definedName name="SonLa">#REF!</definedName>
    <definedName name="sonphanquang">#N/A</definedName>
    <definedName name="Sontay">#REF!</definedName>
    <definedName name="Sonth">#REF!</definedName>
    <definedName name="soon" hidden="1">{#N/A,#N/A,TRUE,"SUM";#N/A,#N/A,TRUE,"EE";#N/A,#N/A,TRUE,"AC";#N/A,#N/A,TRUE,"SN"}</definedName>
    <definedName name="SOPHIEU">#REF!</definedName>
    <definedName name="SORT" localSheetId="6">#REF!</definedName>
    <definedName name="SORT">#REF!</definedName>
    <definedName name="SORT_10">#REF!</definedName>
    <definedName name="SORT_11">#REF!</definedName>
    <definedName name="SORT_12">#REF!</definedName>
    <definedName name="SORT_13">#REF!</definedName>
    <definedName name="SORT_18">#REF!</definedName>
    <definedName name="SORT_AREA">#REF!</definedName>
    <definedName name="SORT_AREA_10">#REF!</definedName>
    <definedName name="SORT_AREA_11">#REF!</definedName>
    <definedName name="SORT_AREA_12">#REF!</definedName>
    <definedName name="SORT_AREA_13">#REF!</definedName>
    <definedName name="SORT_AREA_14">#REF!</definedName>
    <definedName name="SortName">#REF!</definedName>
    <definedName name="SortName_14">#REF!</definedName>
    <definedName name="Sosanh2" hidden="1">{"'Sheet1'!$L$16"}</definedName>
    <definedName name="sothang">#REF!</definedName>
    <definedName name="SoThang_18" localSheetId="6">#REF!</definedName>
    <definedName name="SoThang_18">#REF!</definedName>
    <definedName name="Sothutu">#REF!</definedName>
    <definedName name="SOTIEN">#REF!</definedName>
    <definedName name="SOTIEN_B">#REF!</definedName>
    <definedName name="SOTIEN_BKTC">#REF!</definedName>
    <definedName name="SOTIEN_CO_NK">#REF!</definedName>
    <definedName name="sotien_dt">#REF!</definedName>
    <definedName name="sotien_n">#REF!</definedName>
    <definedName name="SOTIEN_NO_NK">#REF!</definedName>
    <definedName name="sotien_td">#REF!</definedName>
    <definedName name="sotien_x">#REF!</definedName>
    <definedName name="SoTinh_NhomA">#REF!</definedName>
    <definedName name="SoTinh_NhomB">#REF!</definedName>
    <definedName name="SoTinh_NhomC">#REF!</definedName>
    <definedName name="sotram">IF(LEN(SO)&gt;2,VALUE(LEFT(RIGHT(SO,3),1)),"")</definedName>
    <definedName name="sotramnghin">IF(LEN(SO)&gt;5,VALUE(LEFT(RIGHT(SO,6),1)),"")</definedName>
    <definedName name="sotramnghinty">IF(LEN(SO)&gt;14,VALUE(LEFT(RIGHT(SO,15),1)),"")</definedName>
    <definedName name="sotramtrieu">IF(LEN(SO)&gt;8,VALUE(LEFT(RIGHT(SO,9),1)),"")</definedName>
    <definedName name="sotramty">IF(LEN(SO)&gt;11,VALUE(LEFT(RIGHT(SO,12),1)),"")</definedName>
    <definedName name="sotrieu">IF(LEN(SO)&gt;6,VALUE(LEFT(RIGHT(SO,7),1)),"")</definedName>
    <definedName name="soty">IF(LEN(SO)&gt;9,VALUE(LEFT(RIGHT(SO,10),1)),"")</definedName>
    <definedName name="Source">#REF!</definedName>
    <definedName name="SourceActorRange" localSheetId="6">#REF!</definedName>
    <definedName name="SourceActorRange">#REF!</definedName>
    <definedName name="SourceUseCaseRange" localSheetId="6">#REF!</definedName>
    <definedName name="SourceUseCaseRange">#REF!</definedName>
    <definedName name="Sous_Tr">#REF!</definedName>
    <definedName name="South">#REF!</definedName>
    <definedName name="South_link">#REF!</definedName>
    <definedName name="SOW">#REF!</definedName>
    <definedName name="SoXau" localSheetId="6">#REF!</definedName>
    <definedName name="SoXau">#N/A</definedName>
    <definedName name="SP">#REF!</definedName>
    <definedName name="sp.sys">#REF!</definedName>
    <definedName name="SP_10">#REF!</definedName>
    <definedName name="SP_11">#REF!</definedName>
    <definedName name="SP_12">#REF!</definedName>
    <definedName name="SP_13">#REF!</definedName>
    <definedName name="SP_14">#REF!</definedName>
    <definedName name="sp_150">#REF!</definedName>
    <definedName name="sp_150t">#REF!</definedName>
    <definedName name="sp_175">#REF!</definedName>
    <definedName name="sp_175t">#REF!</definedName>
    <definedName name="sp_access_switch">#REF!</definedName>
    <definedName name="sp_asmb">#REF!</definedName>
    <definedName name="sp_bbu">#REF!</definedName>
    <definedName name="sp_bc">#REF!</definedName>
    <definedName name="sp_bcu">#REF!</definedName>
    <definedName name="sp_biua">#REF!</definedName>
    <definedName name="sp_bq">#REF!</definedName>
    <definedName name="sp_bv">#REF!</definedName>
    <definedName name="sp_ck">#REF!</definedName>
    <definedName name="sp_clock_distrib">#REF!</definedName>
    <definedName name="sp_clock_gene">#REF!</definedName>
    <definedName name="SP_COM">#REF!</definedName>
    <definedName name="sp_combiner">#REF!</definedName>
    <definedName name="sp_converter">#REF!</definedName>
    <definedName name="sp_d1">#REF!</definedName>
    <definedName name="sp_d2">#REF!</definedName>
    <definedName name="sp_d3">#REF!</definedName>
    <definedName name="SP_DCN">#REF!</definedName>
    <definedName name="sp_dl">#REF!</definedName>
    <definedName name="SP_DOC">#REF!</definedName>
    <definedName name="sp_dtcc">#REF!</definedName>
    <definedName name="SP_E_MAT">#REF!</definedName>
    <definedName name="sp_fan">#REF!</definedName>
    <definedName name="sp_fan_board">#REF!</definedName>
    <definedName name="SP_fin">#REF!</definedName>
    <definedName name="sp_g2_branc_switch">#REF!</definedName>
    <definedName name="sp_g2_sm_A_itfce">#REF!</definedName>
    <definedName name="sp_gp_switch">#REF!</definedName>
    <definedName name="sp_heat">#REF!</definedName>
    <definedName name="sp_heating">#REF!</definedName>
    <definedName name="SP_HP">#REF!</definedName>
    <definedName name="SP_ini">#REF!</definedName>
    <definedName name="SP_INS">#REF!</definedName>
    <definedName name="SP_IO">#REF!</definedName>
    <definedName name="SP_IOB">#REF!</definedName>
    <definedName name="SP_ISA">#REF!</definedName>
    <definedName name="sp_kcs">#REF!</definedName>
    <definedName name="SP_label">#REF!</definedName>
    <definedName name="sp_lightning">#REF!</definedName>
    <definedName name="SP_MAT">#REF!</definedName>
    <definedName name="sp_nb">#REF!</definedName>
    <definedName name="sp_ngio">#REF!</definedName>
    <definedName name="SP_NMS">#REF!</definedName>
    <definedName name="sp_nv">#REF!</definedName>
    <definedName name="sp_osi">#REF!</definedName>
    <definedName name="SP_over_RP">#REF!</definedName>
    <definedName name="sp_ps_bsc">#REF!</definedName>
    <definedName name="sp_q1">#REF!</definedName>
    <definedName name="sp_rfe">#REF!</definedName>
    <definedName name="sp_sum">#REF!</definedName>
    <definedName name="sp_sys">#REF!</definedName>
    <definedName name="sp_t3">#REF!</definedName>
    <definedName name="sp_t4">#REF!</definedName>
    <definedName name="sp_t5">#REF!</definedName>
    <definedName name="sp_t6">#REF!</definedName>
    <definedName name="sp_tc">#REF!</definedName>
    <definedName name="sp_tc_dr_board">#REF!</definedName>
    <definedName name="sp_tc_sm_control">#REF!</definedName>
    <definedName name="sp_tcuc">#REF!</definedName>
    <definedName name="sp_tm">#REF!</definedName>
    <definedName name="sp_trx">#REF!</definedName>
    <definedName name="sp_uprice">#REF!</definedName>
    <definedName name="sp_vs">#REF!</definedName>
    <definedName name="sp_xh">#REF!</definedName>
    <definedName name="sp10_100">#REF!</definedName>
    <definedName name="sp10_100t">#REF!</definedName>
    <definedName name="sp10_150">#REF!</definedName>
    <definedName name="sp10_150t">#REF!</definedName>
    <definedName name="sp10_360">#REF!</definedName>
    <definedName name="sp10_360t">#REF!</definedName>
    <definedName name="sp10_375">#REF!</definedName>
    <definedName name="sp10_375t">#REF!</definedName>
    <definedName name="sp10_385">#REF!</definedName>
    <definedName name="sp10_385t">#REF!</definedName>
    <definedName name="sp10_400">#REF!</definedName>
    <definedName name="sp10_400t">#REF!</definedName>
    <definedName name="sp15_100">#REF!</definedName>
    <definedName name="sp15_100t">#REF!</definedName>
    <definedName name="sp20_275">#REF!</definedName>
    <definedName name="sp20_275t">#REF!</definedName>
    <definedName name="Spample" hidden="1">{"'Sheet1'!$L$16"}</definedName>
    <definedName name="SPAN">#REF!</definedName>
    <definedName name="SPAN_No">#REF!</definedName>
    <definedName name="Span_TCH">#REF!</definedName>
    <definedName name="Span_Util">#REF!</definedName>
    <definedName name="Spanner_Auto_File">"C:\My Documents\tinh cdo.x2a"</definedName>
    <definedName name="Spans">#REF!</definedName>
    <definedName name="Spans_Per_ATM_MGX">#REF!</definedName>
    <definedName name="Spans_Per_IP_MGX">#REF!</definedName>
    <definedName name="Spans_per_RPM">#REF!</definedName>
    <definedName name="Spans_Per_VXR">#REF!</definedName>
    <definedName name="SPANT">#N/A</definedName>
    <definedName name="Spare_Coef">#REF!</definedName>
    <definedName name="Spare_Premier_Enh_MN">#REF!</definedName>
    <definedName name="Spare_Premier_Enh_SN">#REF!</definedName>
    <definedName name="Spare_Premier_Std_LN">#REF!</definedName>
    <definedName name="Spare_Premier_Std_MN">#REF!</definedName>
    <definedName name="Spare_Premier_Std_VLN">#REF!</definedName>
    <definedName name="SpareCell">#REF!</definedName>
    <definedName name="sparedn">#REF!</definedName>
    <definedName name="SpareMgt_L">#REF!</definedName>
    <definedName name="SpareMgt_M">#REF!</definedName>
    <definedName name="SpareMgt_S">#REF!</definedName>
    <definedName name="SpareMgt_VL">#REF!</definedName>
    <definedName name="SPAREPDH">#REF!</definedName>
    <definedName name="SPAREPDHUX">#REF!</definedName>
    <definedName name="Spares_ADM">#REF!</definedName>
    <definedName name="Spares_fin">#REF!</definedName>
    <definedName name="Spares_ini">#REF!</definedName>
    <definedName name="spares_q">#REF!</definedName>
    <definedName name="Spares_Radio">#REF!</definedName>
    <definedName name="spares_UP">#REF!</definedName>
    <definedName name="SPARESDH">#REF!</definedName>
    <definedName name="SparesTab">#REF!</definedName>
    <definedName name="sparevt">#REF!</definedName>
    <definedName name="SPBDEPLO">#N/A</definedName>
    <definedName name="SPBFREI">#REF!</definedName>
    <definedName name="SPBFTS">#N/A</definedName>
    <definedName name="SPBIL1">#REF!</definedName>
    <definedName name="SPBIL2">#REF!</definedName>
    <definedName name="SPBINRTU">#N/A</definedName>
    <definedName name="SPBLOG">#N/A</definedName>
    <definedName name="SPBMARK">#N/A</definedName>
    <definedName name="SPBMIS">#REF!</definedName>
    <definedName name="SPBPREIN">#N/A</definedName>
    <definedName name="SPBPROJ">#REF!</definedName>
    <definedName name="SPBRETRO">#REF!</definedName>
    <definedName name="SPBSC">#N/A</definedName>
    <definedName name="SPBSPEC">#N/A</definedName>
    <definedName name="SPBSSON">#N/A</definedName>
    <definedName name="SPBSTDOC">#N/A</definedName>
    <definedName name="SPBTRAIN">#N/A</definedName>
    <definedName name="SPBTS">#N/A</definedName>
    <definedName name="SPBWAR">#REF!</definedName>
    <definedName name="SPEC">#REF!</definedName>
    <definedName name="SPEC_1">"#REF!"</definedName>
    <definedName name="SPEC_18">#REF!</definedName>
    <definedName name="SPECHO1">#REF!</definedName>
    <definedName name="SPECHO2">#REF!</definedName>
    <definedName name="SpecialPrice" hidden="1">#REF!</definedName>
    <definedName name="specs">#REF!</definedName>
    <definedName name="SPECSUMMARY" localSheetId="6">#REF!</definedName>
    <definedName name="SPECSUMMARY">#REF!</definedName>
    <definedName name="SPECSUMMARY_1">"#REF!"</definedName>
    <definedName name="SPECSUMMARY_18">#REF!</definedName>
    <definedName name="spectral_efficiency">#REF!</definedName>
    <definedName name="Speed_ManualEnroll_10Fingers">#REF!</definedName>
    <definedName name="SPEIR1">#REF!</definedName>
    <definedName name="SPEIR2">#REF!</definedName>
    <definedName name="SPENVE1">#REF!</definedName>
    <definedName name="SPENVE2">#REF!</definedName>
    <definedName name="SPHLR1">#REF!</definedName>
    <definedName name="SPHLR2">#REF!</definedName>
    <definedName name="spiff">#REF!</definedName>
    <definedName name="SPIN1">#REF!</definedName>
    <definedName name="SPIN2">#REF!</definedName>
    <definedName name="SPINTER1">#REF!</definedName>
    <definedName name="SPINTER2">#REF!</definedName>
    <definedName name="spk1p">#REF!</definedName>
    <definedName name="spk1p_14">#REF!</definedName>
    <definedName name="spk3p">#REF!</definedName>
    <definedName name="spk3p_14">#REF!</definedName>
    <definedName name="SPlatform">#REF!</definedName>
    <definedName name="split">#REF!</definedName>
    <definedName name="splitterless">#REF!</definedName>
    <definedName name="spmax">#N/A</definedName>
    <definedName name="SPMICBTS">#N/A</definedName>
    <definedName name="SPMSC1">#REF!</definedName>
    <definedName name="SPMSC2">#REF!</definedName>
    <definedName name="SPNCTIN1">#REF!</definedName>
    <definedName name="SPNCTIN2">#REF!</definedName>
    <definedName name="SPNDEPLO1">#REF!</definedName>
    <definedName name="SPNDEPLO2">#REF!</definedName>
    <definedName name="SPNFREI1">#REF!</definedName>
    <definedName name="SPNFREI2">#REF!</definedName>
    <definedName name="SPNFTS1">#REF!</definedName>
    <definedName name="SPNFTS2">#REF!</definedName>
    <definedName name="SPNINRTU1">#REF!</definedName>
    <definedName name="SPNINRTU2">#REF!</definedName>
    <definedName name="SPNLOG1">#REF!</definedName>
    <definedName name="SPNLOG2">#REF!</definedName>
    <definedName name="SPNMARK1">#REF!</definedName>
    <definedName name="SPNMARK2">#REF!</definedName>
    <definedName name="SPNMIS1">#REF!</definedName>
    <definedName name="SPNMIS2">#REF!</definedName>
    <definedName name="SPNPREIN1">#REF!</definedName>
    <definedName name="SPNPREIN2">#REF!</definedName>
    <definedName name="SPNPROJ1">#REF!</definedName>
    <definedName name="SPNPROJ2">#REF!</definedName>
    <definedName name="SPNREC1">#REF!</definedName>
    <definedName name="SPNREC2">#REF!</definedName>
    <definedName name="SPNRETRO1">#REF!</definedName>
    <definedName name="SPNRETRO2">#REF!</definedName>
    <definedName name="SPNSPEC1">#REF!</definedName>
    <definedName name="SPNSPEC2">#REF!</definedName>
    <definedName name="SPNSSON1">#REF!</definedName>
    <definedName name="SPNSSON2">#REF!</definedName>
    <definedName name="SPNSTDOC1">#REF!</definedName>
    <definedName name="SPNSTDOC2">#REF!</definedName>
    <definedName name="SPNTD1">#REF!</definedName>
    <definedName name="SPNTD2">#REF!</definedName>
    <definedName name="SPNTRAIN1">#REF!</definedName>
    <definedName name="SPNTRAIN2">#REF!</definedName>
    <definedName name="SPNWAR1">#REF!</definedName>
    <definedName name="SPNWAR2">#REF!</definedName>
    <definedName name="SPOMC1">#REF!</definedName>
    <definedName name="SPOMC2">#REF!</definedName>
    <definedName name="SPOMCR">#REF!</definedName>
    <definedName name="SPOR">#N/A</definedName>
    <definedName name="SPoRP">#REF!</definedName>
    <definedName name="spot_EUR_USD">#REF!</definedName>
    <definedName name="SPOTVAS1">#REF!</definedName>
    <definedName name="SPOTVAS2">#REF!</definedName>
    <definedName name="SPPOLE">#N/A</definedName>
    <definedName name="SPPS">#N/A</definedName>
    <definedName name="Sprack">#REF!</definedName>
    <definedName name="SPRESAL">#N/A</definedName>
    <definedName name="SPSBizDataCatDefs">#REF!</definedName>
    <definedName name="SPSClusterReady">#REF!</definedName>
    <definedName name="SPSCO">#REF!</definedName>
    <definedName name="SPSComplexity">#REF!</definedName>
    <definedName name="SPSCustomSiteDefs">#REF!</definedName>
    <definedName name="SPSCustomSiteFeatures">#REF!</definedName>
    <definedName name="SPSCustomSiteTemplates">#REF!</definedName>
    <definedName name="SPSCustomWebLink">#REF!</definedName>
    <definedName name="SPSCustomWebPart">#REF!</definedName>
    <definedName name="SPSFormsAuthComplexity">#REF!</definedName>
    <definedName name="SPSFormsAuthProviders">#REF!</definedName>
    <definedName name="SPSInfoPathForms">#REF!</definedName>
    <definedName name="SPSLanguagePacks">#REF!</definedName>
    <definedName name="SPSMIM1">#REF!</definedName>
    <definedName name="SPSMIM2">#REF!</definedName>
    <definedName name="SPSNO">#REF!</definedName>
    <definedName name="SPSPARE1">#REF!</definedName>
    <definedName name="SPSPARE2">#REF!</definedName>
    <definedName name="SPSPB">#N/A</definedName>
    <definedName name="SPSPhysicalSites">#REF!</definedName>
    <definedName name="SPSSearchComplexity">#REF!</definedName>
    <definedName name="SPSSitesFacingInternet">#REF!</definedName>
    <definedName name="SPSTaxonomy">#REF!</definedName>
    <definedName name="SPSWCMCustomFieldControls">#REF!</definedName>
    <definedName name="SPTE">#N/A</definedName>
    <definedName name="SPTVASCIT">#REF!</definedName>
    <definedName name="SPTVASSEL">#REF!</definedName>
    <definedName name="SPVM1">#REF!</definedName>
    <definedName name="SPVM2">#REF!</definedName>
    <definedName name="SQ">#REF!</definedName>
    <definedName name="SQAPage1">#REF!</definedName>
    <definedName name="SQAPAGE2">#REF!</definedName>
    <definedName name="SQAPage3">#REF!</definedName>
    <definedName name="SQDKT10">#REF!</definedName>
    <definedName name="SQDKT11">#REF!</definedName>
    <definedName name="SQDKT9">#REF!</definedName>
    <definedName name="sqsq" hidden="1">#REF!</definedName>
    <definedName name="SR7_ITP">#REF!</definedName>
    <definedName name="SR7_SSP">#REF!</definedName>
    <definedName name="SR7710_ITP">#REF!</definedName>
    <definedName name="SR7710_SSP">#REF!</definedName>
    <definedName name="srbn" localSheetId="6">{"Thuxm2.xls","Sheet1"}</definedName>
    <definedName name="srbn">{"Thuxm2.xls","Sheet1"}</definedName>
    <definedName name="srbn_1">{"Thuxm2.xls","Sheet1"}</definedName>
    <definedName name="srbn_10">{"Thuxm2.xls","Sheet1"}</definedName>
    <definedName name="srbn_10_1">{"Thuxm2.xls","Sheet1"}</definedName>
    <definedName name="srbn_11">{"Thuxm2.xls","Sheet1"}</definedName>
    <definedName name="srbn_11_1">{"Thuxm2.xls","Sheet1"}</definedName>
    <definedName name="srbn_12">{"Thuxm2.xls","Sheet1"}</definedName>
    <definedName name="srbn_12_1">{"Thuxm2.xls","Sheet1"}</definedName>
    <definedName name="srbn_14">{"Thuxm2.xls","Sheet1"}</definedName>
    <definedName name="srbn_14_1">{"Thuxm2.xls","Sheet1"}</definedName>
    <definedName name="srbn_15">{"Thuxm2.xls","Sheet1"}</definedName>
    <definedName name="srbn_15_1">{"Thuxm2.xls","Sheet1"}</definedName>
    <definedName name="srbn_16">{"Thuxm2.xls","Sheet1"}</definedName>
    <definedName name="srbn_16_1">{"Thuxm2.xls","Sheet1"}</definedName>
    <definedName name="srbn_17">{"Thuxm2.xls","Sheet1"}</definedName>
    <definedName name="srbn_17_1">{"Thuxm2.xls","Sheet1"}</definedName>
    <definedName name="srbn_19">{"Thuxm2.xls","Sheet1"}</definedName>
    <definedName name="srbn_19_1">{"Thuxm2.xls","Sheet1"}</definedName>
    <definedName name="srbn_23">{"Thuxm2.xls","Sheet1"}</definedName>
    <definedName name="srbn_23_1">{"Thuxm2.xls","Sheet1"}</definedName>
    <definedName name="srbn_24">{"Thuxm2.xls","Sheet1"}</definedName>
    <definedName name="srbn_24_1">{"Thuxm2.xls","Sheet1"}</definedName>
    <definedName name="srbn_25">{"Thuxm2.xls","Sheet1"}</definedName>
    <definedName name="srbn_25_1">{"Thuxm2.xls","Sheet1"}</definedName>
    <definedName name="srbn_26">{"Thuxm2.xls","Sheet1"}</definedName>
    <definedName name="srbn_26_1">{"Thuxm2.xls","Sheet1"}</definedName>
    <definedName name="srbn_28">{"Thuxm2.xls","Sheet1"}</definedName>
    <definedName name="srbn_28_1">{"Thuxm2.xls","Sheet1"}</definedName>
    <definedName name="srbn_3">{"Thuxm2.xls","Sheet1"}</definedName>
    <definedName name="srbn_3_1">{"Thuxm2.xls","Sheet1"}</definedName>
    <definedName name="srbn_31">{"Thuxm2.xls","Sheet1"}</definedName>
    <definedName name="srbn_31_1">{"Thuxm2.xls","Sheet1"}</definedName>
    <definedName name="srbn_32">{"Thuxm2.xls","Sheet1"}</definedName>
    <definedName name="srbn_32_1">{"Thuxm2.xls","Sheet1"}</definedName>
    <definedName name="srbn_7">{"Thuxm2.xls","Sheet1"}</definedName>
    <definedName name="srbn_7_1">{"Thuxm2.xls","Sheet1"}</definedName>
    <definedName name="srbn_9">{"Thuxm2.xls","Sheet1"}</definedName>
    <definedName name="srbn_9_1">{"Thuxm2.xls","Sheet1"}</definedName>
    <definedName name="srdtrd" hidden="1">{"'Sheet1'!$L$16"}</definedName>
    <definedName name="SRF">#REF!</definedName>
    <definedName name="SRM_Pr">#REF!</definedName>
    <definedName name="SRN_6.5">#REF!</definedName>
    <definedName name="SRN_TRX">#REF!</definedName>
    <definedName name="sRng" hidden="1">IF(LEFT(OFFSET(Acell,0,-6),1)="1",dVTu_Rng,IF(LEFT(OFFSET(Acell,0,-6),1)="2",dNCong_Rng,dCMay_Rng))</definedName>
    <definedName name="SRPorDAM">#REF!</definedName>
    <definedName name="SRS">#REF!</definedName>
    <definedName name="SRSQI">#REF!</definedName>
    <definedName name="SRT">#REF!</definedName>
    <definedName name="srtg">#REF!</definedName>
    <definedName name="srtg_1">"#REF!"</definedName>
    <definedName name="SRV">#REF!</definedName>
    <definedName name="ss" localSheetId="6">#REF!</definedName>
    <definedName name="ss">#N/A</definedName>
    <definedName name="SS_DISC">#REF!</definedName>
    <definedName name="SS_ENTER">#REF!</definedName>
    <definedName name="SS_TH1">#REF!</definedName>
    <definedName name="SS7_Scena">#REF!</definedName>
    <definedName name="SS7_Type">#REF!</definedName>
    <definedName name="SS7Slots">#REF!</definedName>
    <definedName name="ssa">#REF!</definedName>
    <definedName name="ssau">#N/A</definedName>
    <definedName name="ssd">#REF!</definedName>
    <definedName name="SSDD" hidden="1">{#N/A,#N/A,TRUE,"SUM";#N/A,#N/A,TRUE,"EE";#N/A,#N/A,TRUE,"AC";#N/A,#N/A,TRUE,"SN"}</definedName>
    <definedName name="SSK_6.5">#REF!</definedName>
    <definedName name="SSK_TRX">#REF!</definedName>
    <definedName name="SSP_SCU_HC" localSheetId="6">(1+0.25*R_UMTS)/7</definedName>
    <definedName name="SSP_SCU_HC">(1+0.25*R_UMTS)/7</definedName>
    <definedName name="SSP_SCU_HC1" localSheetId="6">(1+0.25*R_UMTS)/7</definedName>
    <definedName name="SSP_SCU_HC1">(1+0.25*R_UMTS)/7</definedName>
    <definedName name="SSP_SCU_HC2" localSheetId="6">(1+0.25*R_UMTS)/7</definedName>
    <definedName name="SSP_SCU_HC2">(1+0.25*R_UMTS)/7</definedName>
    <definedName name="SSP7670ESE">#REF!</definedName>
    <definedName name="SSP7670RSP">#REF!</definedName>
    <definedName name="SSPC7750">#REF!</definedName>
    <definedName name="SSPNIC">#REF!</definedName>
    <definedName name="SSPOEM">#REF!</definedName>
    <definedName name="SSPOEMKrone">#REF!</definedName>
    <definedName name="SSPSUN">#REF!</definedName>
    <definedName name="SSPTelco1">#REF!</definedName>
    <definedName name="SSPTelco2">#REF!</definedName>
    <definedName name="sss">#REF!</definedName>
    <definedName name="sssd" localSheetId="6" hidden="1">{#N/A,#N/A,FALSE,"Chi tiÆt"}</definedName>
    <definedName name="sssd" hidden="1">{#N/A,#N/A,FALSE,"Chi tiÆt"}</definedName>
    <definedName name="sssdsdsd" hidden="1">[4]Earthwork!#REF!</definedName>
    <definedName name="ssss" hidden="1">{#N/A,#N/A,TRUE,"Config1";#N/A,#N/A,TRUE,"Config2";#N/A,#N/A,TRUE,"Config3";#N/A,#N/A,TRUE,"Config4";#N/A,#N/A,TRUE,"Config5";#N/A,#N/A,TRUE,"Config6";#N/A,#N/A,TRUE,"Config7"}</definedName>
    <definedName name="ssssfd" hidden="1">#REF!</definedName>
    <definedName name="sssss">#REF!</definedName>
    <definedName name="ssssss">[0]!catalogue</definedName>
    <definedName name="sssssss">[0]!catalogue</definedName>
    <definedName name="ssssssss" hidden="1">{"Offgrid",#N/A,FALSE,"OFFGRID";"Region",#N/A,FALSE,"REGION";"Offgrid -2",#N/A,FALSE,"OFFGRID";"WTP",#N/A,FALSE,"WTP";"WTP -2",#N/A,FALSE,"WTP";"Project",#N/A,FALSE,"PROJECT";"Summary -2",#N/A,FALSE,"SUMMARY"}</definedName>
    <definedName name="sssssssss">#REF!</definedName>
    <definedName name="ssssssssss">#REF!</definedName>
    <definedName name="SSTR">#REF!</definedName>
    <definedName name="ssw" hidden="1">#REF!</definedName>
    <definedName name="ST">#REF!</definedName>
    <definedName name="ST_1">"#REF!"</definedName>
    <definedName name="ST_CC">#REF!</definedName>
    <definedName name="ST_CCT">#REF!</definedName>
    <definedName name="ST_M">#REF!</definedName>
    <definedName name="ST_Mt">#REF!</definedName>
    <definedName name="ST_TH2_131">3</definedName>
    <definedName name="ST09FR2M">#REF!</definedName>
    <definedName name="ST09FRAC">#REF!</definedName>
    <definedName name="ST09FRDC">#REF!</definedName>
    <definedName name="st1p">#REF!</definedName>
    <definedName name="st1p_18">#REF!</definedName>
    <definedName name="st3p">#REF!</definedName>
    <definedName name="st3p_14">#REF!</definedName>
    <definedName name="STAMPA">#REF!</definedName>
    <definedName name="STAMPA12">#REF!</definedName>
    <definedName name="standard">#REF!</definedName>
    <definedName name="Standard_Deviation">#REF!</definedName>
    <definedName name="Star_Multidrop">#REF!</definedName>
    <definedName name="StarRow">#REF!</definedName>
    <definedName name="Start" localSheetId="6">#REF!</definedName>
    <definedName name="Start">#REF!</definedName>
    <definedName name="Start_1">#REF!</definedName>
    <definedName name="Start_1_1">"#REF!"</definedName>
    <definedName name="Start_1_18">#REF!</definedName>
    <definedName name="Start_10">#REF!</definedName>
    <definedName name="Start_10_18">#REF!</definedName>
    <definedName name="Start_11">#REF!</definedName>
    <definedName name="Start_11_18">#REF!</definedName>
    <definedName name="Start_12">#REF!</definedName>
    <definedName name="Start_12_18">#REF!</definedName>
    <definedName name="Start_13">#REF!</definedName>
    <definedName name="Start_13_18">#REF!</definedName>
    <definedName name="Start_2">#REF!</definedName>
    <definedName name="Start_2_18">#REF!</definedName>
    <definedName name="Start_3">#REF!</definedName>
    <definedName name="Start_3_18">#REF!</definedName>
    <definedName name="Start_4">#REF!</definedName>
    <definedName name="Start_4_18">#REF!</definedName>
    <definedName name="Start_5">#REF!</definedName>
    <definedName name="Start_5_18">#REF!</definedName>
    <definedName name="Start_6">#REF!</definedName>
    <definedName name="Start_6_18">#REF!</definedName>
    <definedName name="Start_7">#REF!</definedName>
    <definedName name="Start_7_18">#REF!</definedName>
    <definedName name="Start_8">#REF!</definedName>
    <definedName name="Start_8_18">#REF!</definedName>
    <definedName name="Start_9">#REF!</definedName>
    <definedName name="Start_9_18">#REF!</definedName>
    <definedName name="START1362">#REF!</definedName>
    <definedName name="Start20">#REF!</definedName>
    <definedName name="Start45">#REF!</definedName>
    <definedName name="Start7">#REF!</definedName>
    <definedName name="StartHints" localSheetId="6">#REF!</definedName>
    <definedName name="StartHints">#REF!</definedName>
    <definedName name="StartInfo_CongTrinh">#REF!</definedName>
    <definedName name="StartInfo_HangMuc">#REF!</definedName>
    <definedName name="StartInfo_MauTHKPHM">#REF!</definedName>
    <definedName name="StartInfo_SoLieuTinhGiaNC">#REF!</definedName>
    <definedName name="Startpoint1">#REF!</definedName>
    <definedName name="Startpoint2">#REF!</definedName>
    <definedName name="Startpoint3">#REF!</definedName>
    <definedName name="StartRow">#REF!</definedName>
    <definedName name="STAT_01">#N/A</definedName>
    <definedName name="STAT_02">#N/A</definedName>
    <definedName name="STAT_03">#N/A</definedName>
    <definedName name="STAT_04">#N/A</definedName>
    <definedName name="STAT_05">#N/A</definedName>
    <definedName name="STAT_06">#N/A</definedName>
    <definedName name="STAT_07">#N/A</definedName>
    <definedName name="STAT_08">#N/A</definedName>
    <definedName name="STAT_09">#N/A</definedName>
    <definedName name="STAT_10">#N/A</definedName>
    <definedName name="STAT_11">#N/A</definedName>
    <definedName name="STAT_12">#N/A</definedName>
    <definedName name="STAT_13">#N/A</definedName>
    <definedName name="STAT_14">#N/A</definedName>
    <definedName name="STAT_15">#N/A</definedName>
    <definedName name="STAT_16">#N/A</definedName>
    <definedName name="STAT_17">#N/A</definedName>
    <definedName name="STAT_18">#N/A</definedName>
    <definedName name="STAT_19">#N/A</definedName>
    <definedName name="STAT_20">#N/A</definedName>
    <definedName name="STAT_21">#N/A</definedName>
    <definedName name="STAT_22">#N/A</definedName>
    <definedName name="STAT_23">#N/A</definedName>
    <definedName name="STAT_24">#N/A</definedName>
    <definedName name="STAT_25">#N/A</definedName>
    <definedName name="STAT_26">#N/A</definedName>
    <definedName name="STAT_27">#N/A</definedName>
    <definedName name="STAT_28">#N/A</definedName>
    <definedName name="STAT_29">#N/A</definedName>
    <definedName name="STAT_30">#N/A</definedName>
    <definedName name="STAT_31">#N/A</definedName>
    <definedName name="STAT_32">#N/A</definedName>
    <definedName name="STAT_33">#N/A</definedName>
    <definedName name="STAT_34">#N/A</definedName>
    <definedName name="STAT_35">#N/A</definedName>
    <definedName name="STAT_36">#N/A</definedName>
    <definedName name="STAT_37">#N/A</definedName>
    <definedName name="STAT_38">#N/A</definedName>
    <definedName name="STAT_39">#N/A</definedName>
    <definedName name="STAT_40">#N/A</definedName>
    <definedName name="STAT_41">#N/A</definedName>
    <definedName name="STAT_42">#N/A</definedName>
    <definedName name="State">#REF!</definedName>
    <definedName name="Status">#REF!</definedName>
    <definedName name="StatusList">#REF!</definedName>
    <definedName name="STBCCT1">#REF!</definedName>
    <definedName name="STBCCT2">#REF!</definedName>
    <definedName name="STBCHDUSD1">#REF!</definedName>
    <definedName name="STBCHDUSD2">#REF!</definedName>
    <definedName name="STBCHDXK1">#REF!</definedName>
    <definedName name="STBCHDXK2">#REF!</definedName>
    <definedName name="STBCPC1">#REF!</definedName>
    <definedName name="STBCPC2">#REF!</definedName>
    <definedName name="STBCPN1">#REF!</definedName>
    <definedName name="STBCPN2">#REF!</definedName>
    <definedName name="STBCPT1">#REF!</definedName>
    <definedName name="STBCPT2">#REF!</definedName>
    <definedName name="STBCPX1">#REF!</definedName>
    <definedName name="STBCPX2">#REF!</definedName>
    <definedName name="STBCTU1">#REF!</definedName>
    <definedName name="STBCTU2">#REF!</definedName>
    <definedName name="Stc">#REF!</definedName>
    <definedName name="STD">#REF!</definedName>
    <definedName name="STM1_100">#REF!</definedName>
    <definedName name="STM1_1150">#REF!</definedName>
    <definedName name="STM1_1400">#REF!</definedName>
    <definedName name="STM1_1700">#REF!</definedName>
    <definedName name="STM1_200">#REF!</definedName>
    <definedName name="STM1_2000">#REF!</definedName>
    <definedName name="STM1_2300">#REF!</definedName>
    <definedName name="STM1_2600">#REF!</definedName>
    <definedName name="STM1_2900">#REF!</definedName>
    <definedName name="STM1_3200">#REF!</definedName>
    <definedName name="STM1_3500">#REF!</definedName>
    <definedName name="STM1_3750">#REF!</definedName>
    <definedName name="STM1_400">#REF!</definedName>
    <definedName name="STM1_4000">#REF!</definedName>
    <definedName name="STM1_650">#REF!</definedName>
    <definedName name="STM1_900">#REF!</definedName>
    <definedName name="STM4_100">#REF!</definedName>
    <definedName name="STM4_1150">#REF!</definedName>
    <definedName name="STM4_1400">#REF!</definedName>
    <definedName name="STM4_1700">#REF!</definedName>
    <definedName name="STM4_200">#REF!</definedName>
    <definedName name="STM4_2000">#REF!</definedName>
    <definedName name="STM4_2300">#REF!</definedName>
    <definedName name="STM4_2600">#REF!</definedName>
    <definedName name="STM4_2900">#REF!</definedName>
    <definedName name="STM4_3200">#REF!</definedName>
    <definedName name="STM4_3500">#REF!</definedName>
    <definedName name="STM4_3750">#REF!</definedName>
    <definedName name="STM4_400">#REF!</definedName>
    <definedName name="STM4_4000">#REF!</definedName>
    <definedName name="STM4_650">#REF!</definedName>
    <definedName name="STM4_900">#REF!</definedName>
    <definedName name="stop" hidden="1">{0}</definedName>
    <definedName name="Storage">#REF!</definedName>
    <definedName name="store_b">1.1</definedName>
    <definedName name="store_dis">20%</definedName>
    <definedName name="Story_Basement">#REF!</definedName>
    <definedName name="Story_Podium">#REF!</definedName>
    <definedName name="Story_Total">#REF!</definedName>
    <definedName name="Story_Tower">#REF!</definedName>
    <definedName name="str">#REF!</definedName>
    <definedName name="STRA">#REF!</definedName>
    <definedName name="StrCommercialNAD">#REF!</definedName>
    <definedName name="StrConfig">#REF!</definedName>
    <definedName name="StrCountry">#REF!</definedName>
    <definedName name="StrCountryManager">#REF!</definedName>
    <definedName name="StrCurrency">#REF!</definedName>
    <definedName name="StrCustomer">#REF!</definedName>
    <definedName name="Street_Address">#REF!</definedName>
    <definedName name="STRES_MiD">#REF!</definedName>
    <definedName name="StrIncoterm">#REF!</definedName>
    <definedName name="StrLanguage">#REF!</definedName>
    <definedName name="StrLeadingBD">#REF!</definedName>
    <definedName name="StrManager">#REF!</definedName>
    <definedName name="StrProject">#REF!</definedName>
    <definedName name="StrRelease">#REF!</definedName>
    <definedName name="struc_analy">#REF!</definedName>
    <definedName name="Struct_Type">#REF!</definedName>
    <definedName name="STSE">#REF!</definedName>
    <definedName name="STSP">#REF!</definedName>
    <definedName name="STSR">#REF!</definedName>
    <definedName name="Stt">#REF!</definedName>
    <definedName name="STT_CT">#REF!</definedName>
    <definedName name="STT_NC">#REF!</definedName>
    <definedName name="STT_NCT">#REF!</definedName>
    <definedName name="STT_PH">#REF!</definedName>
    <definedName name="STTPHIEU">#REF!</definedName>
    <definedName name="stzbtns" hidden="1">{"'Sheet1'!$L$16"}</definedName>
    <definedName name="su">#REF!</definedName>
    <definedName name="Su_dung">#REF!</definedName>
    <definedName name="Su_dung1">#REF!</definedName>
    <definedName name="su12_14">#REF!</definedName>
    <definedName name="Su70_14">#REF!</definedName>
    <definedName name="sua" hidden="1">{"'Sheet1'!$L$16"}</definedName>
    <definedName name="sub">#REF!</definedName>
    <definedName name="sub_total">#REF!</definedName>
    <definedName name="sub_total_afterdiscount">#REF!</definedName>
    <definedName name="sub_total_ref">#REF!</definedName>
    <definedName name="Subbase" localSheetId="6" hidden="1">{"'Sheet1'!$L$16"}</definedName>
    <definedName name="Subbase" hidden="1">{"'Sheet1'!$L$16"}</definedName>
    <definedName name="subcon">#REF!</definedName>
    <definedName name="subcontractor_manhour_rate">#REF!</definedName>
    <definedName name="SUBMIDATE">#N/A</definedName>
    <definedName name="submission">#N/A</definedName>
    <definedName name="SUBNR1">#REF!</definedName>
    <definedName name="SUBNR2">#REF!</definedName>
    <definedName name="Subrack_con_BSEC">#REF!</definedName>
    <definedName name="Subrack_con_NSEC">#REF!</definedName>
    <definedName name="subs_lim">#REF!</definedName>
    <definedName name="Subscriber_Experience">#REF!</definedName>
    <definedName name="subscribers">#REF!</definedName>
    <definedName name="Subscription">#REF!</definedName>
    <definedName name="SubsystemSheet">#REF!</definedName>
    <definedName name="Subtotals">#REF!</definedName>
    <definedName name="SUL">#REF!</definedName>
    <definedName name="SUM">#REF!,#REF!</definedName>
    <definedName name="sum_15">("#REF!,#REF!)")</definedName>
    <definedName name="sum_16">("#REF!,#REF!)")</definedName>
    <definedName name="sum_17">("#REF!,#REF!)")</definedName>
    <definedName name="sum_dg">#REF!</definedName>
    <definedName name="SUM_DRAINAGE" hidden="1">#REF!</definedName>
    <definedName name="SUM_GI" hidden="1">#REF!</definedName>
    <definedName name="SUM_LD">#REF!</definedName>
    <definedName name="SUM_LIGHTING" hidden="1">#REF!</definedName>
    <definedName name="SUM_PAVEMENT" hidden="1">#REF!</definedName>
    <definedName name="SUM_TRAFFIC" hidden="1">#REF!</definedName>
    <definedName name="SUM_VL">#REF!</definedName>
    <definedName name="sumapr02">#REF!</definedName>
    <definedName name="sumaug02">#REF!</definedName>
    <definedName name="SumCur" localSheetId="6">#REF!</definedName>
    <definedName name="SumCur">#REF!</definedName>
    <definedName name="sumdec01">#REF!</definedName>
    <definedName name="SumEuro" localSheetId="6">#REF!</definedName>
    <definedName name="SumEuro">#REF!</definedName>
    <definedName name="sumfeb02">#REF!</definedName>
    <definedName name="SUMITOMO">#REF!</definedName>
    <definedName name="SUMITOMO_1">"#REF!"</definedName>
    <definedName name="SUMITOMO_GT">#REF!</definedName>
    <definedName name="SUMITOMO_GT_1">"#REF!"</definedName>
    <definedName name="sumjan02">#REF!</definedName>
    <definedName name="sumjil02">#REF!</definedName>
    <definedName name="sumjul02">#REF!</definedName>
    <definedName name="sumjum02">#REF!</definedName>
    <definedName name="sumjun02">#REF!</definedName>
    <definedName name="SumKL">#REF!</definedName>
    <definedName name="SumKL_14">#REF!</definedName>
    <definedName name="SumM">#REF!</definedName>
    <definedName name="summar" hidden="1">{#N/A,#N/A,TRUE,"SUM";#N/A,#N/A,TRUE,"EE";#N/A,#N/A,TRUE,"AC";#N/A,#N/A,TRUE,"SN"}</definedName>
    <definedName name="summar02">#REF!</definedName>
    <definedName name="SUMMARY" localSheetId="6">#REF!</definedName>
    <definedName name="SUMMARY">#REF!</definedName>
    <definedName name="SUMMARY_1">"#REF!"</definedName>
    <definedName name="SUMMARY_14">#REF!</definedName>
    <definedName name="SummaryDescr">#REF!</definedName>
    <definedName name="SummaryProdPrice">#REF!</definedName>
    <definedName name="SUMMARYT" hidden="1">#REF!</definedName>
    <definedName name="summay02">#REF!</definedName>
    <definedName name="SumMTC">#REF!</definedName>
    <definedName name="SumMTC1">'[20]Bang khoi luong'!$M$136</definedName>
    <definedName name="SumMTC2">#REF!</definedName>
    <definedName name="SumNC">#REF!</definedName>
    <definedName name="SUMNC1">'[20]Bang khoi luong'!$L$136</definedName>
    <definedName name="SumNC2">#REF!</definedName>
    <definedName name="sumPS">#REF!</definedName>
    <definedName name="sumTA">#REF!</definedName>
    <definedName name="sumTB">#REF!</definedName>
    <definedName name="SumVL">'[20]Bang khoi luong'!$K$136</definedName>
    <definedName name="sumXL">#REF!</definedName>
    <definedName name="sun" hidden="1">{"'Sheet1'!$L$16"}</definedName>
    <definedName name="Sun_Ivy_Dist.">#REF!</definedName>
    <definedName name="Super" hidden="1">{#N/A,#N/A,TRUE,"Str.";#N/A,#N/A,TRUE,"Steel &amp; Roof";#N/A,#N/A,TRUE,"Arc.";#N/A,#N/A,TRUE,"Preliminary";#N/A,#N/A,TRUE,"Sum_Prelim"}</definedName>
    <definedName name="SUPNSS">#REF!</definedName>
    <definedName name="Supp_Auth">#REF!</definedName>
    <definedName name="Supp_chg">MATCH("Supple*Outside*EU*",#REF!, 0)</definedName>
    <definedName name="Supp_CPU_DS10">#REF!</definedName>
    <definedName name="Supp_CPU_ES40">#REF!</definedName>
    <definedName name="SupportBonus">#REF!</definedName>
    <definedName name="SupportDiscount">#REF!</definedName>
    <definedName name="sur">#REF!</definedName>
    <definedName name="Survey">#REF!</definedName>
    <definedName name="suy" hidden="1">{"Offgrid",#N/A,FALSE,"OFFGRID";"Region",#N/A,FALSE,"REGION";"Offgrid -2",#N/A,FALSE,"OFFGRID";"WTP",#N/A,FALSE,"WTP";"WTP -2",#N/A,FALSE,"WTP";"Project",#N/A,FALSE,"PROJECT";"Summary -2",#N/A,FALSE,"SUMMARY"}</definedName>
    <definedName name="SUYO">#N/A</definedName>
    <definedName name="sv">#REF!</definedName>
    <definedName name="SVC">#REF!</definedName>
    <definedName name="svfdfh" hidden="1">{"'Summary'!$A$1:$J$46"}</definedName>
    <definedName name="svn">#REF!</definedName>
    <definedName name="SW_INSTALL">#REF!</definedName>
    <definedName name="swap" localSheetId="6">L8C9</definedName>
    <definedName name="swap">L8C9</definedName>
    <definedName name="SWCB">#REF!</definedName>
    <definedName name="SWCC">#REF!</definedName>
    <definedName name="SWG">#REF!</definedName>
    <definedName name="Switches_per_CS_Engineer">#REF!</definedName>
    <definedName name="sx">#N/A</definedName>
    <definedName name="SX_Lapthao_khungV_Sdao">#REF!</definedName>
    <definedName name="SX_Lapthao_khungV_Sdao_33">"#REF!"</definedName>
    <definedName name="SX_Lapthao_khungV_Sdao_34">"#REF!"</definedName>
    <definedName name="sxau">#N/A</definedName>
    <definedName name="sxbt">#REF!</definedName>
    <definedName name="SXDam24mA">#REF!</definedName>
    <definedName name="SXdam24mB">#REF!</definedName>
    <definedName name="SXDam33mBien">#REF!</definedName>
    <definedName name="SXdam33mGiua">#REF!</definedName>
    <definedName name="sxlapdungCT">#REF!</definedName>
    <definedName name="symbol">#REF!</definedName>
    <definedName name="synth">#REF!</definedName>
    <definedName name="SysName" localSheetId="6">#REF!</definedName>
    <definedName name="SysName">#REF!</definedName>
    <definedName name="SysSAR">#REF!</definedName>
    <definedName name="SYSSOFT">#REF!</definedName>
    <definedName name="System_Description">#REF!</definedName>
    <definedName name="SystemControl">#REF!</definedName>
    <definedName name="SystemName" localSheetId="6">#REF!</definedName>
    <definedName name="SystemName">#REF!</definedName>
    <definedName name="S販直">#REF!</definedName>
    <definedName name="T" localSheetId="6">BlankMacro1</definedName>
    <definedName name="T">BlankMacro1</definedName>
    <definedName name="t.">#REF!</definedName>
    <definedName name="t..">#REF!</definedName>
    <definedName name="t.05">#REF!</definedName>
    <definedName name="t.1">#REF!</definedName>
    <definedName name="t.2">#REF!</definedName>
    <definedName name="T.3" hidden="1">{"'Sheet1'!$L$16"}</definedName>
    <definedName name="T.6KV_18">#REF!</definedName>
    <definedName name="t.7" hidden="1">{"'Sheet1'!$L$16"}</definedName>
    <definedName name="T.NGHIEM" hidden="1">{"'Sheet1'!$L$16"}</definedName>
    <definedName name="T.nhËp">#REF!</definedName>
    <definedName name="T.TBA">#REF!</definedName>
    <definedName name="T.TBA_14">#REF!</definedName>
    <definedName name="T.TBA_18">#REF!</definedName>
    <definedName name="T.THAI">#REF!</definedName>
    <definedName name="t\25">#REF!</definedName>
    <definedName name="t\27">#REF!</definedName>
    <definedName name="t\30">#REF!</definedName>
    <definedName name="t\32">#REF!</definedName>
    <definedName name="t\35">#REF!</definedName>
    <definedName name="t\37">#REF!</definedName>
    <definedName name="t\40">#REF!</definedName>
    <definedName name="t\42">#REF!</definedName>
    <definedName name="t\43">#REF!</definedName>
    <definedName name="t\45">#REF!</definedName>
    <definedName name="t\52">#REF!</definedName>
    <definedName name="t\60">#REF!</definedName>
    <definedName name="t\70">#REF!</definedName>
    <definedName name="t__tù__æ_10_T">#REF!</definedName>
    <definedName name="t_1">#REF!</definedName>
    <definedName name="t_14">#REF!</definedName>
    <definedName name="t_2">#REF!</definedName>
    <definedName name="T_CT">#REF!</definedName>
    <definedName name="T_d">#REF!</definedName>
    <definedName name="T_dat">#REF!</definedName>
    <definedName name="t_day">#N/A</definedName>
    <definedName name="T_Hoanvon">#N/A</definedName>
    <definedName name="T_Hoanvon_39">#N/A</definedName>
    <definedName name="T_Hoanvon_40">T_Hoanvon</definedName>
    <definedName name="T_Hoanvon_41">T_Hoanvon</definedName>
    <definedName name="T_traffic_isdn">#REF!</definedName>
    <definedName name="T_traffic_pots">#REF!</definedName>
    <definedName name="T_V52_VoIP">#REF!</definedName>
    <definedName name="T0">#REF!</definedName>
    <definedName name="T0.4">#REF!</definedName>
    <definedName name="T0.4_14">#REF!</definedName>
    <definedName name="T1_Pr">#REF!</definedName>
    <definedName name="T100L4m">#REF!</definedName>
    <definedName name="T100N4m">#REF!</definedName>
    <definedName name="t101p">#REF!</definedName>
    <definedName name="t101p_18">#REF!</definedName>
    <definedName name="t101p_33">"#REF!"</definedName>
    <definedName name="t101p_34">"#REF!"</definedName>
    <definedName name="t103p">#REF!</definedName>
    <definedName name="t103p_18">#REF!</definedName>
    <definedName name="t103p_33">"#REF!"</definedName>
    <definedName name="t103p_34">"#REF!"</definedName>
    <definedName name="t105mnc">#REF!</definedName>
    <definedName name="t105mnc_14">#REF!</definedName>
    <definedName name="t10m">#REF!</definedName>
    <definedName name="t10m_14">#REF!</definedName>
    <definedName name="t10nc">#REF!</definedName>
    <definedName name="t10nc_14">#REF!</definedName>
    <definedName name="t10nc1p">#REF!</definedName>
    <definedName name="t10nc1p_18">#REF!</definedName>
    <definedName name="t10ncm">#REF!</definedName>
    <definedName name="t10ncm_14">#REF!</definedName>
    <definedName name="T10vc">#REF!</definedName>
    <definedName name="t10vl">#REF!</definedName>
    <definedName name="t10vl_14">#REF!</definedName>
    <definedName name="t10vl1p">#REF!</definedName>
    <definedName name="t10vl1p_18">#REF!</definedName>
    <definedName name="t121p">#REF!</definedName>
    <definedName name="t121p_18">#REF!</definedName>
    <definedName name="t121p_33">"#REF!"</definedName>
    <definedName name="t121p_34">"#REF!"</definedName>
    <definedName name="t123p">#REF!</definedName>
    <definedName name="t123p_18">#REF!</definedName>
    <definedName name="t123p_33">"#REF!"</definedName>
    <definedName name="t123p_34">"#REF!"</definedName>
    <definedName name="t12m">#REF!</definedName>
    <definedName name="t12m_14">#REF!</definedName>
    <definedName name="t12mnc">#REF!</definedName>
    <definedName name="t12mnc_14">#REF!</definedName>
    <definedName name="t12nc">#REF!</definedName>
    <definedName name="t12nc_14">#REF!</definedName>
    <definedName name="t12nc3p">#REF!</definedName>
    <definedName name="t12nc3p_14">#REF!</definedName>
    <definedName name="t12ncm">#REF!</definedName>
    <definedName name="t12ncm_14">#REF!</definedName>
    <definedName name="T12vc">#REF!</definedName>
    <definedName name="T12vc_18">#REF!</definedName>
    <definedName name="t12vl">#REF!</definedName>
    <definedName name="t12vl_14">#REF!</definedName>
    <definedName name="t12vl3p">#REF!</definedName>
    <definedName name="t12vl3p_14">#REF!</definedName>
    <definedName name="t141p">#REF!</definedName>
    <definedName name="t141p_18">#REF!</definedName>
    <definedName name="t141p_33">"#REF!"</definedName>
    <definedName name="t141p_34">"#REF!"</definedName>
    <definedName name="t143p">#REF!</definedName>
    <definedName name="t143p_18">#REF!</definedName>
    <definedName name="t143p_33">"#REF!"</definedName>
    <definedName name="t143p_34">"#REF!"</definedName>
    <definedName name="t14m">#REF!</definedName>
    <definedName name="t14m_14">#REF!</definedName>
    <definedName name="t14mnc">#REF!</definedName>
    <definedName name="t14mnc_14">#REF!</definedName>
    <definedName name="t14nc">#REF!</definedName>
    <definedName name="t14nc_14">#REF!</definedName>
    <definedName name="t14nc3p">#REF!</definedName>
    <definedName name="t14nc3p_18">#REF!</definedName>
    <definedName name="t14ncm">#REF!</definedName>
    <definedName name="t14ncm_14">#REF!</definedName>
    <definedName name="T14vc">#REF!</definedName>
    <definedName name="T14vc_14">#REF!</definedName>
    <definedName name="t14vl">#REF!</definedName>
    <definedName name="t14vl_14">#REF!</definedName>
    <definedName name="t14vl3p">#REF!</definedName>
    <definedName name="t14vl3p_18">#REF!</definedName>
    <definedName name="T1C.CDFD">#N/A</definedName>
    <definedName name="T1C.CDFDa">#N/A</definedName>
    <definedName name="T1C.M14">#N/A</definedName>
    <definedName name="T1C.M14a">#N/A</definedName>
    <definedName name="T2.PMTM2">#REF!</definedName>
    <definedName name="T2_PMTM2">NA()</definedName>
    <definedName name="T200L4m">#REF!</definedName>
    <definedName name="T200N4m">#REF!</definedName>
    <definedName name="T203P">#REF!</definedName>
    <definedName name="T203P_14">#REF!</definedName>
    <definedName name="t20m">#REF!</definedName>
    <definedName name="t20m_14">#REF!</definedName>
    <definedName name="t20ncm">#REF!</definedName>
    <definedName name="t20ncm_14">#REF!</definedName>
    <definedName name="T3.05" hidden="1">{"'Sheet1'!$L$16"}</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4CHINH_SUA">#REF!</definedName>
    <definedName name="t4ttrt" hidden="1">{"'Sheet1'!$L$16"}</definedName>
    <definedName name="t7m">#REF!</definedName>
    <definedName name="t7m_14">#REF!</definedName>
    <definedName name="t7nc">#REF!</definedName>
    <definedName name="t7nc_14">#REF!</definedName>
    <definedName name="t7vl">#REF!</definedName>
    <definedName name="t7vl_14">#REF!</definedName>
    <definedName name="t84mnc">#REF!</definedName>
    <definedName name="t84mnc_14">#REF!</definedName>
    <definedName name="t8m">#REF!</definedName>
    <definedName name="t8m_14">#REF!</definedName>
    <definedName name="t8nc">#REF!</definedName>
    <definedName name="t8nc_14">#REF!</definedName>
    <definedName name="t8vl">#REF!</definedName>
    <definedName name="t8vl_14">#REF!</definedName>
    <definedName name="t9o" hidden="1">{"'Sheet1'!$L$16"}</definedName>
    <definedName name="ta">#REF!</definedName>
    <definedName name="TA.">#REF!</definedName>
    <definedName name="ta_1">"#REF!"</definedName>
    <definedName name="TA_TT">#REF!</definedName>
    <definedName name="TAB8BTS">#REF!</definedName>
    <definedName name="table">#REF!</definedName>
    <definedName name="TABLE_2">#REF!</definedName>
    <definedName name="Table_bts">#REF!</definedName>
    <definedName name="table_margin">#REF!</definedName>
    <definedName name="table_margin_local">#REF!</definedName>
    <definedName name="Table1">#REF!</definedName>
    <definedName name="tablecosts">#REF!</definedName>
    <definedName name="TableHangMuc">#REF!</definedName>
    <definedName name="TableName">"Dummy"</definedName>
    <definedName name="tableproduct">#REF!</definedName>
    <definedName name="tacc">#REF!</definedName>
    <definedName name="tacc_board">#REF!</definedName>
    <definedName name="Tach_NghinTy">#REF!</definedName>
    <definedName name="tadao">#REF!</definedName>
    <definedName name="Tæng">#REF!</definedName>
    <definedName name="Tæng_c_ng_suÊt_hiÖn_t_i">"THOP"</definedName>
    <definedName name="Tæng_c_ng_ty_VINACONEX">#REF!</definedName>
    <definedName name="Tæng_gia_thanh_XM_cat_da_sái_dot4">#REF!</definedName>
    <definedName name="Tæng_H_P_TBA">#REF!</definedName>
    <definedName name="Tæng_Hîp_35">#REF!</definedName>
    <definedName name="Tæng_hîp_kinh_phÝ__DZ_35kv">#REF!</definedName>
    <definedName name="Tæng_hîp_kinh_phÝ__kho_kÝn__kho_hë">#REF!</definedName>
    <definedName name="Tæng_hîp_VL_NC_MTC">#REF!</definedName>
    <definedName name="Tæng_ke_chi_tiÕt_da_hiÖu_chØnh">#REF!</definedName>
    <definedName name="Tæng_ke_DZ_35KV_Son_TÞnh_Tra_Bång">#REF!</definedName>
    <definedName name="Tæng_L_PC__ng_y">#REF!</definedName>
    <definedName name="Tæng_L_PC__th_ng">#REF!</definedName>
    <definedName name="Tai_trong">#REF!</definedName>
    <definedName name="Taikhoan">#REF!</definedName>
    <definedName name="TAIKHOANSODU">#REF!</definedName>
    <definedName name="TaiSanVoHinh" localSheetId="6">#REF!</definedName>
    <definedName name="TaiSanVoHinh">#REF!</definedName>
    <definedName name="TaiSanVoHinhTong" localSheetId="6">#REF!</definedName>
    <definedName name="TaiSanVoHinhTong">#REF!</definedName>
    <definedName name="TaiSanVoHinhVAT" localSheetId="6">#REF!</definedName>
    <definedName name="TaiSanVoHinhVAT">#REF!</definedName>
    <definedName name="taluy">#REF!</definedName>
    <definedName name="taluydac2">#REF!</definedName>
    <definedName name="taluydc1">#REF!</definedName>
    <definedName name="taluydc2">#REF!</definedName>
    <definedName name="taluydc3">#REF!</definedName>
    <definedName name="taluydc4">#REF!</definedName>
    <definedName name="Tam">#REF!</definedName>
    <definedName name="tamdan">#REF!</definedName>
    <definedName name="TamdanTB" hidden="1">{"'Sheet1'!$L$16"}</definedName>
    <definedName name="tamlop">#REF!</definedName>
    <definedName name="TAMT">#REF!</definedName>
    <definedName name="TAMTINH">#REF!</definedName>
    <definedName name="TAMUNG">#REF!</definedName>
    <definedName name="tamvia">#REF!</definedName>
    <definedName name="tamviab">#REF!</definedName>
    <definedName name="Tan" hidden="1">{"'Sheet1'!$L$16"}</definedName>
    <definedName name="TANANH">"#REF!"</definedName>
    <definedName name="TANBINH1">#REF!</definedName>
    <definedName name="TANBINH2">#REF!</definedName>
    <definedName name="Tang_be">#REF!</definedName>
    <definedName name="Täng_kinh_phÏ_x_y_l_p">#REF!</definedName>
    <definedName name="TANK">#REF!</definedName>
    <definedName name="TANPHU">#REF!</definedName>
    <definedName name="tao" hidden="1">{"'Sheet1'!$L$16"}</definedName>
    <definedName name="tapa">#REF!</definedName>
    <definedName name="TaPLoc">#REF!</definedName>
    <definedName name="tarc">#REF!</definedName>
    <definedName name="tarcb_total">#REF!</definedName>
    <definedName name="tarcb_total2">#REF!</definedName>
    <definedName name="target_SSP">#REF!</definedName>
    <definedName name="TAT">#REF!</definedName>
    <definedName name="tatsu" hidden="1">{#N/A,#N/A,FALSE,"Chi tiÆt"}</definedName>
    <definedName name="taukeo150">#REF!</definedName>
    <definedName name="taun">#REF!</definedName>
    <definedName name="taup_total">#REF!</definedName>
    <definedName name="Taux_Change_USD_FRF">#REF!</definedName>
    <definedName name="Taux_Euro_FRF">#REF!</definedName>
    <definedName name="Taux_Euro_Taka">#REF!</definedName>
    <definedName name="Taux_Euro_USD">#REF!</definedName>
    <definedName name="Taux_Livre_FRF">#REF!</definedName>
    <definedName name="tavet">#REF!</definedName>
    <definedName name="TAW">#REF!</definedName>
    <definedName name="Tax">#REF!</definedName>
    <definedName name="Tax_Duty">#REF!</definedName>
    <definedName name="tax_rate">#REF!</definedName>
    <definedName name="TaxTB">0.05</definedName>
    <definedName name="TaxTV">10%</definedName>
    <definedName name="TaxTV_1">0.1</definedName>
    <definedName name="TaxXL">5%</definedName>
    <definedName name="TaxXL_1">0.05</definedName>
    <definedName name="TAY_COC">#N/A</definedName>
    <definedName name="TayNinh" localSheetId="6">#REF!</definedName>
    <definedName name="TayNinh">#REF!</definedName>
    <definedName name="tb">#REF!</definedName>
    <definedName name="TB_">#REF!/10^9</definedName>
    <definedName name="TB_14">#REF!</definedName>
    <definedName name="TB_CS">#REF!</definedName>
    <definedName name="TB_CTO">#REF!</definedName>
    <definedName name="tb_new">'[14]t.bi kien nghi'!$L$34</definedName>
    <definedName name="TB_SAUTHUE">#REF!</definedName>
    <definedName name="TB_TBA">#REF!</definedName>
    <definedName name="TB_THUE">#REF!</definedName>
    <definedName name="TB_TT">#REF!</definedName>
    <definedName name="TB1_18">#REF!</definedName>
    <definedName name="TB1C">#REF!</definedName>
    <definedName name="TB1H">#REF!</definedName>
    <definedName name="TBA">#REF!</definedName>
    <definedName name="TBA__2">#REF!</definedName>
    <definedName name="TBA_1">"#REF!"</definedName>
    <definedName name="TBA_18">#REF!</definedName>
    <definedName name="tbagd1">#REF!</definedName>
    <definedName name="tbao" hidden="1">{"'Sheet1'!$L$16"}</definedName>
    <definedName name="TBCLS">#N/A</definedName>
    <definedName name="TBCS">#REF!</definedName>
    <definedName name="TBCS_ST">#REF!</definedName>
    <definedName name="tbdd1p">#REF!</definedName>
    <definedName name="tbdd1p_14">#REF!</definedName>
    <definedName name="tbdd3p">#REF!</definedName>
    <definedName name="tbdd3p_14">#REF!</definedName>
    <definedName name="tbddsdl">#REF!</definedName>
    <definedName name="tbddsdl_14">#REF!</definedName>
    <definedName name="tbdoam">#REF!</definedName>
    <definedName name="tbdungtrong">#REF!</definedName>
    <definedName name="TBF">#REF!</definedName>
    <definedName name="tbgia">#REF!</definedName>
    <definedName name="tbgioihandeo">#REF!</definedName>
    <definedName name="tbgoihanchay">#REF!</definedName>
    <definedName name="tbhkhtg">#REF!</definedName>
    <definedName name="TBI">#REF!</definedName>
    <definedName name="TBI_14">#REF!</definedName>
    <definedName name="tbimoi" hidden="1">{"Offgrid",#N/A,FALSE,"OFFGRID";"Region",#N/A,FALSE,"REGION";"Offgrid -2",#N/A,FALSE,"OFFGRID";"WTP",#N/A,FALSE,"WTP";"WTP -2",#N/A,FALSE,"WTP";"Project",#N/A,FALSE,"PROJECT";"Summary -2",#N/A,FALSE,"SUMMARY"}</definedName>
    <definedName name="tbl_ProdInfo" hidden="1">#REF!</definedName>
    <definedName name="tblC111">#REF!</definedName>
    <definedName name="tblC112">#REF!</definedName>
    <definedName name="tblN111">#REF!</definedName>
    <definedName name="tblN112">#REF!</definedName>
    <definedName name="tbmc">#REF!</definedName>
    <definedName name="tbmc_1">"#REF!"</definedName>
    <definedName name="tbmc_33">"#REF!"</definedName>
    <definedName name="tbmc_33_1">"#REF!"</definedName>
    <definedName name="tbmc_34">"#REF!"</definedName>
    <definedName name="TBNS">#REF!</definedName>
    <definedName name="TBRL">#N/A</definedName>
    <definedName name="TBSGP">#REF!</definedName>
    <definedName name="TBTH">#REF!</definedName>
    <definedName name="TBTH_ST">#REF!</definedName>
    <definedName name="tbth1">#REF!</definedName>
    <definedName name="TBTi2">#REF!</definedName>
    <definedName name="TBTi3">#REF!</definedName>
    <definedName name="TBTi4">#REF!</definedName>
    <definedName name="tbtitrong">#REF!</definedName>
    <definedName name="tbtn">#REF!</definedName>
    <definedName name="tbtr">#REF!</definedName>
    <definedName name="tbtr_14">#REF!</definedName>
    <definedName name="tbtram">#REF!</definedName>
    <definedName name="tbtram_18">#REF!</definedName>
    <definedName name="TBTT">#REF!</definedName>
    <definedName name="TBXD">#REF!</definedName>
    <definedName name="TBXD_18">#REF!</definedName>
    <definedName name="TC">#REF!</definedName>
    <definedName name="tc_1">#REF!</definedName>
    <definedName name="TC_18">#REF!</definedName>
    <definedName name="tc_2">#REF!</definedName>
    <definedName name="TC_33">"#REF!"</definedName>
    <definedName name="TC_34">"#REF!"</definedName>
    <definedName name="TC_CAB_g1">#REF!</definedName>
    <definedName name="tc_cabinet">#REF!</definedName>
    <definedName name="TC_EXT_caB_g1">#REF!</definedName>
    <definedName name="TC_FR_g1">#REF!</definedName>
    <definedName name="tc_hw">#REF!</definedName>
    <definedName name="TC_NHANH1">#REF!</definedName>
    <definedName name="TC_NHANH1_18">#REF!</definedName>
    <definedName name="tc_unit">#REF!</definedName>
    <definedName name="tc_unit_cost">#REF!</definedName>
    <definedName name="TC44HCUCHI">#REF!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a">#REF!</definedName>
    <definedName name="TCallCell">#REF!</definedName>
    <definedName name="Tcbm">#REF!</definedName>
    <definedName name="TCCS">#REF!</definedName>
    <definedName name="TCCS_ST">#REF!</definedName>
    <definedName name="TCCS_VAT">#REF!</definedName>
    <definedName name="tccs1">#REF!</definedName>
    <definedName name="tccs3">#REF!</definedName>
    <definedName name="TCdiscount">#REF!</definedName>
    <definedName name="TCF" localSheetId="6">#REF!</definedName>
    <definedName name="TCF">#REF!</definedName>
    <definedName name="Tcg2discount">#REF!</definedName>
    <definedName name="TCH_CH">#REF!</definedName>
    <definedName name="TCHSperSPAN">#REF!</definedName>
    <definedName name="Tchuan">#REF!</definedName>
    <definedName name="TCKT">#REF!</definedName>
    <definedName name="TCM">#REF!</definedName>
    <definedName name="TCM_ST">#REF!</definedName>
    <definedName name="TCM_VAT">#REF!</definedName>
    <definedName name="TCT">#REF!</definedName>
    <definedName name="TCT_14">#REF!</definedName>
    <definedName name="tct3_14">#REF!</definedName>
    <definedName name="TCUA">#REF!</definedName>
    <definedName name="TCVa">#REF!</definedName>
    <definedName name="TCXe">#REF!</definedName>
    <definedName name="tcxxnc">#REF!</definedName>
    <definedName name="tcxxnc_14">#REF!</definedName>
    <definedName name="TD">#REF!</definedName>
    <definedName name="td_14">#REF!</definedName>
    <definedName name="td_bss">#REF!</definedName>
    <definedName name="td10vl">#REF!</definedName>
    <definedName name="td10vl_14">#REF!</definedName>
    <definedName name="td12nc">#REF!</definedName>
    <definedName name="td12nc_14">#REF!</definedName>
    <definedName name="TD12vl">#REF!</definedName>
    <definedName name="TD12vl_18">#REF!</definedName>
    <definedName name="td18b">#REF!</definedName>
    <definedName name="td1cnc">#REF!</definedName>
    <definedName name="td1cnc_14">#REF!</definedName>
    <definedName name="td1cvl">#REF!</definedName>
    <definedName name="td1cvl_14">#REF!</definedName>
    <definedName name="td1p">#REF!</definedName>
    <definedName name="td1p_18">#REF!</definedName>
    <definedName name="td1p_33">"#REF!"</definedName>
    <definedName name="td1p_34">"#REF!"</definedName>
    <definedName name="TD1p1nc">#REF!</definedName>
    <definedName name="TD1p1nc_18">#REF!</definedName>
    <definedName name="td1p1vc">#REF!</definedName>
    <definedName name="td1p1vc_18">#REF!</definedName>
    <definedName name="TD1p1vl">#REF!</definedName>
    <definedName name="TD1p1vl_18">#REF!</definedName>
    <definedName name="TD1p2nc">#N/A</definedName>
    <definedName name="TD1p2vc">#N/A</definedName>
    <definedName name="TD1p2vl">#N/A</definedName>
    <definedName name="TD1pnc">#REF!</definedName>
    <definedName name="TD1pnc_14">#REF!</definedName>
    <definedName name="TD1pvl">#REF!</definedName>
    <definedName name="TD1pvl_14">#REF!</definedName>
    <definedName name="td3p">#REF!</definedName>
    <definedName name="td3p_18">#REF!</definedName>
    <definedName name="td3p_33">"#REF!"</definedName>
    <definedName name="td3p_34">"#REF!"</definedName>
    <definedName name="tdbcnckt">#REF!</definedName>
    <definedName name="tdbcnckt_15">#N/A</definedName>
    <definedName name="tdbcnckt_16">#N/A</definedName>
    <definedName name="tdbcnckt_17">#N/A</definedName>
    <definedName name="tdbcnckt_19">#N/A</definedName>
    <definedName name="tdbcnckt_20">#N/A</definedName>
    <definedName name="tdbcnckt_21">#N/A</definedName>
    <definedName name="tdbcnckt_22">#N/A</definedName>
    <definedName name="tdbcnckt_23">#N/A</definedName>
    <definedName name="tdbcnckt_24">#N/A</definedName>
    <definedName name="tdbcnckt_25">#N/A</definedName>
    <definedName name="tdbcnckt_26">#N/A</definedName>
    <definedName name="tdbcnckt_27">#N/A</definedName>
    <definedName name="tdbcnckt_28">#N/A</definedName>
    <definedName name="tdbcnckt_29">#N/A</definedName>
    <definedName name="tdbcnckt_30">#N/A</definedName>
    <definedName name="tdbcnckt_31">#N/A</definedName>
    <definedName name="tdbcnckt_32">#N/A</definedName>
    <definedName name="tdbcnckt_33">#N/A</definedName>
    <definedName name="tdbcnckt_34">#N/A</definedName>
    <definedName name="tdbcnckt_35">#N/A</definedName>
    <definedName name="tdbcnckt_36">#N/A</definedName>
    <definedName name="tdbcnckt_37">#N/A</definedName>
    <definedName name="tdbcnckt_38">#N/A</definedName>
    <definedName name="tdbcnckt_7">#N/A</definedName>
    <definedName name="tdc84nc">#REF!</definedName>
    <definedName name="tdc84nc_14">#REF!</definedName>
    <definedName name="tdcnc">#REF!</definedName>
    <definedName name="tdcnc_14">#REF!</definedName>
    <definedName name="TDctnc">#REF!</definedName>
    <definedName name="TDctnc_18">#REF!</definedName>
    <definedName name="TDctvc">#REF!</definedName>
    <definedName name="TDctvc_18">#REF!</definedName>
    <definedName name="TDctvl">#REF!</definedName>
    <definedName name="TDctvl_18">#REF!</definedName>
    <definedName name="TDDZ04">#REF!</definedName>
    <definedName name="TDDZ22">#REF!</definedName>
    <definedName name="TDE">#REF!</definedName>
    <definedName name="tdfuyjtf" hidden="1">{"'Sheet1'!$L$16"}</definedName>
    <definedName name="tdgnc">#REF!</definedName>
    <definedName name="tdgnc_14">#REF!</definedName>
    <definedName name="tdgvl">#REF!</definedName>
    <definedName name="tdgvl_14">#REF!</definedName>
    <definedName name="tdhtnc">#REF!</definedName>
    <definedName name="tdhtnc_14">#REF!</definedName>
    <definedName name="tdhtvl">#REF!</definedName>
    <definedName name="tdhtvl_14">#REF!</definedName>
    <definedName name="tdia">#REF!</definedName>
    <definedName name="TdinhQT">#REF!</definedName>
    <definedName name="TdinhQT_14">#REF!</definedName>
    <definedName name="TDM">#REF!</definedName>
    <definedName name="TDM_req">#REF!</definedName>
    <definedName name="TDM_SS">#REF!</definedName>
    <definedName name="TDM_TT">#REF!</definedName>
    <definedName name="TDmnc">#N/A</definedName>
    <definedName name="TDmvc">#N/A</definedName>
    <definedName name="TDmvl">#N/A</definedName>
    <definedName name="tdnc">#REF!</definedName>
    <definedName name="tdnc_14">#REF!</definedName>
    <definedName name="tdnc1p">#REF!</definedName>
    <definedName name="tdnc1p_18">#REF!</definedName>
    <definedName name="tdnc3p">#REF!</definedName>
    <definedName name="tdnc3p_14">#REF!</definedName>
    <definedName name="TDng">#REF!</definedName>
    <definedName name="tdo">#REF!</definedName>
    <definedName name="tdo_33">"#REF!"</definedName>
    <definedName name="tdo_34">"#REF!"</definedName>
    <definedName name="tdoam">#REF!</definedName>
    <definedName name="Tdongia">#REF!</definedName>
    <definedName name="TDoto">#REF!</definedName>
    <definedName name="tdt">#REF!</definedName>
    <definedName name="tdt_18">#REF!</definedName>
    <definedName name="tdt1pnc">#REF!</definedName>
    <definedName name="tdt1pnc_14">#REF!</definedName>
    <definedName name="tdt1pvl">#REF!</definedName>
    <definedName name="tdt1pvl_14">#REF!</definedName>
    <definedName name="tdt2cnc">#REF!</definedName>
    <definedName name="tdt2cnc_14">#REF!</definedName>
    <definedName name="tdt2cvl">#REF!</definedName>
    <definedName name="tdt2cvl_14">#REF!</definedName>
    <definedName name="tdta_SortTransferOFFIT">#REF!</definedName>
    <definedName name="tdtb">#REF!</definedName>
    <definedName name="TDTDUYET68">#REF!</definedName>
    <definedName name="TDTND32_3">#REF!</definedName>
    <definedName name="TDTND32_3_6">#REF!</definedName>
    <definedName name="TDTND68">#REF!</definedName>
    <definedName name="tdtr2cnc">#REF!</definedName>
    <definedName name="tdtr2cnc_18">#REF!</definedName>
    <definedName name="tdtr2cvl">#REF!</definedName>
    <definedName name="tdtr2cvl_18">#REF!</definedName>
    <definedName name="tdtrnc">#REF!</definedName>
    <definedName name="tdtrnc_14">#REF!</definedName>
    <definedName name="tdtrvl">#REF!</definedName>
    <definedName name="tdtrvl_14">#REF!</definedName>
    <definedName name="tdvl">#REF!</definedName>
    <definedName name="tdvl_14">#REF!</definedName>
    <definedName name="tdvl1p">#REF!</definedName>
    <definedName name="tdvl1p_18">#REF!</definedName>
    <definedName name="tdvl3p">#REF!</definedName>
    <definedName name="tdvl3p_14">#REF!</definedName>
    <definedName name="TDxn">#REF!</definedName>
    <definedName name="te">#REF!</definedName>
    <definedName name="TE1a1">#REF!</definedName>
    <definedName name="TE1b">#REF!</definedName>
    <definedName name="TE1c1">#REF!</definedName>
    <definedName name="TE1d">#REF!</definedName>
    <definedName name="TE1e1">#REF!</definedName>
    <definedName name="TE1f">#REF!</definedName>
    <definedName name="TE1g">#REF!</definedName>
    <definedName name="TE1h">#REF!</definedName>
    <definedName name="TE1i">#REF!</definedName>
    <definedName name="TE1j">#REF!</definedName>
    <definedName name="TE1k">#REF!</definedName>
    <definedName name="TE1l">#REF!</definedName>
    <definedName name="TE1m">#REF!</definedName>
    <definedName name="TE1n">#REF!</definedName>
    <definedName name="TE1o">#REF!</definedName>
    <definedName name="TE1p">#REF!</definedName>
    <definedName name="TE1q">#REF!</definedName>
    <definedName name="te6e66" hidden="1">{"'Sheet1'!$L$16"}</definedName>
    <definedName name="tecco" hidden="1">{"'Sheet1'!$L$16"}</definedName>
    <definedName name="TECH_ASSIST_Europe">#REF!</definedName>
    <definedName name="TECH_ASSIST_eUROPE0">#REF!</definedName>
    <definedName name="tech_ASSIST_europe1">#REF!</definedName>
    <definedName name="tech_assist_europe2">#REF!</definedName>
    <definedName name="TECH_COST">#REF!</definedName>
    <definedName name="TECH_COST_IN_EURO">#REF!</definedName>
    <definedName name="Technical_support">#REF!</definedName>
    <definedName name="TechnicalDuree_cell">#REF!</definedName>
    <definedName name="tecnuoc5">#REF!</definedName>
    <definedName name="tehet">{"Book1","HS bao cao QT.xls","Ngocreogd1.xls"}</definedName>
    <definedName name="Têi__iÖn_5_T">#REF!</definedName>
    <definedName name="Têi_diÖn_5_T">#REF!</definedName>
    <definedName name="telphon" hidden="1">{#N/A,#N/A,TRUE,"SUM";#N/A,#N/A,TRUE,"EE";#N/A,#N/A,TRUE,"AC";#N/A,#N/A,TRUE,"SN"}</definedName>
    <definedName name="tem" hidden="1">{"'Sheet1'!$L$16"}</definedName>
    <definedName name="temp">#REF!</definedName>
    <definedName name="temp_45">#REF!</definedName>
    <definedName name="Temp_Br">#REF!</definedName>
    <definedName name="Temp_Grad">#REF!</definedName>
    <definedName name="temp1">#REF!</definedName>
    <definedName name="TEMPBR">#REF!</definedName>
    <definedName name="TemplateVersion">#REF!</definedName>
    <definedName name="TemporaryWork">#N/A</definedName>
    <definedName name="TemporaryWork_18">#REF!</definedName>
    <definedName name="ten">#REF!</definedName>
    <definedName name="Ten_cong_trinh">"Drop Down 29"</definedName>
    <definedName name="ten_da">#REF!</definedName>
    <definedName name="Ten_ngan">#REF!</definedName>
    <definedName name="ten_tab" hidden="1">#REF!</definedName>
    <definedName name="Tên_TestCase">#REF!</definedName>
    <definedName name="Tên_TestCase2">#REF!</definedName>
    <definedName name="Tên_tiếng_Việt">#REF!</definedName>
    <definedName name="Ten_tinh">#REF!</definedName>
    <definedName name="ten_tra_1">#REF!</definedName>
    <definedName name="ten_tra_1_BTN">#REF!</definedName>
    <definedName name="ten_tra_1BTN">#REF!</definedName>
    <definedName name="ten_tra_2">#REF!</definedName>
    <definedName name="ten_tra_2_BTN">#REF!</definedName>
    <definedName name="ten_tra_2BTN">#REF!</definedName>
    <definedName name="ten_tra_3">#REF!</definedName>
    <definedName name="ten_tra_3_BTN">#REF!</definedName>
    <definedName name="ten_tra_3BTN">#REF!</definedName>
    <definedName name="TenBang">#REF!</definedName>
    <definedName name="TenBang_14">#REF!</definedName>
    <definedName name="TenCap">#REF!</definedName>
    <definedName name="Tenchiphi_6">"ThÈm ®Þnh tæng dù to¸n"</definedName>
    <definedName name="tenck">#REF!</definedName>
    <definedName name="tencongviec">#REF!</definedName>
    <definedName name="tencs">#REF!</definedName>
    <definedName name="TenCT">#REF!&amp;#REF!</definedName>
    <definedName name="TenCtr">#REF!</definedName>
    <definedName name="TenCtr_14">#REF!</definedName>
    <definedName name="TenCtrinh">#REF!</definedName>
    <definedName name="TenDA">"DỰ ÁN:" &amp;#REF!</definedName>
    <definedName name="TendonType">#REF!</definedName>
    <definedName name="tendulieu">#REF!</definedName>
    <definedName name="Tengoi">#REF!</definedName>
    <definedName name="tenhang_d">#REF!</definedName>
    <definedName name="TenHM1">"HẠNG MỤC: "&amp;#REF!</definedName>
    <definedName name="TenHM1_6">#REF!</definedName>
    <definedName name="TenHMuc">#REF!</definedName>
    <definedName name="TenHMuc_18">#REF!</definedName>
    <definedName name="tenmien">[13]Hosting!$H$5</definedName>
    <definedName name="TenNgam">#REF!</definedName>
    <definedName name="TenTam">#N/A</definedName>
    <definedName name="TenTan_1" hidden="1">{"'Sheet1'!$L$16"}</definedName>
    <definedName name="TenTreo">#REF!</definedName>
    <definedName name="Tentuyen">#REF!</definedName>
    <definedName name="tenvc">#REF!</definedName>
    <definedName name="tenvung">#REF!</definedName>
    <definedName name="TERM">#REF!</definedName>
    <definedName name="Terminal_Serviceability">#REF!</definedName>
    <definedName name="test">#REF!</definedName>
    <definedName name="TEST_IPF">#REF!</definedName>
    <definedName name="test_old">#N/A</definedName>
    <definedName name="Test_Rate">#REF!</definedName>
    <definedName name="test1">#REF!</definedName>
    <definedName name="TEST2">#REF!</definedName>
    <definedName name="testdiscount">#REF!</definedName>
    <definedName name="Teste" localSheetId="6">L3C10</definedName>
    <definedName name="Teste">L3C10</definedName>
    <definedName name="TESTPCUR">#N/A</definedName>
    <definedName name="TETEDECON">#REF!</definedName>
    <definedName name="text">(#REF!,#REF!,#REF!,#REF!,#REF!)</definedName>
    <definedName name="tf">#REF!</definedName>
    <definedName name="tff" hidden="1">{"'Sheet1'!$L$16"}</definedName>
    <definedName name="tfg" hidden="1">{"'Sheet1'!$L$16"}</definedName>
    <definedName name="TFW" localSheetId="6">#REF!</definedName>
    <definedName name="TFW">#REF!</definedName>
    <definedName name="tg">300</definedName>
    <definedName name="tga___2">#REF!</definedName>
    <definedName name="tga_2">#REF!</definedName>
    <definedName name="TGBH">#REF!</definedName>
    <definedName name="TGLS">#REF!</definedName>
    <definedName name="tgrr" hidden="1">{"'Sheet1'!$L$16"}</definedName>
    <definedName name="TGT">#REF!</definedName>
    <definedName name="TGTH">#REF!</definedName>
    <definedName name="tgưgz" hidden="1">{"'Sheet1'!$L$16"}</definedName>
    <definedName name="TGUSD">#REF!</definedName>
    <definedName name="TH" localSheetId="6" hidden="1">{"'Sheet1'!$L$16"}</definedName>
    <definedName name="th">#REF!</definedName>
    <definedName name="TH.CTrinh">#REF!</definedName>
    <definedName name="TH.tinh">#REF!</definedName>
    <definedName name="TH.tinh_1">"#REF!"</definedName>
    <definedName name="TH_0.4">#REF!</definedName>
    <definedName name="th_14">#REF!</definedName>
    <definedName name="th_15">#N/A</definedName>
    <definedName name="th_16">#N/A</definedName>
    <definedName name="th_17">#N/A</definedName>
    <definedName name="th_18">#N/A</definedName>
    <definedName name="th_19">#N/A</definedName>
    <definedName name="th_20">#N/A</definedName>
    <definedName name="th_21">#N/A</definedName>
    <definedName name="TH_22">#REF!</definedName>
    <definedName name="th_23">#N/A</definedName>
    <definedName name="th_24">#N/A</definedName>
    <definedName name="th_25">#N/A</definedName>
    <definedName name="th_26">#N/A</definedName>
    <definedName name="th_27">#N/A</definedName>
    <definedName name="th_28">#N/A</definedName>
    <definedName name="th_29">#N/A</definedName>
    <definedName name="th_30">#N/A</definedName>
    <definedName name="th_31">#N/A</definedName>
    <definedName name="th_32">#N/A</definedName>
    <definedName name="th_33">#N/A</definedName>
    <definedName name="th_34">#N/A</definedName>
    <definedName name="th_35">#N/A</definedName>
    <definedName name="th_36">#N/A</definedName>
    <definedName name="th_37">#N/A</definedName>
    <definedName name="th_38">#N/A</definedName>
    <definedName name="Th_CT">#REF!</definedName>
    <definedName name="TH_ENG_MAN_HOUR">#REF!</definedName>
    <definedName name="th_ing">#REF!</definedName>
    <definedName name="th_nh_tiÒn">#REF!</definedName>
    <definedName name="TH_NO">#REF!</definedName>
    <definedName name="TH_PM_MAN_HOUR">#REF!</definedName>
    <definedName name="TH_VKHNN">#REF!</definedName>
    <definedName name="TH1_TH2">#REF!</definedName>
    <definedName name="Þ10">#REF!</definedName>
    <definedName name="th100_14">#REF!</definedName>
    <definedName name="Þ16">#REF!</definedName>
    <definedName name="TH160_14">#REF!</definedName>
    <definedName name="Þ18">#REF!</definedName>
    <definedName name="TH2Thang" localSheetId="6">#REF!</definedName>
    <definedName name="TH2Thang">#REF!</definedName>
    <definedName name="th3x15">#REF!</definedName>
    <definedName name="th3x15_14">#REF!</definedName>
    <definedName name="TH7SP" hidden="1">{"'Sheet1'!$L$16"}</definedName>
    <definedName name="tha" hidden="1">{"'Sheet1'!$L$16"}</definedName>
    <definedName name="THACHTHAT">#REF!</definedName>
    <definedName name="thahb_p">#REF!</definedName>
    <definedName name="thahbco_p">#REF!</definedName>
    <definedName name="thahben_p">#REF!</definedName>
    <definedName name="thai">#REF!</definedName>
    <definedName name="ThaiBinh" localSheetId="6">#REF!</definedName>
    <definedName name="ThaiBinh">#REF!</definedName>
    <definedName name="THAIind">#REF!</definedName>
    <definedName name="ThaiNguyen" localSheetId="6">#REF!</definedName>
    <definedName name="ThaiNguyen">#REF!</definedName>
    <definedName name="THAIrangsit">#REF!</definedName>
    <definedName name="thambtn">#REF!</definedName>
    <definedName name="thamdinh">#REF!</definedName>
    <definedName name="Thamke">#REF!</definedName>
    <definedName name="Thamkhao">#REF!</definedName>
    <definedName name="thamkhao1">#REF!</definedName>
    <definedName name="ThamTraDT">#REF!</definedName>
    <definedName name="ThamTraTK">#REF!</definedName>
    <definedName name="THAN" hidden="1">{"'Sheet1'!$L$16"}</definedName>
    <definedName name="Thang" hidden="1">{"'Sheet1'!$L$16"}</definedName>
    <definedName name="Thang_Long">#REF!</definedName>
    <definedName name="Thang_Long_1">"#REF!"</definedName>
    <definedName name="Thang_Long_GT">#REF!</definedName>
    <definedName name="Thang_Long_GT_1">"#REF!"</definedName>
    <definedName name="thang0.8">#N/A</definedName>
    <definedName name="Thang1" hidden="1">{"'Sheet1'!$L$16"}</definedName>
    <definedName name="thang10" hidden="1">{"'Sheet1'!$L$16"}</definedName>
    <definedName name="Thang11.03" hidden="1">{"'Sheet1'!$L$16"}</definedName>
    <definedName name="Thang2" localSheetId="6">#REF!</definedName>
    <definedName name="Thang2">#REF!</definedName>
    <definedName name="thang4">#REF!</definedName>
    <definedName name="Thang4_05" hidden="1">{"'Sheet1'!$L$16"}</definedName>
    <definedName name="thang8" hidden="1">{"'Sheet1'!$L$16"}</definedName>
    <definedName name="thang9" hidden="1">{"'Sheet1'!$L$16"}</definedName>
    <definedName name="Thangmuc">#REF!</definedName>
    <definedName name="ThangNam" localSheetId="6">#REF!</definedName>
    <definedName name="ThangNam">#REF!</definedName>
    <definedName name="thanh" hidden="1">{"'Sheet1'!$L$16"}</definedName>
    <definedName name="Thanh_CT">#REF!</definedName>
    <definedName name="Thanh_LC_tayvin">#REF!</definedName>
    <definedName name="Thanh_LC_tayvin_33">"#REF!"</definedName>
    <definedName name="Thanh_LC_tayvin_34">"#REF!"</definedName>
    <definedName name="thanh1" hidden="1">{"'Sheet1'!$L$16"}</definedName>
    <definedName name="thanhchong">#REF!</definedName>
    <definedName name="thanhdul">#REF!</definedName>
    <definedName name="ThanhHoa" localSheetId="6">#REF!</definedName>
    <definedName name="ThanhHoa">#REF!</definedName>
    <definedName name="thanhnoi">#N/A</definedName>
    <definedName name="thanhqk2" hidden="1">{"'Sheet1'!$L$16"}</definedName>
    <definedName name="thanhtien">#REF!</definedName>
    <definedName name="thanhtien_LMHD">#REF!</definedName>
    <definedName name="thanhtien_LMVQ">#REF!</definedName>
    <definedName name="thanhtien_MRHD">#REF!</definedName>
    <definedName name="thanhtien_MRVQ">#REF!</definedName>
    <definedName name="ThanhTienXuat">#REF!</definedName>
    <definedName name="thanhtoankl" hidden="1">{"'Sheet1'!$L$16"}</definedName>
    <definedName name="ThanhXuan110">#REF!</definedName>
    <definedName name="ThanhXuan110_14">#REF!</definedName>
    <definedName name="thao" hidden="1">{"'Sheet1'!$L$16"}</definedName>
    <definedName name="ThaoCauCu">#REF!</definedName>
    <definedName name="THAØNH_PHAÀN_HAÏT">#REF!</definedName>
    <definedName name="thau">#N/A</definedName>
    <definedName name="Thau_CoHienMaVT">#REF!</definedName>
    <definedName name="Thau_CoHienThiChiTiet">#REF!</definedName>
    <definedName name="Thau_CotGiaM">#REF!</definedName>
    <definedName name="Thau_CotGiaNC">#REF!</definedName>
    <definedName name="Thau_CotGiaVL">#REF!</definedName>
    <definedName name="Thau_DaTaoBang">#REF!</definedName>
    <definedName name="Thau_HienHeso">#REF!</definedName>
    <definedName name="Thau_HienThiNhom">#REF!</definedName>
    <definedName name="Thau_KieuPhanTich">#REF!</definedName>
    <definedName name="Thau_PhuongPhapPhanTich">#REF!</definedName>
    <definedName name="Thautinh">#REF!</definedName>
    <definedName name="Thb">#REF!</definedName>
    <definedName name="ÞBM">#REF!</definedName>
    <definedName name="THC">#REF!</definedName>
    <definedName name="THCFTB">#REF!</definedName>
    <definedName name="THchon">#REF!</definedName>
    <definedName name="thcing">#REF!</definedName>
    <definedName name="Þcot">#REF!</definedName>
    <definedName name="THCP_CPDP">#REF!</definedName>
    <definedName name="THCP_G">#REF!</definedName>
    <definedName name="THCP_GTGT">#REF!</definedName>
    <definedName name="THCP_GXD">#REF!</definedName>
    <definedName name="THCP_hsCPDP">#REF!</definedName>
    <definedName name="THCP_hsGTGT">#REF!</definedName>
    <definedName name="THCP_hsTL">#REF!</definedName>
    <definedName name="THCP_M">#REF!</definedName>
    <definedName name="THCP_NC">#REF!</definedName>
    <definedName name="THCP_T">#REF!</definedName>
    <definedName name="THCP_TL">#REF!</definedName>
    <definedName name="THCP_VL">#REF!</definedName>
    <definedName name="THCPK" hidden="1">{"'Sheet1'!$L$16"}</definedName>
    <definedName name="THCPTB">#REF!</definedName>
    <definedName name="THCPXL">#REF!</definedName>
    <definedName name="ÞCTd4">#REF!</definedName>
    <definedName name="ÞCTt4">#REF!</definedName>
    <definedName name="Þdamd4">#REF!</definedName>
    <definedName name="Þdamt4">#REF!</definedName>
    <definedName name="thdggt">#REF!</definedName>
    <definedName name="thdgxd">#REF!</definedName>
    <definedName name="thdien" hidden="1">{"'Sheet1'!$L$16"}</definedName>
    <definedName name="ThÐp_U120">"#REF!"</definedName>
    <definedName name="THDS">#REF!</definedName>
    <definedName name="thdt">#REF!</definedName>
    <definedName name="thdt_18">#REF!</definedName>
    <definedName name="THDT_CT_XOM_NOI">#REF!</definedName>
    <definedName name="THDT_HT_DAO_THUONG">#REF!</definedName>
    <definedName name="THDT_HT_XOM_NOI">#REF!</definedName>
    <definedName name="THDT_NPP_XOM_NOI">#REF!</definedName>
    <definedName name="THDT_TBA_XOM_NOI">#REF!</definedName>
    <definedName name="the">#N/A</definedName>
    <definedName name="THEMDT">#REF!</definedName>
    <definedName name="themgio">#REF!</definedName>
    <definedName name="then">[0]!then</definedName>
    <definedName name="Theo_ÂM_1242_1998_QÂ_BXD_ngaìy_25_11_1998_cuía_Bäü_Xáy_dæûng">#REF!</definedName>
    <definedName name="Theo_đơn_hàng_số__PO_Number">#REF!</definedName>
    <definedName name="TheodoiBCTCT" hidden="1">{"'Sheet1'!$L$16"}</definedName>
    <definedName name="THEP">#REF!</definedName>
    <definedName name="THEP_D32">#REF!</definedName>
    <definedName name="thep_l">[10]ms22!$K$9</definedName>
    <definedName name="Thep_nhan">#REF!</definedName>
    <definedName name="thep10">#REF!</definedName>
    <definedName name="thep10CT5">#REF!</definedName>
    <definedName name="thep18">#REF!</definedName>
    <definedName name="thep18CT5">#REF!</definedName>
    <definedName name="thep19">#REF!</definedName>
    <definedName name="thep20">#REF!</definedName>
    <definedName name="thep2025">#REF!</definedName>
    <definedName name="thep8">#REF!</definedName>
    <definedName name="thepA2">#REF!</definedName>
    <definedName name="thepban">#REF!</definedName>
    <definedName name="thepbuoc">#N/A</definedName>
    <definedName name="thepci">#REF!</definedName>
    <definedName name="thepci8">#REF!</definedName>
    <definedName name="thepcii">#REF!</definedName>
    <definedName name="thepcong">#N/A</definedName>
    <definedName name="ThepCT3">#REF!</definedName>
    <definedName name="ThepCT5">#N/A</definedName>
    <definedName name="ThepDet32x3">#N/A</definedName>
    <definedName name="ThepDet35x3">#N/A</definedName>
    <definedName name="ThepDet40x4">#N/A</definedName>
    <definedName name="ThepDet45x4">#N/A</definedName>
    <definedName name="ThepDet50x5">#N/A</definedName>
    <definedName name="ThepDet63x6">#N/A</definedName>
    <definedName name="ThepDet75x6">#N/A</definedName>
    <definedName name="thepDet75x7">#REF!</definedName>
    <definedName name="ThepDinh">#REF!</definedName>
    <definedName name="thepduoi10">#REF!</definedName>
    <definedName name="thepduoi18">#REF!</definedName>
    <definedName name="thepf6">#N/A</definedName>
    <definedName name="thepgoc">#N/A</definedName>
    <definedName name="thepgoc25_60">#REF!</definedName>
    <definedName name="ThepGoc32x32x3">#N/A</definedName>
    <definedName name="ThepGoc35x35x3">#N/A</definedName>
    <definedName name="ThepGoc40x40x4">#N/A</definedName>
    <definedName name="ThepGoc45x45x4">#N/A</definedName>
    <definedName name="ThepGoc50x50x5">#N/A</definedName>
    <definedName name="thepgoc63_75">#REF!</definedName>
    <definedName name="ThepGoc63x63x6">#N/A</definedName>
    <definedName name="thepgoc75">#REF!</definedName>
    <definedName name="ThepGoc75x6">#REF!</definedName>
    <definedName name="ThepGoc75x75x6">#N/A</definedName>
    <definedName name="thepgoc80_100">#REF!</definedName>
    <definedName name="thephinh">#REF!</definedName>
    <definedName name="thephinh49">#REF!</definedName>
    <definedName name="thephinh50">#REF!</definedName>
    <definedName name="thephinhmk">#REF!</definedName>
    <definedName name="Theplancan">#REF!</definedName>
    <definedName name="thepma">10500</definedName>
    <definedName name="thepmaBL">34500</definedName>
    <definedName name="thepmacl">34500</definedName>
    <definedName name="thepmakem">#N/A</definedName>
    <definedName name="Thepmatcau">#REF!</definedName>
    <definedName name="thepmoi">#REF!</definedName>
    <definedName name="thepnaphl">#REF!</definedName>
    <definedName name="thepnho">#REF!</definedName>
    <definedName name="Thepsan" hidden="1">{"'Sheet1'!$L$16"}</definedName>
    <definedName name="thepsan2" hidden="1">{"'Sheet1'!$L$16"}</definedName>
    <definedName name="Thepson">12500</definedName>
    <definedName name="thept">#REF!</definedName>
    <definedName name="theptam">#REF!</definedName>
    <definedName name="theptb">#N/A</definedName>
    <definedName name="thepto">#REF!</definedName>
    <definedName name="theptren18">#REF!</definedName>
    <definedName name="theptron">#REF!</definedName>
    <definedName name="theptron12">#REF!</definedName>
    <definedName name="theptron12_1">"#REF!"</definedName>
    <definedName name="theptron14_22">#REF!</definedName>
    <definedName name="theptron14_22_1">"#REF!"</definedName>
    <definedName name="theptron6_8">#REF!</definedName>
    <definedName name="theptron6_8_1">"#REF!"</definedName>
    <definedName name="ThepTronD10D18">#N/A</definedName>
    <definedName name="ThepTronD6D8">#N/A</definedName>
    <definedName name="thepU">#REF!</definedName>
    <definedName name="thepU_18">#REF!</definedName>
    <definedName name="thepxa">#REF!</definedName>
    <definedName name="thet">#N/A</definedName>
    <definedName name="thetichck">#REF!</definedName>
    <definedName name="thg">#REF!</definedName>
    <definedName name="THGDT">#REF!</definedName>
    <definedName name="thgfhgfhgfhgf">#REF!</definedName>
    <definedName name="thgiam">#REF!</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gio">#REF!</definedName>
    <definedName name="thgian_nv">#REF!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gio">#REF!</definedName>
    <definedName name="thgio_nv">#REF!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GO1pnc">#REF!</definedName>
    <definedName name="THGO1pnc_18">#REF!</definedName>
    <definedName name="thh">#REF!</definedName>
    <definedName name="thhkttg">#REF!</definedName>
    <definedName name="thht">#REF!</definedName>
    <definedName name="thht_18">#REF!</definedName>
    <definedName name="THI">#REF!</definedName>
    <definedName name="THI_14">#REF!</definedName>
    <definedName name="Thickness_Base">#REF!</definedName>
    <definedName name="Thickness_Slab_d">#REF!</definedName>
    <definedName name="Thickness_Slab_nd">#REF!</definedName>
    <definedName name="Thickness_Slab_SA">#REF!</definedName>
    <definedName name="THIETBI">#REF!</definedName>
    <definedName name="ThietBiCNTT" localSheetId="6">#REF!</definedName>
    <definedName name="ThietBiCNTT">#REF!</definedName>
    <definedName name="ThietBiCNTTTong" localSheetId="6">#REF!</definedName>
    <definedName name="ThietBiCNTTTong">#REF!</definedName>
    <definedName name="ThietBiCNTTVAT" localSheetId="6">#REF!</definedName>
    <definedName name="ThietBiCNTTVAT">#REF!</definedName>
    <definedName name="thietbidien">#REF!</definedName>
    <definedName name="THIETBIMANG">#REF!</definedName>
    <definedName name="ThietBiTK">#REF!</definedName>
    <definedName name="ThietBiTK_2">#REF!</definedName>
    <definedName name="thietbivesinh">#REF!</definedName>
    <definedName name="thietbiYHK10A">#REF!</definedName>
    <definedName name="thinghiem">#REF!</definedName>
    <definedName name="thinh">#REF!</definedName>
    <definedName name="ThiÕt_bÞ_phun_c_t">#REF!</definedName>
    <definedName name="ThiÕt_bÞ_phun_cat">#REF!</definedName>
    <definedName name="ThiÕt_bÞ_phun_s_n">#REF!</definedName>
    <definedName name="THîp_gia_trÞ_quyÕt_toan">#REF!</definedName>
    <definedName name="Thîp_kinh_phÝ_dao_dóc_mãng_dùng_trô">#REF!</definedName>
    <definedName name="THîp_phat_tuyÕn_kho_bai_thi_cong">#REF!</definedName>
    <definedName name="THîp_vèn_TBA35_22KV_1000KVA">#REF!</definedName>
    <definedName name="THîp_vl_nc_mtc_dît_1_thang_10_1996">#REF!</definedName>
    <definedName name="THISMONTH">#N/A</definedName>
    <definedName name="ThisYearNT">#REF!</definedName>
    <definedName name="ThisYearPNT">#REF!</definedName>
    <definedName name="ThisYearWSNT">#REF!</definedName>
    <definedName name="ThisYearWSNTdzo">#REF!</definedName>
    <definedName name="THK">#REF!</definedName>
    <definedName name="THK_10">#REF!</definedName>
    <definedName name="THK_11">#REF!</definedName>
    <definedName name="THK_12">#REF!</definedName>
    <definedName name="THK_13">#REF!</definedName>
    <definedName name="THK_14">#REF!</definedName>
    <definedName name="thkh">#REF!</definedName>
    <definedName name="THKL">#REF!</definedName>
    <definedName name="thkl2" hidden="1">{"'Sheet1'!$L$16"}</definedName>
    <definedName name="thkl3" hidden="1">{"'Sheet1'!$L$16"}</definedName>
    <definedName name="THKLPSM" hidden="1">{"'Sheet1'!$L$16"}</definedName>
    <definedName name="thkp">[0]!thkp</definedName>
    <definedName name="THKP_tec" hidden="1">{"'Sheet1'!$L$16"}</definedName>
    <definedName name="thkp1" hidden="1">{"'Sheet1'!$L$16"}</definedName>
    <definedName name="THKP160">#REF!</definedName>
    <definedName name="THKP160_14">#REF!</definedName>
    <definedName name="thkp3">#REF!</definedName>
    <definedName name="thkp3_18">#REF!</definedName>
    <definedName name="thkp3_33">"#REF!"</definedName>
    <definedName name="thkp3_34">"#REF!"</definedName>
    <definedName name="THKP7YT" hidden="1">{"'Sheet1'!$L$16"}</definedName>
    <definedName name="THKPHM_DaTaoBang">#REF!</definedName>
    <definedName name="THKPHM_HienThiChiTietCuocVC">#REF!</definedName>
    <definedName name="THKS" hidden="1">{"'Sheet1'!$L$16"}</definedName>
    <definedName name="THKSTK">#REF!</definedName>
    <definedName name="THkstrungtam" hidden="1">{"'Sheet1'!$L$16"}</definedName>
    <definedName name="THLD_C">#REF!</definedName>
    <definedName name="THLD_CPDP">#REF!</definedName>
    <definedName name="THLD_G">#REF!</definedName>
    <definedName name="THLD_GLD">#REF!</definedName>
    <definedName name="THLD_GTGT">#REF!</definedName>
    <definedName name="THLD_hsCPDP">#REF!</definedName>
    <definedName name="THLD_hsGTGT">#REF!</definedName>
    <definedName name="THLD_hsTL">#REF!</definedName>
    <definedName name="THLD_M">#REF!</definedName>
    <definedName name="THLD_NC">#REF!</definedName>
    <definedName name="THLD_T">#REF!</definedName>
    <definedName name="THLD_TL">#REF!</definedName>
    <definedName name="THLD_VL">#REF!</definedName>
    <definedName name="thlocae_p">#REF!</definedName>
    <definedName name="thlocen_p">#REF!</definedName>
    <definedName name="THM">#REF!</definedName>
    <definedName name="THM_CoPTTamTinh">#REF!</definedName>
    <definedName name="THM_DaTaoBang">#REF!</definedName>
    <definedName name="THM_HienHeso">#REF!</definedName>
    <definedName name="THM_KieuBaoCao">#REF!</definedName>
    <definedName name="THM_TachTieuDe">#REF!</definedName>
    <definedName name="THMH">#REF!</definedName>
    <definedName name="THMM">#REF!</definedName>
    <definedName name="Þmong">#REF!</definedName>
    <definedName name="THMONTH">#REF!</definedName>
    <definedName name="THmua">#REF!</definedName>
    <definedName name="Thñ_tôc_xin_cÊp_dÊt_lÖ_phÝ_cÊp_dÊt">#REF!</definedName>
    <definedName name="THNC_CoPTTamTinh">#REF!</definedName>
    <definedName name="THNC_DaTaoBang">#REF!</definedName>
    <definedName name="THNC_HienHeso">#REF!</definedName>
    <definedName name="THNC_KieuBaoCao">#REF!</definedName>
    <definedName name="THNC_TachTieuDe">#REF!</definedName>
    <definedName name="thng" hidden="1">{#N/A,#N/A,FALSE,"Chi tiÆt"}</definedName>
    <definedName name="Thnghiem">#N/A</definedName>
    <definedName name="thnkttg">#REF!</definedName>
    <definedName name="THNL.TTCLGiaHT0">#REF!</definedName>
    <definedName name="THNL.TTCLGiaHT1">#REF!</definedName>
    <definedName name="THNL.TTCLGiaHT10">#REF!</definedName>
    <definedName name="THNL.TTCLGiaHT11">#REF!</definedName>
    <definedName name="THNL.TTCLGiaHT12">#REF!</definedName>
    <definedName name="THNL.TTCLGiaHT13">#REF!</definedName>
    <definedName name="THNL.TTCLGiaHT14">#REF!</definedName>
    <definedName name="THNL.TTCLGiaHT2">#REF!</definedName>
    <definedName name="THNL.TTCLGiaHT3">#REF!</definedName>
    <definedName name="THNL.TTCLGiaHT4">#REF!</definedName>
    <definedName name="THNL.TTCLGiaHT5">#REF!</definedName>
    <definedName name="THNL.TTCLGiaHT6">#REF!</definedName>
    <definedName name="THNL.TTCLGiaHT7">#REF!</definedName>
    <definedName name="THNL.TTCLGiaHT8">#REF!</definedName>
    <definedName name="THNL.TTCLGiaHT9">#REF!</definedName>
    <definedName name="THNL.TTGiaGoc0">#REF!</definedName>
    <definedName name="THNL.TTGiaGoc1">#REF!</definedName>
    <definedName name="THNL.TTGiaGoc10">#REF!</definedName>
    <definedName name="THNL.TTGiaGoc11">#REF!</definedName>
    <definedName name="THNL.TTGiaGoc12">#REF!</definedName>
    <definedName name="THNL.TTGiaGoc13">#REF!</definedName>
    <definedName name="THNL.TTGiaGoc14">#REF!</definedName>
    <definedName name="THNL.TTGiaGoc2">#REF!</definedName>
    <definedName name="THNL.TTGiaGoc3">#REF!</definedName>
    <definedName name="THNL.TTGiaGoc4">#REF!</definedName>
    <definedName name="THNL.TTGiaGoc5">#REF!</definedName>
    <definedName name="THNL.TTGiaGoc6">#REF!</definedName>
    <definedName name="THNL.TTGiaGoc7">#REF!</definedName>
    <definedName name="THNL.TTGiaGoc8">#REF!</definedName>
    <definedName name="THNL.TTGiaGoc9">#REF!</definedName>
    <definedName name="THNL.TTGiaHT0">#REF!</definedName>
    <definedName name="THNL.TTGiaHT1">#REF!</definedName>
    <definedName name="THNL.TTGiaHT10">#REF!</definedName>
    <definedName name="THNL.TTGiaHT11">#REF!</definedName>
    <definedName name="THNL.TTGiaHT12">#REF!</definedName>
    <definedName name="THNL.TTGiaHT13">#REF!</definedName>
    <definedName name="THNL.TTGiaHT14">#REF!</definedName>
    <definedName name="THNL.TTGiaHT2">#REF!</definedName>
    <definedName name="THNL.TTGiaHT3">#REF!</definedName>
    <definedName name="THNL.TTGiaHT4">#REF!</definedName>
    <definedName name="THNL.TTGiaHT5">#REF!</definedName>
    <definedName name="THNL.TTGiaHT6">#REF!</definedName>
    <definedName name="THNL.TTGiaHT7">#REF!</definedName>
    <definedName name="THNL.TTGiaHT8">#REF!</definedName>
    <definedName name="THNL.TTGiaHT9">#REF!</definedName>
    <definedName name="ÞNXoldk">#REF!</definedName>
    <definedName name="tho3_7">26435</definedName>
    <definedName name="tho4_7">14506</definedName>
    <definedName name="tho45_7">15937</definedName>
    <definedName name="tho5_7">33356</definedName>
    <definedName name="ThoatNuoc">#REF!</definedName>
    <definedName name="ThoiGianDapUng">#REF!</definedName>
    <definedName name="thong1" hidden="1">{#N/A,#N/A,TRUE,"Str.";#N/A,#N/A,TRUE,"Steel &amp; Roof";#N/A,#N/A,TRUE,"Arc.";#N/A,#N/A,TRUE,"Preliminary";#N/A,#N/A,TRUE,"Sum_Prelim"}</definedName>
    <definedName name="thongbaogia">#REF!</definedName>
    <definedName name="THONGKE">#REF!</definedName>
    <definedName name="ThongKeCau">[25]CTiet!#REF!</definedName>
    <definedName name="thongkeds.xls" hidden="1">{#N/A,#N/A,FALSE,"Chi tiÆt"}</definedName>
    <definedName name="thongso">#REF!</definedName>
    <definedName name="Thop" hidden="1">{#N/A,#N/A,FALSE,"Chi tiÆt"}</definedName>
    <definedName name="Thop_BD">#REF!</definedName>
    <definedName name="Thop_MTC">#REF!</definedName>
    <definedName name="Thop_NC">#REF!</definedName>
    <definedName name="Thop_VC">#REF!</definedName>
    <definedName name="Thop_VCTC">#REF!</definedName>
    <definedName name="Thop_VL">#REF!</definedName>
    <definedName name="Thop1">#REF!</definedName>
    <definedName name="THop2">#REF!</definedName>
    <definedName name="thopxl">[13]thoplapdat!$E$14</definedName>
    <definedName name="Thöù_töï">#REF!</definedName>
    <definedName name="thqt2" hidden="1">{"'Sheet1'!$L$16"}</definedName>
    <definedName name="Þsan">#REF!</definedName>
    <definedName name="THT">#REF!</definedName>
    <definedName name="THT_18">#REF!</definedName>
    <definedName name="thtba">"#REF!"</definedName>
    <definedName name="thtêhth">{"Book1","HS bao cao QT.xls","Ngocreogd1.xls"}</definedName>
    <definedName name="thth">#REF!</definedName>
    <definedName name="thth2">#REF!</definedName>
    <definedName name="THTHEP">#REF!</definedName>
    <definedName name="ththu" hidden="1">{"'Sheet1'!$L$16"}</definedName>
    <definedName name="thtich1">#REF!</definedName>
    <definedName name="thtich2">#REF!</definedName>
    <definedName name="thtich3">#REF!</definedName>
    <definedName name="thtich4">#REF!</definedName>
    <definedName name="thtich5">#REF!</definedName>
    <definedName name="thtich6">#REF!</definedName>
    <definedName name="THTL.TongKL0">#REF!</definedName>
    <definedName name="THTL.TTCLGiaHT0">#REF!</definedName>
    <definedName name="THTL.TTGiaGoc0">#REF!</definedName>
    <definedName name="THTL.TTGiaHT0">#REF!</definedName>
    <definedName name="THTLMcap">#REF!</definedName>
    <definedName name="THToanBo">#REF!</definedName>
    <definedName name="THtoanbo2">#REF!</definedName>
    <definedName name="thtr15">#REF!</definedName>
    <definedName name="thtr15_14">#REF!</definedName>
    <definedName name="thtt">#REF!</definedName>
    <definedName name="thtt_18">#REF!</definedName>
    <definedName name="Thu" localSheetId="6">#REF!</definedName>
    <definedName name="thu" hidden="1">{"'Sheet1'!$L$16"}</definedName>
    <definedName name="Thu__GTGT">#REF!</definedName>
    <definedName name="Thu_18">#REF!</definedName>
    <definedName name="ThuaThienHue" localSheetId="6">#REF!</definedName>
    <definedName name="ThuaThienHue">#REF!</definedName>
    <definedName name="Thucong">#REF!</definedName>
    <definedName name="thucthanh">#REF!</definedName>
    <definedName name="THUDUC1">#REF!</definedName>
    <definedName name="THUDUC2">#REF!</definedName>
    <definedName name="thue" localSheetId="6">6</definedName>
    <definedName name="thue">#REF!</definedName>
    <definedName name="THUE_GTGT">#REF!</definedName>
    <definedName name="Thuế_thiết_bị_ngoại_vi">#REF!</definedName>
    <definedName name="Thue_VAT">10%</definedName>
    <definedName name="thuedaura">#REF!</definedName>
    <definedName name="thuedauvao">#REF!</definedName>
    <definedName name="THUEDKC">#REF!</definedName>
    <definedName name="THUEDKN">#REF!</definedName>
    <definedName name="THUELKPSCO">#REF!</definedName>
    <definedName name="THUELKPSNO">#REF!</definedName>
    <definedName name="THUEMA">#REF!</definedName>
    <definedName name="THUENK">#REF!</definedName>
    <definedName name="THUEPSC">#REF!</definedName>
    <definedName name="THUEPSN">#REF!</definedName>
    <definedName name="thuevat">#REF!</definedName>
    <definedName name="thuhut">#REF!</definedName>
    <definedName name="thuocno">#REF!</definedName>
    <definedName name="THUONG">#REF!</definedName>
    <definedName name="THUONG1">#REF!</definedName>
    <definedName name="THUONG2">#REF!</definedName>
    <definedName name="THUONG3">#REF!</definedName>
    <definedName name="THUONG4">#REF!</definedName>
    <definedName name="thutuUutien">#N/A</definedName>
    <definedName name="thuû" hidden="1">{"'Sheet1'!$L$16"}</definedName>
    <definedName name="thuy" localSheetId="6" hidden="1">{"'Sheet1'!$L$16"}</definedName>
    <definedName name="thuy" hidden="1">{"'Sheet1'!$L$16"}</definedName>
    <definedName name="THUYETMINH">#REF!</definedName>
    <definedName name="thuyloi02">#N/A</definedName>
    <definedName name="ThuyVu2" hidden="1">{"'Sheet1'!$L$16"}</definedName>
    <definedName name="THVL_ChiInVLCoChenhLech">#REF!</definedName>
    <definedName name="THVL_CoPTTamTinh">#REF!</definedName>
    <definedName name="THVL_DaTaoBang">#REF!</definedName>
    <definedName name="THVL_KieuBaoCao">#REF!</definedName>
    <definedName name="THVL_TachTieuDe">#REF!</definedName>
    <definedName name="THVLK1">{"Thuxm2.xls","Sheet1"}</definedName>
    <definedName name="THVLK1_1">{"Thuxm2.xls","Sheet1"}</definedName>
    <definedName name="THVLK1_10">{"Thuxm2.xls","Sheet1"}</definedName>
    <definedName name="THVLK1_10_1">{"Thuxm2.xls","Sheet1"}</definedName>
    <definedName name="THVLK1_11">{"Thuxm2.xls","Sheet1"}</definedName>
    <definedName name="THVLK1_11_1">{"Thuxm2.xls","Sheet1"}</definedName>
    <definedName name="THVLK1_12">{"Thuxm2.xls","Sheet1"}</definedName>
    <definedName name="THVLK1_12_1">{"Thuxm2.xls","Sheet1"}</definedName>
    <definedName name="THVLK1_14">{"Thuxm2.xls","Sheet1"}</definedName>
    <definedName name="THVLK1_14_1">{"Thuxm2.xls","Sheet1"}</definedName>
    <definedName name="THVLK1_26">{"Thuxm2.xls","Sheet1"}</definedName>
    <definedName name="THVLK1_26_1">{"Thuxm2.xls","Sheet1"}</definedName>
    <definedName name="THVLK1_3">{"Thuxm2.xls","Sheet1"}</definedName>
    <definedName name="THVLK1_3_1">{"Thuxm2.xls","Sheet1"}</definedName>
    <definedName name="THVLK1_32">{"Thuxm2.xls","Sheet1"}</definedName>
    <definedName name="THVLK1_32_1">{"Thuxm2.xls","Sheet1"}</definedName>
    <definedName name="THVLK1_7">{"Thuxm2.xls","Sheet1"}</definedName>
    <definedName name="THVLK1_7_1">{"Thuxm2.xls","Sheet1"}</definedName>
    <definedName name="thvlmoi" hidden="1">{"'Sheet1'!$L$16"}</definedName>
    <definedName name="thvlmoimoi" hidden="1">{"'Sheet1'!$L$16"}</definedName>
    <definedName name="THvon">#REF!</definedName>
    <definedName name="thxay">#REF!</definedName>
    <definedName name="THXD">#REF!</definedName>
    <definedName name="THXD_CL">#REF!</definedName>
    <definedName name="THXD_CLK">#REF!</definedName>
    <definedName name="THXD_GG">#REF!</definedName>
    <definedName name="THXD_KLK">#REF!</definedName>
    <definedName name="THXD_TT">#REF!</definedName>
    <definedName name="THXD_TTK">#REF!</definedName>
    <definedName name="THXD2" hidden="1">{"'Sheet1'!$L$16"}</definedName>
    <definedName name="thxlk">#REF!</definedName>
    <definedName name="THZ">#REF!</definedName>
    <definedName name="TI">#REF!</definedName>
    <definedName name="ti_gia">#REF!</definedName>
    <definedName name="Ti_le_FC">#REF!</definedName>
    <definedName name="Ti_le_Hoahong">#REF!</definedName>
    <definedName name="Ticket">#REF!</definedName>
    <definedName name="Tien">#REF!</definedName>
    <definedName name="Tien_1">"#REF!"</definedName>
    <definedName name="TIEN_LUONG_VAT_LIEU_XAY_DUNG">#REF!</definedName>
    <definedName name="TIEN_LUONG_VAT_LIEU_XAY_DUNG_CHINH">#REF!</definedName>
    <definedName name="tienan">#REF!</definedName>
    <definedName name="tienan_tn">#REF!</definedName>
    <definedName name="TienGiang" localSheetId="6">#REF!</definedName>
    <definedName name="TienGiang">#REF!</definedName>
    <definedName name="TIENKQKD">#REF!</definedName>
    <definedName name="TIENLUONG">#REF!</definedName>
    <definedName name="TIENLUONG_18">#REF!</definedName>
    <definedName name="Tiep_dia">#N/A</definedName>
    <definedName name="Tiep_dia_14">#REF!</definedName>
    <definedName name="Tiepdia">#REF!</definedName>
    <definedName name="Tiepdia_14">#REF!</definedName>
    <definedName name="Tiepdiama">9500</definedName>
    <definedName name="TierPricing">#REF!</definedName>
    <definedName name="TierPricingMatrix">#REF!</definedName>
    <definedName name="tieu.de">#REF!</definedName>
    <definedName name="TIEU_HAO_VAT_TU_DZ0.4KV">#REF!</definedName>
    <definedName name="TIEU_HAO_VAT_TU_DZ22KV">#REF!</definedName>
    <definedName name="TIEU_HAO_VAT_TU_TBA">#REF!</definedName>
    <definedName name="tigia">#REF!</definedName>
    <definedName name="Tikiphone_20">#REF!</definedName>
    <definedName name="TileStone">#N/A</definedName>
    <definedName name="TileStone_18">#REF!</definedName>
    <definedName name="TIM" hidden="1">{"'Sheet1'!$L$16"}</definedName>
    <definedName name="Tim_cau_xuat_hien">#REF!</definedName>
    <definedName name="Tim_cong">#REF!</definedName>
    <definedName name="Tim_cong_1">"#REF!"</definedName>
    <definedName name="tim_lan_xuat_hien">#REF!</definedName>
    <definedName name="Tim_lan_xuat_hien_1">"#REF!"</definedName>
    <definedName name="tim_lan_xuat_hien_cau">#REF!</definedName>
    <definedName name="Tim_lan_xuat_hien_cong">#REF!</definedName>
    <definedName name="Tim_lan_xuat_hien_cong_1">"#REF!"</definedName>
    <definedName name="Tim_lan_xuat_hien_duong">#REF!</definedName>
    <definedName name="Tim_Lan_Xuat_Hien2">#REF!</definedName>
    <definedName name="tim_so_lan_xuat_hien">#REF!</definedName>
    <definedName name="tim_tam">#REF!</definedName>
    <definedName name="tim_xuat_hien">#REF!</definedName>
    <definedName name="Time">#REF!</definedName>
    <definedName name="timedisc">#REF!</definedName>
    <definedName name="TinhBieuThuc">[15]Config!#REF!</definedName>
    <definedName name="tinhlun" hidden="1">{"'Sheet1'!$L$16"}</definedName>
    <definedName name="tinhqd">#REF!</definedName>
    <definedName name="tinhqt">#REF!</definedName>
    <definedName name="tinhqt_15">#N/A</definedName>
    <definedName name="tinhqt_16">#N/A</definedName>
    <definedName name="tinhqt_17">#N/A</definedName>
    <definedName name="tinhqt_19">#N/A</definedName>
    <definedName name="tinhqt_20">#N/A</definedName>
    <definedName name="tinhqt_21">#N/A</definedName>
    <definedName name="tinhqt_22">#N/A</definedName>
    <definedName name="tinhqt_23">#N/A</definedName>
    <definedName name="tinhqt_24">#N/A</definedName>
    <definedName name="tinhqt_25">#N/A</definedName>
    <definedName name="tinhqt_26">#N/A</definedName>
    <definedName name="tinhqt_27">#N/A</definedName>
    <definedName name="tinhqt_28">#N/A</definedName>
    <definedName name="tinhqt_29">#N/A</definedName>
    <definedName name="tinhqt_30">#N/A</definedName>
    <definedName name="tinhqt_31">#N/A</definedName>
    <definedName name="tinhqt_32">#N/A</definedName>
    <definedName name="tinhqt_33">#N/A</definedName>
    <definedName name="tinhqt_34">#N/A</definedName>
    <definedName name="tinhqt_35">#N/A</definedName>
    <definedName name="tinhqt_36">#N/A</definedName>
    <definedName name="tinhqt_37">#N/A</definedName>
    <definedName name="tinhqt_38">#N/A</definedName>
    <definedName name="tinhqt_7">#N/A</definedName>
    <definedName name="tinhthanh">#REF!</definedName>
    <definedName name="TinhThanhLuong">#REF!</definedName>
    <definedName name="TINHTP">OFFSET(#REF!,COUNTIF(#REF!,"&lt;&gt;0")-1,0,1)</definedName>
    <definedName name="tip">#REF!</definedName>
    <definedName name="Tipo">#REF!</definedName>
    <definedName name="tipshaft">#REF!</definedName>
    <definedName name="TIT">#REF!</definedName>
    <definedName name="TITAN" localSheetId="6">#REF!</definedName>
    <definedName name="TITAN">#REF!</definedName>
    <definedName name="TITAN_14">#REF!</definedName>
    <definedName name="titi">#REF!</definedName>
    <definedName name="title">#N/A</definedName>
    <definedName name="titrong">#REF!</definedName>
    <definedName name="TixPiP1">#REF!</definedName>
    <definedName name="tj" hidden="1">{"'Sheet1'!$L$16"}</definedName>
    <definedName name="tjhtrjntrsjnsr" hidden="1">{"'Sheet1'!$L$16"}</definedName>
    <definedName name="tjhủn" hidden="1">{"Offgrid",#N/A,FALSE,"OFFGRID";"Region",#N/A,FALSE,"REGION";"Offgrid -2",#N/A,FALSE,"OFFGRID";"WTP",#N/A,FALSE,"WTP";"WTP -2",#N/A,FALSE,"WTP";"Project",#N/A,FALSE,"PROJECT";"Summary -2",#N/A,FALSE,"SUMMARY"}</definedName>
    <definedName name="tjjrj" hidden="1">{#N/A,#N/A,FALSE,"Chi tiÆt"}</definedName>
    <definedName name="tk" localSheetId="6">#REF!</definedName>
    <definedName name="tk">#N/A</definedName>
    <definedName name="tk_1">#N/A</definedName>
    <definedName name="TK_111">#REF!</definedName>
    <definedName name="TK_131___Phaíi_thu_khaïch_haìng">#REF!</definedName>
    <definedName name="TK_133">#REF!</definedName>
    <definedName name="TK_136">#REF!</definedName>
    <definedName name="TK_14">#REF!</definedName>
    <definedName name="TK_141_DANH">#REF!</definedName>
    <definedName name="TK_141_DOAN">#REF!</definedName>
    <definedName name="TK_141_DUNG">#REF!</definedName>
    <definedName name="TK_141_KHANH">#REF!</definedName>
    <definedName name="TK_141_KHOA">#REF!</definedName>
    <definedName name="TK_141_KY">#REF!</definedName>
    <definedName name="TK_141_QUAN">#REF!</definedName>
    <definedName name="TK_141_QUANG">#REF!</definedName>
    <definedName name="TK_141_TAN">#REF!</definedName>
    <definedName name="TK_141_Thop">#REF!</definedName>
    <definedName name="TK_141_TUONG">#REF!</definedName>
    <definedName name="TK_141_VU">#REF!</definedName>
    <definedName name="TK_142">#REF!</definedName>
    <definedName name="tk_15">#N/A</definedName>
    <definedName name="TK_152">#REF!</definedName>
    <definedName name="TK_153">#REF!</definedName>
    <definedName name="TK_154">#REF!</definedName>
    <definedName name="TK_154_H.QANG">#REF!</definedName>
    <definedName name="TK_154_SONLA">#REF!</definedName>
    <definedName name="tk_16">#N/A</definedName>
    <definedName name="tk_17">#N/A</definedName>
    <definedName name="tk_18">#N/A</definedName>
    <definedName name="tk_19">#N/A</definedName>
    <definedName name="tk_20">#N/A</definedName>
    <definedName name="tk_21">#N/A</definedName>
    <definedName name="tk_22">#N/A</definedName>
    <definedName name="tk_23">#N/A</definedName>
    <definedName name="tk_24">#N/A</definedName>
    <definedName name="tk_25">#N/A</definedName>
    <definedName name="tk_26">#N/A</definedName>
    <definedName name="tk_27">#N/A</definedName>
    <definedName name="tk_28">#N/A</definedName>
    <definedName name="tk_29">#N/A</definedName>
    <definedName name="tk_3">#N/A</definedName>
    <definedName name="tk_30">#N/A</definedName>
    <definedName name="tk_31">#N/A</definedName>
    <definedName name="TK_311">#REF!</definedName>
    <definedName name="tk_32">#N/A</definedName>
    <definedName name="tk_33">#N/A</definedName>
    <definedName name="TK_3334___Thuãú_thu_nháûp_doanh_nghiãûp">#REF!</definedName>
    <definedName name="TK_334">#REF!</definedName>
    <definedName name="TK_335">#REF!</definedName>
    <definedName name="TK_338">#REF!</definedName>
    <definedName name="TK_338_CTP">#REF!</definedName>
    <definedName name="TK_338_NALE">#REF!</definedName>
    <definedName name="TK_338_NAMNA">#REF!</definedName>
    <definedName name="TK_338_PLEI">#REF!</definedName>
    <definedName name="TK_338_SH">#REF!</definedName>
    <definedName name="TK_338_THACBA">#REF!</definedName>
    <definedName name="TK_338_YALY">#REF!</definedName>
    <definedName name="tk_34">#N/A</definedName>
    <definedName name="tk_35">#N/A</definedName>
    <definedName name="tk_36">#N/A</definedName>
    <definedName name="tk_37">#N/A</definedName>
    <definedName name="tk_38">#N/A</definedName>
    <definedName name="tk_39">#N/A</definedName>
    <definedName name="tk_40">#N/A</definedName>
    <definedName name="tk_41">#N/A</definedName>
    <definedName name="TK_421">#REF!</definedName>
    <definedName name="tk_43">#N/A</definedName>
    <definedName name="TK_431">#REF!</definedName>
    <definedName name="tk_44">#N/A</definedName>
    <definedName name="TK_50">#REF!</definedName>
    <definedName name="TK_511">#REF!</definedName>
    <definedName name="TK_621">#REF!</definedName>
    <definedName name="TK_622">#REF!</definedName>
    <definedName name="TK_627">#REF!</definedName>
    <definedName name="TK_627k___Chi_phê_SXC___khoan">#REF!</definedName>
    <definedName name="TK_632">#REF!</definedName>
    <definedName name="TK_911">#REF!</definedName>
    <definedName name="tk_dzht">#REF!</definedName>
    <definedName name="TK_MT4">[21]Tongke!#REF!</definedName>
    <definedName name="TK_NO">#REF!</definedName>
    <definedName name="tk2_cn">[22]Help!$B$71:$G$81</definedName>
    <definedName name="tk2_dd">[22]Help!$B$54:$G$64</definedName>
    <definedName name="tk2_gt">[22]Help!$B$88:$G$98</definedName>
    <definedName name="tk2_ht">[22]Help!$B$122:$G$132</definedName>
    <definedName name="tk2_tl">[22]Help!$B$105:$G$115</definedName>
    <definedName name="tk3_cn">[22]Help!$I$71:$O$81</definedName>
    <definedName name="tk3_dd">[22]Help!$I$54:$N$64</definedName>
    <definedName name="tk3_gt">[22]Help!$I$71:$N$81</definedName>
    <definedName name="tk3_ht">[22]Help!$I$122:$N$132</definedName>
    <definedName name="tk3_tl">[22]Help!$I$105:$N$115</definedName>
    <definedName name="TKCN2">#REF!</definedName>
    <definedName name="tkcn2btg">#REF!</definedName>
    <definedName name="tkcn2x">#REF!</definedName>
    <definedName name="tkcn2y1">#REF!</definedName>
    <definedName name="tkcn2y2">#REF!</definedName>
    <definedName name="tkcn2y3">#REF!</definedName>
    <definedName name="tkcn2y4">#REF!</definedName>
    <definedName name="tkcn2y5">#REF!</definedName>
    <definedName name="TKCN3">#REF!</definedName>
    <definedName name="tkcn3btg">#REF!</definedName>
    <definedName name="tkcn3x">#REF!</definedName>
    <definedName name="tkcn3y1">#REF!</definedName>
    <definedName name="tkcn3y2">#REF!</definedName>
    <definedName name="tkcn3y3">#REF!</definedName>
    <definedName name="tkcn3y4">#REF!</definedName>
    <definedName name="tkcn3y5">#REF!</definedName>
    <definedName name="TKCO">#REF!</definedName>
    <definedName name="TKCO_NK">#REF!</definedName>
    <definedName name="TKCOÙ">#REF!</definedName>
    <definedName name="TKCS">[0]!TKCS</definedName>
    <definedName name="tkct2">#REF!</definedName>
    <definedName name="TKCT2C">#REF!</definedName>
    <definedName name="TKCT2N">#REF!</definedName>
    <definedName name="TKCT3C">#REF!</definedName>
    <definedName name="TKCT3N">#REF!</definedName>
    <definedName name="TkCto">#REF!</definedName>
    <definedName name="tkdc">#REF!</definedName>
    <definedName name="TKDC1">#REF!</definedName>
    <definedName name="TKDD2">#REF!</definedName>
    <definedName name="tkdd2btg">#REF!</definedName>
    <definedName name="tkdd2x">#REF!</definedName>
    <definedName name="tkdd2y1">#REF!</definedName>
    <definedName name="tkdd2y2">#REF!</definedName>
    <definedName name="tkdd2y3">#REF!</definedName>
    <definedName name="tkdd2y4">#REF!</definedName>
    <definedName name="tkdd2y5">#REF!</definedName>
    <definedName name="TKDD3">#REF!</definedName>
    <definedName name="tkdd3btg">#REF!</definedName>
    <definedName name="tkdd3x">#REF!</definedName>
    <definedName name="tkdd3y1">#REF!</definedName>
    <definedName name="tkdd3y2">#REF!</definedName>
    <definedName name="tkdd3y3">#REF!</definedName>
    <definedName name="tkdd3y4">#REF!</definedName>
    <definedName name="tkdd3y5">#REF!</definedName>
    <definedName name="TKDF1">#REF!</definedName>
    <definedName name="tke" localSheetId="6">#REF!</definedName>
    <definedName name="tke">#N/A</definedName>
    <definedName name="tke_1">#N/A</definedName>
    <definedName name="tke_15">#N/A</definedName>
    <definedName name="tke_16">#N/A</definedName>
    <definedName name="tke_17">#N/A</definedName>
    <definedName name="tke_19">#N/A</definedName>
    <definedName name="tke_20">#N/A</definedName>
    <definedName name="tke_21">#N/A</definedName>
    <definedName name="tke_22">#N/A</definedName>
    <definedName name="tke_23">#N/A</definedName>
    <definedName name="tke_24">#N/A</definedName>
    <definedName name="tke_25">#N/A</definedName>
    <definedName name="tke_26">#N/A</definedName>
    <definedName name="tke_27">#N/A</definedName>
    <definedName name="tke_28">#N/A</definedName>
    <definedName name="tke_29">#N/A</definedName>
    <definedName name="tke_3">#N/A</definedName>
    <definedName name="tke_30">#N/A</definedName>
    <definedName name="tke_31">#N/A</definedName>
    <definedName name="tke_32">#N/A</definedName>
    <definedName name="tke_33">#N/A</definedName>
    <definedName name="tke_34">#N/A</definedName>
    <definedName name="tke_35">#N/A</definedName>
    <definedName name="tke_36">#N/A</definedName>
    <definedName name="tke_37">#N/A</definedName>
    <definedName name="tke_38">#N/A</definedName>
    <definedName name="tke_39">#N/A</definedName>
    <definedName name="tke_40">#N/A</definedName>
    <definedName name="tke_41">#N/A</definedName>
    <definedName name="tke_43">#N/A</definedName>
    <definedName name="tke_44">#N/A</definedName>
    <definedName name="tke_7">#N/A</definedName>
    <definedName name="TKe_ban">#REF!</definedName>
    <definedName name="TKGT2">#REF!</definedName>
    <definedName name="tkgt2btg">#REF!</definedName>
    <definedName name="tkgt2x">#REF!</definedName>
    <definedName name="tkgt2y1">#REF!</definedName>
    <definedName name="tkgt2y2">#REF!</definedName>
    <definedName name="tkgt2y3">#REF!</definedName>
    <definedName name="tkgt2y4">#REF!</definedName>
    <definedName name="tkgt2y5">#REF!</definedName>
    <definedName name="TKGT3">#REF!</definedName>
    <definedName name="tkgt3btg">#REF!</definedName>
    <definedName name="tkgt3x">#REF!</definedName>
    <definedName name="tkgt3y1">#REF!</definedName>
    <definedName name="tkgt3y2">#REF!</definedName>
    <definedName name="tkgt3y3">#REF!</definedName>
    <definedName name="tkgt3y4">#REF!</definedName>
    <definedName name="tkgt3y5">#REF!</definedName>
    <definedName name="TKHT2">#REF!</definedName>
    <definedName name="TKHT3">#REF!</definedName>
    <definedName name="tkhtkt2btg">#REF!</definedName>
    <definedName name="tkhtkt2x">#REF!</definedName>
    <definedName name="tkhtkt2y1">#REF!</definedName>
    <definedName name="tkhtkt2y2">#REF!</definedName>
    <definedName name="tkhtkt2y3">#REF!</definedName>
    <definedName name="tkhtkt2y4">#REF!</definedName>
    <definedName name="tkhtkt2y5">#REF!</definedName>
    <definedName name="tkhtkt3btg">#REF!</definedName>
    <definedName name="tkhtkt3x">#REF!</definedName>
    <definedName name="tkhtkt3y1">#REF!</definedName>
    <definedName name="tkhtkt3y2">#REF!</definedName>
    <definedName name="tkhtkt3y3">#REF!</definedName>
    <definedName name="tkhtkt3y4">#REF!</definedName>
    <definedName name="tkhtkt3y5">#REF!</definedName>
    <definedName name="TKKL">#REF!</definedName>
    <definedName name="TKKL_Tong">#REF!</definedName>
    <definedName name="tkktc">#REF!</definedName>
    <definedName name="tkktctg">#REF!</definedName>
    <definedName name="tkl">#REF!</definedName>
    <definedName name="TKluong">#REF!</definedName>
    <definedName name="TKN">#REF!</definedName>
    <definedName name="TKNN2">#REF!</definedName>
    <definedName name="TKNN3">#REF!</definedName>
    <definedName name="TKNO">#REF!</definedName>
    <definedName name="TKNO_NK">#REF!</definedName>
    <definedName name="TKNÔÏ">#REF!</definedName>
    <definedName name="TKP">#REF!</definedName>
    <definedName name="TKP_14">#REF!</definedName>
    <definedName name="TKP_18">#REF!</definedName>
    <definedName name="tkpdt">#REF!</definedName>
    <definedName name="tkpdt_15">#N/A</definedName>
    <definedName name="tkpdt_16">#N/A</definedName>
    <definedName name="tkpdt_17">#N/A</definedName>
    <definedName name="tkpdt_19">#N/A</definedName>
    <definedName name="tkpdt_20">#N/A</definedName>
    <definedName name="tkpdt_21">#N/A</definedName>
    <definedName name="tkpdt_22">#N/A</definedName>
    <definedName name="tkpdt_23">#N/A</definedName>
    <definedName name="tkpdt_24">#N/A</definedName>
    <definedName name="tkpdt_25">#N/A</definedName>
    <definedName name="tkpdt_26">#N/A</definedName>
    <definedName name="tkpdt_27">#N/A</definedName>
    <definedName name="tkpdt_28">#N/A</definedName>
    <definedName name="tkpdt_29">#N/A</definedName>
    <definedName name="tkpdt_30">#N/A</definedName>
    <definedName name="tkpdt_31">#N/A</definedName>
    <definedName name="tkpdt_32">#N/A</definedName>
    <definedName name="tkpdt_33">#N/A</definedName>
    <definedName name="tkpdt_34">#N/A</definedName>
    <definedName name="tkpdt_35">#N/A</definedName>
    <definedName name="tkpdt_36">#N/A</definedName>
    <definedName name="tkpdt_37">#N/A</definedName>
    <definedName name="tkpdt_38">#N/A</definedName>
    <definedName name="tkpdt_7">#N/A</definedName>
    <definedName name="TKRANH" hidden="1">{"'Sheet1'!$L$16"}</definedName>
    <definedName name="TKT">#REF!</definedName>
    <definedName name="tktl2btg">#REF!</definedName>
    <definedName name="tktl2x">#REF!</definedName>
    <definedName name="tktl2y1">#REF!</definedName>
    <definedName name="tktl2y2">#REF!</definedName>
    <definedName name="tktl2y3">#REF!</definedName>
    <definedName name="tktl2y4">#REF!</definedName>
    <definedName name="tktl2y5">#REF!</definedName>
    <definedName name="tktl3btg">#REF!</definedName>
    <definedName name="tktl3x">#REF!</definedName>
    <definedName name="tktl3y1">#REF!</definedName>
    <definedName name="tktl3y2">#REF!</definedName>
    <definedName name="tktl3y3">#REF!</definedName>
    <definedName name="tktl3y4">#REF!</definedName>
    <definedName name="tktl3y5">#REF!</definedName>
    <definedName name="TKYB">"TKYB"</definedName>
    <definedName name="TL">#REF!</definedName>
    <definedName name="TL_14">#REF!</definedName>
    <definedName name="TL_bill">#REF!</definedName>
    <definedName name="TL_CoPTVua">#REF!</definedName>
    <definedName name="TL_DungPC30">#REF!</definedName>
    <definedName name="TL_HienCotHS">#REF!</definedName>
    <definedName name="TL_HienCotVLP">#REF!</definedName>
    <definedName name="TL_InDGKL">#REF!</definedName>
    <definedName name="TL_KieuTL">#REF!</definedName>
    <definedName name="TL_Lai_tra_cham">2.5%</definedName>
    <definedName name="TL_PB">#REF!</definedName>
    <definedName name="TL_ThayTen">#REF!</definedName>
    <definedName name="TL_ThayTenCT">#REF!</definedName>
    <definedName name="TL_TKKT">#REF!</definedName>
    <definedName name="TL_VL">#REF!</definedName>
    <definedName name="TL1_18">#REF!</definedName>
    <definedName name="TL1_gateway">#REF!</definedName>
    <definedName name="TL2_18">#REF!</definedName>
    <definedName name="TL2_BQL">[0]!TL2_BQL</definedName>
    <definedName name="TL3_18">#REF!</definedName>
    <definedName name="TLA120_18">#REF!</definedName>
    <definedName name="TLA35_18">#REF!</definedName>
    <definedName name="TLA50_18">#REF!</definedName>
    <definedName name="TLA70_18">#REF!</definedName>
    <definedName name="TLA95_18">#REF!</definedName>
    <definedName name="TLAC120">#REF!</definedName>
    <definedName name="TLAC120_1">"#REF!"</definedName>
    <definedName name="TLAC120_18">#REF!</definedName>
    <definedName name="TLAC35">#REF!</definedName>
    <definedName name="TLAC35_1">"#REF!"</definedName>
    <definedName name="TLAC35_18">#REF!</definedName>
    <definedName name="TLAC50">#REF!</definedName>
    <definedName name="TLAC50_1">"#REF!"</definedName>
    <definedName name="TLAC50_18">#REF!</definedName>
    <definedName name="TLAC70">#REF!</definedName>
    <definedName name="TLAC70_18">#REF!</definedName>
    <definedName name="TLAC95">#REF!</definedName>
    <definedName name="TLAC95_18">#REF!</definedName>
    <definedName name="tlc" hidden="1">{"'Sheet1'!$L$16"}</definedName>
    <definedName name="tlcpc">#REF!</definedName>
    <definedName name="tlctc">#REF!</definedName>
    <definedName name="tlctctg">#REF!</definedName>
    <definedName name="tlctg">#REF!</definedName>
    <definedName name="TLD">#REF!</definedName>
    <definedName name="TLDa">#N/A</definedName>
    <definedName name="TLDa_14">#REF!</definedName>
    <definedName name="TLdat">#N/A</definedName>
    <definedName name="TLdat_14">#REF!</definedName>
    <definedName name="tldf">#REF!</definedName>
    <definedName name="TLDM">#N/A</definedName>
    <definedName name="TLDM_14">#REF!</definedName>
    <definedName name="Tle">#REF!</definedName>
    <definedName name="Tle_1">"#REF!"</definedName>
    <definedName name="TLLP">#REF!</definedName>
    <definedName name="tlntt">#REF!</definedName>
    <definedName name="TLP" hidden="1">{#N/A,#N/A,FALSE,"Chi tiÆt"}</definedName>
    <definedName name="TLPD">#REF!</definedName>
    <definedName name="TLPMG" hidden="1">{"'Sheet1'!$L$16"}</definedName>
    <definedName name="TLR">#REF!</definedName>
    <definedName name="tlrieng">#REF!</definedName>
    <definedName name="Tlt">#REF!</definedName>
    <definedName name="TLTH">#N/A</definedName>
    <definedName name="TLTH_15">#N/A</definedName>
    <definedName name="TLTH_16">#N/A</definedName>
    <definedName name="TLTH_17">#N/A</definedName>
    <definedName name="TLTH_18">#N/A</definedName>
    <definedName name="TLTH_19">#N/A</definedName>
    <definedName name="TLTH_20">#N/A</definedName>
    <definedName name="TLTH_21">#N/A</definedName>
    <definedName name="TLTH_22">#N/A</definedName>
    <definedName name="TLTH_23">#N/A</definedName>
    <definedName name="TLTH_24">#N/A</definedName>
    <definedName name="TLTH_25">#N/A</definedName>
    <definedName name="TLTH_26">#N/A</definedName>
    <definedName name="TLTH_27">#N/A</definedName>
    <definedName name="TLTH_28">#N/A</definedName>
    <definedName name="TLTH_29">#N/A</definedName>
    <definedName name="TLTH_30">#N/A</definedName>
    <definedName name="TLTH_31">#N/A</definedName>
    <definedName name="TLTH_32">#N/A</definedName>
    <definedName name="TLTH_33">#N/A</definedName>
    <definedName name="TLTH_34">#N/A</definedName>
    <definedName name="TLTH_35">#N/A</definedName>
    <definedName name="TLTH_36">#N/A</definedName>
    <definedName name="TLTH_37">#N/A</definedName>
    <definedName name="TLTH_38">#N/A</definedName>
    <definedName name="TLTH1">#N/A</definedName>
    <definedName name="TLTH1_15">#N/A</definedName>
    <definedName name="TLTH1_16">#N/A</definedName>
    <definedName name="TLTH1_17">#N/A</definedName>
    <definedName name="TLTH1_18">#N/A</definedName>
    <definedName name="TLTH1_19">#N/A</definedName>
    <definedName name="TLTH1_20">#N/A</definedName>
    <definedName name="TLTH1_21">#N/A</definedName>
    <definedName name="TLTH1_22">#N/A</definedName>
    <definedName name="TLTH1_23">#N/A</definedName>
    <definedName name="TLTH1_24">#N/A</definedName>
    <definedName name="TLTH1_25">#N/A</definedName>
    <definedName name="TLTH1_26">#N/A</definedName>
    <definedName name="TLTH1_27">#N/A</definedName>
    <definedName name="TLTH1_28">#N/A</definedName>
    <definedName name="TLTH1_29">#N/A</definedName>
    <definedName name="TLTH1_30">#N/A</definedName>
    <definedName name="TLTH1_31">#N/A</definedName>
    <definedName name="TLTH1_32">#N/A</definedName>
    <definedName name="TLTH1_33">#N/A</definedName>
    <definedName name="TLTH1_34">#N/A</definedName>
    <definedName name="TLTH1_35">#N/A</definedName>
    <definedName name="TLTH1_36">#N/A</definedName>
    <definedName name="TLTH1_37">#N/A</definedName>
    <definedName name="TLTH1_38">#N/A</definedName>
    <definedName name="tltkp">#REF!</definedName>
    <definedName name="TLTT_KHO1">#REF!</definedName>
    <definedName name="TLTT_UOT1">#REF!</definedName>
    <definedName name="TLTT_UOT2">#REF!</definedName>
    <definedName name="TLTT_UOT3">#REF!</definedName>
    <definedName name="TLTT_UOT4">#REF!</definedName>
    <definedName name="TLTT_UOT5">#REF!</definedName>
    <definedName name="TLTT_UOT6">#REF!</definedName>
    <definedName name="TLTT_UOT7">#REF!</definedName>
    <definedName name="TLTV2">#REF!</definedName>
    <definedName name="tluong">#REF!</definedName>
    <definedName name="TLVL" hidden="1">{"'Sheet1'!$L$16"}</definedName>
    <definedName name="TLY">#REF!</definedName>
    <definedName name="TM">#N/A</definedName>
    <definedName name="TM_21E1">#REF!</definedName>
    <definedName name="TM_63E1">#REF!</definedName>
    <definedName name="TM_8E1">#REF!</definedName>
    <definedName name="TMAG">#REF!</definedName>
    <definedName name="tmd">#REF!</definedName>
    <definedName name="TMDN">#REF!</definedName>
    <definedName name="TMDT">#REF!</definedName>
    <definedName name="TMĐT">#REF!</definedName>
    <definedName name="TMDT_">#REF!/10^9</definedName>
    <definedName name="TMDT_CPTB">#REF!</definedName>
    <definedName name="TMDT_CPXD">#REF!</definedName>
    <definedName name="TMDT_TamTinh_tydong">#REF!/10^9</definedName>
    <definedName name="TMDT1">#REF!</definedName>
    <definedName name="TMDT2">#REF!</definedName>
    <definedName name="TMDTdk">#REF!</definedName>
    <definedName name="TMDTDUYET68">#REF!</definedName>
    <definedName name="TMDTmoi">#REF!</definedName>
    <definedName name="TMĐTSLT">#REF!</definedName>
    <definedName name="TMINH">#REF!</definedName>
    <definedName name="TMKSNB">#REF!</definedName>
    <definedName name="TMM">#N/A</definedName>
    <definedName name="tmm1.5">#REF!</definedName>
    <definedName name="tmmg">#REF!</definedName>
    <definedName name="TMNPDH">#REF!</definedName>
    <definedName name="TMNS">#REF!</definedName>
    <definedName name="TMNSDH">#REF!</definedName>
    <definedName name="TMPCN">#REF!</definedName>
    <definedName name="TMProtection">#N/A</definedName>
    <definedName name="TMProtection_18">#REF!</definedName>
    <definedName name="TMS_C">#N/A</definedName>
    <definedName name="TMTMDV">#REF!</definedName>
    <definedName name="tn" localSheetId="6">#REF!</definedName>
    <definedName name="tn">#REF!</definedName>
    <definedName name="TN_0.4">#REF!</definedName>
    <definedName name="TN_22">#REF!</definedName>
    <definedName name="tn_33">"#REF!"</definedName>
    <definedName name="tn_34">"#REF!"</definedName>
    <definedName name="TN_b_qu_n">#REF!</definedName>
    <definedName name="TN_CTO">#REF!</definedName>
    <definedName name="tn1pinnc">#REF!</definedName>
    <definedName name="tn1pinnc_14">#REF!</definedName>
    <definedName name="tn2mhnnc">#REF!</definedName>
    <definedName name="tn2mhnnc_14">#REF!</definedName>
    <definedName name="tnchay">#REF!</definedName>
    <definedName name="TNChiuThue">#REF!</definedName>
    <definedName name="TNCM">#REF!</definedName>
    <definedName name="TNCM_14">#REF!</definedName>
    <definedName name="tndeo">#REF!</definedName>
    <definedName name="TNDN">#REF!</definedName>
    <definedName name="tndoam">#REF!</definedName>
    <definedName name="tndungtrong">#REF!</definedName>
    <definedName name="tndz" hidden="1">{"'Sheet1'!$L$16"}</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gio">#REF!</definedName>
    <definedName name="tnh_nv">#REF!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hat">#REF!</definedName>
    <definedName name="tnhnnc">#REF!</definedName>
    <definedName name="tnhnnc_14">#REF!</definedName>
    <definedName name="tnignc">#REF!</definedName>
    <definedName name="tnignc_14">#REF!</definedName>
    <definedName name="tnin190nc">#REF!</definedName>
    <definedName name="tnin190nc_14">#REF!</definedName>
    <definedName name="tnk">1.5</definedName>
    <definedName name="tnlnc">#REF!</definedName>
    <definedName name="tnlnc_14">#REF!</definedName>
    <definedName name="TNM" hidden="1">{"'Sheet1'!$L$16"}</definedName>
    <definedName name="tnnnc">#REF!</definedName>
    <definedName name="tnnnc_14">#REF!</definedName>
    <definedName name="TNNT">#N/A</definedName>
    <definedName name="tno">#REF!</definedName>
    <definedName name="tno_14">#REF!</definedName>
    <definedName name="TNTNM">#REF!</definedName>
    <definedName name="TNTT">6%</definedName>
    <definedName name="tntytrong">#REF!</definedName>
    <definedName name="To">#REF!</definedName>
    <definedName name="toadocap">#REF!</definedName>
    <definedName name="toan">#REF!</definedName>
    <definedName name="Toanbo">#REF!</definedName>
    <definedName name="toi5t">#REF!</definedName>
    <definedName name="Toidien1.5T">#REF!</definedName>
    <definedName name="Toidien3.5T">#REF!</definedName>
    <definedName name="ToiDien5T">#REF!</definedName>
    <definedName name="ton">#REF!</definedName>
    <definedName name="TONERPRICE">#REF!</definedName>
    <definedName name="Tong" localSheetId="6">#REF!</definedName>
    <definedName name="Tong">#REF!</definedName>
    <definedName name="Tong_co">#REF!</definedName>
    <definedName name="TONG_DU_TOAN">#REF!</definedName>
    <definedName name="Tong_gia_HD">#REF!</definedName>
    <definedName name="TONG_GIA_TRI_CONG_TRINH">#REF!</definedName>
    <definedName name="Tong_hop">#REF!</definedName>
    <definedName name="TONG_HOP_CHI_TIET_XAY_DUNG">#REF!</definedName>
    <definedName name="TONG_HOP_KINH_PHI_DZ">#REF!</definedName>
    <definedName name="TONG_HOP_KINH_PHI_GIA_CONG_PHAN_LAP_DAT_DIEN">#REF!</definedName>
    <definedName name="TONG_HOP_KINH_PHI_PHAN_A_THUC_HIEN">#REF!</definedName>
    <definedName name="TONG_HOP_KINH_PHI_PHAN_DIEN">#REF!</definedName>
    <definedName name="TONG_HOP_KINH_PHI_THI_NGHIEM">#REF!</definedName>
    <definedName name="TONG_HOP_THI_NGHIEM_DZ0.4KV">#REF!</definedName>
    <definedName name="TONG_HOP_THI_NGHIEM_DZ22KV">#REF!</definedName>
    <definedName name="TONG_HOP_VL_NC_MTC_15">#REF!</definedName>
    <definedName name="TONG_HOP_VL_NC_MTC_35">#REF!</definedName>
    <definedName name="TONG_KE_DZ0.4KV">#REF!</definedName>
    <definedName name="TONG_KE_TBA">#REF!</definedName>
    <definedName name="Tong_nhom">#REF!</definedName>
    <definedName name="Tong_no">#REF!</definedName>
    <definedName name="Tongban">#REF!</definedName>
    <definedName name="tongbanagilent">#REF!</definedName>
    <definedName name="tongbandewe">#REF!</definedName>
    <definedName name="tongbanemco">#REF!</definedName>
    <definedName name="Tongbangunt">#REF!</definedName>
    <definedName name="tongbankistler">#REF!</definedName>
    <definedName name="tongbanlucas">#REF!</definedName>
    <definedName name="tongbanmitutoyo">#REF!</definedName>
    <definedName name="TongBetado">#REF!</definedName>
    <definedName name="TongBetalt">#REF!</definedName>
    <definedName name="tongbt">#REF!</definedName>
    <definedName name="TongCD2007">#N/A</definedName>
    <definedName name="TongCD2008">#N/A</definedName>
    <definedName name="TongCong" localSheetId="6">#REF!</definedName>
    <definedName name="TongCong">#REF!</definedName>
    <definedName name="TongDA2012">#REF!</definedName>
    <definedName name="TongDautu">#REF!</definedName>
    <definedName name="tongdientich">#REF!</definedName>
    <definedName name="tongdt">#REF!</definedName>
    <definedName name="TongDthu">#REF!</definedName>
    <definedName name="TongDTPM" localSheetId="6">#REF!</definedName>
    <definedName name="TongDTPM">#REF!</definedName>
    <definedName name="TONGDUTOAN">#REF!</definedName>
    <definedName name="TONGDUTOAN_18">#REF!</definedName>
    <definedName name="TongHM">#REF!</definedName>
    <definedName name="Tonghop" localSheetId="6">#REF!</definedName>
    <definedName name="Tonghop">#REF!</definedName>
    <definedName name="tonghop2" localSheetId="6">#REF!</definedName>
    <definedName name="tonghop2">#REF!</definedName>
    <definedName name="TONGHOPCACTUYENCAP">#N/A</definedName>
    <definedName name="TonghopHtxH">#REF!</definedName>
    <definedName name="TonghopHtxT">#REF!</definedName>
    <definedName name="TONGKHOILUONG">#N/A</definedName>
    <definedName name="Tongkinhphiduan">#REF!</definedName>
    <definedName name="TongLuongSale">#REF!</definedName>
    <definedName name="TongMuc">#REF!</definedName>
    <definedName name="tongthep">#REF!</definedName>
    <definedName name="tongthetich">#REF!</definedName>
    <definedName name="TongVAT" localSheetId="6">#REF!</definedName>
    <definedName name="TongVAT">#REF!</definedName>
    <definedName name="TONGVATTU">#N/A</definedName>
    <definedName name="tØnho">#REF!</definedName>
    <definedName name="TONKHO">"#REF!"</definedName>
    <definedName name="Tonmai">#REF!</definedName>
    <definedName name="Tonmai_18">#REF!</definedName>
    <definedName name="TOO">#N/A</definedName>
    <definedName name="TÔØ_KHAI_THUEÁ_GIAÙ_TRÒ_GIA_TAÊNG">#REF!</definedName>
    <definedName name="tool_area">#REF!</definedName>
    <definedName name="tool1">#REF!</definedName>
    <definedName name="tool13001">#REF!</definedName>
    <definedName name="tool13002">#REF!</definedName>
    <definedName name="tool13007">#REF!</definedName>
    <definedName name="tool13013">#REF!</definedName>
    <definedName name="tool2">#REF!</definedName>
    <definedName name="tool3">#REF!</definedName>
    <definedName name="TOP">#REF!</definedName>
    <definedName name="ToPi">#REF!</definedName>
    <definedName name="ToPi2">#REF!</definedName>
    <definedName name="ToPi22">#REF!</definedName>
    <definedName name="ToPi3">#REF!</definedName>
    <definedName name="ToPi32">#REF!</definedName>
    <definedName name="ToPi4">#REF!</definedName>
    <definedName name="ToPi42">#REF!</definedName>
    <definedName name="TOPIC">#REF!</definedName>
    <definedName name="TOPO">#REF!</definedName>
    <definedName name="TopPackage">#REF!</definedName>
    <definedName name="TopSlab_Tensile_Stress">#REF!</definedName>
    <definedName name="TOSHIBA">#REF!</definedName>
    <definedName name="TOT">#REF!</definedName>
    <definedName name="Tot.Cost_SiteExp">#REF!</definedName>
    <definedName name="Tot.Cost_TempWk">#REF!</definedName>
    <definedName name="Tot_Price_Ext">#REF!</definedName>
    <definedName name="TOTAL">#REF!</definedName>
    <definedName name="TOTAL_A">#REF!</definedName>
    <definedName name="total_ADSL">#REF!</definedName>
    <definedName name="TOTAL_B">#REF!</definedName>
    <definedName name="total_BB_lines">#REF!</definedName>
    <definedName name="total_BB_lines_ATM">#REF!</definedName>
    <definedName name="TOTAL_BEFORE_DISCOUNT">#REF!</definedName>
    <definedName name="TOTAL_C">#REF!</definedName>
    <definedName name="Total_Cost">#REF!</definedName>
    <definedName name="total_eq">#REF!</definedName>
    <definedName name="total_f_ecarts_cs">#REF!</definedName>
    <definedName name="total_f_ecarts_sp">#REF!</definedName>
    <definedName name="total_f_gpma_cs_f_w">#REF!</definedName>
    <definedName name="total_f_gpma_cs_l">#REF!</definedName>
    <definedName name="total_f_gpma_sp_f">#REF!</definedName>
    <definedName name="total_f_gpma_sp_l">#REF!</definedName>
    <definedName name="total_f_hpif_cs_f">#REF!</definedName>
    <definedName name="total_f_hpif_cs_l">#REF!</definedName>
    <definedName name="total_f_hpif_sp_f">#REF!</definedName>
    <definedName name="total_f_hpif_sp_l">#REF!</definedName>
    <definedName name="total_f_i1_sp_f">#REF!</definedName>
    <definedName name="total_f_i2_sp_f">#REF!</definedName>
    <definedName name="total_f_ip_cs_w">#REF!</definedName>
    <definedName name="total_f_ip_sp_w">#REF!</definedName>
    <definedName name="total_f_is_cs">#REF!</definedName>
    <definedName name="total_f_is_sp_w">#REF!</definedName>
    <definedName name="total_f_is_sp_w_l">#REF!</definedName>
    <definedName name="total_f_isg_cs_phase1">#REF!</definedName>
    <definedName name="total_f_le_cs_f">#REF!</definedName>
    <definedName name="total_f_le_cs_f_w">#REF!</definedName>
    <definedName name="total_f_le_cs_l">#REF!</definedName>
    <definedName name="total_f_le_cs_l_w">#REF!</definedName>
    <definedName name="total_f_le_sp_f_w">#REF!</definedName>
    <definedName name="total_f_le_sp_l_w">#REF!</definedName>
    <definedName name="total_f_op_cs">#REF!</definedName>
    <definedName name="total_f_op_cs_t_w">#REF!</definedName>
    <definedName name="total_f_os_cs">#REF!</definedName>
    <definedName name="total_f_os_cs_t_w">#REF!</definedName>
    <definedName name="total_f_ph_cs">#REF!</definedName>
    <definedName name="total_f_ph_cs_l_w">#REF!</definedName>
    <definedName name="total_f_ph_cs_w">#REF!</definedName>
    <definedName name="total_f_ph_sp">#REF!</definedName>
    <definedName name="total_f_ph_sp_w">#REF!</definedName>
    <definedName name="total_f_pic_cs_f">#REF!</definedName>
    <definedName name="total_f_pic_cs_l">#REF!</definedName>
    <definedName name="total_f_pm_cs">#REF!</definedName>
    <definedName name="total_f_po_cs">#REF!</definedName>
    <definedName name="total_f_po_cs_l_w">#REF!</definedName>
    <definedName name="total_f_po_cs_w">#REF!</definedName>
    <definedName name="total_f_po_sp">#REF!</definedName>
    <definedName name="total_f_po_sp_w">#REF!</definedName>
    <definedName name="total_f_ps_cs">#REF!</definedName>
    <definedName name="total_f_ps_cs_l_w">#REF!</definedName>
    <definedName name="total_f_ps_cs_w">#REF!</definedName>
    <definedName name="total_f_ps_sp">#REF!</definedName>
    <definedName name="total_f_ps_sp_w">#REF!</definedName>
    <definedName name="total_f_pu_cs_t_w">#REF!</definedName>
    <definedName name="total_f_pu_sp">#REF!</definedName>
    <definedName name="total_f_tr_cs_f">#REF!</definedName>
    <definedName name="total_f_tr_cs_f_w">#REF!</definedName>
    <definedName name="total_f_tr_cs_l">#REF!</definedName>
    <definedName name="total_f_tr_cs_l_w">#REF!</definedName>
    <definedName name="total_f_tr_cs_w">#REF!</definedName>
    <definedName name="total_f_tr_sp">#REF!</definedName>
    <definedName name="total_f_tr_sp_f_w">#REF!</definedName>
    <definedName name="total_f_tr_sp_l_w">#REF!</definedName>
    <definedName name="total_f_tr_sp_w">#REF!</definedName>
    <definedName name="total_f_w_cs_f">#REF!</definedName>
    <definedName name="Total_Floor_Area">#REF!</definedName>
    <definedName name="TOTAL_I">#REF!</definedName>
    <definedName name="TOTAL_II">#REF!</definedName>
    <definedName name="TOTAL_III">#REF!</definedName>
    <definedName name="Total_inc._VAT__VND">#REF!</definedName>
    <definedName name="total_ipis_fdp">#REF!</definedName>
    <definedName name="TOTAL_IV">#REF!</definedName>
    <definedName name="total_lc">#REF!</definedName>
    <definedName name="Total_LC32">#REF!</definedName>
    <definedName name="Total_MLS">#REF!</definedName>
    <definedName name="total_NGN_lines">#REF!</definedName>
    <definedName name="Total_not_VAT__VND">#REF!</definedName>
    <definedName name="TOTAL_NOVAT_XXX">#REF!</definedName>
    <definedName name="total_o_ecarts_cs">#REF!</definedName>
    <definedName name="total_o_ecarts_sp">#REF!</definedName>
    <definedName name="total_o_gpma_cs_f">#REF!</definedName>
    <definedName name="total_o_gpma_cs_f_w">#REF!</definedName>
    <definedName name="total_o_gpma_cs_l">#REF!</definedName>
    <definedName name="total_o_gpma_cs_w_l">#REF!</definedName>
    <definedName name="total_o_gpma_sp_f">#REF!</definedName>
    <definedName name="total_o_gpma_sp_l">#REF!</definedName>
    <definedName name="total_o_hpif_cs_f">#REF!</definedName>
    <definedName name="total_o_hpif_cs_l">#REF!</definedName>
    <definedName name="total_o_hpif_sp_f">#REF!</definedName>
    <definedName name="total_o_hpif_sp_l">#REF!</definedName>
    <definedName name="total_o_i3_sp_f">#REF!</definedName>
    <definedName name="total_o_i4_sp_f">#REF!</definedName>
    <definedName name="total_o_ip_cs_w">#REF!</definedName>
    <definedName name="total_o_ip_sp_w">#REF!</definedName>
    <definedName name="total_o_is_cs">#REF!</definedName>
    <definedName name="total_o_is_sp_w">#REF!</definedName>
    <definedName name="total_o_is_sp_w_l">#REF!</definedName>
    <definedName name="total_o_le_cs_f">#REF!</definedName>
    <definedName name="total_o_le_cs_f_w">#REF!</definedName>
    <definedName name="total_o_le_cs_l">#REF!</definedName>
    <definedName name="total_o_le_cs_l_w">#REF!</definedName>
    <definedName name="total_o_le_sp_f_w">#REF!</definedName>
    <definedName name="total_o_le_sp_l_w">#REF!</definedName>
    <definedName name="total_o_oa_cs">#REF!</definedName>
    <definedName name="total_o_oa_cs_t_w">#REF!</definedName>
    <definedName name="total_o_oc_cs">#REF!</definedName>
    <definedName name="total_o_oc_cs_t_w">#REF!</definedName>
    <definedName name="total_o_oi_cs">#REF!</definedName>
    <definedName name="total_o_oi_cs_t_w">#REF!</definedName>
    <definedName name="total_o_op_cs">#REF!</definedName>
    <definedName name="total_o_op_cs_t_w">#REF!</definedName>
    <definedName name="total_o_os_cs">#REF!</definedName>
    <definedName name="total_o_os_cs_t_w">#REF!</definedName>
    <definedName name="total_o_ph_cs_w">#REF!</definedName>
    <definedName name="total_o_pic_cs_f">#REF!</definedName>
    <definedName name="total_o_pic_cs_l">#REF!</definedName>
    <definedName name="total_o_pm_cs">#REF!</definedName>
    <definedName name="total_o_po_cs_f">#REF!</definedName>
    <definedName name="total_o_po_cs_w">#REF!</definedName>
    <definedName name="total_o_po_sp_f">#REF!</definedName>
    <definedName name="total_o_po_sp_l">#REF!</definedName>
    <definedName name="total_o_ps_cs_f_w">#REF!</definedName>
    <definedName name="total_o_ps_cs_w">#REF!</definedName>
    <definedName name="total_o_pu_sp">#REF!</definedName>
    <definedName name="total_o_pu_sp_w">#REF!</definedName>
    <definedName name="total_o_tr_cs_f">#REF!</definedName>
    <definedName name="total_o_tr_cs_f_w">#REF!</definedName>
    <definedName name="total_o_tr_cs_l">#REF!</definedName>
    <definedName name="total_o_tr_cs_l_w">#REF!</definedName>
    <definedName name="total_o_tr_cs_w">#REF!</definedName>
    <definedName name="total_o_tr_sp">#REF!</definedName>
    <definedName name="total_o_tr_sp_f_w">#REF!</definedName>
    <definedName name="total_o_tr_sp_l_w">#REF!</definedName>
    <definedName name="total_o_tr_sp_w">#REF!</definedName>
    <definedName name="Total_POTS">#REF!</definedName>
    <definedName name="Total_price_rows">#REF!,#REF!,#REF!,#REF!,#REF!,#REF!</definedName>
    <definedName name="total_service">#REF!</definedName>
    <definedName name="total_slots">#REF!</definedName>
    <definedName name="total_t_ecarts_cs">#REF!</definedName>
    <definedName name="total_t_ecarts_sp">#REF!</definedName>
    <definedName name="total_t_h_cs_w">#REF!</definedName>
    <definedName name="total_t_hpif_cs_f">#REF!</definedName>
    <definedName name="total_t_hpif_cs_l">#REF!</definedName>
    <definedName name="total_t_isa_sp">#REF!</definedName>
    <definedName name="total_t_isd_sp">#REF!</definedName>
    <definedName name="total_t_ise_sp">#REF!</definedName>
    <definedName name="total_t_isg_sp">#REF!</definedName>
    <definedName name="total_t_isi_sp">#REF!</definedName>
    <definedName name="total_t_ism_sp">#REF!</definedName>
    <definedName name="total_t_ist_sp">#REF!</definedName>
    <definedName name="total_t_le_cs_f">#REF!</definedName>
    <definedName name="total_t_le_cs_l">#REF!</definedName>
    <definedName name="total_t_o_cs">#REF!</definedName>
    <definedName name="total_t_o_cs_w">#REF!</definedName>
    <definedName name="total_t_oa_cs">#REF!</definedName>
    <definedName name="total_t_oa_cs_t_w">#REF!</definedName>
    <definedName name="total_t_oc_cs">#REF!</definedName>
    <definedName name="total_t_oc_cs_t_w">#REF!</definedName>
    <definedName name="total_t_oi_cs">#REF!</definedName>
    <definedName name="total_t_oi_cs_t_w">#REF!</definedName>
    <definedName name="total_t_op_cs">#REF!</definedName>
    <definedName name="total_t_op_cs_t_w">#REF!</definedName>
    <definedName name="total_t_os_cs">#REF!</definedName>
    <definedName name="total_t_os_cs_t_w">#REF!</definedName>
    <definedName name="total_t_ph_cs">#REF!</definedName>
    <definedName name="total_t_ph_cs_f">#REF!</definedName>
    <definedName name="total_t_ph_cs_l">#REF!</definedName>
    <definedName name="total_t_ph_cs_w">#REF!</definedName>
    <definedName name="total_t_pm_cs">#REF!</definedName>
    <definedName name="total_t_po_cs">#REF!</definedName>
    <definedName name="total_t_po_cs_f">#REF!</definedName>
    <definedName name="total_t_po_cs_w">#REF!</definedName>
    <definedName name="total_t_ps_cs">#REF!</definedName>
    <definedName name="total_t_ps_cs_f">#REF!</definedName>
    <definedName name="total_t_ps_cs_l">#REF!</definedName>
    <definedName name="total_t_ps_cs_w">#REF!</definedName>
    <definedName name="total_t_pu_sp">#REF!</definedName>
    <definedName name="total_t_s_cs">#REF!</definedName>
    <definedName name="total_t_s_cs_f">#REF!</definedName>
    <definedName name="total_t_s_cs_w">#REF!</definedName>
    <definedName name="total_t_tr_cs_f">#REF!</definedName>
    <definedName name="total_t_tr_cs_l">#REF!</definedName>
    <definedName name="total_t_tr_cs_w">#REF!</definedName>
    <definedName name="total_t_tr_sp">#REF!</definedName>
    <definedName name="total_t_tr_sp_w">#REF!</definedName>
    <definedName name="Total_TCHs">#REF!</definedName>
    <definedName name="total_TPMs">#REF!</definedName>
    <definedName name="TOTAL_V">#REF!</definedName>
    <definedName name="total_V5_lines">#REF!</definedName>
    <definedName name="TOTAL_VA">#REF!</definedName>
    <definedName name="TOTAL_VB">#REF!</definedName>
    <definedName name="TOTAL_VC">#REF!</definedName>
    <definedName name="TOTAL_VI">#REF!</definedName>
    <definedName name="TOTAL_VII">#REF!</definedName>
    <definedName name="TOTAL_VIII">#REF!</definedName>
    <definedName name="total_visca">#REF!</definedName>
    <definedName name="TOTAL_VIV">#REF!</definedName>
    <definedName name="TOTAL_VV">#REF!</definedName>
    <definedName name="total_xdsl">#REF!</definedName>
    <definedName name="TOTAL_XXX">#REF!</definedName>
    <definedName name="Total1">#REF!</definedName>
    <definedName name="total10">#REF!</definedName>
    <definedName name="Total1000">#REF!</definedName>
    <definedName name="Total1100">#REF!</definedName>
    <definedName name="total12">#REF!</definedName>
    <definedName name="Total1200">#REF!</definedName>
    <definedName name="total13.1">#REF!</definedName>
    <definedName name="total13.2">#REF!</definedName>
    <definedName name="Total1300">#REF!</definedName>
    <definedName name="total14.1">#REF!</definedName>
    <definedName name="total14.2">#REF!</definedName>
    <definedName name="Total1400">#REF!</definedName>
    <definedName name="Total1500">#REF!</definedName>
    <definedName name="total16">#REF!</definedName>
    <definedName name="Total1600">#REF!</definedName>
    <definedName name="total17.1">#REF!</definedName>
    <definedName name="total17.2">#REF!</definedName>
    <definedName name="total17.3">#REF!</definedName>
    <definedName name="Total1700">#REF!</definedName>
    <definedName name="Total1800">#REF!</definedName>
    <definedName name="total2">#REF!</definedName>
    <definedName name="Total2000">#REF!</definedName>
    <definedName name="Total2100">#REF!</definedName>
    <definedName name="Total2200">#REF!</definedName>
    <definedName name="Total2300">#REF!</definedName>
    <definedName name="Total2400">#REF!</definedName>
    <definedName name="Total2500">#REF!</definedName>
    <definedName name="Total2600">#REF!</definedName>
    <definedName name="Total2700">#REF!</definedName>
    <definedName name="Total2800">#REF!</definedName>
    <definedName name="total3">#REF!</definedName>
    <definedName name="Total3000">#REF!</definedName>
    <definedName name="Total3100">#REF!</definedName>
    <definedName name="Total3200">#REF!</definedName>
    <definedName name="Total3300">#REF!</definedName>
    <definedName name="total336">#REF!</definedName>
    <definedName name="Total3400">#REF!</definedName>
    <definedName name="Total3500">#REF!</definedName>
    <definedName name="Total3600">#REF!</definedName>
    <definedName name="Total3700">#REF!</definedName>
    <definedName name="Total3800">#REF!</definedName>
    <definedName name="Total3900">#REF!</definedName>
    <definedName name="total4">#REF!</definedName>
    <definedName name="Total4000">#REF!</definedName>
    <definedName name="Total4100">#REF!</definedName>
    <definedName name="Total4200">#REF!</definedName>
    <definedName name="Total4300">#REF!</definedName>
    <definedName name="Total4400">#REF!</definedName>
    <definedName name="Total4500">#REF!</definedName>
    <definedName name="Total4600">#REF!</definedName>
    <definedName name="Total4700">#REF!</definedName>
    <definedName name="Total4800">#REF!</definedName>
    <definedName name="Total5000">#REF!</definedName>
    <definedName name="Total5100">#REF!</definedName>
    <definedName name="Total5200">#REF!</definedName>
    <definedName name="Total5300">#REF!</definedName>
    <definedName name="Total5400">#REF!</definedName>
    <definedName name="Total5500">#REF!</definedName>
    <definedName name="Total5600">#REF!</definedName>
    <definedName name="Total5700">#REF!</definedName>
    <definedName name="Total5800">#REF!</definedName>
    <definedName name="total6">#REF!</definedName>
    <definedName name="Total6000">#REF!</definedName>
    <definedName name="Total7000">#REF!</definedName>
    <definedName name="total8">#REF!</definedName>
    <definedName name="total8000">#REF!</definedName>
    <definedName name="Total8100">#REF!</definedName>
    <definedName name="Total8200_1">#REF!</definedName>
    <definedName name="Total8200_2">#REF!</definedName>
    <definedName name="total9">#REF!</definedName>
    <definedName name="totalcost">#REF!</definedName>
    <definedName name="totald">#REF!</definedName>
    <definedName name="TotalDataC27__GB">#REF!</definedName>
    <definedName name="totalerrors">#REF!</definedName>
    <definedName name="TotalPeriods">#REF!</definedName>
    <definedName name="TotalPrice" localSheetId="6">#REF!</definedName>
    <definedName name="TotalPrice">#REF!</definedName>
    <definedName name="TotalPriceColumeName">#REF!</definedName>
    <definedName name="TOTALRECORD_1">#REF!</definedName>
    <definedName name="Totals">#REF!</definedName>
    <definedName name="totb">#REF!</definedName>
    <definedName name="totb1">#REF!</definedName>
    <definedName name="totb2">#REF!</definedName>
    <definedName name="totb3">#REF!</definedName>
    <definedName name="totb4">#REF!</definedName>
    <definedName name="totb5">#REF!</definedName>
    <definedName name="totb6">#REF!</definedName>
    <definedName name="totbtoi" localSheetId="6">#REF!</definedName>
    <definedName name="totbtoi">#REF!</definedName>
    <definedName name="ToTi2">#REF!</definedName>
    <definedName name="ToTi3">#REF!</definedName>
    <definedName name="ToTI4">#REF!</definedName>
    <definedName name="ToTiPi2">#REF!</definedName>
    <definedName name="ToTiPi3">#REF!</definedName>
    <definedName name="ToTiPi4">#REF!</definedName>
    <definedName name="toto">#REF!</definedName>
    <definedName name="totot.xls" hidden="1">{#N/A,#N/A,TRUE,"Config1";#N/A,#N/A,TRUE,"Config2";#N/A,#N/A,TRUE,"Config3";#N/A,#N/A,TRUE,"Config4";#N/A,#N/A,TRUE,"Config5";#N/A,#N/A,TRUE,"Config6";#N/A,#N/A,TRUE,"Config7"}</definedName>
    <definedName name="ToxPi2">#REF!</definedName>
    <definedName name="TOYOTA">#REF!</definedName>
    <definedName name="tp" localSheetId="6">#REF!</definedName>
    <definedName name="tp">#REF!</definedName>
    <definedName name="TP_ChieuCaoHPDM">#REF!</definedName>
    <definedName name="TP_HienDongTong">#REF!</definedName>
    <definedName name="TP_HienHPDM">#REF!</definedName>
    <definedName name="TPcaphe">#REF!</definedName>
    <definedName name="TPCP_hsCPC">#REF!</definedName>
    <definedName name="Tph">#REF!</definedName>
    <definedName name="tph_dg">#REF!</definedName>
    <definedName name="tph_pt">#REF!</definedName>
    <definedName name="tph_tb">#REF!</definedName>
    <definedName name="TPHint">#REF!</definedName>
    <definedName name="TPL">#REF!</definedName>
    <definedName name="TPLD_hsCPC">#REF!</definedName>
    <definedName name="TPLRP" localSheetId="6">#REF!</definedName>
    <definedName name="TPLRP">#REF!</definedName>
    <definedName name="TPLRP_18">#REF!</definedName>
    <definedName name="TPM_eq_53">#REF!</definedName>
    <definedName name="TPM_eq_55">#REF!</definedName>
    <definedName name="tpm_ft">#REF!</definedName>
    <definedName name="TPM_info">#REF!</definedName>
    <definedName name="TPM_op_53">#REF!</definedName>
    <definedName name="TPM_op_55">#REF!</definedName>
    <definedName name="TPMs_eq_int">#REF!</definedName>
    <definedName name="tpr_dg">#REF!</definedName>
    <definedName name="TPROD">#REF!</definedName>
    <definedName name="TPV_1322">#N/A</definedName>
    <definedName name="TPV_1631">#N/A</definedName>
    <definedName name="TPV_1631MX">#N/A</definedName>
    <definedName name="TPV_EOW">#N/A</definedName>
    <definedName name="TPV_MAT">#N/A</definedName>
    <definedName name="TPV_MECA">#N/A</definedName>
    <definedName name="TPV_SERV">#N/A</definedName>
    <definedName name="TPV_SF140">#N/A</definedName>
    <definedName name="TPV_SMX43">#N/A</definedName>
    <definedName name="TQ">#REF!</definedName>
    <definedName name="TR">#REF!</definedName>
    <definedName name="tr_">#REF!</definedName>
    <definedName name="TR15HT">#REF!</definedName>
    <definedName name="TR15HT_14">#REF!</definedName>
    <definedName name="TR16HT">#REF!</definedName>
    <definedName name="TR16HT_14">#REF!</definedName>
    <definedName name="TR19HT">#REF!</definedName>
    <definedName name="TR19HT_14">#REF!</definedName>
    <definedName name="tr1x15">#REF!</definedName>
    <definedName name="tr1x15_14">#REF!</definedName>
    <definedName name="TR20HT">#REF!</definedName>
    <definedName name="TR20HT_14">#REF!</definedName>
    <definedName name="TR250_14">#REF!</definedName>
    <definedName name="tr375_14">#REF!</definedName>
    <definedName name="tr3x100">#REF!</definedName>
    <definedName name="tr3x100_14">#REF!</definedName>
    <definedName name="tra">"#REF!"</definedName>
    <definedName name="tra_33">"#REF!"</definedName>
    <definedName name="tra_34">"#REF!"</definedName>
    <definedName name="Tra_BTN">#REF!</definedName>
    <definedName name="tra_camay">#REF!</definedName>
    <definedName name="Tra_Cot">#REF!</definedName>
    <definedName name="Tra_DGTH">#REF!</definedName>
    <definedName name="Tra_DM_su_dung">#REF!</definedName>
    <definedName name="Tra_DM_su_dung_2">#REF!</definedName>
    <definedName name="tra_don_gia">#REF!</definedName>
    <definedName name="Tra_don_gia_KS">#REF!</definedName>
    <definedName name="Tra_DTCT">#REF!</definedName>
    <definedName name="Tra_gia">#REF!</definedName>
    <definedName name="Tra_gia_DTCT">#REF!</definedName>
    <definedName name="Tra_gia_KS">#REF!</definedName>
    <definedName name="Tra_gia_KS_1">#REF!</definedName>
    <definedName name="Tra_gia_VLKS">#REF!</definedName>
    <definedName name="Tra_gtxl_cong">#REF!</definedName>
    <definedName name="Tra_GTXLST">#REF!</definedName>
    <definedName name="Tra_KL">#REF!</definedName>
    <definedName name="Tra_KS">#REF!</definedName>
    <definedName name="Tra_lÆn">#REF!</definedName>
    <definedName name="Tra_phan_tram">#REF!</definedName>
    <definedName name="TRa_PTDG">#REF!</definedName>
    <definedName name="TRA_SD">#REF!</definedName>
    <definedName name="Tra_T_le_1">"#REF!"</definedName>
    <definedName name="Tra_ten_cong">#REF!</definedName>
    <definedName name="Tra_tim_hang_mucPT_trung">#REF!</definedName>
    <definedName name="Tra_TL">#REF!</definedName>
    <definedName name="Tra_TT">#REF!</definedName>
    <definedName name="Tra_ty_le">#REF!</definedName>
    <definedName name="Tra_ty_le1">#REF!</definedName>
    <definedName name="Tra_ty_le2">#REF!</definedName>
    <definedName name="Tra_ty_le3">#REF!</definedName>
    <definedName name="Tra_ty_le4">#REF!</definedName>
    <definedName name="Tra_ty_le5">#REF!</definedName>
    <definedName name="TRA_VAT_LIEU">#REF!</definedName>
    <definedName name="Tra_vat_lieu_1">#REF!</definedName>
    <definedName name="Tra_vat_lieu_goi1">#REF!</definedName>
    <definedName name="tra_vat_lieu_sau30_4">#REF!</definedName>
    <definedName name="tra_vat_lieu1">#REF!</definedName>
    <definedName name="TRA_VL">#REF!</definedName>
    <definedName name="tra_VL_1">#REF!</definedName>
    <definedName name="TRa_VL_VC">#REF!</definedName>
    <definedName name="tra_xl">#REF!</definedName>
    <definedName name="Tra_xl_BTN">#REF!</definedName>
    <definedName name="tra_xlbtn">#REF!</definedName>
    <definedName name="traA103">#REF!</definedName>
    <definedName name="trab">#REF!</definedName>
    <definedName name="Trabang_KKL_C_TN">INDIRECT(#REF!)</definedName>
    <definedName name="TrabangCvaTL">INDIRECT([23]Ts!$BF$21)</definedName>
    <definedName name="TrabangTT">INDIRECT([23]Ts!$BD$3)</definedName>
    <definedName name="trabtn">#REF!</definedName>
    <definedName name="Tracp">#REF!</definedName>
    <definedName name="TraDAH_H">#REF!</definedName>
    <definedName name="TraDAH_XB">#REF!</definedName>
    <definedName name="TRADE2" localSheetId="6">#REF!</definedName>
    <definedName name="TRADE2">#REF!</definedName>
    <definedName name="TRADE2_18">#REF!</definedName>
    <definedName name="TRADEIN_SECTION">#REF!</definedName>
    <definedName name="TRADEIN_SECTION_TOTAL">#REF!</definedName>
    <definedName name="traf">#REF!</definedName>
    <definedName name="traf2">#REF!</definedName>
    <definedName name="traffic">#REF!</definedName>
    <definedName name="traffic_e1_VoIP_HUB">#REF!</definedName>
    <definedName name="Traffic_V52">#REF!</definedName>
    <definedName name="traffic1">#REF!</definedName>
    <definedName name="traffic3">#REF!</definedName>
    <definedName name="trafico">#REF!</definedName>
    <definedName name="tragiacuoc">#REF!</definedName>
    <definedName name="TraGTXL">#REF!</definedName>
    <definedName name="traH">#REF!</definedName>
    <definedName name="trainee_cost">#REF!</definedName>
    <definedName name="trainee_daily_allowance">#REF!</definedName>
    <definedName name="trainee_daily_allowance_fee">#REF!</definedName>
    <definedName name="trainee_extra_welcome">#REF!</definedName>
    <definedName name="trainee_extra_welcome_fee">#REF!</definedName>
    <definedName name="trainee_lunch">#REF!</definedName>
    <definedName name="trainee_lunch_fee">#REF!</definedName>
    <definedName name="trainee_price">#REF!</definedName>
    <definedName name="trainee_return_paris">#REF!</definedName>
    <definedName name="trainee_return_paris_fee">#REF!</definedName>
    <definedName name="trainee_ticket_paris_oth">#REF!</definedName>
    <definedName name="trainee_transfer_paris_site">#REF!</definedName>
    <definedName name="trainee_welcome_brest">#REF!</definedName>
    <definedName name="trainee_welcome_paris">#REF!</definedName>
    <definedName name="trainee_welcome_paris_fee">#REF!</definedName>
    <definedName name="trainee_welcome_site">#REF!</definedName>
    <definedName name="trainee_welcome_site_fee">#REF!</definedName>
    <definedName name="trainees">#REF!</definedName>
    <definedName name="trainer_air_ticket">#REF!</definedName>
    <definedName name="trainer_cost">#REF!</definedName>
    <definedName name="trainer_daily_allowance">#REF!</definedName>
    <definedName name="trainer_day_fee">#REF!</definedName>
    <definedName name="trainer_price">#REF!</definedName>
    <definedName name="trainer_return_ticket">#REF!</definedName>
    <definedName name="trainer_site_paris">#REF!</definedName>
    <definedName name="trainer_site_paris_fee">#REF!</definedName>
    <definedName name="TRAINING">#REF!</definedName>
    <definedName name="Training_ADM">#REF!</definedName>
    <definedName name="Training_CMM">#REF!</definedName>
    <definedName name="Training_DAM">#REF!</definedName>
    <definedName name="Training_DS10">#REF!</definedName>
    <definedName name="Training_DS10ES40">#REF!</definedName>
    <definedName name="training_duration_day">#REF!</definedName>
    <definedName name="training_duration_week">#REF!</definedName>
    <definedName name="Training_ES40">#REF!</definedName>
    <definedName name="training_fin">#REF!</definedName>
    <definedName name="training_ini">#REF!</definedName>
    <definedName name="Training_PF">#REF!</definedName>
    <definedName name="Training_PP">#REF!</definedName>
    <definedName name="Training_Radio">#REF!</definedName>
    <definedName name="training_site">#REF!</definedName>
    <definedName name="training_Unix">#REF!</definedName>
    <definedName name="trainingDiscount">#REF!</definedName>
    <definedName name="trakl">#REF!</definedName>
    <definedName name="TRAM">#REF!</definedName>
    <definedName name="tram_18">#REF!</definedName>
    <definedName name="tram100">#REF!</definedName>
    <definedName name="tram100_14">#REF!</definedName>
    <definedName name="tram1x25">#REF!</definedName>
    <definedName name="tram1x25_14">#REF!</definedName>
    <definedName name="tram30">#REF!</definedName>
    <definedName name="tram45">#REF!</definedName>
    <definedName name="tram60">#REF!</definedName>
    <definedName name="tram80">#REF!</definedName>
    <definedName name="tramAC80">#N/A</definedName>
    <definedName name="tramatcong1">#REF!</definedName>
    <definedName name="tramatcong2">#REF!</definedName>
    <definedName name="trambitum">#REF!</definedName>
    <definedName name="trambt30m3">#REF!</definedName>
    <definedName name="trambt60">#REF!</definedName>
    <definedName name="tramBTN">#N/A</definedName>
    <definedName name="trambtn20_25T">#REF!</definedName>
    <definedName name="trambtn80_90T">#REF!</definedName>
    <definedName name="tramtbtn25">#REF!</definedName>
    <definedName name="tramtbtn30">#REF!</definedName>
    <definedName name="tramtbtn40">#REF!</definedName>
    <definedName name="tramtbtn50">#REF!</definedName>
    <definedName name="tramtbtn60">#REF!</definedName>
    <definedName name="tramtbtn80">#REF!</definedName>
    <definedName name="TRAMTON" hidden="1">{"'Sheet1'!$L$16"}</definedName>
    <definedName name="TramtronBT20m3">#REF!</definedName>
    <definedName name="tran">#REF!</definedName>
    <definedName name="tranam">#REF!</definedName>
    <definedName name="trang" hidden="1">{#N/A,#N/A,FALSE,"Chi tiÆt"}</definedName>
    <definedName name="Trang_thieát_bò_phoøng_thí_nghieäm">#REF!</definedName>
    <definedName name="trang1">#REF!</definedName>
    <definedName name="trang2">#REF!</definedName>
    <definedName name="TRANGE_d">#REF!</definedName>
    <definedName name="TrangThai">#REF!</definedName>
    <definedName name="tranhietdo">#REF!</definedName>
    <definedName name="TRANO">#REF!</definedName>
    <definedName name="Transfer">#REF!</definedName>
    <definedName name="TransferTable">#REF!</definedName>
    <definedName name="TRANSFORMER">#REF!</definedName>
    <definedName name="transformer_1a">#REF!</definedName>
    <definedName name="transformer_1b">#REF!</definedName>
    <definedName name="transpor_srv_time">#REF!</definedName>
    <definedName name="Transport">#REF!</definedName>
    <definedName name="Transport_Table">#REF!</definedName>
    <definedName name="TransportationMode">#REF!</definedName>
    <definedName name="TransportCell">#REF!</definedName>
    <definedName name="Transportfee18">#REF!</definedName>
    <definedName name="Transportyp">#REF!</definedName>
    <definedName name="transprice">#REF!</definedName>
    <definedName name="trao">#REF!</definedName>
    <definedName name="TraQ">#REF!</definedName>
    <definedName name="TRARa">#REF!</definedName>
    <definedName name="TRARbt">#REF!</definedName>
    <definedName name="TRaRu">#REF!</definedName>
    <definedName name="trash">#REF!,#REF!,#REF!,#REF!,#REF!,#REF!,#REF!,#REF!,#REF!,#REF!,#REF!,#REF!</definedName>
    <definedName name="Trat">#REF!</definedName>
    <definedName name="TraTH">#REF!</definedName>
    <definedName name="trattuong">#REF!</definedName>
    <definedName name="tratyle">"#REF!"</definedName>
    <definedName name="trav_exp">#REF!</definedName>
    <definedName name="trav_exp_cost">#REF!</definedName>
    <definedName name="Trave">#REF!</definedName>
    <definedName name="Travel_acceptance">#REF!</definedName>
    <definedName name="Travel_instal">#REF!</definedName>
    <definedName name="Travel_maintenance">#REF!</definedName>
    <definedName name="Travel_management">#REF!</definedName>
    <definedName name="Travel_other">#REF!</definedName>
    <definedName name="Travel_technical">#REF!</definedName>
    <definedName name="Travel_training">#REF!</definedName>
    <definedName name="TravelDaysRate">#REF!</definedName>
    <definedName name="TRAvH">#REF!</definedName>
    <definedName name="TraVinh" localSheetId="6">#REF!</definedName>
    <definedName name="TraVinh">#REF!</definedName>
    <definedName name="TRAVL">#REF!</definedName>
    <definedName name="TrÇn_V_n_Minh">#REF!</definedName>
    <definedName name="tre">#N/A</definedName>
    <definedName name="treoducbt">#REF!</definedName>
    <definedName name="trertt">{"Thuxm2.xls","Sheet1"}</definedName>
    <definedName name="trertt_1">{"Thuxm2.xls","Sheet1"}</definedName>
    <definedName name="trertt_10">{"Thuxm2.xls","Sheet1"}</definedName>
    <definedName name="trertt_10_1">{"Thuxm2.xls","Sheet1"}</definedName>
    <definedName name="trertt_11">{"Thuxm2.xls","Sheet1"}</definedName>
    <definedName name="trertt_11_1">{"Thuxm2.xls","Sheet1"}</definedName>
    <definedName name="trertt_3">{"Thuxm2.xls","Sheet1"}</definedName>
    <definedName name="trertt_3_1">{"Thuxm2.xls","Sheet1"}</definedName>
    <definedName name="trertt_7">{"Thuxm2.xls","Sheet1"}</definedName>
    <definedName name="trertt_7_1">{"Thuxm2.xls","Sheet1"}</definedName>
    <definedName name="trgy" hidden="1">{"'Sheet1'!$L$16"}</definedName>
    <definedName name="TrienKhaiPM" localSheetId="6">#REF!</definedName>
    <definedName name="TrienKhaiPM">#REF!</definedName>
    <definedName name="trieu" hidden="1">{"'Sheet1'!$L$16"}</definedName>
    <definedName name="Trinhduyet">#REF!</definedName>
    <definedName name="Triple_combo">#REF!</definedName>
    <definedName name="trips_per_month">#REF!</definedName>
    <definedName name="TRISO">#REF!</definedName>
    <definedName name="trj">#REF!</definedName>
    <definedName name="trjtr">#REF!</definedName>
    <definedName name="TRMP_1322">#N/A</definedName>
    <definedName name="TRMP_1631">#N/A</definedName>
    <definedName name="TRMP_1631MX">#N/A</definedName>
    <definedName name="TRMP_EOW">#N/A</definedName>
    <definedName name="TRMP_MAT">#N/A</definedName>
    <definedName name="TRMP_MECA">#N/A</definedName>
    <definedName name="TRMP_SERV">#N/A</definedName>
    <definedName name="TRMP_SF140">#N/A</definedName>
    <definedName name="TRMP_SMX43">#N/A</definedName>
    <definedName name="Trô_P1">#REF!</definedName>
    <definedName name="Trô_P1_1">"#REF!"</definedName>
    <definedName name="Trô_P10">#REF!</definedName>
    <definedName name="Trô_P10_1">"#REF!"</definedName>
    <definedName name="Trô_P11">#REF!</definedName>
    <definedName name="Trô_P11_1">"#REF!"</definedName>
    <definedName name="Trô_P2">#REF!</definedName>
    <definedName name="Trô_P3">#REF!</definedName>
    <definedName name="Trô_P4">#REF!</definedName>
    <definedName name="Trô_P5">#REF!</definedName>
    <definedName name="Trô_P6">#REF!</definedName>
    <definedName name="Trô_P7">#REF!</definedName>
    <definedName name="Trô_P8">#REF!</definedName>
    <definedName name="Trô_P9">#REF!</definedName>
    <definedName name="tron">#REF!</definedName>
    <definedName name="tron250">#N/A</definedName>
    <definedName name="tron250l">#N/A</definedName>
    <definedName name="tron25th">#REF!</definedName>
    <definedName name="tron60th">#REF!</definedName>
    <definedName name="tron80">#N/A</definedName>
    <definedName name="tron80l">#N/A</definedName>
    <definedName name="tronbentonit">#REF!</definedName>
    <definedName name="tronbentonite">#REF!</definedName>
    <definedName name="tronbetong100">#REF!</definedName>
    <definedName name="tronbetong1150">#REF!</definedName>
    <definedName name="tronbetong150">#REF!</definedName>
    <definedName name="tronbetong1600">#REF!</definedName>
    <definedName name="tronbetong200">#REF!</definedName>
    <definedName name="tronbetong250">#REF!</definedName>
    <definedName name="tronbetong425">#REF!</definedName>
    <definedName name="tronbetong500">#REF!</definedName>
    <definedName name="tronbetong800">#REF!</definedName>
    <definedName name="tronbt250">#REF!</definedName>
    <definedName name="tronbtn80">#N/A</definedName>
    <definedName name="trond">#N/A</definedName>
    <definedName name="TronD10D18">#REF!</definedName>
    <definedName name="TronD6D8">#REF!</definedName>
    <definedName name="Tronddben">#REF!</definedName>
    <definedName name="Trong__ã_t__ng____ng_tû_lÖ">#REF!</definedName>
    <definedName name="trongnuoc">#REF!</definedName>
    <definedName name="tronvua">#N/A</definedName>
    <definedName name="tronvua110">#REF!</definedName>
    <definedName name="tronvua150">#REF!</definedName>
    <definedName name="tronvua200">#REF!</definedName>
    <definedName name="tronvua250">#REF!</definedName>
    <definedName name="tronvua325">#REF!</definedName>
    <definedName name="tronvua80">#REF!</definedName>
    <definedName name="TronVua80l">#REF!</definedName>
    <definedName name="trrh" hidden="1">{"'Sheet1'!$L$16"}</definedName>
    <definedName name="trt" localSheetId="6" hidden="1">{#N/A,#N/A,TRUE,"Perm";#N/A,#N/A,TRUE,"Architecture"}</definedName>
    <definedName name="trt">#REF!</definedName>
    <definedName name="TRTHAI">#N/A</definedName>
    <definedName name="trtr" hidden="1">{"'Sheet1'!$L$16"}</definedName>
    <definedName name="trtrtr" hidden="1">{"'Sheet1'!$L$16"}</definedName>
    <definedName name="trtt" hidden="1">{#N/A,#N/A,FALSE,"Chi tiÆt"}</definedName>
    <definedName name="tru_can">#REF!</definedName>
    <definedName name="tru_can_33">"#REF!"</definedName>
    <definedName name="tru_can_34">"#REF!"</definedName>
    <definedName name="Tru_tiep">#N/A</definedName>
    <definedName name="tru10mtc">#REF!</definedName>
    <definedName name="tru10mtc_14">#REF!</definedName>
    <definedName name="Tru4_Bdien">#REF!</definedName>
    <definedName name="tru8mtc">#REF!</definedName>
    <definedName name="tru8mtc_14">#REF!</definedName>
    <definedName name="truc" hidden="1">{"'Sheet1'!$L$16"}</definedName>
    <definedName name="truck">#REF!</definedName>
    <definedName name="truePFcell">#REF!</definedName>
    <definedName name="Trung">{"Thuxm2.xls","Sheet1"}</definedName>
    <definedName name="trung_1">{"Thuxm2.xls","Sheet1"}</definedName>
    <definedName name="trung_10">{"Thuxm2.xls","Sheet1"}</definedName>
    <definedName name="trung_10_1">{"Thuxm2.xls","Sheet1"}</definedName>
    <definedName name="trung_11">{"Thuxm2.xls","Sheet1"}</definedName>
    <definedName name="trung_11_1">{"Thuxm2.xls","Sheet1"}</definedName>
    <definedName name="trung_3">{"Thuxm2.xls","Sheet1"}</definedName>
    <definedName name="trung_3_1">{"Thuxm2.xls","Sheet1"}</definedName>
    <definedName name="trung_7">{"Thuxm2.xls","Sheet1"}</definedName>
    <definedName name="trung_7_1">{"Thuxm2.xls","Sheet1"}</definedName>
    <definedName name="Trung_chuyen_chung">#REF!</definedName>
    <definedName name="TRUNGHI">#REF!</definedName>
    <definedName name="Truong" hidden="1">{#N/A,#N/A,FALSE,"Chi tiÆt"}</definedName>
    <definedName name="TruT10">#REF!</definedName>
    <definedName name="TruT2">#REF!</definedName>
    <definedName name="TruT3">#REF!</definedName>
    <definedName name="TruT5">#REF!</definedName>
    <definedName name="TruT6">#REF!</definedName>
    <definedName name="TruT7">#REF!</definedName>
    <definedName name="TruT8">#REF!</definedName>
    <definedName name="TruT9">#REF!</definedName>
    <definedName name="trx">#REF!</definedName>
    <definedName name="trxa">#REF!</definedName>
    <definedName name="trxcp">#REF!</definedName>
    <definedName name="trxcv">#REF!</definedName>
    <definedName name="trxdiscount">#REF!</definedName>
    <definedName name="trxe">#REF!</definedName>
    <definedName name="trxf">#REF!</definedName>
    <definedName name="trxnew">#REF!</definedName>
    <definedName name="TRXNR">#N/A</definedName>
    <definedName name="TRY">#REF!</definedName>
    <definedName name="ts">#REF!</definedName>
    <definedName name="ts.1">#REF!</definedName>
    <definedName name="ts.2">#REF!</definedName>
    <definedName name="ts.3">#REF!</definedName>
    <definedName name="ts_1">"#REF!"</definedName>
    <definedName name="TS_THCOT">[23]Ts!#REF!</definedName>
    <definedName name="TS_THTB">[23]Ts!#REF!</definedName>
    <definedName name="TSCC">#REF!</definedName>
    <definedName name="TSCM13">#REF!</definedName>
    <definedName name="TSCM14">#REF!</definedName>
    <definedName name="TSCP">#REF!</definedName>
    <definedName name="TSEP">#REF!</definedName>
    <definedName name="TSH">#REF!</definedName>
    <definedName name="tsI">#REF!</definedName>
    <definedName name="tsI_1">"#REF!"</definedName>
    <definedName name="TSLC">#REF!</definedName>
    <definedName name="TSLC_12">#REF!</definedName>
    <definedName name="TsoHC">#REF!</definedName>
    <definedName name="TsoHC_Col">#REF!</definedName>
    <definedName name="TsoHC_Row">#REF!</definedName>
    <definedName name="TSQ">#REF!</definedName>
    <definedName name="TSTCIT">#N/A</definedName>
    <definedName name="TSTCITE10">#N/A</definedName>
    <definedName name="TSTL">#REF!</definedName>
    <definedName name="TSTL_12">#REF!</definedName>
    <definedName name="tstndn">#REF!</definedName>
    <definedName name="TSVSDTTW" hidden="1">{"'Sheet1'!$L$16"}</definedName>
    <definedName name="tt">#REF!</definedName>
    <definedName name="tt_14">#REF!</definedName>
    <definedName name="TT_1P">#REF!</definedName>
    <definedName name="TT_1P_1">"#REF!"</definedName>
    <definedName name="TT_1P_18">#REF!</definedName>
    <definedName name="TT_3p">#REF!</definedName>
    <definedName name="TT_3p_18">#REF!</definedName>
    <definedName name="TT_cot">#REF!</definedName>
    <definedName name="TT_cot_18">#REF!</definedName>
    <definedName name="TT_en_LIM">#REF!</definedName>
    <definedName name="TT_RB">#REF!</definedName>
    <definedName name="TT_redund">#REF!</definedName>
    <definedName name="TT_type">#REF!</definedName>
    <definedName name="TT1.1" hidden="1">#REF!</definedName>
    <definedName name="TT1.2" hidden="1">#REF!</definedName>
    <definedName name="TT1.3" hidden="1">#REF!</definedName>
    <definedName name="TT1.4" hidden="1">#REF!</definedName>
    <definedName name="TT1.5" hidden="1">#REF!</definedName>
    <definedName name="TT1.6" hidden="1">#REF!</definedName>
    <definedName name="TT1.7" hidden="1">#REF!</definedName>
    <definedName name="TT1.8" hidden="1">#REF!</definedName>
    <definedName name="TT1.9" hidden="1">#REF!</definedName>
    <definedName name="tt1pnc">#REF!</definedName>
    <definedName name="tt1pnc_14">#REF!</definedName>
    <definedName name="tt1pvl">#REF!</definedName>
    <definedName name="tt1pvl_14">#REF!</definedName>
    <definedName name="tt3pnc">#REF!</definedName>
    <definedName name="tt3pnc_14">#REF!</definedName>
    <definedName name="tt3pvl">#REF!</definedName>
    <definedName name="tt3pvl_14">#REF!</definedName>
    <definedName name="ttam">#REF!</definedName>
    <definedName name="ttao">#REF!</definedName>
    <definedName name="ttbt">#REF!</definedName>
    <definedName name="TTC">#N/A</definedName>
    <definedName name="TTCa">#N/A</definedName>
    <definedName name="TTCto">#REF!</definedName>
    <definedName name="Ttd">#REF!</definedName>
    <definedName name="ttdb">1.2</definedName>
    <definedName name="TTDD">#REF!+#REF!+#REF!</definedName>
    <definedName name="TTDD_14">#REF!+#REF!+#REF!</definedName>
    <definedName name="TTDD1P">#REF!</definedName>
    <definedName name="TTDD1P_18">#REF!</definedName>
    <definedName name="TTDD3P">#REF!</definedName>
    <definedName name="TTDD3P_14">#REF!</definedName>
    <definedName name="ttdd3pct">#REF!</definedName>
    <definedName name="TTDDCT3p">#REF!</definedName>
    <definedName name="TTDDCT3p_14">#REF!</definedName>
    <definedName name="TTDH">#REF!</definedName>
    <definedName name="TTDKKH">#REF!</definedName>
    <definedName name="TTDKKH_18">#REF!</definedName>
    <definedName name="TTdot2" hidden="1">{"'Sheet1'!$L$16"}</definedName>
    <definedName name="TTDZ">#REF!</definedName>
    <definedName name="TTDZ04">#REF!</definedName>
    <definedName name="TTDZ35">#REF!</definedName>
    <definedName name="tth">#REF!</definedName>
    <definedName name="Tthanhtien">#REF!</definedName>
    <definedName name="TTHBCMTDKQII">#REF!</definedName>
    <definedName name="TTHBCMTDKT5">#REF!</definedName>
    <definedName name="TTHBCMTQI">#REF!</definedName>
    <definedName name="TTHBCMTT4">#REF!</definedName>
    <definedName name="tthi">#REF!</definedName>
    <definedName name="tti">#REF!</definedName>
    <definedName name="ttinh">#REF!</definedName>
    <definedName name="TTJ" hidden="1">{#N/A,#N/A,FALSE,"Sheet1";#N/A,#N/A,FALSE,"Sheet1";#N/A,#N/A,FALSE,"Sheet1"}</definedName>
    <definedName name="TTK3p">#REF!</definedName>
    <definedName name="TTK3p_14">#REF!</definedName>
    <definedName name="TTKH">#REF!</definedName>
    <definedName name="TTKMKD">#REF!</definedName>
    <definedName name="TTKMKH">#REF!</definedName>
    <definedName name="TTKMKT">#REF!</definedName>
    <definedName name="TTKMPKTGS">#REF!</definedName>
    <definedName name="TTKMTMDN">#REF!</definedName>
    <definedName name="TTKMTMKSNB">#REF!</definedName>
    <definedName name="TTKMTMPCN">#REF!</definedName>
    <definedName name="ttkmtmtmdv">#REF!</definedName>
    <definedName name="TTKMTTDH">#REF!</definedName>
    <definedName name="TTLB1">#REF!</definedName>
    <definedName name="TTLB2">#REF!</definedName>
    <definedName name="TTLB3">#REF!</definedName>
    <definedName name="TTLo62">#REF!</definedName>
    <definedName name="TTN">#REF!</definedName>
    <definedName name="tto" localSheetId="6">#REF!</definedName>
    <definedName name="tto">#REF!</definedName>
    <definedName name="ttoan_hung">#REF!</definedName>
    <definedName name="ttop">#REF!</definedName>
    <definedName name="ttoxtp" localSheetId="6">#REF!</definedName>
    <definedName name="ttoxtp">#REF!</definedName>
    <definedName name="TTP">#REF!</definedName>
    <definedName name="TTPDQTVDT">#REF!</definedName>
    <definedName name="ttqg1">[24]Bieu01_2005!#REF!</definedName>
    <definedName name="TTQTVDTbtg">#REF!</definedName>
    <definedName name="TTQTVDTx">#REF!</definedName>
    <definedName name="Ttr">#REF!</definedName>
    <definedName name="ttr_dg">#REF!</definedName>
    <definedName name="Ttradtbtg">#REF!</definedName>
    <definedName name="Ttradtx">#REF!</definedName>
    <definedName name="Ttradty1">#REF!</definedName>
    <definedName name="Ttradty2">#REF!</definedName>
    <definedName name="Ttradty3">#REF!</definedName>
    <definedName name="Ttradty4">#REF!</definedName>
    <definedName name="Ttradty5">#REF!</definedName>
    <definedName name="Ttrahqktbtg">#REF!</definedName>
    <definedName name="Ttrahqktx">#REF!</definedName>
    <definedName name="Ttrahqkty1">#REF!</definedName>
    <definedName name="Ttrahqkty2">#REF!</definedName>
    <definedName name="Ttrahqkty3">#REF!</definedName>
    <definedName name="Ttrahqkty4">#REF!</definedName>
    <definedName name="Ttrahqkty5">#REF!</definedName>
    <definedName name="Ttratkbtg">#REF!</definedName>
    <definedName name="Ttratkx">#REF!</definedName>
    <definedName name="Ttratky1">#REF!</definedName>
    <definedName name="Ttratky2">#REF!</definedName>
    <definedName name="Ttratky3">#REF!</definedName>
    <definedName name="Ttratky4">#REF!</definedName>
    <definedName name="Ttratky5">#REF!</definedName>
    <definedName name="TTrDT_">#REF!</definedName>
    <definedName name="TTrKT_">#REF!</definedName>
    <definedName name="ttronmk">#REF!</definedName>
    <definedName name="ttronmk_18">#REF!</definedName>
    <definedName name="TTrTK_">#REF!</definedName>
    <definedName name="TTrTKT_">#REF!</definedName>
    <definedName name="TTStandard">#REF!</definedName>
    <definedName name="ttstc">#REF!</definedName>
    <definedName name="ttstctg">#REF!</definedName>
    <definedName name="ttt">#REF!</definedName>
    <definedName name="tttb">#REF!</definedName>
    <definedName name="tttki" hidden="1">{"'Sheet1'!$L$16"}</definedName>
    <definedName name="tttm" hidden="1">{"'Sheet1'!$L$16"}</definedName>
    <definedName name="TTTR">#N/A</definedName>
    <definedName name="tttt">#REF!</definedName>
    <definedName name="ttttki" hidden="1">{"'Sheet1'!$L$16"}</definedName>
    <definedName name="ttttl" hidden="1">{"'Sheet1'!$L$16"}</definedName>
    <definedName name="ｔｔｔｔｔ" hidden="1">{"'Sheet1'!$L$16"}</definedName>
    <definedName name="tttttt">#REF!</definedName>
    <definedName name="tttttt_14">#REF!</definedName>
    <definedName name="ttttttt">#REF!</definedName>
    <definedName name="ttttttt_14">#REF!</definedName>
    <definedName name="tttttttt_14">#REF!</definedName>
    <definedName name="ttttttttt_14">#REF!</definedName>
    <definedName name="tttttttttt_14">#REF!</definedName>
    <definedName name="ttttttttttt">#REF!</definedName>
    <definedName name="ttttttttttt_14">#REF!</definedName>
    <definedName name="tttttttttttt">#REF!</definedName>
    <definedName name="tttttttttttt_14">#REF!</definedName>
    <definedName name="ttttttttttttt">#REF!</definedName>
    <definedName name="ttttttttttttt_14">#REF!</definedName>
    <definedName name="ttttttttttttttt_14">#REF!</definedName>
    <definedName name="TTVAn5">#REF!</definedName>
    <definedName name="Tu">#N/A</definedName>
    <definedName name="Tu_dung_ton_that">#REF!</definedName>
    <definedName name="TU_minus">#REF!</definedName>
    <definedName name="TU_plus">#REF!</definedName>
    <definedName name="tuan">Drop2</definedName>
    <definedName name="tuan_39">Drop2</definedName>
    <definedName name="tuan_40">Drop2</definedName>
    <definedName name="tuan_41">Drop2</definedName>
    <definedName name="TUAN45">#REF!</definedName>
    <definedName name="TUAN46">#REF!</definedName>
    <definedName name="TUAN48">#REF!</definedName>
    <definedName name="TUAN49">#REF!</definedName>
    <definedName name="TUAN50">#REF!</definedName>
    <definedName name="TUAN51">#REF!</definedName>
    <definedName name="TUAN52">#REF!</definedName>
    <definedName name="TuanGiao">#REF!</definedName>
    <definedName name="tuankhanhtuyet" hidden="1">{0}</definedName>
    <definedName name="TUANKHANHTUYET11" hidden="1">{0}</definedName>
    <definedName name="TUANKHANHTUYET12">#N/A</definedName>
    <definedName name="TUANKHANHTUYET13" hidden="1">{0}</definedName>
    <definedName name="TUANKHANHTUYET14" hidden="1">{0}</definedName>
    <definedName name="TUANKHANHTUYET15" hidden="1">{0}</definedName>
    <definedName name="TUANKHANHTUYET19" hidden="1">{0}</definedName>
    <definedName name="TUANKHANHTUYET2" hidden="1">{0}</definedName>
    <definedName name="TUANKHANHTUYET20" hidden="1">{0}</definedName>
    <definedName name="TUANKHANHTUYET4" hidden="1">{0}</definedName>
    <definedName name="TUANKHANHTUYET45" hidden="1">{0}</definedName>
    <definedName name="Tuanquyen">#REF!</definedName>
    <definedName name="tudc">#REF!</definedName>
    <definedName name="tudo">#REF!</definedName>
    <definedName name="tuke_ban">#REF!</definedName>
    <definedName name="Tuke_vao">#REF!</definedName>
    <definedName name="tum">#REF!</definedName>
    <definedName name="tung">#REF!</definedName>
    <definedName name="tung_14">#REF!</definedName>
    <definedName name="tuoi">#REF!</definedName>
    <definedName name="tuoi_14">#REF!</definedName>
    <definedName name="tuoi5">#N/A</definedName>
    <definedName name="tuoinhua">#N/A</definedName>
    <definedName name="tuoinuoc">#N/A</definedName>
    <definedName name="Tuong_chan">#REF!</definedName>
    <definedName name="Tuong_chan_33">"#REF!"</definedName>
    <definedName name="Tuong_chan_34">"#REF!"</definedName>
    <definedName name="Tuong_dau_HD">#REF!</definedName>
    <definedName name="TuongChan">#REF!</definedName>
    <definedName name="Tuvan">#REF!</definedName>
    <definedName name="tuy" hidden="1">{"'Sheet1'!$L$16"}</definedName>
    <definedName name="TUYEN">#REF!</definedName>
    <definedName name="tuyen08">#REF!</definedName>
    <definedName name="tuyen13">#REF!</definedName>
    <definedName name="tuyen25">#REF!</definedName>
    <definedName name="tuyen28">#REF!</definedName>
    <definedName name="tuyen33">#REF!</definedName>
    <definedName name="tuyen37">#REF!</definedName>
    <definedName name="tuyen50">#REF!</definedName>
    <definedName name="tuyennhanh" localSheetId="6" hidden="1">{"'Sheet1'!$L$16"}</definedName>
    <definedName name="tuyennhanh" hidden="1">{"'Sheet1'!$L$16"}</definedName>
    <definedName name="TuyenQuang" localSheetId="6">#REF!</definedName>
    <definedName name="Tuyenquang">#REF!</definedName>
    <definedName name="Tuyenxa">#REF!</definedName>
    <definedName name="tuyequang">#REF!</definedName>
    <definedName name="tuyet" hidden="1">{"'Sheet1'!$L$16"}</definedName>
    <definedName name="tuynen" hidden="1">{"'Sheet1'!$L$16"}</definedName>
    <definedName name="TV">#REF!</definedName>
    <definedName name="tv_A">#REF!</definedName>
    <definedName name="TV_ban">#REF!</definedName>
    <definedName name="tv_CS_10S">#REF!</definedName>
    <definedName name="TV_vao">#REF!</definedName>
    <definedName name="tv75nc">#REF!</definedName>
    <definedName name="tv75nc_18">#REF!</definedName>
    <definedName name="tv75vl">#REF!</definedName>
    <definedName name="tv75vl_18">#REF!</definedName>
    <definedName name="tvat">10%</definedName>
    <definedName name="tvbt">#REF!</definedName>
    <definedName name="TVDT">#REF!</definedName>
    <definedName name="TVDT_NS">#REF!</definedName>
    <definedName name="tvet">"#REF!"</definedName>
    <definedName name="tvet_33">"#REF!"</definedName>
    <definedName name="tvet_34">"#REF!"</definedName>
    <definedName name="tvg">#REF!</definedName>
    <definedName name="TVGS">#N/A</definedName>
    <definedName name="tvhkttg">#REF!</definedName>
    <definedName name="Tvk">#REF!</definedName>
    <definedName name="tvl">#REF!</definedName>
    <definedName name="TVNGT">#REF!</definedName>
    <definedName name="TVNOT">#REF!</definedName>
    <definedName name="tvt">#REF!</definedName>
    <definedName name="tvtkttg">#REF!</definedName>
    <definedName name="Twister">#REF!</definedName>
    <definedName name="TX">#REF!</definedName>
    <definedName name="tx1pignc">#REF!</definedName>
    <definedName name="tx1pignc_14">#REF!</definedName>
    <definedName name="tx1pindnc">#REF!</definedName>
    <definedName name="tx1pindnc_14">#REF!</definedName>
    <definedName name="tx1pingnc">#REF!</definedName>
    <definedName name="tx1pingnc_14">#REF!</definedName>
    <definedName name="tx1pintnc">#REF!</definedName>
    <definedName name="tx1pintnc_14">#REF!</definedName>
    <definedName name="tx1pitnc">#REF!</definedName>
    <definedName name="tx1pitnc_14">#REF!</definedName>
    <definedName name="tx2mhnnc">#REF!</definedName>
    <definedName name="tx2mhnnc_14">#REF!</definedName>
    <definedName name="tx2mitnc">#REF!</definedName>
    <definedName name="tx2mitnc_14">#REF!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GM">#REF!</definedName>
    <definedName name="txhnnc">#REF!</definedName>
    <definedName name="txhnnc_14">#REF!</definedName>
    <definedName name="txig1nc">#REF!</definedName>
    <definedName name="txig1nc_14">#REF!</definedName>
    <definedName name="txin190nc">#REF!</definedName>
    <definedName name="txin190nc_14">#REF!</definedName>
    <definedName name="txinnc">#REF!</definedName>
    <definedName name="txinnc_14">#REF!</definedName>
    <definedName name="txit1nc">#REF!</definedName>
    <definedName name="txit1nc_14">#REF!</definedName>
    <definedName name="Txk">#REF!</definedName>
    <definedName name="ty">1000000000</definedName>
    <definedName name="Ty_gia" localSheetId="6">#REF!</definedName>
    <definedName name="Ty_gia">#REF!</definedName>
    <definedName name="Tỷ_giá">#REF!</definedName>
    <definedName name="Ty_gia_ban">#REF!</definedName>
    <definedName name="ty_gia_giao_dich_NH">#REF!</definedName>
    <definedName name="Ty_gia_mua">#REF!</definedName>
    <definedName name="Tỷ_giá_USD_VNĐ">#REF!</definedName>
    <definedName name="ty_gia_vao_thau">#REF!</definedName>
    <definedName name="Tỷ_giá_VNĐ_USD">#REF!</definedName>
    <definedName name="Ty_gia_yen">#REF!</definedName>
    <definedName name="ty_le">#REF!</definedName>
    <definedName name="Ty_Le_1">#REF!</definedName>
    <definedName name="ty_le_2">#REF!</definedName>
    <definedName name="ty_le_2019" hidden="1">#REF!</definedName>
    <definedName name="ty_le_3">#REF!</definedName>
    <definedName name="ty_le_BTN">#REF!</definedName>
    <definedName name="Tỷ_lệ_lãi_gộp_thiết_bị_chính">#REF!</definedName>
    <definedName name="Ty_le1">#REF!</definedName>
    <definedName name="ty_le2">#REF!</definedName>
    <definedName name="ty_le3">#REF!</definedName>
    <definedName name="TYERT" hidden="1">{#N/A,#N/A,FALSE,"Chi tiÆt"}</definedName>
    <definedName name="tygi">#N/A</definedName>
    <definedName name="tygia">#REF!</definedName>
    <definedName name="Tygia_USD_VND">#REF!</definedName>
    <definedName name="Tygia05">#REF!</definedName>
    <definedName name="TyGia06">#REF!</definedName>
    <definedName name="Tygia2002">#REF!</definedName>
    <definedName name="Tygia2003">#REF!</definedName>
    <definedName name="Tygia2004">#REF!</definedName>
    <definedName name="TygiaChuyenDoi">#REF!</definedName>
    <definedName name="TyGiaUSD" localSheetId="6">#REF!</definedName>
    <definedName name="TyGiaUSD">#REF!</definedName>
    <definedName name="tyle">"#REF!"</definedName>
    <definedName name="Tyle_CP_Duphong">#REF!</definedName>
    <definedName name="Tyle_Delta" localSheetId="6">#REF!</definedName>
    <definedName name="Tyle_Delta">#REF!</definedName>
    <definedName name="tyle_pvon_18">#REF!</definedName>
    <definedName name="tyle2">#REF!</definedName>
    <definedName name="TyleDKHT_DSo">#REF!</definedName>
    <definedName name="TyLeDuPhong">0.1</definedName>
    <definedName name="TylePC">#REF!</definedName>
    <definedName name="TylePM">#REF!</definedName>
    <definedName name="TyLeTangTruong">1+#REF!</definedName>
    <definedName name="TYP">#N/A</definedName>
    <definedName name="Typ_bord">#REF!</definedName>
    <definedName name="TYPE">#REF!</definedName>
    <definedName name="Type_1">#REF!</definedName>
    <definedName name="Type_2">#REF!</definedName>
    <definedName name="type_2MB">#REF!</definedName>
    <definedName name="Typempt">#REF!</definedName>
    <definedName name="TypeMult">#REF!</definedName>
    <definedName name="TYT" localSheetId="6">BlankMacro1</definedName>
    <definedName name="TYT">BlankMacro1</definedName>
    <definedName name="TYT_1">"blankmacro1"</definedName>
    <definedName name="TYT_11">"blankmacro1"</definedName>
    <definedName name="TYT_11_1">"blankmacro1"</definedName>
    <definedName name="TYT_3">"blankmacro1"</definedName>
    <definedName name="TYT_3_1">"blankmacro1"</definedName>
    <definedName name="TYT_7">"blankmacro1"</definedName>
    <definedName name="TYT_7_1">"blankmacro1"</definedName>
    <definedName name="TYTRONG">#REF!</definedName>
    <definedName name="tyu" hidden="1">{"'Sheet1'!$L$16"}</definedName>
    <definedName name="TYÛ_TROÏNG">#REF!</definedName>
    <definedName name="tz">#REF!</definedName>
    <definedName name="tz593_18">#REF!</definedName>
    <definedName name="u">#REF!</definedName>
    <definedName name="ư">#REF!</definedName>
    <definedName name="u.j">#REF!</definedName>
    <definedName name="U.Price">#REF!</definedName>
    <definedName name="u.v">#REF!</definedName>
    <definedName name="u_">#REF!</definedName>
    <definedName name="U_1">#N/A</definedName>
    <definedName name="U_2">#N/A</definedName>
    <definedName name="U_3">#N/A</definedName>
    <definedName name="u_33">"#REF!"</definedName>
    <definedName name="u_33_1">"#REF!"</definedName>
    <definedName name="u_34">"#REF!"</definedName>
    <definedName name="u_34_1">"#REF!"</definedName>
    <definedName name="U_4">#N/A</definedName>
    <definedName name="u_level_price">#REF!</definedName>
    <definedName name="U_tien">#REF!</definedName>
    <definedName name="U19042704">#REF!</definedName>
    <definedName name="UA.">#REF!</definedName>
    <definedName name="uassw_sh" hidden="1">{"'Sheet1'!$L$16"}</definedName>
    <definedName name="UBDT" hidden="1">{"'Sheet1'!$L$16"}</definedName>
    <definedName name="UBN_6.5">#REF!</definedName>
    <definedName name="UBN_TRX">#REF!</definedName>
    <definedName name="Ud" hidden="1">#REF!</definedName>
    <definedName name="UD_fin">#REF!</definedName>
    <definedName name="UD_ini">#REF!</definedName>
    <definedName name="udbom">#REF!</definedName>
    <definedName name="Udm">#REF!</definedName>
    <definedName name="Udm_18">#REF!</definedName>
    <definedName name="UDN_6.5">#REF!</definedName>
    <definedName name="UDN_TRX">#REF!</definedName>
    <definedName name="ưeqe">#REF!</definedName>
    <definedName name="ƯEQƯEW" localSheetId="6">#REF!</definedName>
    <definedName name="ƯEQƯEW">#REF!</definedName>
    <definedName name="ƯEQƯEWQ" localSheetId="6">#REF!</definedName>
    <definedName name="ƯEQƯEWQ">#REF!</definedName>
    <definedName name="ưer">#N/A</definedName>
    <definedName name="ửere" hidden="1">{#N/A,#N/A,FALSE,"Chi tiÆt"}</definedName>
    <definedName name="Uganda" hidden="1">{#N/A,#N/A,FALSE,"CAPTION LIST (As-Built)";#N/A,#N/A,FALSE,"DOCUMENT LIST (As-Built)";#N/A,#N/A,FALSE,"PLANT SPECIFICATION";#N/A,#N/A,FALSE,"PRODUCT LIST"}</definedName>
    <definedName name="ugh">#REF!</definedName>
    <definedName name="úGHH" hidden="1">{"'Sheet1'!$L$16"}</definedName>
    <definedName name="ughig" hidden="1">{"Offgrid",#N/A,FALSE,"OFFGRID";"Region",#N/A,FALSE,"REGION";"Offgrid -2",#N/A,FALSE,"OFFGRID";"WTP",#N/A,FALSE,"WTP";"WTP -2",#N/A,FALSE,"WTP";"Project",#N/A,FALSE,"PROJECT";"Summary -2",#N/A,FALSE,"SUMMARY"}</definedName>
    <definedName name="ugj" hidden="1">{"'Sheet1'!$L$16"}</definedName>
    <definedName name="uhpupui" hidden="1">{"'Sheet1'!$L$16"}</definedName>
    <definedName name="ui">#N/A</definedName>
    <definedName name="un">#REF!</definedName>
    <definedName name="UNGHOA">#REF!</definedName>
    <definedName name="UniqueActor" localSheetId="6">#REF!</definedName>
    <definedName name="UniqueActor">#REF!</definedName>
    <definedName name="UNIT" hidden="1">#REF!</definedName>
    <definedName name="Unit_1">#REF!</definedName>
    <definedName name="Unit_2">#REF!</definedName>
    <definedName name="Unit_3">#REF!</definedName>
    <definedName name="unit_cost">#REF!</definedName>
    <definedName name="Unit_Price">#REF!</definedName>
    <definedName name="Unit_Price__VND">#REF!</definedName>
    <definedName name="unite_de_compte_ecarts_f">#REF!</definedName>
    <definedName name="unite_de_compte_ecarts_o">#REF!</definedName>
    <definedName name="unite_de_compte_ecartsautre_f">#REF!</definedName>
    <definedName name="unite_de_compte_ecartsautre_o">#REF!</definedName>
    <definedName name="unite_de_compte_fraisdep_f">#REF!</definedName>
    <definedName name="unite_de_compte_fraisdep_f_w">#REF!</definedName>
    <definedName name="unite_de_compte_fraisdep_o">#REF!</definedName>
    <definedName name="unite_de_compte_fraisdep_o_w">#REF!</definedName>
    <definedName name="UnitPriceColumeName">#REF!</definedName>
    <definedName name="unitt" localSheetId="6">BlankMacro1</definedName>
    <definedName name="unitt">BlankMacro1</definedName>
    <definedName name="unitt_1">"blankmacro1"</definedName>
    <definedName name="unitt_11">"blankmacro1"</definedName>
    <definedName name="unitt_11_1">"blankmacro1"</definedName>
    <definedName name="unitt_3">"blankmacro1"</definedName>
    <definedName name="unitt_3_1">"blankmacro1"</definedName>
    <definedName name="unitt_7">"blankmacro1"</definedName>
    <definedName name="unitt_7_1">"blankmacro1"</definedName>
    <definedName name="UNL">#REF!</definedName>
    <definedName name="ủnt" hidden="1">{"'Sheet1'!$L$16"}</definedName>
    <definedName name="uoihg" hidden="1">{"'Sheet1'!$L$16"}</definedName>
    <definedName name="uon">#N/A</definedName>
    <definedName name="uonong">#REF!</definedName>
    <definedName name="UP">#REF!,#REF!,#REF!,#REF!,#REF!,#REF!,#REF!,#REF!,#REF!,#REF!,#REF!</definedName>
    <definedName name="UP_10">("#REF!,#REF!,#REF!,#REF!,#REF!,#REF!,#REF!,#REF!,#REF!,#REF!,#REF!)")</definedName>
    <definedName name="UP_11">("#REF!,#REF!,#REF!,#REF!,#REF!,#REF!,#REF!,#REF!,#REF!,#REF!,#REF!)")</definedName>
    <definedName name="UP_15">("#REF!,#REF!,#REF!,#REF!,#REF!,#REF!,#REF!,#REF!,#REF!,#REF!,#REF!)")</definedName>
    <definedName name="UP_16">("#REF!,#REF!,#REF!,#REF!,#REF!,#REF!,#REF!,#REF!,#REF!,#REF!,#REF!)")</definedName>
    <definedName name="UP_17">("#REF!,#REF!,#REF!,#REF!,#REF!,#REF!,#REF!,#REF!,#REF!,#REF!,#REF!)")</definedName>
    <definedName name="UP_26">("#REF!,#REF!,#REF!,#REF!,#REF!,#REF!,#REF!,#REF!,#REF!,#REF!,#REF!)")</definedName>
    <definedName name="UP_27">("#REF!,#REF!,#REF!,#REF!,#REF!,#REF!,#REF!,#REF!,#REF!,#REF!,#REF!)")</definedName>
    <definedName name="UP_32">("#REF!,#REF!,#REF!,#REF!,#REF!,#REF!,#REF!,#REF!,#REF!,#REF!,#REF!)")</definedName>
    <definedName name="UP_33">("#REF!,#REF!,#REF!,#REF!,#REF!,#REF!,#REF!,#REF!,#REF!,#REF!,#REF!)")</definedName>
    <definedName name="UP_34">("#REF!,#REF!,#REF!,#REF!,#REF!,#REF!,#REF!,#REF!,#REF!,#REF!,#REF!)")</definedName>
    <definedName name="UP_first_item" localSheetId="6">L141C4</definedName>
    <definedName name="UP_first_item">L141C4</definedName>
    <definedName name="UPDATE">#REF!</definedName>
    <definedName name="UPDATE_NO_TAX">#REF!</definedName>
    <definedName name="UPDATE_TAX">#REF!</definedName>
    <definedName name="UpdDurattion_Minute">#REF!</definedName>
    <definedName name="Upg_operation">#REF!</definedName>
    <definedName name="UpgPremiumTable">#REF!</definedName>
    <definedName name="Upgrade">#REF!</definedName>
    <definedName name="Upgrade_factor">#N/A</definedName>
    <definedName name="Upgrade_Kit">#REF!</definedName>
    <definedName name="Upgrade_Kit_V9.2">#REF!</definedName>
    <definedName name="UpgradeDeplGuide">#REF!</definedName>
    <definedName name="UPL_B">#REF!</definedName>
    <definedName name="uplift">#REF!</definedName>
    <definedName name="upnoc">#REF!</definedName>
    <definedName name="upnoc_18">#REF!</definedName>
    <definedName name="Upper">#REF!</definedName>
    <definedName name="upperlowlandlimit">#REF!</definedName>
    <definedName name="UPS">#REF!</definedName>
    <definedName name="UPS_ban">#REF!</definedName>
    <definedName name="UPS_vao">#REF!</definedName>
    <definedName name="ưqeưeư">#REF!</definedName>
    <definedName name="ƯQEWQE">#REF!</definedName>
    <definedName name="ưqw">#REF!</definedName>
    <definedName name="Ur">#REF!</definedName>
    <definedName name="us">46</definedName>
    <definedName name="USCT">#REF!</definedName>
    <definedName name="USCT_1">"#REF!"</definedName>
    <definedName name="USCT_33">"#REF!"</definedName>
    <definedName name="USCT_33_1">"#REF!"</definedName>
    <definedName name="USCT_34">"#REF!"</definedName>
    <definedName name="USCT_34_1">"#REF!"</definedName>
    <definedName name="USCTKU">#REF!</definedName>
    <definedName name="USD">#REF!</definedName>
    <definedName name="USD_1">"#REF!"</definedName>
    <definedName name="USD_14">#REF!</definedName>
    <definedName name="usd_32">"#REF!"</definedName>
    <definedName name="USD_Euro">#REF!</definedName>
    <definedName name="USD_Euro_currency">#REF!</definedName>
    <definedName name="USD_Rate">#REF!</definedName>
    <definedName name="Usd_RM">#REF!</definedName>
    <definedName name="USD_THB">#REF!</definedName>
    <definedName name="USD_to_MYR">#REF!</definedName>
    <definedName name="USDgunt">#REF!</definedName>
    <definedName name="usdPLC200">#REF!</definedName>
    <definedName name="USDrate">#REF!</definedName>
    <definedName name="USDtoEUR">#REF!</definedName>
    <definedName name="use_case">#N/A</definedName>
    <definedName name="usecase">#REF!</definedName>
    <definedName name="UserCompany" localSheetId="6">#REF!</definedName>
    <definedName name="UserCompany">#REF!</definedName>
    <definedName name="UserEmail" localSheetId="6">#REF!</definedName>
    <definedName name="UserEmail">#REF!</definedName>
    <definedName name="UserFax" localSheetId="6">#REF!</definedName>
    <definedName name="UserFax">#REF!</definedName>
    <definedName name="UserFSC" localSheetId="6">#REF!</definedName>
    <definedName name="UserFSC">#REF!</definedName>
    <definedName name="UserName" localSheetId="6">#REF!</definedName>
    <definedName name="UserName">#REF!</definedName>
    <definedName name="UserStreet" localSheetId="6">#REF!</definedName>
    <definedName name="UserStreet">#REF!</definedName>
    <definedName name="UserTel" localSheetId="6">#REF!</definedName>
    <definedName name="UserTel">#REF!</definedName>
    <definedName name="UserTown" localSheetId="6">#REF!</definedName>
    <definedName name="UserTown">#REF!</definedName>
    <definedName name="USKC">#REF!</definedName>
    <definedName name="usmm">#REF!</definedName>
    <definedName name="usmm1">#REF!</definedName>
    <definedName name="USNC">#REF!</definedName>
    <definedName name="UssdCell">#REF!</definedName>
    <definedName name="USY_K">#REF!</definedName>
    <definedName name="USY_OTH">#REF!</definedName>
    <definedName name="ut" localSheetId="6">BlankMacro1</definedName>
    <definedName name="ut">BlankMacro1</definedName>
    <definedName name="UT_1">#REF!</definedName>
    <definedName name="ut_11">"blankmacro1"</definedName>
    <definedName name="ut_11_1">"blankmacro1"</definedName>
    <definedName name="ut_3">"blankmacro1"</definedName>
    <definedName name="ut_3_1">"blankmacro1"</definedName>
    <definedName name="ut_7">"blankmacro1"</definedName>
    <definedName name="ut_7_1">"blankmacro1"</definedName>
    <definedName name="UT1_373">#REF!</definedName>
    <definedName name="uta" hidden="1">{#N/A,#N/A,TRUE,"Perm";#N/A,#N/A,TRUE,"Architecture"}</definedName>
    <definedName name="ủtfxurxti" hidden="1">{"'Summary'!$A$1:$J$46"}</definedName>
    <definedName name="utgiÎgt">#REF!</definedName>
    <definedName name="uÞhkjkjhk" hidden="1">{"'Sheet1'!$L$16"}</definedName>
    <definedName name="Utilization">#REF!</definedName>
    <definedName name="Utilization2">#REF!</definedName>
    <definedName name="Utran1">#REF!</definedName>
    <definedName name="UUCP">#REF!</definedName>
    <definedName name="uuu" hidden="1">{"'Sheet1'!$L$16"}</definedName>
    <definedName name="uuuu" hidden="1">{#N/A,#N/A,FALSE,"단가표지"}</definedName>
    <definedName name="Uy" hidden="1">#REF!</definedName>
    <definedName name="uyçou_o">#REF!</definedName>
    <definedName name="uyen" hidden="1">{#N/A,#N/A,TRUE,"BT M200 da 10x20"}</definedName>
    <definedName name="uyfyt" hidden="1">{"'Sheet1'!$L$16"}</definedName>
    <definedName name="uyg" hidden="1">{"'Sheet1'!$L$16"}</definedName>
    <definedName name="uyi" hidden="1">{"'Sheet1'!$L$16"}</definedName>
    <definedName name="ủytỉt" hidden="1">{"'Sheet1'!$L$16"}</definedName>
    <definedName name="uytjhtdjtj" hidden="1">{"'Sheet1'!$L$16"}</definedName>
    <definedName name="uyuyuy">#REF!</definedName>
    <definedName name="v">#REF!</definedName>
    <definedName name="V.1">#REF!</definedName>
    <definedName name="V.1_1">"#REF!"</definedName>
    <definedName name="V.10">#REF!</definedName>
    <definedName name="V.10_1">"#REF!"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j">#REF!</definedName>
    <definedName name="v\100">#REF!</definedName>
    <definedName name="v\125">#REF!</definedName>
    <definedName name="v\150">#REF!</definedName>
    <definedName name="v\50">#REF!</definedName>
    <definedName name="v\75">#REF!</definedName>
    <definedName name="v_">#N/A</definedName>
    <definedName name="V_1">#REF!</definedName>
    <definedName name="v_18">#REF!</definedName>
    <definedName name="V_2">#REF!</definedName>
    <definedName name="v_25">#REF!</definedName>
    <definedName name="V_3">#REF!</definedName>
    <definedName name="V_4">#REF!</definedName>
    <definedName name="V_a_b__t_ng_M200____1x2">NA()</definedName>
    <definedName name="V_a_b__t_ng_M200____1x2_1">"'chao gia tb (2)'!ptdg"</definedName>
    <definedName name="V_a_b__t_ng_M200____1x2_10_1">"'chao gia tb (2)'!ptdg"</definedName>
    <definedName name="V_a_b__t_ng_M200____1x2_11_1">"'chao gia tb (2)'!ptdg"</definedName>
    <definedName name="V_a_b__t_ng_M200____1x2_12_1">"'chao gia tb (2)'!ptdg"</definedName>
    <definedName name="V_a_b__t_ng_M200____1x2_16_1">"'chao gia tb (2)'!ptdg"</definedName>
    <definedName name="V_a_b__t_ng_M200____1x2_23_1">"'chao gia tb (2)'!ptdg"</definedName>
    <definedName name="V_a_b__t_ng_M200____1x2_24_1">"'chao gia tb (2)'!ptdg"</definedName>
    <definedName name="V_a_b__t_ng_M200____1x2_25_1">"'chao gia tb (2)'!ptdg"</definedName>
    <definedName name="V_a_b__t_ng_M200____1x2_26_1">"'chao gia tb (2)'!ptdg"</definedName>
    <definedName name="V_a_b__t_ng_M200____1x2_3_1">"'chao gia tb (2)'!ptdg"</definedName>
    <definedName name="V_a_b__t_ng_M200____1x2_32_1">"'chao gia tb (2)'!ptdg"</definedName>
    <definedName name="V_a_b__t_ng_M200____1x2_33_1">"'chao gia tb (2)'!ptdg"</definedName>
    <definedName name="V_a_b__t_ng_M200____1x2_7_1">"'chao gia tb (2)'!ptdg"</definedName>
    <definedName name="V_i_ni_l_ng">#REF!</definedName>
    <definedName name="V_t_tõ">#REF!</definedName>
    <definedName name="V0">#REF!</definedName>
    <definedName name="v100v">#REF!</definedName>
    <definedName name="V14_">#N/A</definedName>
    <definedName name="V18_">#N/A</definedName>
    <definedName name="V35_adaptor">#REF!</definedName>
    <definedName name="V38_">#N/A</definedName>
    <definedName name="v75d">#REF!</definedName>
    <definedName name="V8.Refresh" hidden="1">{"NGUYEN QUI THIEP - Personal View",#N/A,FALSE,"XDCB.HT.FUR."}</definedName>
    <definedName name="VA">#REF!</definedName>
    <definedName name="VAÄT_LIEÄU">"nhandongia"</definedName>
    <definedName name="VAC">#REF!</definedName>
    <definedName name="VaDate" hidden="1">#REF!</definedName>
    <definedName name="vaidia">#REF!</definedName>
    <definedName name="vaiphØntang">#REF!</definedName>
    <definedName name="VALDOL">#REF!</definedName>
    <definedName name="VALIDATE_Item">#REF!</definedName>
    <definedName name="Valley">#REF!</definedName>
    <definedName name="value_n">#REF!</definedName>
    <definedName name="Value0">#REF!</definedName>
    <definedName name="Value0_18">#REF!</definedName>
    <definedName name="Value1">#REF!</definedName>
    <definedName name="Value1_18">#REF!</definedName>
    <definedName name="Value10">#REF!</definedName>
    <definedName name="Value10_18">#REF!</definedName>
    <definedName name="Value11">#REF!</definedName>
    <definedName name="Value11_18">#REF!</definedName>
    <definedName name="Value12">#REF!</definedName>
    <definedName name="Value12_18">#REF!</definedName>
    <definedName name="Value13">#REF!</definedName>
    <definedName name="Value13_18">#REF!</definedName>
    <definedName name="Value14">#REF!</definedName>
    <definedName name="Value14_18">#REF!</definedName>
    <definedName name="Value15">#REF!</definedName>
    <definedName name="Value15_18">#REF!</definedName>
    <definedName name="Value16">#REF!</definedName>
    <definedName name="Value16_18">#REF!</definedName>
    <definedName name="Value17">#REF!</definedName>
    <definedName name="Value17_18">#REF!</definedName>
    <definedName name="Value18">#REF!</definedName>
    <definedName name="Value18_18">#REF!</definedName>
    <definedName name="Value19">#REF!</definedName>
    <definedName name="Value19_18">#REF!</definedName>
    <definedName name="Value2">#REF!</definedName>
    <definedName name="Value2_18">#REF!</definedName>
    <definedName name="Value20">#REF!</definedName>
    <definedName name="Value20_18">#REF!</definedName>
    <definedName name="Value21">#REF!</definedName>
    <definedName name="Value21_18">#REF!</definedName>
    <definedName name="Value22">#REF!</definedName>
    <definedName name="Value22_18">#REF!</definedName>
    <definedName name="Value23">#REF!</definedName>
    <definedName name="Value23_18">#REF!</definedName>
    <definedName name="Value24">#REF!</definedName>
    <definedName name="Value24_18">#REF!</definedName>
    <definedName name="Value25">#REF!</definedName>
    <definedName name="Value25_18">#REF!</definedName>
    <definedName name="Value26">#REF!</definedName>
    <definedName name="Value26_18">#REF!</definedName>
    <definedName name="Value27">#REF!</definedName>
    <definedName name="Value27_18">#REF!</definedName>
    <definedName name="Value28">#REF!</definedName>
    <definedName name="Value28_18">#REF!</definedName>
    <definedName name="Value29">#REF!</definedName>
    <definedName name="Value29_18">#REF!</definedName>
    <definedName name="Value3">#REF!</definedName>
    <definedName name="Value3_18">#REF!</definedName>
    <definedName name="Value30">#REF!</definedName>
    <definedName name="Value30_18">#REF!</definedName>
    <definedName name="Value31">#REF!</definedName>
    <definedName name="Value31_18">#REF!</definedName>
    <definedName name="Value32">#REF!</definedName>
    <definedName name="Value32_18">#REF!</definedName>
    <definedName name="Value33">#REF!</definedName>
    <definedName name="Value33_18">#REF!</definedName>
    <definedName name="Value34">#REF!</definedName>
    <definedName name="Value34_18">#REF!</definedName>
    <definedName name="Value35">#REF!</definedName>
    <definedName name="Value35_18">#REF!</definedName>
    <definedName name="Value36">#REF!</definedName>
    <definedName name="Value36_18">#REF!</definedName>
    <definedName name="Value37">#REF!</definedName>
    <definedName name="Value37_18">#REF!</definedName>
    <definedName name="Value38">#REF!</definedName>
    <definedName name="Value38_18">#REF!</definedName>
    <definedName name="Value39">#REF!</definedName>
    <definedName name="Value39_18">#REF!</definedName>
    <definedName name="Value4">#REF!</definedName>
    <definedName name="Value4_18">#REF!</definedName>
    <definedName name="Value40">#REF!</definedName>
    <definedName name="Value40_18">#REF!</definedName>
    <definedName name="Value41">#REF!</definedName>
    <definedName name="Value41_18">#REF!</definedName>
    <definedName name="Value42">#REF!</definedName>
    <definedName name="Value42_18">#REF!</definedName>
    <definedName name="Value43">#REF!</definedName>
    <definedName name="Value43_18">#REF!</definedName>
    <definedName name="Value44">#REF!</definedName>
    <definedName name="Value44_18">#REF!</definedName>
    <definedName name="Value45">#REF!</definedName>
    <definedName name="Value45_18">#REF!</definedName>
    <definedName name="Value46">#REF!</definedName>
    <definedName name="Value46_18">#REF!</definedName>
    <definedName name="Value47">#REF!</definedName>
    <definedName name="Value47_18">#REF!</definedName>
    <definedName name="Value48">#REF!</definedName>
    <definedName name="Value48_18">#REF!</definedName>
    <definedName name="Value49">#REF!</definedName>
    <definedName name="Value49_18">#REF!</definedName>
    <definedName name="Value5">#REF!</definedName>
    <definedName name="Value5_18">#REF!</definedName>
    <definedName name="Value50">#REF!</definedName>
    <definedName name="Value50_18">#REF!</definedName>
    <definedName name="Value51">#REF!</definedName>
    <definedName name="Value51_18">#REF!</definedName>
    <definedName name="Value52">#REF!</definedName>
    <definedName name="Value52_18">#REF!</definedName>
    <definedName name="Value53">#REF!</definedName>
    <definedName name="Value53_18">#REF!</definedName>
    <definedName name="Value54">#REF!</definedName>
    <definedName name="Value54_18">#REF!</definedName>
    <definedName name="Value55">#REF!</definedName>
    <definedName name="Value55_18">#REF!</definedName>
    <definedName name="Value6">#REF!</definedName>
    <definedName name="Value6_18">#REF!</definedName>
    <definedName name="Value7">#REF!</definedName>
    <definedName name="Value7_18">#REF!</definedName>
    <definedName name="Value8">#REF!</definedName>
    <definedName name="Value8_18">#REF!</definedName>
    <definedName name="Value9">#REF!</definedName>
    <definedName name="Value9_18">#REF!</definedName>
    <definedName name="Values_Entered" localSheetId="6">IF(Loan_Amount*Interest_Rate*Loan_Years*Loan_Start&gt;0,1,0)</definedName>
    <definedName name="Values_Entered">IF(Loan_Amount*Interest_Rate*Loan_Years*Loan_Start&gt;0,1,0)</definedName>
    <definedName name="van" hidden="1">{#N/A,#N/A,FALSE,"Chi tiÆt"}</definedName>
    <definedName name="VAN_CHUYEN_DUONG_DAI">#REF!</definedName>
    <definedName name="VAN_CHUYEN_DUONG_DAI_DZ0.4KV">#REF!</definedName>
    <definedName name="VAN_CHUYEN_DUONG_DAI_DZ22KV">#REF!</definedName>
    <definedName name="VAN_CHUYEN_DUONG_DAI_TBA">#REF!</definedName>
    <definedName name="VAN_CHUYEN_TRUNG_CHUYEN">#REF!</definedName>
    <definedName name="VAN_CHUYEN_VAT_TU_CHUNG">#REF!</definedName>
    <definedName name="VAN_CHUYEN_VLXD_DEN_HIEN_TRUONG">#REF!</definedName>
    <definedName name="VAN_TRUNG_CHUYEN_VAT_TU_CHUNG">#REF!</definedName>
    <definedName name="vanban" hidden="1">{"'Sheet1'!$L$16"}</definedName>
    <definedName name="vanchuyen">#REF!</definedName>
    <definedName name="vanchuyen_1">"#REF!"</definedName>
    <definedName name="vanchuyencoc">#N/A</definedName>
    <definedName name="VanChuyenDam">#REF!</definedName>
    <definedName name="VANCHUYENTHUCONG">#REF!</definedName>
    <definedName name="VancoProducts">#REF!</definedName>
    <definedName name="vàng" comment="các TB ưu tiên">#REF!,#REF!,#REF!,#REF!,#REF!,#REF!,#REF!,#REF!,#REF!,#REF!</definedName>
    <definedName name="VANKHUON">#REF!</definedName>
    <definedName name="vankhuon_14">#REF!</definedName>
    <definedName name="VANKHUON_18">#REF!</definedName>
    <definedName name="vanpha1">#REF!</definedName>
    <definedName name="Vanpha2">#REF!</definedName>
    <definedName name="Vanpha3">#REF!</definedName>
    <definedName name="Vânpv" hidden="1">{0}</definedName>
    <definedName name="VANTAI">#REF!</definedName>
    <definedName name="vanthang">#N/A</definedName>
    <definedName name="vanthang0.3">#REF!</definedName>
    <definedName name="vanthang0.5">#REF!</definedName>
    <definedName name="vanthang2">#REF!</definedName>
    <definedName name="var_A1353DN">#REF!</definedName>
    <definedName name="var_A1355DN">#REF!</definedName>
    <definedName name="VarDate" hidden="1">#REF!</definedName>
    <definedName name="VariabilityCurrentDesktop">#REF!</definedName>
    <definedName name="VariablePacketInterfaces">#REF!</definedName>
    <definedName name="VARIINST">#REF!</definedName>
    <definedName name="VARIINST_1">"#REF!"</definedName>
    <definedName name="VARIINST_18">#REF!</definedName>
    <definedName name="VARIPURC">#REF!</definedName>
    <definedName name="VARIPURC_1">"#REF!"</definedName>
    <definedName name="VARIPURC_18">#REF!</definedName>
    <definedName name="vat" localSheetId="6">5</definedName>
    <definedName name="vat">#REF!</definedName>
    <definedName name="VAT_">#REF!</definedName>
    <definedName name="VAT__VND">#REF!</definedName>
    <definedName name="VAT_04">#REF!</definedName>
    <definedName name="VAT_14">#REF!</definedName>
    <definedName name="vat_18">5</definedName>
    <definedName name="VAT_35">#REF!</definedName>
    <definedName name="VAT_CHS">10%</definedName>
    <definedName name="VAT_Cto">#REF!</definedName>
    <definedName name="VAT_DaoTao">10%</definedName>
    <definedName name="VAT_Dichvu">#REF!</definedName>
    <definedName name="vat_dv">0.1</definedName>
    <definedName name="VAT_firewall">#REF!</definedName>
    <definedName name="vat_hw">0.1</definedName>
    <definedName name="VAT_khac">#REF!</definedName>
    <definedName name="VAT_LIEU_DEN_CHAN_CONG_TRINH">#REF!</definedName>
    <definedName name="vat_lieu_KVIII">#REF!</definedName>
    <definedName name="vat_lieu_KVIII_1">"#REF!"</definedName>
    <definedName name="VAT_LinhkienPC">#REF!</definedName>
    <definedName name="VAT_Mang">#REF!</definedName>
    <definedName name="VAT_Mayin">#REF!</definedName>
    <definedName name="VAT_Onap">#REF!</definedName>
    <definedName name="VAT_Other">#REF!</definedName>
    <definedName name="VAT_others">#REF!</definedName>
    <definedName name="VAT_PC">#REF!</definedName>
    <definedName name="VAT_Phanmem">#REF!</definedName>
    <definedName name="VAT_PMHT">#REF!</definedName>
    <definedName name="VAT_Printer">#REF!</definedName>
    <definedName name="VAT_Service">#REF!</definedName>
    <definedName name="vat_sw">0</definedName>
    <definedName name="vat_sw_1">0.1</definedName>
    <definedName name="VAT_TB">#REF!</definedName>
    <definedName name="VAT_TBA">#REF!</definedName>
    <definedName name="VAT_TBCS">#REF!</definedName>
    <definedName name="VAT_TBMang">#REF!</definedName>
    <definedName name="VAT_TBTH">#REF!</definedName>
    <definedName name="VAT_TRAINNING">#REF!</definedName>
    <definedName name="Vat_tu">#REF!</definedName>
    <definedName name="VAT_TuVan">10%</definedName>
    <definedName name="VAT_UPS">#REF!</definedName>
    <definedName name="VAT_WAN">10%</definedName>
    <definedName name="VAT_XLTBA">#REF!</definedName>
    <definedName name="vatlieu">#REF!</definedName>
    <definedName name="vatlieu_2">#REF!</definedName>
    <definedName name="Vatlieu1">#REF!</definedName>
    <definedName name="Vatlieu2">#REF!</definedName>
    <definedName name="Vatlieu3">#REF!</definedName>
    <definedName name="VATLIEU962">#REF!</definedName>
    <definedName name="VatLieuKhac">#REF!</definedName>
    <definedName name="VatLieuKhac_14">#REF!</definedName>
    <definedName name="vatlieuptb">#REF!</definedName>
    <definedName name="vatlieutb">#REF!</definedName>
    <definedName name="VATM" hidden="1">{"'Sheet1'!$L$16"}</definedName>
    <definedName name="Vattu">#REF!</definedName>
    <definedName name="Vattu_1">"#REF!"</definedName>
    <definedName name="vattucong">#REF!</definedName>
    <definedName name="vattucot">#REF!</definedName>
    <definedName name="vay_cty">#REF!</definedName>
    <definedName name="VB">#REF!</definedName>
    <definedName name="VBN" hidden="1">{#N/A,#N/A,FALSE,"이태원철근"}</definedName>
    <definedName name="Vbs">#REF!</definedName>
    <definedName name="vbt400d">#REF!</definedName>
    <definedName name="vbta">#REF!</definedName>
    <definedName name="vbtB">#REF!</definedName>
    <definedName name="vbtchongnuocm300">#REF!</definedName>
    <definedName name="vbtchongnuocm300_18">#REF!</definedName>
    <definedName name="vbtD">#REF!</definedName>
    <definedName name="vbtE">#REF!</definedName>
    <definedName name="vbtF">#REF!</definedName>
    <definedName name="vbtg">#REF!</definedName>
    <definedName name="vbtm150">#REF!</definedName>
    <definedName name="vbtm150_18">#REF!</definedName>
    <definedName name="vbtm300">#REF!</definedName>
    <definedName name="vbtm300_18">#REF!</definedName>
    <definedName name="vbtm400">#REF!</definedName>
    <definedName name="vbtm400_18">#REF!</definedName>
    <definedName name="Vbtr">#REF!</definedName>
    <definedName name="vbvb" hidden="1">#REF!</definedName>
    <definedName name="VC">#REF!</definedName>
    <definedName name="Vc_1">"#REF!"</definedName>
    <definedName name="VC_14">#REF!</definedName>
    <definedName name="Vc_18">#REF!</definedName>
    <definedName name="VC_HD">#REF!</definedName>
    <definedName name="vc1_14">#REF!</definedName>
    <definedName name="VC1H">#REF!</definedName>
    <definedName name="vc2_14">#REF!</definedName>
    <definedName name="VC2H">#REF!</definedName>
    <definedName name="vc3.">#REF!</definedName>
    <definedName name="vc3._14">#REF!</definedName>
    <definedName name="vc3_14">#REF!</definedName>
    <definedName name="vca">#REF!</definedName>
    <definedName name="vca_14">#REF!</definedName>
    <definedName name="vcbbfh" hidden="1">{"'Sheet1'!$L$16"}</definedName>
    <definedName name="vcbo1" hidden="1">{"'Sheet1'!$L$16"}</definedName>
    <definedName name="vcbtemp">#REF!</definedName>
    <definedName name="vcc">#REF!</definedName>
    <definedName name="vccat0.4">#REF!</definedName>
    <definedName name="vccatv">#REF!</definedName>
    <definedName name="vccot">#REF!</definedName>
    <definedName name="vccot.">#REF!</definedName>
    <definedName name="vccot._14">#REF!</definedName>
    <definedName name="vccot_18">#REF!</definedName>
    <definedName name="vccot0.4">#REF!</definedName>
    <definedName name="vccot35">#REF!</definedName>
    <definedName name="vccott">#REF!</definedName>
    <definedName name="vccottt">#REF!</definedName>
    <definedName name="vcd">#REF!</definedName>
    <definedName name="vcda">#REF!</definedName>
    <definedName name="vcda0.4">#REF!</definedName>
    <definedName name="vcdatc2">#REF!</definedName>
    <definedName name="vcdatc3">#REF!</definedName>
    <definedName name="vcdatd">#REF!</definedName>
    <definedName name="vcday">#REF!</definedName>
    <definedName name="vcdbt">#REF!</definedName>
    <definedName name="vcdc">#REF!</definedName>
    <definedName name="vcdc.">#REF!</definedName>
    <definedName name="vcdc._14">#REF!</definedName>
    <definedName name="vcdc_18">#REF!</definedName>
    <definedName name="VCDC400">#REF!</definedName>
    <definedName name="vcdctc">#REF!</definedName>
    <definedName name="vcdd">#REF!</definedName>
    <definedName name="vcdd_tba">#REF!</definedName>
    <definedName name="VCDD0.4">#REF!</definedName>
    <definedName name="VCDD1P">#N/A</definedName>
    <definedName name="VCDD3p">#REF!</definedName>
    <definedName name="VCDD3p_14">#REF!</definedName>
    <definedName name="VCDDCS">#REF!</definedName>
    <definedName name="VCDDCT3p">#N/A</definedName>
    <definedName name="VCDDMBA">#REF!</definedName>
    <definedName name="VCDDMBA_18">#REF!</definedName>
    <definedName name="VCDDTBA">#REF!</definedName>
    <definedName name="vcddx">#REF!</definedName>
    <definedName name="VCDN">'[10]VC Da Nang'!$A$5:$H$118</definedName>
    <definedName name="vcdt">#REF!</definedName>
    <definedName name="vcdtb">#REF!</definedName>
    <definedName name="vcdungcu0.4">#REF!</definedName>
    <definedName name="vcdungcu35">#REF!</definedName>
    <definedName name="vcg">#REF!</definedName>
    <definedName name="vcgo">#REF!</definedName>
    <definedName name="vcgo0.4">#REF!</definedName>
    <definedName name="VCHT">#REF!</definedName>
    <definedName name="VCHT_18">#REF!</definedName>
    <definedName name="Vci">#REF!</definedName>
    <definedName name="vclcat">#N/A</definedName>
    <definedName name="vcn">#REF!</definedName>
    <definedName name="vcnuoc0.4">#REF!</definedName>
    <definedName name="vcoto" hidden="1">{"'Sheet1'!$L$16"}</definedName>
    <definedName name="vcp2ma">#REF!</definedName>
    <definedName name="vcp2shtk">#REF!</definedName>
    <definedName name="vcpk">#REF!</definedName>
    <definedName name="VCPK4">#REF!</definedName>
    <definedName name="VCS">#REF!</definedName>
    <definedName name="vcsat">#REF!</definedName>
    <definedName name="vcsat0.4">#REF!</definedName>
    <definedName name="vcsat35">#REF!</definedName>
    <definedName name="vcsu">#REF!</definedName>
    <definedName name="vct">#REF!</definedName>
    <definedName name="vct_18">#REF!</definedName>
    <definedName name="vctb">#REF!</definedName>
    <definedName name="VCTBTBA">#REF!</definedName>
    <definedName name="VCTC">#REF!</definedName>
    <definedName name="VCTdan">#N/A</definedName>
    <definedName name="vctmong">#REF!</definedName>
    <definedName name="vctre">#REF!</definedName>
    <definedName name="VCTT">#REF!</definedName>
    <definedName name="VCTT_14">#REF!</definedName>
    <definedName name="VCVBT1">#REF!</definedName>
    <definedName name="VCVBT1_14">#REF!</definedName>
    <definedName name="VCVBT2">#REF!</definedName>
    <definedName name="VCVBT2_14">#REF!</definedName>
    <definedName name="Vcw">#REF!</definedName>
    <definedName name="vcxa">#REF!</definedName>
    <definedName name="vcxi">#REF!</definedName>
    <definedName name="vcxm">#REF!</definedName>
    <definedName name="vcxm0.4">#REF!</definedName>
    <definedName name="vd">#REF!</definedName>
    <definedName name="VD_">#N/A</definedName>
    <definedName name="vd3p">#REF!</definedName>
    <definedName name="vd3p_18">#REF!</definedName>
    <definedName name="vdauketqua">#REF!</definedName>
    <definedName name="vdcl">#REF!</definedName>
    <definedName name="VDCLY">#REF!</definedName>
    <definedName name="vdh">#REF!</definedName>
    <definedName name="vdieukien">#REF!</definedName>
    <definedName name="vdkt">#REF!</definedName>
    <definedName name="vdkt_14">#REF!</definedName>
    <definedName name="vdl">#REF!</definedName>
    <definedName name="Vdmr">#REF!</definedName>
    <definedName name="VDZ">#REF!</definedName>
    <definedName name="ve">#REF!</definedName>
    <definedName name="Vehicule">#REF!</definedName>
    <definedName name="VEN" hidden="1">{#N/A,#N/A,TRUE,"SUM";#N/A,#N/A,TRUE,"EE";#N/A,#N/A,TRUE,"AC";#N/A,#N/A,TRUE,"SN"}</definedName>
    <definedName name="VËn_chuyÓn_duêng_dai_trung_chuyÓn">#REF!</definedName>
    <definedName name="Version" localSheetId="6">#REF!</definedName>
    <definedName name="Version">#REF!</definedName>
    <definedName name="VersionText" localSheetId="6">#REF!</definedName>
    <definedName name="VersionText">#REF!</definedName>
    <definedName name="VËt_liÖu">"#REF!"</definedName>
    <definedName name="VËt_liÖu_phÇn_DZ35kv">#REF!</definedName>
    <definedName name="Vf">#REF!</definedName>
    <definedName name="VFDVF">#REF!</definedName>
    <definedName name="vgh" hidden="1">{"'Summary'!$A$1:$J$46"}</definedName>
    <definedName name="vgio">#N/A</definedName>
    <definedName name="vgk">#REF!</definedName>
    <definedName name="vgt">#REF!</definedName>
    <definedName name="vgxghhj" hidden="1">{"'Sheet1'!$L$16"}</definedName>
    <definedName name="Vh">#REF!</definedName>
    <definedName name="Vhmr">#REF!</definedName>
    <definedName name="VI">#REF!</definedName>
    <definedName name="Via_He">#REF!</definedName>
    <definedName name="VID.4_TR8">#REF!</definedName>
    <definedName name="VID.4_TR8_PC">#REF!</definedName>
    <definedName name="vidyo_ban">#REF!</definedName>
    <definedName name="Viet" hidden="1">{"'Sheet1'!$L$16"}</definedName>
    <definedName name="Vietri">#REF!</definedName>
    <definedName name="VIEW">#REF!</definedName>
    <definedName name="VinhLong" localSheetId="6">#REF!</definedName>
    <definedName name="VinhLong">#REF!</definedName>
    <definedName name="Vinhphuc" localSheetId="6">#REF!</definedName>
    <definedName name="Vinhphuc">#REF!</definedName>
    <definedName name="visc">#REF!</definedName>
    <definedName name="viscb">#REF!</definedName>
    <definedName name="vision">#REF!</definedName>
    <definedName name="vital1">#REF!</definedName>
    <definedName name="vital2">#REF!</definedName>
    <definedName name="vital4">#REF!</definedName>
    <definedName name="vital5">#REF!</definedName>
    <definedName name="vital6">#REF!</definedName>
    <definedName name="vital8">#REF!</definedName>
    <definedName name="vital9">#REF!</definedName>
    <definedName name="VITE" hidden="1">{"'Sheet1'!$L$16"}</definedName>
    <definedName name="ViThanh">#REF!</definedName>
    <definedName name="ViThanh1">[12]ViThanh!$B$8:$K$97</definedName>
    <definedName name="ViThanh2">[12]ViThanh!$B$100:$K$105</definedName>
    <definedName name="ViThuy">#REF!</definedName>
    <definedName name="ViThuy1">[12]ViThuy!$C$22:$Q$149</definedName>
    <definedName name="ViThuy2">[12]ViThuy!$C$156:$R$161</definedName>
    <definedName name="Vitri">#REF!</definedName>
    <definedName name="vk">#REF!</definedName>
    <definedName name="vk_33">"#REF!"</definedName>
    <definedName name="vk_34">"#REF!"</definedName>
    <definedName name="vkcauthang">#REF!</definedName>
    <definedName name="vkcauthang_18">#REF!</definedName>
    <definedName name="vkds">#REF!</definedName>
    <definedName name="vketqua">#REF!</definedName>
    <definedName name="vkgo">#N/A</definedName>
    <definedName name="vkh">#REF!</definedName>
    <definedName name="vksan">#REF!</definedName>
    <definedName name="vksan_18">#REF!</definedName>
    <definedName name="vktc">#REF!</definedName>
    <definedName name="vl">#REF!</definedName>
    <definedName name="VL.DMC">#N/A</definedName>
    <definedName name="VL.GTTMC">#N/A</definedName>
    <definedName name="VL.M10.1">#REF!</definedName>
    <definedName name="VL.M10.1_14">#REF!</definedName>
    <definedName name="VL.M10.1_18">#REF!</definedName>
    <definedName name="VL.M10.2">#REF!</definedName>
    <definedName name="VL.M10.2_14">#REF!</definedName>
    <definedName name="VL.M10.2_18">#REF!</definedName>
    <definedName name="VL.M14.1">#N/A</definedName>
    <definedName name="VL.M14.2">#N/A</definedName>
    <definedName name="VL.MDT">#REF!</definedName>
    <definedName name="VL.MDT_14">#REF!</definedName>
    <definedName name="VL.MDT_18">#REF!</definedName>
    <definedName name="VL.MTCat">#N/A</definedName>
    <definedName name="VL.T1C.CDFD">#N/A</definedName>
    <definedName name="VL.T1C.M14">#N/A</definedName>
    <definedName name="VL.TTC">#N/A</definedName>
    <definedName name="VL.X.CSV">#N/A</definedName>
    <definedName name="VL.XL">#N/A</definedName>
    <definedName name="vl_18">#REF!</definedName>
    <definedName name="VL_A4">#REF!</definedName>
    <definedName name="VL_BANGDINH">#REF!</definedName>
    <definedName name="VL_BULONG">#REF!</definedName>
    <definedName name="VL_cau">#REF!</definedName>
    <definedName name="VL_CDROM">#REF!</definedName>
    <definedName name="VL_CHINH">#REF!</definedName>
    <definedName name="VL_CON">#REF!</definedName>
    <definedName name="VL_CSC">#REF!</definedName>
    <definedName name="VL_CSCT">#REF!</definedName>
    <definedName name="VL_CTXD">#REF!</definedName>
    <definedName name="VL_DAI">#REF!</definedName>
    <definedName name="VL_DVDROM">#REF!</definedName>
    <definedName name="vl_dzht">#REF!</definedName>
    <definedName name="VL_KEO">#REF!</definedName>
    <definedName name="VL_KHAC">#REF!</definedName>
    <definedName name="VL_LAT">#REF!</definedName>
    <definedName name="vl_ld">#REF!</definedName>
    <definedName name="VL_M8">#REF!</definedName>
    <definedName name="VL_MAYIN">#REF!</definedName>
    <definedName name="VL_MAYPHOTO">#REF!</definedName>
    <definedName name="VL_MAYSCAN">#REF!</definedName>
    <definedName name="VL_MAYTINH">#REF!</definedName>
    <definedName name="VL_RC1">#REF!</definedName>
    <definedName name="VL_RC2">#REF!</definedName>
    <definedName name="VL_RD">#REF!</definedName>
    <definedName name="VL_Rnha">#REF!</definedName>
    <definedName name="VL_RS">#REF!</definedName>
    <definedName name="VL_SON">#REF!</definedName>
    <definedName name="VL_TD">#REF!</definedName>
    <definedName name="VL_TEM">#REF!</definedName>
    <definedName name="vl_tg">#REF!</definedName>
    <definedName name="VL_VIT8">#REF!</definedName>
    <definedName name="VL_VUA">#REF!</definedName>
    <definedName name="VL0.4_ÂG">#REF!</definedName>
    <definedName name="VL100_18">#REF!</definedName>
    <definedName name="vl100a">#REF!</definedName>
    <definedName name="VL1C">#REF!</definedName>
    <definedName name="VL1H">#REF!</definedName>
    <definedName name="vl1p">#REF!</definedName>
    <definedName name="vl1p_18">#REF!</definedName>
    <definedName name="VL200_18">#REF!</definedName>
    <definedName name="VL22_ÂG">#REF!</definedName>
    <definedName name="VL22_NÂG">#REF!</definedName>
    <definedName name="VL250_18">#REF!</definedName>
    <definedName name="VL2C">#REF!</definedName>
    <definedName name="VL2H">#REF!</definedName>
    <definedName name="VL3C">#REF!</definedName>
    <definedName name="VL3H">#REF!</definedName>
    <definedName name="vl3p">#REF!</definedName>
    <definedName name="vl3p_18">#REF!</definedName>
    <definedName name="vl3p_33">"#REF!"</definedName>
    <definedName name="vl3p_34">"#REF!"</definedName>
    <definedName name="vlb">#REF!</definedName>
    <definedName name="vlbaotaibovay">#REF!</definedName>
    <definedName name="VLBETONG">#REF!</definedName>
    <definedName name="VLBS">#REF!</definedName>
    <definedName name="vlc">#REF!</definedName>
    <definedName name="Vlcap0.7">#REF!</definedName>
    <definedName name="Vlcap0_7">#REF!</definedName>
    <definedName name="VLcap1">#REF!</definedName>
    <definedName name="VLcapphoi">#REF!</definedName>
    <definedName name="VLcatsan">#REF!</definedName>
    <definedName name="VLcatvang">#REF!</definedName>
    <definedName name="vlcau">#REF!</definedName>
    <definedName name="VLCHINH">#REF!</definedName>
    <definedName name="VLCS_ÂG">#REF!</definedName>
    <definedName name="VLCS_NÂG">#REF!</definedName>
    <definedName name="vlct" hidden="1">{"'Sheet1'!$L$16"}</definedName>
    <definedName name="VLCT3p">#REF!</definedName>
    <definedName name="VLCT3p_18">#REF!</definedName>
    <definedName name="vlctbb">#REF!</definedName>
    <definedName name="vld">#REF!</definedName>
    <definedName name="vlda">#REF!</definedName>
    <definedName name="VLda1x2">#REF!</definedName>
    <definedName name="VLda2x4">#REF!</definedName>
    <definedName name="VLda4x6">#REF!</definedName>
    <definedName name="VLda6x8">#REF!</definedName>
    <definedName name="VLdaba">#REF!</definedName>
    <definedName name="VLdahoc">#REF!</definedName>
    <definedName name="VLDayCC">#REF!</definedName>
    <definedName name="VLdaydien">#REF!</definedName>
    <definedName name="VLdayno">#REF!</definedName>
    <definedName name="vldb">#REF!</definedName>
    <definedName name="vldd">#REF!</definedName>
    <definedName name="vldd_14">#REF!</definedName>
    <definedName name="vldenhientruong" hidden="1">{"'Sheet1'!$L$16"}</definedName>
    <definedName name="vldg">#REF!</definedName>
    <definedName name="vldg_dz22">#REF!</definedName>
    <definedName name="VLdinh">#REF!</definedName>
    <definedName name="vldn400">#REF!</definedName>
    <definedName name="vldn400_18">#REF!</definedName>
    <definedName name="vldn600">#REF!</definedName>
    <definedName name="vldn600_18">#REF!</definedName>
    <definedName name="VLE">1.12</definedName>
    <definedName name="VLG">1.1</definedName>
    <definedName name="vlgoc">#REF!</definedName>
    <definedName name="VLgovankhuon">#REF!</definedName>
    <definedName name="VLHC">#REF!</definedName>
    <definedName name="VLHC_14">#REF!</definedName>
    <definedName name="VLIEU">#REF!</definedName>
    <definedName name="VLIEU1">#REF!</definedName>
    <definedName name="VLKday">#REF!</definedName>
    <definedName name="VLKhac">#N/A</definedName>
    <definedName name="VLKipQP">#REF!</definedName>
    <definedName name="VLM">#REF!</definedName>
    <definedName name="VLN">1.12</definedName>
    <definedName name="VLNC">#REF!</definedName>
    <definedName name="VLNCMTC">#REF!</definedName>
    <definedName name="VLNhuaduong">#REF!</definedName>
    <definedName name="VLNL">#REF!</definedName>
    <definedName name="vlp">#REF!</definedName>
    <definedName name="VLP_NC_MTC_PHAN_DAY_SU_PHU_KIEN">#REF!</definedName>
    <definedName name="VLPhu">#REF!</definedName>
    <definedName name="VLson">#REF!</definedName>
    <definedName name="VLT">#REF!</definedName>
    <definedName name="VLTBA_ÂG">#REF!</definedName>
    <definedName name="VLTBA_NÂG">#REF!</definedName>
    <definedName name="vltco">#REF!</definedName>
    <definedName name="VLthep">#REF!</definedName>
    <definedName name="vlthepnaphl">#REF!</definedName>
    <definedName name="VLthuocno">#REF!</definedName>
    <definedName name="vltn_dzht">#REF!</definedName>
    <definedName name="vltr">#REF!</definedName>
    <definedName name="vltr_14">#REF!</definedName>
    <definedName name="vltram">#REF!</definedName>
    <definedName name="vltram_18">#REF!</definedName>
    <definedName name="vlu">#REF!</definedName>
    <definedName name="VLxaydung">#REF!</definedName>
    <definedName name="VLXD">#REF!</definedName>
    <definedName name="VLximang">#REF!</definedName>
    <definedName name="vm">#REF!</definedName>
    <definedName name="vm1.">#REF!</definedName>
    <definedName name="vm2.">#REF!</definedName>
    <definedName name="vms_table">#REF!</definedName>
    <definedName name="VMSTable">#REF!</definedName>
    <definedName name="vmware">0.8</definedName>
    <definedName name="vn">#REF!</definedName>
    <definedName name="vn1.">#REF!</definedName>
    <definedName name="vn2.">#REF!</definedName>
    <definedName name="vnarial">#REF!</definedName>
    <definedName name="VND" localSheetId="6">#REF!</definedName>
    <definedName name="VND">#REF!</definedName>
    <definedName name="vnd_list" hidden="1">{"một";"hai";"ba";"bốn";"năm";"sáu";"bảy";"tám";"chín";"mười";"mươi";"mốt";"lăm";"trăm";"nghìn";"triệu";"tỷ";"lẻ";"không trăm";"Bằng chử : "}</definedName>
    <definedName name="VNDPortion">#REF!</definedName>
    <definedName name="Vngt">#REF!</definedName>
    <definedName name="vnhapdieukien">#REF!</definedName>
    <definedName name="vnkk">#REF!</definedName>
    <definedName name="Vnot">#REF!</definedName>
    <definedName name="vnratio">#N/A</definedName>
    <definedName name="VOC">#REF!</definedName>
    <definedName name="VOFFICE_DT">#N/A</definedName>
    <definedName name="VOFFICE_PM">#N/A</definedName>
    <definedName name="voi">#REF!</definedName>
    <definedName name="voi_18">#REF!</definedName>
    <definedName name="voice_req">#REF!</definedName>
    <definedName name="voice_type">#REF!</definedName>
    <definedName name="VoIP_dual_link">#REF!</definedName>
    <definedName name="VoIP_IF">#REF!</definedName>
    <definedName name="VoIP_redund">#REF!</definedName>
    <definedName name="VoIP_req">#REF!</definedName>
    <definedName name="Voltage">#REF!</definedName>
    <definedName name="Von.KL">#REF!</definedName>
    <definedName name="VP" localSheetId="6">#REF!</definedName>
    <definedName name="VP">#REF!</definedName>
    <definedName name="Vph">0.05</definedName>
    <definedName name="Vphuc" hidden="1">{"'Sheet1'!$L$16"}</definedName>
    <definedName name="Vr">#REF!</definedName>
    <definedName name="vr3p">#REF!</definedName>
    <definedName name="vr3p_18">#REF!</definedName>
    <definedName name="Vs">#REF!</definedName>
    <definedName name="vsdttw" hidden="1">{"'Sheet1'!$L$16"}</definedName>
    <definedName name="VSM_1_N_Max_Slots">#REF!</definedName>
    <definedName name="VSM_Capability">#REF!</definedName>
    <definedName name="vt">#REF!</definedName>
    <definedName name="VT_1">#REF!</definedName>
    <definedName name="vt1pbs">#REF!</definedName>
    <definedName name="vt1pbs_14">#REF!</definedName>
    <definedName name="VTB">#REF!</definedName>
    <definedName name="vtbs">#REF!</definedName>
    <definedName name="vtbs_14">#REF!</definedName>
    <definedName name="VtbTBA">#REF!</definedName>
    <definedName name="vtbtt">#REF!</definedName>
    <definedName name="vthang">#REF!</definedName>
    <definedName name="vtkkhtg">#REF!</definedName>
    <definedName name="VTPS_T" hidden="1">#REF!</definedName>
    <definedName name="vtskttg">#REF!</definedName>
    <definedName name="VTTON">#REF!</definedName>
    <definedName name="vtu">#REF!</definedName>
    <definedName name="VTuphu" hidden="1">{"'Sheet1'!$L$16"}</definedName>
    <definedName name="Vu">#REF!</definedName>
    <definedName name="VÙ">#REF!</definedName>
    <definedName name="Vu_">#REF!</definedName>
    <definedName name="Vua">#REF!</definedName>
    <definedName name="vua_75">#REF!</definedName>
    <definedName name="vua_75_18">#REF!</definedName>
    <definedName name="VuaBT">#REF!</definedName>
    <definedName name="VuaBT200">#REF!</definedName>
    <definedName name="vuabtD">#REF!</definedName>
    <definedName name="vuabtG">#REF!</definedName>
    <definedName name="Vub">#REF!</definedName>
    <definedName name="Vuc">#REF!</definedName>
    <definedName name="Vud">#REF!</definedName>
    <definedName name="vung">#REF!</definedName>
    <definedName name="vungdcd">#REF!</definedName>
    <definedName name="vungdcl">#REF!</definedName>
    <definedName name="vungnhapk">#REF!</definedName>
    <definedName name="vungnhapl">#REF!</definedName>
    <definedName name="VungTau" localSheetId="6">#REF!</definedName>
    <definedName name="VungTau">#REF!</definedName>
    <definedName name="VungTL">#REF!</definedName>
    <definedName name="vungtruong">#REF!</definedName>
    <definedName name="vungxuatk">#REF!</definedName>
    <definedName name="vungxuatl">#REF!</definedName>
    <definedName name="Vuo">#N/A</definedName>
    <definedName name="vuot">#REF!</definedName>
    <definedName name="vv">#REF!</definedName>
    <definedName name="vvckttg">#REF!</definedName>
    <definedName name="vvs">#REF!</definedName>
    <definedName name="vvv">#REF!</definedName>
    <definedName name="ｖｖｖｖｖ" hidden="1">{"'Sheet1'!$L$16"}</definedName>
    <definedName name="VVVVVV" hidden="1">{"'Sheet1'!$L$16"}</definedName>
    <definedName name="vvvvvvv" hidden="1">{#N/A,#N/A,FALSE,"Chi tiÆt"}</definedName>
    <definedName name="VX">#REF!</definedName>
    <definedName name="vxabd">#REF!</definedName>
    <definedName name="vxadn">#REF!</definedName>
    <definedName name="vxah">#REF!</definedName>
    <definedName name="vxah1">#REF!</definedName>
    <definedName name="vxaqn">#REF!</definedName>
    <definedName name="vxaqn2">#REF!</definedName>
    <definedName name="vxbbd">#REF!</definedName>
    <definedName name="vxbdn">#REF!</definedName>
    <definedName name="vxbh">#REF!</definedName>
    <definedName name="vxbqn">#REF!</definedName>
    <definedName name="vxbqn2">#REF!</definedName>
    <definedName name="vxcbd">#REF!</definedName>
    <definedName name="vxcdn">#REF!</definedName>
    <definedName name="vxch">#REF!</definedName>
    <definedName name="vxcqn">#REF!</definedName>
    <definedName name="vxcqn2">#REF!</definedName>
    <definedName name="Vxk">#REF!</definedName>
    <definedName name="vxl">#REF!</definedName>
    <definedName name="VxlTBA">#REF!</definedName>
    <definedName name="vxltt">#REF!</definedName>
    <definedName name="vxn">#REF!</definedName>
    <definedName name="VXR_OC3_Pr">#REF!</definedName>
    <definedName name="VXR_Pr">#REF!</definedName>
    <definedName name="vxuan">#REF!</definedName>
    <definedName name="W">#REF!</definedName>
    <definedName name="W_14">#REF!</definedName>
    <definedName name="W_18">#REF!</definedName>
    <definedName name="W_18_Season_Average">#REF!</definedName>
    <definedName name="W_Class1">#REF!</definedName>
    <definedName name="W_Class2">#REF!</definedName>
    <definedName name="W_Class3">#REF!</definedName>
    <definedName name="W_Class4">#REF!</definedName>
    <definedName name="W_Class5">#REF!</definedName>
    <definedName name="W_ty">#REF!</definedName>
    <definedName name="W18_Season">#REF!</definedName>
    <definedName name="waerung1">#REF!</definedName>
    <definedName name="waerung2">#REF!</definedName>
    <definedName name="waerung3">#REF!</definedName>
    <definedName name="waerung4">#REF!</definedName>
    <definedName name="walkway" hidden="1">{"'Sheet1'!$L$16"}</definedName>
    <definedName name="WarDuringCell">#REF!</definedName>
    <definedName name="warn_str">#REF!</definedName>
    <definedName name="warning1">#REF!</definedName>
    <definedName name="warranty">#REF!</definedName>
    <definedName name="WarrantyCountry" localSheetId="6">#REF!</definedName>
    <definedName name="WarrantyCountry">#REF!</definedName>
    <definedName name="wat">#REF!</definedName>
    <definedName name="Wat_tec">#REF!</definedName>
    <definedName name="WATER_SUPPLY">#REF!</definedName>
    <definedName name="waterproofing">#N/A</definedName>
    <definedName name="watertruck">#REF!</definedName>
    <definedName name="waterway">#REF!</definedName>
    <definedName name="watin">#REF!</definedName>
    <definedName name="wb">#REF!</definedName>
    <definedName name="WB1G">#REF!</definedName>
    <definedName name="WB2G">#REF!</definedName>
    <definedName name="wbe">#REF!</definedName>
    <definedName name="Wc">#REF!</definedName>
    <definedName name="Wch">#REF!</definedName>
    <definedName name="wcip">#REF!</definedName>
    <definedName name="wcipin">#REF!</definedName>
    <definedName name="Wcol">#REF!</definedName>
    <definedName name="wct">#REF!</definedName>
    <definedName name="wcurb">#REF!</definedName>
    <definedName name="WCV">#REF!</definedName>
    <definedName name="WCVD">#REF!</definedName>
    <definedName name="Wd">#REF!</definedName>
    <definedName name="Wdaymong">#REF!</definedName>
    <definedName name="wdd">#REF!</definedName>
    <definedName name="we">#REF!</definedName>
    <definedName name="WEEKNUM">#REF!</definedName>
    <definedName name="weerr">#REF!</definedName>
    <definedName name="weight">#REF!</definedName>
    <definedName name="wer">#REF!</definedName>
    <definedName name="Wgct">#N/A</definedName>
    <definedName name="Wgkt">#N/A</definedName>
    <definedName name="wgwyw4tg1qfr">#N/A</definedName>
    <definedName name="wgyw" hidden="1">{"'Sheet1'!$L$16"}</definedName>
    <definedName name="What_are_the_special_arrangements_for_EBR__Belgium_?">#REF!</definedName>
    <definedName name="What_are_the_special_arrangements_for_EED__Germany_?">#REF!</definedName>
    <definedName name="What_are_the_special_arrangements_for_ETM__Netherlands_Holland_?">#REF!</definedName>
    <definedName name="What_do_I_do_if_the_course_required_is_not_in_the_course_list?">#REF!</definedName>
    <definedName name="What_is_the_purpose_of_the_Remote_Access_field_s_?">#REF!</definedName>
    <definedName name="What_numbers_should_I_use_in_the_instructor_expenses_section?">#REF!</definedName>
    <definedName name="What_revision_number_should_I_use?">#REF!</definedName>
    <definedName name="What_value_should_I_use_in_the_Travel_Days_field_s_?">#REF!</definedName>
    <definedName name="WhatRules">#REF!</definedName>
    <definedName name="Whb">#REF!</definedName>
    <definedName name="Widenlane_d">#REF!</definedName>
    <definedName name="Widenlane_nd">#REF!</definedName>
    <definedName name="WiLL_large">#REF!</definedName>
    <definedName name="WiLL_medium">#REF!</definedName>
    <definedName name="WiLL_small">#REF!</definedName>
    <definedName name="WIND">#REF!</definedName>
    <definedName name="WIRE1">5</definedName>
    <definedName name="wis" hidden="1">#REF!</definedName>
    <definedName name="wkqcjf">#REF!</definedName>
    <definedName name="wl">#REF!</definedName>
    <definedName name="WLd">#REF!</definedName>
    <definedName name="WLL">#REF!</definedName>
    <definedName name="Wloc">#REF!</definedName>
    <definedName name="wlqrp" hidden="1">0</definedName>
    <definedName name="wm.조골재1" hidden="1">{#N/A,#N/A,FALSE,"조골재"}</definedName>
    <definedName name="wõe" hidden="1">{"'Sheet1'!$L$16"}</definedName>
    <definedName name="working_day">22.5</definedName>
    <definedName name="worksheet">#N/A</definedName>
    <definedName name="Workstations">#REF!</definedName>
    <definedName name="Wp">#REF!</definedName>
    <definedName name="wpav">#REF!</definedName>
    <definedName name="Wpavin">#REF!</definedName>
    <definedName name="Wpc">#REF!</definedName>
    <definedName name="WQ" localSheetId="6" hidden="1">REPT('Chi phí AI'!LOCAL_YEAR_FORMAT,4)&amp;'Chi phí AI'!LOCAL_DATE_SEPARATOR&amp;REPT('Chi phí AI'!LOCAL_MONTH_FORMAT,2)&amp;'Chi phí AI'!LOCAL_DATE_SEPARATOR&amp;REPT('Chi phí AI'!LOCAL_DAY_FORMAT,2)&amp;" "&amp;REPT('Chi phí AI'!LOCAL_HOUR_FORMAT,2)&amp;'Chi phí AI'!LOCAL_TIME_SEPARATOR&amp;REPT('Chi phí AI'!LOCAL_MINUTE_FORMAT,2)&amp;'Chi phí AI'!LOCAL_TIME_SEPARATOR&amp;REPT('Chi phí AI'!LOCAL_SECOND_FORMAT,2)</definedName>
    <definedName name="W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wrail">#REF!</definedName>
    <definedName name="WRITE">{#N/A,#N/A,FALSE,"CCTV"}</definedName>
    <definedName name="WRN">{#N/A,#N/A,FALSE,"CCTV"}</definedName>
    <definedName name="wrn.2번." hidden="1">{#N/A,#N/A,FALSE,"2~8번"}</definedName>
    <definedName name="wrn.97." hidden="1">{#N/A,#N/A,FALSE,"지침";#N/A,#N/A,FALSE,"환경분석";#N/A,#N/A,FALSE,"Sheet16"}</definedName>
    <definedName name="WRN.98." hidden="1">{#N/A,#N/A,FALSE,"지침";#N/A,#N/A,FALSE,"환경분석";#N/A,#N/A,FALSE,"Sheet16"}</definedName>
    <definedName name="wrn.A." hidden="1">{#N/A,#N/A,TRUE,"SUM";#N/A,#N/A,TRUE,"EE";#N/A,#N/A,TRUE,"AC";#N/A,#N/A,TRUE,"SN"}</definedName>
    <definedName name="wrn.aaa" hidden="1">{#N/A,#N/A,FALSE,"Sheet1";#N/A,#N/A,FALSE,"Sheet1";#N/A,#N/A,FALSE,"Sheet1"}</definedName>
    <definedName name="wrn.aaa." localSheetId="6">#REF!</definedName>
    <definedName name="wrn.aaa." hidden="1">{#N/A,#N/A,FALSE,"Sheet1";#N/A,#N/A,FALSE,"Sheet1";#N/A,#N/A,FALSE,"Sheet1"}</definedName>
    <definedName name="wrn.ALL." hidden="1">{#N/A,#N/A,FALSE,"Engr Data";#N/A,#N/A,FALSE,"Engr Cur";#N/A,#N/A,FALSE,"DsnDraft";#N/A,#N/A,FALSE,"DsnDftCur";#N/A,#N/A,FALSE,"Supports";#N/A,#N/A,FALSE,"SptCur";#N/A,#N/A,FALSE,"Total";#N/A,#N/A,FALSE,"TotCur";#N/A,#N/A,FALSE,"Client";#N/A,#N/A,FALSE,"Instructions"}</definedName>
    <definedName name="WRN.B." hidden="1">{#N/A,#N/A,TRUE,"SUM";#N/A,#N/A,TRUE,"EE";#N/A,#N/A,TRUE,"AC";#N/A,#N/A,TRUE,"SN"}</definedName>
    <definedName name="wrn.Bang._.ke._.nhan._.hang." hidden="1">{#N/A,#N/A,FALSE,"Ke khai NH"}</definedName>
    <definedName name="wrn.BAOCAO." hidden="1">{#N/A,#N/A,FALSE,"sum";#N/A,#N/A,FALSE,"MARTV";#N/A,#N/A,FALSE,"APRTV"}</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M.">{#N/A,#N/A,FALSE,"CCTV"}</definedName>
    <definedName name="wrn.BOOK11." hidden="1">{"SUM",#N/A,FALSE,"summary";"BOOK11-1",#N/A,FALSE,"1CityGarden";"BOOK11-2",#N/A,FALSE,"2CountryGarden";"BOOK11-3",#N/A,FALSE,"3JUNGLE";"BOOK11-4CIVIL",#N/A,FALSE,"CIVIL"}</definedName>
    <definedName name="wrn.BSS."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TS." hidden="1">{#N/A,#N/A,TRUE,"Config1";#N/A,#N/A,TRUE,"Config2";#N/A,#N/A,TRUE,"Config3";#N/A,#N/A,TRUE,"Config4";#N/A,#N/A,TRUE,"Config5";#N/A,#N/A,TRUE,"Config6";#N/A,#N/A,TRUE,"Config7"}</definedName>
    <definedName name="wrn.BTS._loc" hidden="1">{#N/A,#N/A,TRUE,"Config1";#N/A,#N/A,TRUE,"Config2";#N/A,#N/A,TRUE,"Config3";#N/A,#N/A,TRUE,"Config4";#N/A,#N/A,TRUE,"Config5";#N/A,#N/A,TRUE,"Config6";#N/A,#N/A,TRUE,"Config7"}</definedName>
    <definedName name="wrn.Budget._.Plan." hidden="1">{#N/A,#N/A,TRUE,"Sheet1"}</definedName>
    <definedName name="WRN.C" hidden="1">{#N/A,#N/A,TRUE,"SUM";#N/A,#N/A,TRUE,"EE";#N/A,#N/A,TRUE,"AC";#N/A,#N/A,TRUE,"SN"}</definedName>
    <definedName name="wrn.Che._.do._.duoc._.huong." hidden="1">{#N/A,#N/A,FALSE,"BN (2)"}</definedName>
    <definedName name="wrn.chi._.tiÆt." localSheetId="6">#REF!</definedName>
    <definedName name="wrn.chi._.tiÆt." hidden="1">{#N/A,#N/A,FALSE,"Chi tiÆt"}</definedName>
    <definedName name="wrn.clntrpt." hidden="1">{#N/A,#N/A,FALSE,"CLIENT HOPSR";#N/A,#N/A,FALSE,"JEG GRAPH";#N/A,#N/A,FALSE,"PROCESS";#N/A,#N/A,FALSE,"CIVIL";#N/A,#N/A,FALSE,"ELECTRICAL";#N/A,#N/A,FALSE,"CNTRL SYS";#N/A,#N/A,FALSE,"MECH";#N/A,#N/A,FALSE,"PIPE"}</definedName>
    <definedName name="wrn.Complete._.Spreadsheet." hidden="1">{"Complete Spreadsheet",#N/A,FALSE,"BASIC"}</definedName>
    <definedName name="wrn.cong." localSheetId="6">#REF!</definedName>
    <definedName name="wrn.cong." hidden="1">{#N/A,#N/A,FALSE,"Sheet1"}</definedName>
    <definedName name="wrn.Customer._.with._.Site._.Equipment." hidden="1">{"Customer with Site Equipment",#N/A,FALSE,"BASIC"}</definedName>
    <definedName name="wrn.Customer._.with._.Site._.Pricing." hidden="1">{"Customer with Site Pricing",#N/A,FALSE,"BASIC"}</definedName>
    <definedName name="wrn.CustomerVersion1." hidden="1">{#N/A,#N/A,TRUE,"Perm";#N/A,#N/A,TRUE,"Architecture"}</definedName>
    <definedName name="wrn.Detail." hidden="1">{"Detail",#N/A,FALSE,"Assump";"Detail",#N/A,FALSE,"Muni";"Detail",#N/A,FALSE,"Proj";"Detail",#N/A,FALSE,"Calc";"Present",#N/A,FALSE,"Cover"}</definedName>
    <definedName name="wrn.DEV_SYNTHESE." hidden="1">{"COST",#N/A,FALSE,"SYNTHESE";"MARGIN",#N/A,FALSE,"SYNTHESE";"LOT_COM",#N/A,FALSE,"SYNTHESE"}</definedName>
    <definedName name="wrn.DEV_SYNTHESE._loc" hidden="1">{"COST",#N/A,FALSE,"SYNTHESE";"MARGIN",#N/A,FALSE,"SYNTHESE";"LOT_COM",#N/A,FALSE,"SYNTHESE"}</definedName>
    <definedName name="wrn.DIRLABR." hidden="1">{#N/A,#N/A,TRUE,"CS&amp;SS(AG)";#N/A,#N/A,TRUE,"CS(UG)";#N/A,#N/A,TRUE,"CSCL(UG)";#N/A,#N/A,TRUE,"KYNAR";#N/A,#N/A,TRUE,"ALLOY904";#N/A,#N/A,TRUE,"TITANIUM";#N/A,#N/A,TRUE,"STMTRACE"}</definedName>
    <definedName name="wrn.Equipment._.List." hidden="1">{"Equipment List",#N/A,FALSE,"BASIC"}</definedName>
    <definedName name="wrn.GENSERV." hidden="1">{#N/A,#N/A,FALSE,"VISTAF"}</definedName>
    <definedName name="wrn.Giáy._.bao._.no." hidden="1">{#N/A,#N/A,FALSE,"BN"}</definedName>
    <definedName name="wrn.INDIRCOS." hidden="1">{#N/A,#N/A,TRUE,"FIELDOFF";#N/A,#N/A,TRUE,"SCAFF";#N/A,#N/A,TRUE,"CONSTEQP";#N/A,#N/A,TRUE,"FUELUBE";#N/A,#N/A,TRUE,"CONSUME";#N/A,#N/A,TRUE,"FIELDEXP";#N/A,#N/A,TRUE,"MANPLAN";#N/A,#N/A,TRUE,"EQPLAN"}</definedName>
    <definedName name="wrn.Inputsheet_ProjectInput." hidden="1">{"ProjectInput",#N/A,FALSE,"INPUT-AREA"}</definedName>
    <definedName name="wrn.INSTALLATION." hidden="1">{#N/A,#N/A,FALSE,"Sheet1"}</definedName>
    <definedName name="wrn.inv._.budget." hidden="1">{"invbud-1",#N/A,FALSE,"A";"invbud-1CW",#N/A,FALSE,"A";"Desinvesteringen",#N/A,FALSE,"C"}</definedName>
    <definedName name="wrn.jegrpt." hidden="1">{#N/A,#N/A,FALSE,"PJT STATUS RVW";#N/A,#N/A,FALSE,"MAPS CKLIST";#N/A,#N/A,FALSE,"HOPSR-BASE-IHOCS";#N/A,#N/A,FALSE,"HOPSR-BASE FOR REPORT";#N/A,#N/A,FALSE,"GEN SERVICES";#N/A,#N/A,FALSE,"FINANCIAL";#N/A,#N/A,FALSE,"CONTRACT CURVES";#N/A,#N/A,FALSE,"JEG GRAPH";#N/A,#N/A,FALSE,"JEG GRAPH (2)"}</definedName>
    <definedName name="wrn.LPU._.MG." hidden="1">{"MG-2002-F1",#N/A,FALSE,"PPU-Telemig";"MG-2002-F2",#N/A,FALSE,"PPU-Telemig";"MG-2002-F3",#N/A,FALSE,"PPU-Telemig";"MG-2002-F4",#N/A,FALSE,"PPU-Telemig";"MG-2003-F1",#N/A,FALSE,"PPU-Telemig";"MG-2004-F1",#N/A,FALSE,"PPU-Telemig"}</definedName>
    <definedName name="wrn.mai._.khanh." hidden="1">{"NGUYEN QUI THIEP - Personal View",#N/A,FALSE,"XDCB.HT.FUR."}</definedName>
    <definedName name="wrn.Manual." hidden="1">{#N/A,#N/A,FALSE,"CAPTION LIST (As-Built)";#N/A,#N/A,FALSE,"DOCUMENT LIST (As-Built)";#N/A,#N/A,FALSE,"PLANT SPECIFICATION";#N/A,#N/A,FALSE,"PRODUCT LIST"}</definedName>
    <definedName name="wrn.MARGIN." hidden="1">{#N/A,#N/A,FALSE,"VISTAF"}</definedName>
    <definedName name="wrn.mhrfcst." hidden="1">{#N/A,#N/A,FALSE,"MANHR FCST-BASE"}</definedName>
    <definedName name="wrn.Monthly._.Statement.">#REF!</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ERPACKPG3." hidden="1">{"DJH3",#N/A,FALSE,"PFL00805";"PJB3",#N/A,FALSE,"PFL00805";"JMD3",#N/A,FALSE,"PFL00805";"DNB3",#N/A,FALSE,"PFL00805";"MJP3",#N/A,FALSE,"PFL00805";"RAB3",#N/A,FALSE,"PFL00805";"GJW3",#N/A,FALSE,"PFL00805";"MASTER3",#N/A,FALSE,"PFL00805"}</definedName>
    <definedName name="wrn.Present." hidden="1">{"Present",#N/A,FALSE,"Assump";"Present",#N/A,FALSE,"Calc";"Present",#N/A,FALSE,"Cover"}</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#REF!</definedName>
    <definedName name="wrn.report1." hidden="1">{#N/A,#N/A,FALSE,"特殊室（ＢＱ表）"}</definedName>
    <definedName name="wrn.Site._.expenses." hidden="1">{#N/A,#N/A,FALSE,"Expenses";#N/A,#N/A,FALSE,"Expenses"}</definedName>
    <definedName name="wrn.thu." hidden="1">{#N/A,#N/A,FALSE,"Chung"}</definedName>
    <definedName name="wrn.vd." hidden="1">{#N/A,#N/A,TRUE,"BT M200 da 10x20"}</definedName>
    <definedName name="wrn.Work._.Report." hidden="1">{"accomplishment",#N/A,FALSE,"Summary Week 3"}</definedName>
    <definedName name="wrn.ใบเสนอราคา." hidden="1">{#N/A,#N/A,TRUE,"ใบเสนอราคา"}</definedName>
    <definedName name="wrn.골재소요량." hidden="1">{#N/A,#N/A,FALSE,"골재소요량";#N/A,#N/A,FALSE,"골재소요량"}</definedName>
    <definedName name="wrn.교육청." hidden="1">{#N/A,#N/A,FALSE,"전력간선"}</definedName>
    <definedName name="wrn.구조2." hidden="1">{#N/A,#N/A,FALSE,"구조2"}</definedName>
    <definedName name="wrn.단가표지." hidden="1">{#N/A,#N/A,FALSE,"단가표지"}</definedName>
    <definedName name="wrn.배수1." hidden="1">{#N/A,#N/A,FALSE,"배수1"}</definedName>
    <definedName name="wrn.배수2." hidden="1">{#N/A,#N/A,FALSE,"배수2"}</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운반시간." hidden="1">{#N/A,#N/A,FALSE,"운반시간"}</definedName>
    <definedName name="wrn.이정표." hidden="1">{#N/A,#N/A,FALSE,"이정표"}</definedName>
    <definedName name="wrn.이태원._.철근." hidden="1">{#N/A,#N/A,FALSE,"이태원철근"}</definedName>
    <definedName name="wrn.조골재." hidden="1">{#N/A,#N/A,FALSE,"조골재"}</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_xoa2" hidden="1">{#N/A,#N/A,FALSE,"Chi tiÆt"}</definedName>
    <definedName name="WRNB." hidden="1">{#N/A,#N/A,TRUE,"SUM";#N/A,#N/A,TRUE,"EE";#N/A,#N/A,TRUE,"AC";#N/A,#N/A,TRUE,"SN"}</definedName>
    <definedName name="WrnBSS"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TS" hidden="1">{#N/A,#N/A,TRUE,"Config1";#N/A,#N/A,TRUE,"Config2";#N/A,#N/A,TRUE,"Config3";#N/A,#N/A,TRUE,"Config4";#N/A,#N/A,TRUE,"Config5";#N/A,#N/A,TRUE,"Config6";#N/A,#N/A,TRUE,"Config7"}</definedName>
    <definedName name="WrnBTS_loc" hidden="1">{#N/A,#N/A,TRUE,"Config1";#N/A,#N/A,TRUE,"Config2";#N/A,#N/A,TRUE,"Config3";#N/A,#N/A,TRUE,"Config4";#N/A,#N/A,TRUE,"Config5";#N/A,#N/A,TRUE,"Config6";#N/A,#N/A,TRUE,"Config7"}</definedName>
    <definedName name="WrnBTS2" hidden="1">{#N/A,#N/A,TRUE,"Config1";#N/A,#N/A,TRUE,"Config2";#N/A,#N/A,TRUE,"Config3";#N/A,#N/A,TRUE,"Config4";#N/A,#N/A,TRUE,"Config5";#N/A,#N/A,TRUE,"Config6";#N/A,#N/A,TRUE,"Config7"}</definedName>
    <definedName name="WrnBTS2_loc" hidden="1">{#N/A,#N/A,TRUE,"Config1";#N/A,#N/A,TRUE,"Config2";#N/A,#N/A,TRUE,"Config3";#N/A,#N/A,TRUE,"Config4";#N/A,#N/A,TRUE,"Config5";#N/A,#N/A,TRUE,"Config6";#N/A,#N/A,TRUE,"Config7"}</definedName>
    <definedName name="WrnDevSynthese" hidden="1">{"COST",#N/A,FALSE,"SYNTHESE";"MARGIN",#N/A,FALSE,"SYNTHESE";"LOT_COM",#N/A,FALSE,"SYNTHESE"}</definedName>
    <definedName name="WrnDevSynthese2" hidden="1">{"COST",#N/A,FALSE,"SYNTHESE";"MARGIN",#N/A,FALSE,"SYNTHESE";"LOT_COM",#N/A,FALSE,"SYNTHESE"}</definedName>
    <definedName name="wrnf.report">#REF!</definedName>
    <definedName name="wrnf.repỏ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ww" hidden="1">{"Offgrid",#N/A,FALSE,"OFFGRID";"Region",#N/A,FALSE,"REGION";"Offgrid -2",#N/A,FALSE,"OFFGRID";"WTP",#N/A,FALSE,"WTP";"WTP -2",#N/A,FALSE,"WTP";"Project",#N/A,FALSE,"PROJECT";"Summary -2",#N/A,FALSE,"SUMMARY"}</definedName>
    <definedName name="Ws">#REF!</definedName>
    <definedName name="WSD">#N/A</definedName>
    <definedName name="WSDS">#N/A</definedName>
    <definedName name="wsel">#REF!</definedName>
    <definedName name="wsetg"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s">#REF!</definedName>
    <definedName name="Wst">#REF!</definedName>
    <definedName name="WT" localSheetId="6">NA()</definedName>
    <definedName name="wt">#REF!</definedName>
    <definedName name="WT_CC">#REF!</definedName>
    <definedName name="WT_CCT">#REF!</definedName>
    <definedName name="WT_CH">#REF!</definedName>
    <definedName name="WT_CHT">#REF!</definedName>
    <definedName name="WT_CM">#REF!</definedName>
    <definedName name="WT_CME">#REF!</definedName>
    <definedName name="WT_CMET">#REF!</definedName>
    <definedName name="WT_CMT">#REF!</definedName>
    <definedName name="WT_CQ">#REF!</definedName>
    <definedName name="WT_CQT">#REF!</definedName>
    <definedName name="WT_E">#REF!</definedName>
    <definedName name="WT_ET">#REF!</definedName>
    <definedName name="WT_WC">#REF!</definedName>
    <definedName name="WT_WCT">#REF!</definedName>
    <definedName name="Wth">#REF!</definedName>
    <definedName name="wtn">#REF!</definedName>
    <definedName name="wtru">#REF!</definedName>
    <definedName name="wup">#REF!</definedName>
    <definedName name="wup_1">"#REF!"</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6">NA()</definedName>
    <definedName name="ww">{"Thuxm2.xls","Sheet1"}</definedName>
    <definedName name="ww_1">{"Thuxm2.xls","Sheet1"}</definedName>
    <definedName name="ww_10">{"Thuxm2.xls","Sheet1"}</definedName>
    <definedName name="ww_10_1">{"Thuxm2.xls","Sheet1"}</definedName>
    <definedName name="ww_11">{"Thuxm2.xls","Sheet1"}</definedName>
    <definedName name="ww_11_1">{"Thuxm2.xls","Sheet1"}</definedName>
    <definedName name="ww_12">{"Thuxm2.xls","Sheet1"}</definedName>
    <definedName name="ww_12_1">{"Thuxm2.xls","Sheet1"}</definedName>
    <definedName name="ww_14">{"Thuxm2.xls","Sheet1"}</definedName>
    <definedName name="ww_14_1">{"Thuxm2.xls","Sheet1"}</definedName>
    <definedName name="ww_15">{"Thuxm2.xls","Sheet1"}</definedName>
    <definedName name="ww_15_1">{"Thuxm2.xls","Sheet1"}</definedName>
    <definedName name="ww_16">{"Thuxm2.xls","Sheet1"}</definedName>
    <definedName name="ww_16_1">{"Thuxm2.xls","Sheet1"}</definedName>
    <definedName name="ww_17">{"Thuxm2.xls","Sheet1"}</definedName>
    <definedName name="ww_17_1">{"Thuxm2.xls","Sheet1"}</definedName>
    <definedName name="ww_19">{"Thuxm2.xls","Sheet1"}</definedName>
    <definedName name="ww_19_1">{"Thuxm2.xls","Sheet1"}</definedName>
    <definedName name="ww_23">{"Thuxm2.xls","Sheet1"}</definedName>
    <definedName name="ww_23_1">{"Thuxm2.xls","Sheet1"}</definedName>
    <definedName name="ww_24">{"Thuxm2.xls","Sheet1"}</definedName>
    <definedName name="ww_24_1">{"Thuxm2.xls","Sheet1"}</definedName>
    <definedName name="ww_25">{"Thuxm2.xls","Sheet1"}</definedName>
    <definedName name="ww_25_1">{"Thuxm2.xls","Sheet1"}</definedName>
    <definedName name="ww_26">{"Thuxm2.xls","Sheet1"}</definedName>
    <definedName name="ww_26_1">{"Thuxm2.xls","Sheet1"}</definedName>
    <definedName name="ww_28">{"Thuxm2.xls","Sheet1"}</definedName>
    <definedName name="ww_28_1">{"Thuxm2.xls","Sheet1"}</definedName>
    <definedName name="ww_3">{"Thuxm2.xls","Sheet1"}</definedName>
    <definedName name="ww_3_1">{"Thuxm2.xls","Sheet1"}</definedName>
    <definedName name="ww_31">{"Thuxm2.xls","Sheet1"}</definedName>
    <definedName name="ww_31_1">{"Thuxm2.xls","Sheet1"}</definedName>
    <definedName name="ww_32">{"Thuxm2.xls","Sheet1"}</definedName>
    <definedName name="ww_32_1">{"Thuxm2.xls","Sheet1"}</definedName>
    <definedName name="ww_7">{"Thuxm2.xls","Sheet1"}</definedName>
    <definedName name="ww_7_1">{"Thuxm2.xls","Sheet1"}</definedName>
    <definedName name="ww_9">{"Thuxm2.xls","Sheet1"}</definedName>
    <definedName name="ww_9_1">{"Thuxm2.xls","Sheet1"}</definedName>
    <definedName name="wwa">{"Thuxm2.xls","Sheet1"}</definedName>
    <definedName name="wwa_1">{"Thuxm2.xls","Sheet1"}</definedName>
    <definedName name="wwa_10">{"Thuxm2.xls","Sheet1"}</definedName>
    <definedName name="wwa_10_1">{"Thuxm2.xls","Sheet1"}</definedName>
    <definedName name="wwa_11">{"Thuxm2.xls","Sheet1"}</definedName>
    <definedName name="wwa_11_1">{"Thuxm2.xls","Sheet1"}</definedName>
    <definedName name="wwa_12">{"Thuxm2.xls","Sheet1"}</definedName>
    <definedName name="wwa_12_1">{"Thuxm2.xls","Sheet1"}</definedName>
    <definedName name="wwa_14">{"Thuxm2.xls","Sheet1"}</definedName>
    <definedName name="wwa_14_1">{"Thuxm2.xls","Sheet1"}</definedName>
    <definedName name="wwa_15">{"Thuxm2.xls","Sheet1"}</definedName>
    <definedName name="wwa_15_1">{"Thuxm2.xls","Sheet1"}</definedName>
    <definedName name="wwa_16">{"Thuxm2.xls","Sheet1"}</definedName>
    <definedName name="wwa_16_1">{"Thuxm2.xls","Sheet1"}</definedName>
    <definedName name="wwa_17">{"Thuxm2.xls","Sheet1"}</definedName>
    <definedName name="wwa_17_1">{"Thuxm2.xls","Sheet1"}</definedName>
    <definedName name="wwa_19">{"Thuxm2.xls","Sheet1"}</definedName>
    <definedName name="wwa_19_1">{"Thuxm2.xls","Sheet1"}</definedName>
    <definedName name="wwa_26">{"Thuxm2.xls","Sheet1"}</definedName>
    <definedName name="wwa_26_1">{"Thuxm2.xls","Sheet1"}</definedName>
    <definedName name="wwa_28">{"Thuxm2.xls","Sheet1"}</definedName>
    <definedName name="wwa_28_1">{"Thuxm2.xls","Sheet1"}</definedName>
    <definedName name="wwa_3">{"Thuxm2.xls","Sheet1"}</definedName>
    <definedName name="wwa_3_1">{"Thuxm2.xls","Sheet1"}</definedName>
    <definedName name="wwa_31">{"Thuxm2.xls","Sheet1"}</definedName>
    <definedName name="wwa_31_1">{"Thuxm2.xls","Sheet1"}</definedName>
    <definedName name="wwa_32">{"Thuxm2.xls","Sheet1"}</definedName>
    <definedName name="wwa_32_1">{"Thuxm2.xls","Sheet1"}</definedName>
    <definedName name="wwa_7">{"Thuxm2.xls","Sheet1"}</definedName>
    <definedName name="wwa_7_1">{"Thuxm2.xls","Sheet1"}</definedName>
    <definedName name="wwa_9">{"Thuxm2.xls","Sheet1"}</definedName>
    <definedName name="wwa_9_1">{"Thuxm2.xls","Sheet1"}</definedName>
    <definedName name="wwhh" hidden="1">{#N/A,#N/A,FALSE,"Chi tiÆt"}</definedName>
    <definedName name="wwhwhwrh" hidden="1">{"'Sheet1'!$L$16"}</definedName>
    <definedName name="WWW" hidden="1">{"'Sheet1'!$L$16"}</definedName>
    <definedName name="wwww" hidden="1">{"'现金流量表（全部投资）'!$B$4:$P$23"}</definedName>
    <definedName name="ｗｗｗｗ" hidden="1">{"'Sheet1'!$L$16"}</definedName>
    <definedName name="wwwwwww" hidden="1">{"Offgrid",#N/A,FALSE,"OFFGRID";"Region",#N/A,FALSE,"REGION";"Offgrid -2",#N/A,FALSE,"OFFGRID";"WTP",#N/A,FALSE,"WTP";"WTP -2",#N/A,FALSE,"WTP";"Project",#N/A,FALSE,"PROJECT";"Summary -2",#N/A,FALSE,"SUMMARY"}</definedName>
    <definedName name="wwwwwwwwwwwwwwwwwwwwwwwwwwwww" hidden="1">{"'Sheet1'!$L$16"}</definedName>
    <definedName name="X">#REF!</definedName>
    <definedName name="X.25">#REF!</definedName>
    <definedName name="X.CSV">#N/A</definedName>
    <definedName name="X.CSVa">#N/A</definedName>
    <definedName name="x_1">#REF!</definedName>
    <definedName name="x_14">#REF!</definedName>
    <definedName name="X_18">#REF!</definedName>
    <definedName name="x_2">#REF!</definedName>
    <definedName name="x_3">#REF!</definedName>
    <definedName name="x_4">#REF!</definedName>
    <definedName name="x_8I">#REF!</definedName>
    <definedName name="x_8IV">#REF!</definedName>
    <definedName name="x_9I">#REF!</definedName>
    <definedName name="x_9IV">#REF!</definedName>
    <definedName name="x_cset">[26]tonghopxaylapchongset!$E$14</definedName>
    <definedName name="X_hien">#N/A</definedName>
    <definedName name="x_list">#REF!</definedName>
    <definedName name="x_list_1">"#REF!"</definedName>
    <definedName name="x_list_18">#REF!</definedName>
    <definedName name="x_list2">#REF!</definedName>
    <definedName name="X_ng">#REF!</definedName>
    <definedName name="x_tbi">#REF!</definedName>
    <definedName name="X_y_l_p_cét_TT_B">#REF!</definedName>
    <definedName name="X_y_l_p_cét_TT_B_u__iÖn_v__c_c_h_ng_môc_phô_trî_kh_c___Ó_kÐo_c_p">#REF!</definedName>
    <definedName name="X_y_l_p_èng_c_p">#REF!</definedName>
    <definedName name="X0.4">#REF!</definedName>
    <definedName name="X0GFCFw">#REF!</definedName>
    <definedName name="x1_">#REF!</definedName>
    <definedName name="x1__1">"#REF!"</definedName>
    <definedName name="X10P">#REF!</definedName>
    <definedName name="x17dnc">#REF!</definedName>
    <definedName name="x17dnc_14">#REF!</definedName>
    <definedName name="x17dvl">#REF!</definedName>
    <definedName name="x17dvl_14">#REF!</definedName>
    <definedName name="x17knc">#REF!</definedName>
    <definedName name="x17knc_14">#REF!</definedName>
    <definedName name="x17kvl">#REF!</definedName>
    <definedName name="x17kvl_14">#REF!</definedName>
    <definedName name="X1GFCFw">#REF!</definedName>
    <definedName name="X1pFCOnc">#REF!</definedName>
    <definedName name="X1pFCOnc_14">#REF!</definedName>
    <definedName name="X1pFCOvc">#REF!</definedName>
    <definedName name="X1pFCOvc_14">#REF!</definedName>
    <definedName name="X1pFCOvl">#REF!</definedName>
    <definedName name="X1pFCOvl_14">#REF!</definedName>
    <definedName name="x1pignc">#REF!</definedName>
    <definedName name="x1pignc_14">#REF!</definedName>
    <definedName name="X1pIGvc">#REF!</definedName>
    <definedName name="X1pIGvc_14">#REF!</definedName>
    <definedName name="x1pigvl">#REF!</definedName>
    <definedName name="x1pigvl_14">#REF!</definedName>
    <definedName name="x1pind">#REF!</definedName>
    <definedName name="x1pind_18">#REF!</definedName>
    <definedName name="x1pind_33">"#REF!"</definedName>
    <definedName name="x1pind_34">"#REF!"</definedName>
    <definedName name="x1pindnc">#REF!</definedName>
    <definedName name="x1pindnc_14">#REF!</definedName>
    <definedName name="X1pINDvc">#REF!</definedName>
    <definedName name="X1pINDvc_18">#REF!</definedName>
    <definedName name="x1pindvl">#REF!</definedName>
    <definedName name="x1pindvl_14">#REF!</definedName>
    <definedName name="x1ping">#REF!</definedName>
    <definedName name="x1ping_18">#REF!</definedName>
    <definedName name="x1ping_33">"#REF!"</definedName>
    <definedName name="x1ping_34">"#REF!"</definedName>
    <definedName name="x1pingnc">#REF!</definedName>
    <definedName name="x1pingnc_14">#REF!</definedName>
    <definedName name="X1pINGvc">#REF!</definedName>
    <definedName name="X1pINGvc_18">#REF!</definedName>
    <definedName name="x1pingvl">#REF!</definedName>
    <definedName name="x1pingvl_14">#REF!</definedName>
    <definedName name="x1pint">#REF!</definedName>
    <definedName name="x1pint_18">#REF!</definedName>
    <definedName name="x1pint_33">"#REF!"</definedName>
    <definedName name="x1pint_34">"#REF!"</definedName>
    <definedName name="x1pintnc">#REF!</definedName>
    <definedName name="x1pintnc_14">#REF!</definedName>
    <definedName name="X1pINTvc">#REF!</definedName>
    <definedName name="X1pINTvc_14">#REF!</definedName>
    <definedName name="x1pintvl">#REF!</definedName>
    <definedName name="x1pintvl_14">#REF!</definedName>
    <definedName name="x1pitnc">#REF!</definedName>
    <definedName name="x1pitnc_14">#REF!</definedName>
    <definedName name="X1pITvc">#REF!</definedName>
    <definedName name="X1pITvc_14">#REF!</definedName>
    <definedName name="x1pitvl">#REF!</definedName>
    <definedName name="x1pitvl_14">#REF!</definedName>
    <definedName name="x2_">#REF!</definedName>
    <definedName name="x20knc">#REF!</definedName>
    <definedName name="x20knc_14">#REF!</definedName>
    <definedName name="x20kvl">#REF!</definedName>
    <definedName name="x20kvl_14">#REF!</definedName>
    <definedName name="X21_adaptor">#REF!</definedName>
    <definedName name="x22knc">#REF!</definedName>
    <definedName name="x22knc_14">#REF!</definedName>
    <definedName name="x22kvl">#REF!</definedName>
    <definedName name="x22kvl_14">#REF!</definedName>
    <definedName name="X255QTY">#REF!</definedName>
    <definedName name="x2mig1nc">#REF!</definedName>
    <definedName name="x2mig1nc_14">#REF!</definedName>
    <definedName name="x2mig1vl">#REF!</definedName>
    <definedName name="x2mig1vl_14">#REF!</definedName>
    <definedName name="x2min1nc">#REF!</definedName>
    <definedName name="x2min1nc_14">#REF!</definedName>
    <definedName name="x2min1vl">#REF!</definedName>
    <definedName name="x2min1vl_14">#REF!</definedName>
    <definedName name="x2mit1vl">#REF!</definedName>
    <definedName name="x2mit1vl_14">#REF!</definedName>
    <definedName name="x2mitnc">#REF!</definedName>
    <definedName name="x2mitnc_14">#REF!</definedName>
    <definedName name="X3_">#N/A</definedName>
    <definedName name="X300HOME">#REF!</definedName>
    <definedName name="X300QTY">#REF!</definedName>
    <definedName name="X360HOME">#REF!</definedName>
    <definedName name="X360QTY">#REF!</definedName>
    <definedName name="x4.1.1">#REF!</definedName>
    <definedName name="x4.3.21">#REF!</definedName>
    <definedName name="x4.3.22">#REF!</definedName>
    <definedName name="X44016WHOME">#REF!</definedName>
    <definedName name="X44016WQTY">#REF!</definedName>
    <definedName name="X440HOME">#REF!</definedName>
    <definedName name="X440QTY">#REF!</definedName>
    <definedName name="X44516WHOME">#REF!</definedName>
    <definedName name="X44516WQTY">#REF!</definedName>
    <definedName name="X445HOME">#REF!</definedName>
    <definedName name="X445QTY">#REF!</definedName>
    <definedName name="X450HOME">#REF!</definedName>
    <definedName name="X450QTY">#REF!</definedName>
    <definedName name="XA">#REF!</definedName>
    <definedName name="xa_son">#REF!</definedName>
    <definedName name="xadup">#REF!</definedName>
    <definedName name="XADZ04">#REF!</definedName>
    <definedName name="Xæí_lyï_tiãúp_âëa_xaî_Hæång_Phong">#REF!</definedName>
    <definedName name="xaïon">#REF!</definedName>
    <definedName name="xama">#REF!</definedName>
    <definedName name="xang">#REF!</definedName>
    <definedName name="XangGG">[27]DLdauvao!$H$11</definedName>
    <definedName name="Xao">#REF!</definedName>
    <definedName name="xason">#REF!</definedName>
    <definedName name="xat">#REF!</definedName>
    <definedName name="XAY" hidden="1">{"'Sheet1'!$L$16"}</definedName>
    <definedName name="xay_lap">#REF!</definedName>
    <definedName name="Xaybe">#REF!</definedName>
    <definedName name="xaydung">#REF!</definedName>
    <definedName name="xaydung_18">#REF!</definedName>
    <definedName name="xaylap">#REF!</definedName>
    <definedName name="XB_80">#REF!</definedName>
    <definedName name="XBCNCKT">5600</definedName>
    <definedName name="xbsBxb" hidden="1">{"'Sheet1'!$L$16"}</definedName>
    <definedName name="xbt">#REF!</definedName>
    <definedName name="xc">#REF!</definedName>
    <definedName name="xc_pc">#REF!</definedName>
    <definedName name="xc_price">#REF!</definedName>
    <definedName name="XCCDZ22">#REF!</definedName>
    <definedName name="XCCT">0.5</definedName>
    <definedName name="xcfgdsg" hidden="1">{"'Sheet1'!$L$16"}</definedName>
    <definedName name="xcoc">#REF!</definedName>
    <definedName name="xcp">#REF!</definedName>
    <definedName name="xcp_18">#REF!</definedName>
    <definedName name="xct">#REF!</definedName>
    <definedName name="xd">#REF!</definedName>
    <definedName name="XD_">#REF!/10^9</definedName>
    <definedName name="XD_TB">(#REF!+#REF!)/10^9</definedName>
    <definedName name="xd0.6">#REF!</definedName>
    <definedName name="xd1.3">#REF!</definedName>
    <definedName name="xd1.5">#REF!</definedName>
    <definedName name="XDAUTRAMDZ22">#REF!</definedName>
    <definedName name="XDBD">#REF!</definedName>
    <definedName name="XDCBT10">{"Book1","Bang chia luong.xls"}</definedName>
    <definedName name="xdd">#REF!</definedName>
    <definedName name="xddddd" hidden="1">{"'Sheet1'!$L$16"}</definedName>
    <definedName name="XDDHT">#REF!</definedName>
    <definedName name="XDDZ22">#REF!</definedName>
    <definedName name="XDGHDZ22">#REF!</definedName>
    <definedName name="XDHDZ22">#REF!</definedName>
    <definedName name="XDKT" hidden="1">{"NGUYEN QUI THIEP - Personal View",#N/A,FALSE,"XDCB.HT.FUR."}</definedName>
    <definedName name="XDM">#REF!</definedName>
    <definedName name="XDM0.4">'[10]Tke 0.4'!$B$7:$F$35</definedName>
    <definedName name="XDMON">#REF!</definedName>
    <definedName name="XDMTBA">'[10]Lke TBA'!$B$4:$J$62</definedName>
    <definedName name="XDPh">#REF!</definedName>
    <definedName name="XDPhanMem">#REF!</definedName>
    <definedName name="xdra">#REF!</definedName>
    <definedName name="xDSL_req">#REF!</definedName>
    <definedName name="xdsnc">#REF!</definedName>
    <definedName name="xdsnc_14">#REF!</definedName>
    <definedName name="xdsvl">#REF!</definedName>
    <definedName name="xdsvl_14">#REF!</definedName>
    <definedName name="XDTDZ22">#REF!</definedName>
    <definedName name="XDTT">#REF!</definedName>
    <definedName name="xe">#REF!</definedName>
    <definedName name="Xe_lao_dÇm">#REF!</definedName>
    <definedName name="xebt6">#REF!</definedName>
    <definedName name="XEDL">#REF!</definedName>
    <definedName name="xelaodam">#REF!</definedName>
    <definedName name="XEM_IN">#REF!</definedName>
    <definedName name="xemay">#REF!</definedName>
    <definedName name="xenhua">#REF!</definedName>
    <definedName name="xerox">#REF!</definedName>
    <definedName name="xethung10t">#REF!</definedName>
    <definedName name="xethung12">#N/A</definedName>
    <definedName name="xethung5">#N/A</definedName>
    <definedName name="xetreo">#REF!</definedName>
    <definedName name="xetuoinhua">#REF!</definedName>
    <definedName name="xetuoinhua190">#REF!</definedName>
    <definedName name="xfco">#REF!</definedName>
    <definedName name="xfco_18">#REF!</definedName>
    <definedName name="xfco_33">"#REF!"</definedName>
    <definedName name="xfco_34">"#REF!"</definedName>
    <definedName name="xfco3p">#REF!</definedName>
    <definedName name="xfco3p_18">#REF!</definedName>
    <definedName name="xfconc">#REF!</definedName>
    <definedName name="xfconc_14">#REF!</definedName>
    <definedName name="xfconc3p">#REF!</definedName>
    <definedName name="xfconc3p_14">#REF!</definedName>
    <definedName name="xfcotnc">#REF!</definedName>
    <definedName name="xfcotnc_18">#REF!</definedName>
    <definedName name="xfcotvl">#REF!</definedName>
    <definedName name="xfcotvl_18">#REF!</definedName>
    <definedName name="XFCOvc">#REF!</definedName>
    <definedName name="xfcovl">#REF!</definedName>
    <definedName name="xfcovl_14">#REF!</definedName>
    <definedName name="xfcovl3p">#REF!</definedName>
    <definedName name="xfcovl3p_14">#REF!</definedName>
    <definedName name="xfnc">#REF!</definedName>
    <definedName name="xfnc_14">#REF!</definedName>
    <definedName name="XFTDZ22">#REF!</definedName>
    <definedName name="xfvl">#REF!</definedName>
    <definedName name="xfvl_14">#REF!</definedName>
    <definedName name="Xga">#REF!</definedName>
    <definedName name="Xgb">#REF!</definedName>
    <definedName name="xgc100">#REF!</definedName>
    <definedName name="xgc100_18">#REF!</definedName>
    <definedName name="xgc150">#REF!</definedName>
    <definedName name="xgc150_18">#REF!</definedName>
    <definedName name="xgc200">#REF!</definedName>
    <definedName name="xgc200_18">#REF!</definedName>
    <definedName name="xh">#REF!</definedName>
    <definedName name="xh_bq">#REF!</definedName>
    <definedName name="xh_bv">#REF!</definedName>
    <definedName name="xh_ck">#REF!</definedName>
    <definedName name="xh_d1">#REF!</definedName>
    <definedName name="xh_d2">#REF!</definedName>
    <definedName name="xh_d3">#REF!</definedName>
    <definedName name="xh_dl">#REF!</definedName>
    <definedName name="xh_kcs">#REF!</definedName>
    <definedName name="xh_nb">#REF!</definedName>
    <definedName name="xh_ngio">#REF!</definedName>
    <definedName name="xh_nv">#REF!</definedName>
    <definedName name="xh_t3">#REF!</definedName>
    <definedName name="xh_t4">#REF!</definedName>
    <definedName name="xh_t5">#REF!</definedName>
    <definedName name="xh_t6">#REF!</definedName>
    <definedName name="xh_tc">#REF!</definedName>
    <definedName name="xh_tm">#REF!</definedName>
    <definedName name="xh_vs">#REF!</definedName>
    <definedName name="xh_xh">#REF!</definedName>
    <definedName name="xhm">#REF!</definedName>
    <definedName name="xhn">#REF!</definedName>
    <definedName name="xhn_18">#REF!</definedName>
    <definedName name="xhn_33">"#REF!"</definedName>
    <definedName name="xhn_34">"#REF!"</definedName>
    <definedName name="xhnnc">#REF!</definedName>
    <definedName name="xhnnc_14">#REF!</definedName>
    <definedName name="xhnvl">#REF!</definedName>
    <definedName name="xhnvl_14">#REF!</definedName>
    <definedName name="XHT">#REF!</definedName>
    <definedName name="xi">#REF!</definedName>
    <definedName name="Xi_m_ng_PC30">#REF!</definedName>
    <definedName name="xig">#REF!</definedName>
    <definedName name="xig_18">#REF!</definedName>
    <definedName name="xig_33">"#REF!"</definedName>
    <definedName name="xig_34">"#REF!"</definedName>
    <definedName name="xig1">#REF!</definedName>
    <definedName name="xig1_18">#REF!</definedName>
    <definedName name="xig1_33">"#REF!"</definedName>
    <definedName name="xig1_34">"#REF!"</definedName>
    <definedName name="xig1nc">#REF!</definedName>
    <definedName name="xig1nc_14">#REF!</definedName>
    <definedName name="xig1p">#REF!</definedName>
    <definedName name="xig1p_18">#REF!</definedName>
    <definedName name="xig1pnc">#REF!</definedName>
    <definedName name="xig1pnc_14">#REF!</definedName>
    <definedName name="xig1pvl">#REF!</definedName>
    <definedName name="xig1pvl_14">#REF!</definedName>
    <definedName name="xig1vl">#REF!</definedName>
    <definedName name="xig1vl_14">#REF!</definedName>
    <definedName name="xig2nc">#REF!</definedName>
    <definedName name="xig2nc_14">#REF!</definedName>
    <definedName name="xig2vl">#REF!</definedName>
    <definedName name="xig2vl_14">#REF!</definedName>
    <definedName name="xig3p">#REF!</definedName>
    <definedName name="xig3p_18">#REF!</definedName>
    <definedName name="xiggnc">#REF!</definedName>
    <definedName name="xiggnc_14">#REF!</definedName>
    <definedName name="xiggvl">#REF!</definedName>
    <definedName name="xiggvl_14">#REF!</definedName>
    <definedName name="xignc">#REF!</definedName>
    <definedName name="xignc_14">#REF!</definedName>
    <definedName name="xignc3p">#REF!</definedName>
    <definedName name="xignc3p_18">#REF!</definedName>
    <definedName name="xignc3p_33">"#REF!"</definedName>
    <definedName name="xignc3p_34">"#REF!"</definedName>
    <definedName name="XIGvc">#REF!</definedName>
    <definedName name="XIGvc_18">#REF!</definedName>
    <definedName name="xigvl">#REF!</definedName>
    <definedName name="xigvl_14">#REF!</definedName>
    <definedName name="xigvl3p">#REF!</definedName>
    <definedName name="xigvl3p_18">#REF!</definedName>
    <definedName name="xigvl3p_33">"#REF!"</definedName>
    <definedName name="xigvl3p_34">"#REF!"</definedName>
    <definedName name="XII200">#REF!</definedName>
    <definedName name="Xim_ng_PC40">#REF!</definedName>
    <definedName name="ximang">#REF!</definedName>
    <definedName name="ximang_14">(#REF!,#REF!,#REF!,#REF!,#REF!)</definedName>
    <definedName name="XiMangPCB30">#N/A</definedName>
    <definedName name="xin">#REF!</definedName>
    <definedName name="xin_18">#REF!</definedName>
    <definedName name="xin_33">"#REF!"</definedName>
    <definedName name="xin_34">"#REF!"</definedName>
    <definedName name="xin190">#REF!</definedName>
    <definedName name="xin190_18">#REF!</definedName>
    <definedName name="xin190_33">"#REF!"</definedName>
    <definedName name="xin190_34">"#REF!"</definedName>
    <definedName name="xin1903p">#REF!</definedName>
    <definedName name="xin1903p_18">#REF!</definedName>
    <definedName name="xin190nc">#REF!</definedName>
    <definedName name="xin190nc_14">#REF!</definedName>
    <definedName name="xin190nc3p">#REF!</definedName>
    <definedName name="xin190nc3p_14">#REF!</definedName>
    <definedName name="XIN190vc">#REF!</definedName>
    <definedName name="xin190vl">#REF!</definedName>
    <definedName name="xin190vl_14">#REF!</definedName>
    <definedName name="xin190vl3p">#REF!</definedName>
    <definedName name="xin190vl3p_14">#REF!</definedName>
    <definedName name="xin2903p">#REF!</definedName>
    <definedName name="xin2903p_18">#REF!</definedName>
    <definedName name="xin290nc3p">#REF!</definedName>
    <definedName name="xin290nc3p_18">#REF!</definedName>
    <definedName name="xin290nc3p_33">"#REF!"</definedName>
    <definedName name="xin290nc3p_34">"#REF!"</definedName>
    <definedName name="xin290vl3p">#REF!</definedName>
    <definedName name="xin290vl3p_18">#REF!</definedName>
    <definedName name="xin290vl3p_33">"#REF!"</definedName>
    <definedName name="xin290vl3p_34">"#REF!"</definedName>
    <definedName name="xin3p">#REF!</definedName>
    <definedName name="xin3p_18">#REF!</definedName>
    <definedName name="xin901nc">#REF!</definedName>
    <definedName name="xin901nc_14">#REF!</definedName>
    <definedName name="xin901vl">#REF!</definedName>
    <definedName name="xin901vl_14">#REF!</definedName>
    <definedName name="xind">#REF!</definedName>
    <definedName name="xind_18">#REF!</definedName>
    <definedName name="xind_33">"#REF!"</definedName>
    <definedName name="xind_34">"#REF!"</definedName>
    <definedName name="xind1p">#REF!</definedName>
    <definedName name="xind1p_18">#REF!</definedName>
    <definedName name="xind1pnc">#REF!</definedName>
    <definedName name="xind1pnc_14">#REF!</definedName>
    <definedName name="xind1pvl">#REF!</definedName>
    <definedName name="xind1pvl_14">#REF!</definedName>
    <definedName name="xind3p">#REF!</definedName>
    <definedName name="xind3p_18">#REF!</definedName>
    <definedName name="xindnc">#REF!</definedName>
    <definedName name="xindnc_14">#REF!</definedName>
    <definedName name="xindnc1p">#REF!</definedName>
    <definedName name="xindnc1p_18">#REF!</definedName>
    <definedName name="xindnc3p">#REF!</definedName>
    <definedName name="xindnc3p_14">#REF!</definedName>
    <definedName name="XINDvc">#REF!</definedName>
    <definedName name="xindvl">#REF!</definedName>
    <definedName name="xindvl_14">#REF!</definedName>
    <definedName name="xindvl1p">#REF!</definedName>
    <definedName name="xindvl1p_18">#REF!</definedName>
    <definedName name="xindvl3p">#REF!</definedName>
    <definedName name="xindvl3p_14">#REF!</definedName>
    <definedName name="xing1p">#REF!</definedName>
    <definedName name="xing1p_18">#REF!</definedName>
    <definedName name="xing1pnc">#REF!</definedName>
    <definedName name="xing1pnc_14">#REF!</definedName>
    <definedName name="xing1pvl">#REF!</definedName>
    <definedName name="xing1pvl_14">#REF!</definedName>
    <definedName name="xingnc1p">#REF!</definedName>
    <definedName name="xingnc1p_18">#REF!</definedName>
    <definedName name="xingvl1p">#REF!</definedName>
    <definedName name="xingvl1p_18">#REF!</definedName>
    <definedName name="xinnc">#REF!</definedName>
    <definedName name="xinnc_14">#REF!</definedName>
    <definedName name="xinnc3p">#REF!</definedName>
    <definedName name="xinnc3p_18">#REF!</definedName>
    <definedName name="xinnc3p_33">"#REF!"</definedName>
    <definedName name="xinnc3p_34">"#REF!"</definedName>
    <definedName name="xint1p">#REF!</definedName>
    <definedName name="xint1p_18">#REF!</definedName>
    <definedName name="XINvc">#REF!</definedName>
    <definedName name="XINvc_18">#REF!</definedName>
    <definedName name="xinvl">#REF!</definedName>
    <definedName name="xinvl_14">#REF!</definedName>
    <definedName name="xinvl3p">#REF!</definedName>
    <definedName name="xinvl3p_18">#REF!</definedName>
    <definedName name="xinvl3p_33">"#REF!"</definedName>
    <definedName name="xinvl3p_34">"#REF!"</definedName>
    <definedName name="xit">#REF!</definedName>
    <definedName name="xit_18">#REF!</definedName>
    <definedName name="xit_33">"#REF!"</definedName>
    <definedName name="xit_34">"#REF!"</definedName>
    <definedName name="xit1">#REF!</definedName>
    <definedName name="xit1_18">#REF!</definedName>
    <definedName name="xit1_33">"#REF!"</definedName>
    <definedName name="xit1_34">"#REF!"</definedName>
    <definedName name="xit1nc">#REF!</definedName>
    <definedName name="xit1nc_14">#REF!</definedName>
    <definedName name="xit1p">#REF!</definedName>
    <definedName name="xit1p_18">#REF!</definedName>
    <definedName name="xit1pnc">#REF!</definedName>
    <definedName name="xit1pnc_14">#REF!</definedName>
    <definedName name="xit1pvl">#REF!</definedName>
    <definedName name="xit1pvl_14">#REF!</definedName>
    <definedName name="xit1vl">#REF!</definedName>
    <definedName name="xit1vl_14">#REF!</definedName>
    <definedName name="xit23p">#REF!</definedName>
    <definedName name="xit23p_18">#REF!</definedName>
    <definedName name="xit2nc">#REF!</definedName>
    <definedName name="xit2nc_14">#REF!</definedName>
    <definedName name="xit2nc3p">#REF!</definedName>
    <definedName name="xit2nc3p_18">#REF!</definedName>
    <definedName name="xit2nc3p_33">"#REF!"</definedName>
    <definedName name="xit2nc3p_34">"#REF!"</definedName>
    <definedName name="xit2vl">#REF!</definedName>
    <definedName name="xit2vl_14">#REF!</definedName>
    <definedName name="xit2vl3p">#REF!</definedName>
    <definedName name="xit2vl3p_18">#REF!</definedName>
    <definedName name="xit2vl3p_33">"#REF!"</definedName>
    <definedName name="xit2vl3p_34">"#REF!"</definedName>
    <definedName name="xit3p">#REF!</definedName>
    <definedName name="xit3p_18">#REF!</definedName>
    <definedName name="xitnc">#REF!</definedName>
    <definedName name="xitnc_14">#REF!</definedName>
    <definedName name="xitnc3p">#REF!</definedName>
    <definedName name="xitnc3p_18">#REF!</definedName>
    <definedName name="xitnc3p_33">"#REF!"</definedName>
    <definedName name="xitnc3p_34">"#REF!"</definedName>
    <definedName name="xittnc">#REF!</definedName>
    <definedName name="xittnc_14">#REF!</definedName>
    <definedName name="xittvl">#REF!</definedName>
    <definedName name="xittvl_14">#REF!</definedName>
    <definedName name="XITvc">#REF!</definedName>
    <definedName name="XITvc_18">#REF!</definedName>
    <definedName name="xitvl">#REF!</definedName>
    <definedName name="xitvl_14">#REF!</definedName>
    <definedName name="xitvl3p">#REF!</definedName>
    <definedName name="xitvl3p_18">#REF!</definedName>
    <definedName name="xitvl3p_33">"#REF!"</definedName>
    <definedName name="xitvl3p_34">"#REF!"</definedName>
    <definedName name="xj">#N/A</definedName>
    <definedName name="xk">#N/A</definedName>
    <definedName name="xk0.6">#REF!</definedName>
    <definedName name="xk1.3">#REF!</definedName>
    <definedName name="xk1.5">#REF!</definedName>
    <definedName name="Xkoto">#REF!</definedName>
    <definedName name="Xkxn">#REF!</definedName>
    <definedName name="xl">#REF!</definedName>
    <definedName name="xl_33">"#REF!"</definedName>
    <definedName name="xl_34">"#REF!"</definedName>
    <definedName name="Xl_CTO">#REF!</definedName>
    <definedName name="XL_TBA">#REF!</definedName>
    <definedName name="XL1C">#REF!</definedName>
    <definedName name="xl3x250">#REF!</definedName>
    <definedName name="XL3X400">#REF!</definedName>
    <definedName name="XLa">#N/A</definedName>
    <definedName name="xlat">#N/A</definedName>
    <definedName name="xlbs">#REF!</definedName>
    <definedName name="xlc">#REF!</definedName>
    <definedName name="xlc_33">"#REF!"</definedName>
    <definedName name="xlc_34">"#REF!"</definedName>
    <definedName name="xld">#N/A</definedName>
    <definedName name="xld1.4">#REF!</definedName>
    <definedName name="xlk">#REF!</definedName>
    <definedName name="xlk_33">"#REF!"</definedName>
    <definedName name="xlk_34">"#REF!"</definedName>
    <definedName name="xlk1.4">#REF!</definedName>
    <definedName name="XLP">#REF!</definedName>
    <definedName name="XLPE_24KV_A120">#REF!</definedName>
    <definedName name="XLPE_24KV_A150">#REF!</definedName>
    <definedName name="XLPE_24KV_A185">#REF!</definedName>
    <definedName name="XLPE_24KV_A240">#REF!</definedName>
    <definedName name="XLPE_24KV_A50">#REF!</definedName>
    <definedName name="XLPE_24KV_A70">#REF!</definedName>
    <definedName name="XLPE_24KV_A95">#REF!</definedName>
    <definedName name="XLPE_24KV_M35">#REF!</definedName>
    <definedName name="XLPE_24KV_M50">#REF!</definedName>
    <definedName name="XLRANH" hidden="1">{#N/A,#N/A,FALSE,"Chi tiÆt"}</definedName>
    <definedName name="xls" hidden="1">{"'Sheet1'!$L$16"}</definedName>
    <definedName name="xlt">#N/A</definedName>
    <definedName name="XLTB">#REF!</definedName>
    <definedName name="xltba22.04">#REF!</definedName>
    <definedName name="xlttbninh" hidden="1">{"'Sheet1'!$L$16"}</definedName>
    <definedName name="XLxa">#REF!</definedName>
    <definedName name="xm">#REF!</definedName>
    <definedName name="XM.M10.1">#REF!</definedName>
    <definedName name="XM.M10.1_14">#REF!</definedName>
    <definedName name="XM.M10.1_18">#REF!</definedName>
    <definedName name="XM.M10.2">#REF!</definedName>
    <definedName name="XM.M10.2_14">#REF!</definedName>
    <definedName name="XM.M10.2_18">#REF!</definedName>
    <definedName name="XM.M14.1">#N/A</definedName>
    <definedName name="XM.M14.2">#N/A</definedName>
    <definedName name="XM.MDT">#REF!</definedName>
    <definedName name="XM.MDT_14">#REF!</definedName>
    <definedName name="XM.MDT_18">#REF!</definedName>
    <definedName name="XM.MTCat">#N/A</definedName>
    <definedName name="xm_14">#REF!</definedName>
    <definedName name="XMAX">#REF!</definedName>
    <definedName name="Xmb">#REF!</definedName>
    <definedName name="xmBim">#REF!</definedName>
    <definedName name="xmbimson">#N/A</definedName>
    <definedName name="XMBT">#REF!</definedName>
    <definedName name="xmBut">#REF!</definedName>
    <definedName name="XMcatden50">#REF!</definedName>
    <definedName name="XMcatden75">#REF!</definedName>
    <definedName name="xmcatvang100">#REF!</definedName>
    <definedName name="XMcatvang50">#REF!</definedName>
    <definedName name="XMcatvang75">#REF!</definedName>
    <definedName name="xmcax">#REF!</definedName>
    <definedName name="xmcax_18">#REF!</definedName>
    <definedName name="xmcp">#REF!</definedName>
    <definedName name="XMIN">#REF!</definedName>
    <definedName name="xmp40">#REF!</definedName>
    <definedName name="xmpc30">#REF!</definedName>
    <definedName name="xmpc40">#REF!</definedName>
    <definedName name="xmsonla">#N/A</definedName>
    <definedName name="XmT5" hidden="1">{"'Sheet1'!$L$16"}</definedName>
    <definedName name="xmtrang">#REF!</definedName>
    <definedName name="xn">#REF!</definedName>
    <definedName name="XN908nam2003" hidden="1">{"'Sheet1'!$L$16"}</definedName>
    <definedName name="XNDZ22">#REF!</definedName>
    <definedName name="XNHDZ22">#REF!</definedName>
    <definedName name="xnkhung" hidden="1">{#N/A,#N/A,FALSE,"Chung"}</definedName>
    <definedName name="XNTDZ22">#REF!</definedName>
    <definedName name="Xo">#REF!</definedName>
    <definedName name="xo0">#REF!</definedName>
    <definedName name="xoa_tab" hidden="1">#REF!</definedName>
    <definedName name="xoa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OANHAP">#REF!,#REF!</definedName>
    <definedName name="xoanhapk">#REF!,#REF!</definedName>
    <definedName name="xoanhapl">#REF!,#REF!</definedName>
    <definedName name="xoaxuatk">#REF!</definedName>
    <definedName name="xoaxuatl">#REF!</definedName>
    <definedName name="xoaydap">#REF!</definedName>
    <definedName name="xoihutbun">#REF!</definedName>
    <definedName name="xp">#REF!</definedName>
    <definedName name="XPSDZ22">#REF!</definedName>
    <definedName name="XR">#REF!</definedName>
    <definedName name="xr1nc">#REF!</definedName>
    <definedName name="xr1nc_14">#REF!</definedName>
    <definedName name="xr1vl">#REF!</definedName>
    <definedName name="xr1vl_14">#REF!</definedName>
    <definedName name="XRat">#REF!</definedName>
    <definedName name="XRate">#REF!</definedName>
    <definedName name="XS">#REF!</definedName>
    <definedName name="xsdfdgsx" hidden="1">{"'Sheet1'!$L$16"}</definedName>
    <definedName name="XSER130_135">#REF!</definedName>
    <definedName name="XSER255">#REF!</definedName>
    <definedName name="XSER300">#REF!</definedName>
    <definedName name="XSER360">#REF!</definedName>
    <definedName name="XSER440">#REF!</definedName>
    <definedName name="XSER44016W">#REF!</definedName>
    <definedName name="XSER445">#REF!</definedName>
    <definedName name="XSER44516W">#REF!</definedName>
    <definedName name="XSER450">#REF!</definedName>
    <definedName name="Xsi">#REF!</definedName>
    <definedName name="XTKKTTC">7500</definedName>
    <definedName name="XTN">#REF!</definedName>
    <definedName name="xtr3pnc">#REF!</definedName>
    <definedName name="xtr3pnc_14">#REF!</definedName>
    <definedName name="xtr3pvl">#REF!</definedName>
    <definedName name="xtr3pvl_14">#REF!</definedName>
    <definedName name="XUAÁT">#REF!</definedName>
    <definedName name="Xuân">#REF!</definedName>
    <definedName name="xuat_hien">#REF!</definedName>
    <definedName name="xuat_hien_cau">#REF!</definedName>
    <definedName name="Xuat_hien_CL">#REF!</definedName>
    <definedName name="Xuat_hien1">#REF!</definedName>
    <definedName name="Xuat_hien2">#REF!</definedName>
    <definedName name="Xuat_hien3">#REF!</definedName>
    <definedName name="Xuất_xứ">#REF!</definedName>
    <definedName name="xuc">#N/A</definedName>
    <definedName name="Xuc1m3">#REF!</definedName>
    <definedName name="xuc2.8">#N/A</definedName>
    <definedName name="xuchoi0.15">#REF!</definedName>
    <definedName name="xuchoi0.25">#REF!</definedName>
    <definedName name="xuchoi0.3">#REF!</definedName>
    <definedName name="xuchoi0.35">#REF!</definedName>
    <definedName name="xuchoi0.4">#REF!</definedName>
    <definedName name="xuchoi0.65">#REF!</definedName>
    <definedName name="xuchoi0.75">#REF!</definedName>
    <definedName name="xuchoi1.25">#REF!</definedName>
    <definedName name="xuclat">#N/A</definedName>
    <definedName name="xuclat0.4">#REF!</definedName>
    <definedName name="xuclat1">#REF!</definedName>
    <definedName name="xuclat1.25m3">#REF!</definedName>
    <definedName name="xuclat1.65">#REF!</definedName>
    <definedName name="xuclat1m3">#REF!</definedName>
    <definedName name="xuclat2">#REF!</definedName>
    <definedName name="xuclat2.8">#REF!</definedName>
    <definedName name="xucxich0.22">#REF!</definedName>
    <definedName name="xucxich0.25">#REF!</definedName>
    <definedName name="xucxich0.3">#REF!</definedName>
    <definedName name="xucxich0.35">#REF!</definedName>
    <definedName name="xucxich0.4">#REF!</definedName>
    <definedName name="xucxich0.5">#REF!</definedName>
    <definedName name="xucxich0.65">#REF!</definedName>
    <definedName name="xucxich1">#REF!</definedName>
    <definedName name="xucxich1.2">#REF!</definedName>
    <definedName name="xucxich1.25">#REF!</definedName>
    <definedName name="xucxich1.6">#REF!</definedName>
    <definedName name="xucxich2">#REF!</definedName>
    <definedName name="xucxich2.5">#REF!</definedName>
    <definedName name="xucxich4">#REF!</definedName>
    <definedName name="xucxich4.6">#REF!</definedName>
    <definedName name="xucxich5">#REF!</definedName>
    <definedName name="xuong">[28]D_MUC!$A:$M</definedName>
    <definedName name="xvxcvxc" hidden="1">{"'Sheet1'!$L$16"}</definedName>
    <definedName name="Xwo">#REF!</definedName>
    <definedName name="Xwo1">#REF!</definedName>
    <definedName name="Xwo2">#REF!</definedName>
    <definedName name="xx">#REF!</definedName>
    <definedName name="xxien">#REF!</definedName>
    <definedName name="XXT">#REF!</definedName>
    <definedName name="xxx">[0]!catalogue</definedName>
    <definedName name="ｘｘｘ" hidden="1">{"'Sheet1'!$L$16"}</definedName>
    <definedName name="XXX1">#REF!</definedName>
    <definedName name="xxx2">#REF!</definedName>
    <definedName name="XXXAAAA" hidden="1">{"'Sheet1'!$L$16"}</definedName>
    <definedName name="xxxs">#REF!</definedName>
    <definedName name="XXXX">#REF!</definedName>
    <definedName name="ｘｘｘｘ" hidden="1">{"'Sheet1'!$L$16"}</definedName>
    <definedName name="ｘｘｘｘｘ" hidden="1">{"'Sheet1'!$L$16"}</definedName>
    <definedName name="xxxxxx">[0]!catalogue</definedName>
    <definedName name="xxxxxxx">[0]!catalogue</definedName>
    <definedName name="xxxxxxxxxxxxxx">#REF!</definedName>
    <definedName name="xxxxxxxxxxxxxxxxxxxxxxx">#REF!</definedName>
    <definedName name="xy2.5.1">#REF!</definedName>
    <definedName name="xy5.3.1">#REF!</definedName>
    <definedName name="XÝnghiÖp25_3">#REF!</definedName>
    <definedName name="xz" hidden="1">{"'Sheet1'!$L$16"}</definedName>
    <definedName name="xz2.5.1">#REF!</definedName>
    <definedName name="xz5.3.1">#REF!</definedName>
    <definedName name="xzfa" hidden="1">{"'Sheet1'!$L$16"}</definedName>
    <definedName name="y">#REF!</definedName>
    <definedName name="Y.S.KIM">#REF!,#REF!,#REF!,#REF!,#REF!,#REF!,#REF!,#REF!,#REF!,#REF!,#REF!,#REF!,#REF!,#REF!,#REF!,#REF!,#REF!,#REF!,#REF!</definedName>
    <definedName name="y_1I">#REF!</definedName>
    <definedName name="y_1II">#REF!</definedName>
    <definedName name="y_1III">#REF!</definedName>
    <definedName name="y_1IV">#REF!</definedName>
    <definedName name="y_2I">#REF!</definedName>
    <definedName name="y_2II">#REF!</definedName>
    <definedName name="y_2III">#REF!</definedName>
    <definedName name="y_2IV">#REF!</definedName>
    <definedName name="y_3I">#REF!</definedName>
    <definedName name="y_3II">#REF!</definedName>
    <definedName name="y_3III">#REF!</definedName>
    <definedName name="y_3IV">#REF!</definedName>
    <definedName name="y_4I">#REF!</definedName>
    <definedName name="y_4II">#REF!</definedName>
    <definedName name="y_4III">#REF!</definedName>
    <definedName name="y_4IV">#REF!</definedName>
    <definedName name="y_9bI">#REF!</definedName>
    <definedName name="y_9bII">#REF!</definedName>
    <definedName name="y_9bIII">#REF!</definedName>
    <definedName name="y_9bIV">#REF!</definedName>
    <definedName name="y_9I">#REF!</definedName>
    <definedName name="y_9II">#REF!</definedName>
    <definedName name="y_9III">#REF!</definedName>
    <definedName name="y_9IV">#REF!</definedName>
    <definedName name="y_list">#REF!</definedName>
    <definedName name="y_list_18">#REF!</definedName>
    <definedName name="y_list2">#REF!</definedName>
    <definedName name="Y_VND">#REF!</definedName>
    <definedName name="Y4_on">#REF!</definedName>
    <definedName name="yb">#REF!</definedName>
    <definedName name="ycp">#REF!</definedName>
    <definedName name="ycp_18">#REF!</definedName>
    <definedName name="ycycy">#REF!</definedName>
    <definedName name="Yd" hidden="1">#REF!</definedName>
    <definedName name="ỳdhgg" hidden="1">{"'Sheet1'!$L$16"}</definedName>
    <definedName name="YE">#N/A</definedName>
    <definedName name="Year">#REF!</definedName>
    <definedName name="year_index">#REF!</definedName>
    <definedName name="YearB">#REF!</definedName>
    <definedName name="Years">#REF!</definedName>
    <definedName name="YearsA">#REF!</definedName>
    <definedName name="YEKA">#N/A</definedName>
    <definedName name="Yellow2000">#REF!</definedName>
    <definedName name="yen">#REF!</definedName>
    <definedName name="Yen_A">#REF!</definedName>
    <definedName name="Yen_B">#REF!</definedName>
    <definedName name="yen1">#REF!</definedName>
    <definedName name="yen10">#REF!</definedName>
    <definedName name="Yen1000">#REF!</definedName>
    <definedName name="Yen1100">#REF!</definedName>
    <definedName name="yen12">#REF!</definedName>
    <definedName name="Yen1200">#REF!</definedName>
    <definedName name="yen13.1">#REF!</definedName>
    <definedName name="yen13.2">#REF!</definedName>
    <definedName name="Yen1300">#REF!</definedName>
    <definedName name="yen14.1">#REF!</definedName>
    <definedName name="yen14.2">#REF!</definedName>
    <definedName name="Yen1400">#REF!</definedName>
    <definedName name="Yen1500">#REF!</definedName>
    <definedName name="yen16">#REF!</definedName>
    <definedName name="Yen1600">#REF!</definedName>
    <definedName name="yen17.1">#REF!</definedName>
    <definedName name="yen17.2">#REF!</definedName>
    <definedName name="yen17.3">#REF!</definedName>
    <definedName name="Yen1700">#REF!</definedName>
    <definedName name="Yen1800">#REF!</definedName>
    <definedName name="yen2">#REF!</definedName>
    <definedName name="Yen2000">#REF!</definedName>
    <definedName name="Yen2100">#REF!</definedName>
    <definedName name="Yen2200">#REF!</definedName>
    <definedName name="Yen2300">#REF!</definedName>
    <definedName name="Yen2400">#REF!</definedName>
    <definedName name="Yen2500">#REF!</definedName>
    <definedName name="Yen2600">#REF!</definedName>
    <definedName name="Yen2700">#REF!</definedName>
    <definedName name="Yen2800">#REF!</definedName>
    <definedName name="yen3">#REF!</definedName>
    <definedName name="Yen3000">#REF!</definedName>
    <definedName name="Yen3100">#REF!</definedName>
    <definedName name="Yen3200">#REF!</definedName>
    <definedName name="Yen3300">#REF!</definedName>
    <definedName name="Yen3400">#REF!</definedName>
    <definedName name="Yen3500">#REF!</definedName>
    <definedName name="Yen3600">#REF!</definedName>
    <definedName name="Yen3700">#REF!</definedName>
    <definedName name="Yen3800">#REF!</definedName>
    <definedName name="Yen3900">#REF!</definedName>
    <definedName name="yen4">#REF!</definedName>
    <definedName name="Yen4000">#REF!</definedName>
    <definedName name="Yen4100">#REF!</definedName>
    <definedName name="Yen4200">#REF!</definedName>
    <definedName name="Yen4300">#REF!</definedName>
    <definedName name="Yen4400">#REF!</definedName>
    <definedName name="Yen4500">#REF!</definedName>
    <definedName name="Yen4600">#REF!</definedName>
    <definedName name="Yen4700">#REF!</definedName>
    <definedName name="Yen4800">#REF!</definedName>
    <definedName name="Yen5000">#REF!</definedName>
    <definedName name="Yen5100">#REF!</definedName>
    <definedName name="Yen5200">#REF!</definedName>
    <definedName name="Yen5300">#REF!</definedName>
    <definedName name="Yen5400">#REF!</definedName>
    <definedName name="Yen5500">#REF!</definedName>
    <definedName name="Yen5600">#REF!</definedName>
    <definedName name="Yen5700">#REF!</definedName>
    <definedName name="Yen5800">#REF!</definedName>
    <definedName name="yen6">#REF!</definedName>
    <definedName name="Yen6000">#REF!</definedName>
    <definedName name="Yen7000">#REF!</definedName>
    <definedName name="yen8">#REF!</definedName>
    <definedName name="Yen8000">#REF!</definedName>
    <definedName name="Yen8100">#REF!</definedName>
    <definedName name="Yen8200_1">#REF!</definedName>
    <definedName name="Yen8200_2">#REF!</definedName>
    <definedName name="yen9">#REF!</definedName>
    <definedName name="YenBai" localSheetId="6">#REF!</definedName>
    <definedName name="YenBai">#REF!</definedName>
    <definedName name="ýenda" hidden="1">{"'Sheet1'!$L$16"}</definedName>
    <definedName name="YENPortion">#REF!</definedName>
    <definedName name="yenratio">#N/A</definedName>
    <definedName name="YeNuong">#REF!</definedName>
    <definedName name="yeryt" hidden="1">{"'Sheet1'!$L$16"}</definedName>
    <definedName name="YesNo">#REF!</definedName>
    <definedName name="yeu" hidden="1">{"'Sheet1'!$L$16"}</definedName>
    <definedName name="yhgjg" hidden="1">{"'Sheet1'!$L$16"}</definedName>
    <definedName name="yi">#REF!</definedName>
    <definedName name="yieldsfield">#REF!</definedName>
    <definedName name="yieldstoevaluate">#REF!</definedName>
    <definedName name="yiuti" hidden="1">{"'Sheet1'!$L$16"}</definedName>
    <definedName name="YJJ" hidden="1">{"'Sheet1'!$L$16"}</definedName>
    <definedName name="ykukuykkf" hidden="1">{"'Sheet1'!$L$16"}</definedName>
    <definedName name="ym">#REF!</definedName>
    <definedName name="YMAX">#REF!</definedName>
    <definedName name="YMIN">#REF!</definedName>
    <definedName name="yo">#REF!</definedName>
    <definedName name="yoo10">#REF!</definedName>
    <definedName name="yoo2">#REF!</definedName>
    <definedName name="yoo3">#REF!</definedName>
    <definedName name="yoo4">#REF!</definedName>
    <definedName name="yoo8">#REF!</definedName>
    <definedName name="yot">#REF!</definedName>
    <definedName name="YR0">#REF!</definedName>
    <definedName name="YRP">#REF!</definedName>
    <definedName name="YST_6.5">#REF!</definedName>
    <definedName name="YST_TRX">#REF!</definedName>
    <definedName name="yt_bq">#REF!</definedName>
    <definedName name="yt_bv">#REF!</definedName>
    <definedName name="yt_ck">#REF!</definedName>
    <definedName name="yt_d1">#REF!</definedName>
    <definedName name="yt_d2">#REF!</definedName>
    <definedName name="yt_d3">#REF!</definedName>
    <definedName name="yt_dl">#REF!</definedName>
    <definedName name="ytety" hidden="1">{"'Sheet1'!$L$16"}</definedName>
    <definedName name="ytri" hidden="1">{"'Sheet1'!$L$16"}</definedName>
    <definedName name="ytru" hidden="1">{"'Sheet1'!$L$16"}</definedName>
    <definedName name="Yu" hidden="1">#REF!</definedName>
    <definedName name="ỵu" hidden="1">{"'Sheet1'!$L$16"}</definedName>
    <definedName name="yyjy_ukyu" hidden="1">{"'Sheet1'!$L$16"}</definedName>
    <definedName name="ｙｙｙ" hidden="1">{"'Sheet1'!$L$16"}</definedName>
    <definedName name="yyyyyyyyyyyyyy" hidden="1">{"'Sheet1'!$L$16"}</definedName>
    <definedName name="Z_2BD578FA_E2CB_4B2F_9A88_B148DA6298A5_.wvu.Cols" hidden="1">#REF!</definedName>
    <definedName name="Z_2BD578FA_E2CB_4B2F_9A88_B148DA6298A5_.wvu.PrintArea" hidden="1">#REF!</definedName>
    <definedName name="zaz" hidden="1">{"'Summary'!$A$1:$J$46"}</definedName>
    <definedName name="zcg" hidden="1">{"'Sheet1'!$L$16"}</definedName>
    <definedName name="zcgxf" hidden="1">{"'Sheet1'!$L$16"}</definedName>
    <definedName name="zczc" hidden="1">{0}</definedName>
    <definedName name="zczczcz" hidden="1">{0}</definedName>
    <definedName name="zdfer" hidden="1">{"'Sheet1'!$L$16"}</definedName>
    <definedName name="zdgdfgd" hidden="1">{"'Sheet1'!$L$16"}</definedName>
    <definedName name="zDT_End" hidden="1">#REF!</definedName>
    <definedName name="zDToan_EndRange" hidden="1">#REF!</definedName>
    <definedName name="zIsAnChuThich" hidden="1">FALSE</definedName>
    <definedName name="zIsAnDienGiai" hidden="1">FALSE</definedName>
    <definedName name="zIsBanTienLuong" hidden="1">TRUE</definedName>
    <definedName name="zIsCgia" hidden="1">zIsDgiaCTiet_Gia.HPhi+3</definedName>
    <definedName name="zIsCM_BuNLieu" hidden="1">TRUE</definedName>
    <definedName name="zIsDgiaCTiet_Gia.HPhi" hidden="1">3</definedName>
    <definedName name="zIsDgiaCTiet_Gia.NcCm" hidden="1">1</definedName>
    <definedName name="zIsDtoan_TTu" hidden="1">1</definedName>
    <definedName name="zIsDtxlsWorkBook" hidden="1">TRUE</definedName>
    <definedName name="zIsHsCpcNc" hidden="1">FALSE</definedName>
    <definedName name="zIsHThong_cDinhMuc" hidden="1">"DM#0258#09|DM#0023#05|DM#1210#2K|DM#0005#2K"</definedName>
    <definedName name="zIsHThong_cDonGia" hidden="1">"DGia_0258XD|DGia_0018XD|DGia_0882XD|DGia_0005LTH|1"</definedName>
    <definedName name="zIsHThong_cGiaCmay" hidden="1">"GCM0258_XD|GCM0018_XD|GCM0882_XD|GCM0005_LTH"</definedName>
    <definedName name="zIsHThong_cGiaNCong" hidden="1">"GNC0258_XD|GNC0018_XD|GNC0882_XD|GNC0005_LTH"</definedName>
    <definedName name="zIsHThong_cGiaVLieu" hidden="1">"GVL0258_XD|GVL0018_XD|GVL0882_XD|GVL0005_LTH"</definedName>
    <definedName name="zIsHThong_cMDB" hidden="1">"VienThong_Dgia|VienThong_Gia|ZZ_Dinh_Muc_CN_ZZ|ZZ_PLuc_Vua_CN_ZZ|ZZ_Danh_Muc_CN_ZZ|ZZ_CuocVc_ZZ|ZZ_DMuc_MXD_ZZ"</definedName>
    <definedName name="zIsHThong_cPLVua" hidden="1">"None|None|None|None"</definedName>
    <definedName name="zIsHThong_cTDienCTac" hidden="1">"CVIEC#0258#09|CVIEC#0023#05|CVIEC#1210#2K|CVIEC#0005#2K"</definedName>
    <definedName name="zIsHThong_cTDienHPhi" hidden="1">"HPHI#0258#09|HPHI#0023#05|HPHI#1210#2K|HPHI#0005#2K"</definedName>
    <definedName name="zIsHThong_cTThanh" hidden="1">"VTN"</definedName>
    <definedName name="zIsHThong_cVChuyen" hidden="1">"zVatGiaCP_89_00|zVatGiaCP_89_00|zVatGiaCP_89_00|zVatGiaCP_89_00"</definedName>
    <definedName name="zIsHThong_ShChange" hidden="1">"True|False|False|False|False|False|False|False|False|True|True|True|False|False|False|True"</definedName>
    <definedName name="zIsNghiDinh99" hidden="1">FALSE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XC" hidden="1">{#N/A,#N/A,FALSE,"이태원철근"}</definedName>
    <definedName name="zxfvc" hidden="1">{"'Sheet1'!$L$16"}</definedName>
    <definedName name="zxx" hidden="1">{"'Sheet1'!$L$16"}</definedName>
    <definedName name="ZXzX" hidden="1">{"'Sheet1'!$L$16"}</definedName>
    <definedName name="ZZ" hidden="1">{"'Sheet1'!$L$16"}</definedName>
    <definedName name="ｚｚｚｚｚ" hidden="1">{"'Sheet1'!$L$16"}</definedName>
    <definedName name="ｚｚｚｚｚｚ" hidden="1">{"'Sheet1'!$L$16"}</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んｎ" hidden="1">{"'Sheet1'!$L$16"}</definedName>
    <definedName name="んんｎ" hidden="1">{"'Sheet1'!$L$16"}</definedName>
    <definedName name="ฟะ" hidden="1">{#N/A,#N/A,TRUE,"SUM";#N/A,#N/A,TRUE,"EE";#N/A,#N/A,TRUE,"AC";#N/A,#N/A,TRUE,"SN"}</definedName>
    <definedName name="รวม" hidden="1">{#N/A,#N/A,TRUE,"Str.";#N/A,#N/A,TRUE,"Steel &amp; Roof";#N/A,#N/A,TRUE,"Arc.";#N/A,#N/A,TRUE,"Preliminary";#N/A,#N/A,TRUE,"Sum_Prelim"}</definedName>
    <definedName name="วิชาญ" hidden="1">{#N/A,#N/A,TRUE,"Str.";#N/A,#N/A,TRUE,"Steel &amp; Roof";#N/A,#N/A,TRUE,"Arc.";#N/A,#N/A,TRUE,"Preliminary";#N/A,#N/A,TRUE,"Sum_Prelim"}</definedName>
    <definedName name="สำเริง" hidden="1">{#N/A,#N/A,TRUE,"Str.";#N/A,#N/A,TRUE,"Steel &amp; Roof";#N/A,#N/A,TRUE,"Arc.";#N/A,#N/A,TRUE,"Preliminary";#N/A,#N/A,TRUE,"Sum_Prelim"}</definedName>
    <definedName name="ㄱ" hidden="1">{#N/A,#N/A,FALSE,"골재소요량";#N/A,#N/A,FALSE,"골재소요량"}</definedName>
    <definedName name="ㄱㄱ" hidden="1">{#N/A,#N/A,FALSE,"전력간선"}</definedName>
    <definedName name="ㄱㄱㄱ" hidden="1">{#N/A,#N/A,FALSE,"표지목차"}</definedName>
    <definedName name="ㄱㄱㄱㄱ" hidden="1">{#N/A,#N/A,FALSE,"지침";#N/A,#N/A,FALSE,"환경분석";#N/A,#N/A,FALSE,"Sheet16"}</definedName>
    <definedName name="ㄱㄱㄱㄱㄱ" hidden="1">{#N/A,#N/A,FALSE,"운반시간"}</definedName>
    <definedName name="가" hidden="1">{#N/A,#N/A,FALSE,"골재소요량";#N/A,#N/A,FALSE,"골재소요량"}</definedName>
    <definedName name="감리상주" hidden="1">{#N/A,#N/A,FALSE,"지침";#N/A,#N/A,FALSE,"환경분석";#N/A,#N/A,FALSE,"Sheet16"}</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건축토공" hidden="1">{#N/A,#N/A,FALSE,"기안지";#N/A,#N/A,FALSE,"통신지"}</definedName>
    <definedName name="건축팀별" hidden="1">{#N/A,#N/A,FALSE,"지침";#N/A,#N/A,FALSE,"환경분석";#N/A,#N/A,FALSE,"Sheet16"}</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수자료" hidden="1">{#N/A,#N/A,FALSE,"지침";#N/A,#N/A,FALSE,"환경분석";#N/A,#N/A,FALSE,"Sheet16"}</definedName>
    <definedName name="고" hidden="1">{#N/A,#N/A,FALSE,"조골재"}</definedName>
    <definedName name="공동구토공" hidden="1">{#N/A,#N/A,FALSE,"기안지";#N/A,#N/A,FALSE,"통신지"}</definedName>
    <definedName name="공사" hidden="1">{#N/A,#N/A,FALSE,"이태원철근"}</definedName>
    <definedName name="공정계획" hidden="1">{#N/A,#N/A,FALSE,"이태원철근"}</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hidden="1">#REF!</definedName>
    <definedName name="교동토목공사" hidden="1">{#N/A,#N/A,FALSE,"이태원철근"}</definedName>
    <definedName name="구룡대보2공구" hidden="1">{#N/A,#N/A,FALSE,"부대2"}</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성투입" hidden="1">{#N/A,#N/A,FALSE,"지침";#N/A,#N/A,FALSE,"환경분석";#N/A,#N/A,FALSE,"Sheet16"}</definedName>
    <definedName name="김" hidden="1">{#N/A,#N/A,FALSE,"골재소요량";#N/A,#N/A,FALSE,"골재소요량"}</definedName>
    <definedName name="김0" hidden="1">{#N/A,#N/A,FALSE,"2~8번"}</definedName>
    <definedName name="김1" hidden="1">{#N/A,#N/A,FALSE,"골재소요량";#N/A,#N/A,FALSE,"골재소요량"}</definedName>
    <definedName name="김5" hidden="1">{#N/A,#N/A,FALSE,"운반시간"}</definedName>
    <definedName name="김6" hidden="1">{#N/A,#N/A,FALSE,"조골재"}</definedName>
    <definedName name="김중규" hidden="1">{#N/A,#N/A,FALSE,"이태원철근"}</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다" hidden="1">{#N/A,#N/A,FALSE,"표지목차"}</definedName>
    <definedName name="다라" hidden="1">{#N/A,#N/A,FALSE,"표지목차"}</definedName>
    <definedName name="당초계획" hidden="1">#REF!</definedName>
    <definedName name="독립기초" hidden="1">{#N/A,#N/A,FALSE,"기안지";#N/A,#N/A,FALSE,"통신지"}</definedName>
    <definedName name="독립기초토공수량산출" hidden="1">{#N/A,#N/A,FALSE,"기안지";#N/A,#N/A,FALSE,"통신지"}</definedName>
    <definedName name="동부변경자재현황" hidden="1">{#N/A,#N/A,FALSE,"현장 NCR 분석";#N/A,#N/A,FALSE,"현장품질감사";#N/A,#N/A,FALSE,"현장품질감사"}</definedName>
    <definedName name="ㄹㄴㅇㄹㄴㅇㄹㄴㄱㄴㅇ" hidden="1">{#N/A,#N/A,FALSE,"지침";#N/A,#N/A,FALSE,"환경분석";#N/A,#N/A,FALSE,"Sheet16"}</definedName>
    <definedName name="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hidden="1">#REF!</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 hidden="1">#REF!</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 hidden="1">0</definedName>
    <definedName name="물" hidden="1">{#N/A,#N/A,FALSE,"이태원철근"}</definedName>
    <definedName name="물가" hidden="1">{#N/A,#N/A,FALSE,"이태원철근"}</definedName>
    <definedName name="뭐가이태원이야" hidden="1">{#N/A,#N/A,FALSE,"이태원철근"}</definedName>
    <definedName name="ㅂ" hidden="1">{#N/A,#N/A,FALSE,"조골재"}</definedName>
    <definedName name="ㅂㅂ" hidden="1">{#N/A,#N/A,FALSE,"표지목차"}</definedName>
    <definedName name="ㅂㅂㅂ" hidden="1">{#N/A,#N/A,FALSE,"혼합골재"}</definedName>
    <definedName name="보충" hidden="1">#REF!</definedName>
    <definedName name="보할" hidden="1">{#N/A,#N/A,FALSE,"이태원철근"}</definedName>
    <definedName name="보활공정" hidden="1">{#N/A,#N/A,FALSE,"이태원철근"}</definedName>
    <definedName name="복지" hidden="1">#REF!</definedName>
    <definedName name="부" hidden="1">{#N/A,#N/A,FALSE,"골재소요량";#N/A,#N/A,FALSE,"골재소요량"}</definedName>
    <definedName name="부대건축2" hidden="1">#REF!</definedName>
    <definedName name="부대구조" hidden="1">{#N/A,#N/A,FALSE,"골재소요량";#N/A,#N/A,FALSE,"골재소요량"}</definedName>
    <definedName name="부대방안" hidden="1">{#N/A,#N/A,FALSE,"단가표지"}</definedName>
    <definedName name="부대철콘" hidden="1">{#N/A,#N/A,FALSE,"골재소요량";#N/A,#N/A,FALSE,"골재소요량"}</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hidden="1">{#N/A,#N/A,FALSE,"현장 NCR 분석";#N/A,#N/A,FALSE,"현장품질감사";#N/A,#N/A,FALSE,"현장품질감사"}</definedName>
    <definedName name="분당협조" hidden="1">{#N/A,#N/A,FALSE,"이태원철근"}</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 hidden="1">#REF!</definedName>
    <definedName name="사" hidden="1">{#N/A,#N/A,FALSE,"구조2"}</definedName>
    <definedName name="사1" hidden="1">{#N/A,#N/A,FALSE,"지침";#N/A,#N/A,FALSE,"환경분석";#N/A,#N/A,FALSE,"Sheet16"}</definedName>
    <definedName name="사업부양식2" hidden="1">#REF!</definedName>
    <definedName name="상주" hidden="1">{#N/A,#N/A,FALSE,"지침";#N/A,#N/A,FALSE,"환경분석";#N/A,#N/A,FALSE,"Sheet16"}</definedName>
    <definedName name="상주감리" hidden="1">{#N/A,#N/A,FALSE,"지침";#N/A,#N/A,FALSE,"환경분석";#N/A,#N/A,FALSE,"Sheet16"}</definedName>
    <definedName name="새공통" hidden="1">{#N/A,#N/A,FALSE,"이태원철근"}</definedName>
    <definedName name="석재받은의뢰업체" hidden="1">255</definedName>
    <definedName name="세전익익" hidden="1">{#N/A,#N/A,FALSE,"지침";#N/A,#N/A,FALSE,"환경분석";#N/A,#N/A,FALSE,"Sheet16"}</definedName>
    <definedName name="소화갑지" hidden="1">{#N/A,#N/A,FALSE,"CCTV"}</definedName>
    <definedName name="손익계산서" hidden="1">#REF!</definedName>
    <definedName name="손익변경" hidden="1">{#N/A,#N/A,FALSE,"지침";#N/A,#N/A,FALSE,"환경분석";#N/A,#N/A,FALSE,"Sheet16"}</definedName>
    <definedName name="수" hidden="1">#REF!</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hidden="1">{#N/A,#N/A,FALSE,"지침";#N/A,#N/A,FALSE,"환경분석";#N/A,#N/A,FALSE,"Sheet16"}</definedName>
    <definedName name="시행" hidden="1">{#N/A,#N/A,FALSE,"이태원철근"}</definedName>
    <definedName name="신재점" hidden="1">{#N/A,#N/A,FALSE,"이태원철근"}</definedName>
    <definedName name="실적자료" hidden="1">{#N/A,#N/A,FALSE,"지침";#N/A,#N/A,FALSE,"환경분석";#N/A,#N/A,FALSE,"Sheet16"}</definedName>
    <definedName name="실적자료1" hidden="1">{#N/A,#N/A,FALSE,"지침";#N/A,#N/A,FALSE,"환경분석";#N/A,#N/A,FALSE,"Sheet16"}</definedName>
    <definedName name="실적총괄1" hidden="1">#REF!</definedName>
    <definedName name="실총" hidden="1">#REF!</definedName>
    <definedName name="실행검토" hidden="1">#REF!</definedName>
    <definedName name="ㅇㄹㄹ" hidden="1">#REF!</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 hidden="1">{#N/A,#N/A,FALSE,"운반시간"}</definedName>
    <definedName name="ㅇㅇㅇㅇ" hidden="1">{#N/A,#N/A,FALSE,"지침";#N/A,#N/A,FALSE,"환경분석";#N/A,#N/A,FALSE,"Sheet16"}</definedName>
    <definedName name="ㅇㅇㅇㅇㅇㅇ" hidden="1">{#N/A,#N/A,FALSE,"지침";#N/A,#N/A,FALSE,"환경분석";#N/A,#N/A,FALSE,"Sheet16"}</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야간" hidden="1">{#N/A,#N/A,FALSE,"지침";#N/A,#N/A,FALSE,"환경분석";#N/A,#N/A,FALSE,"Sheet16"}</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업" hidden="1">{#N/A,#N/A,FALSE,"지침";#N/A,#N/A,FALSE,"환경분석";#N/A,#N/A,FALSE,"Sheet16"}</definedName>
    <definedName name="영업현금" hidden="1">{#N/A,#N/A,FALSE,"지침";#N/A,#N/A,FALSE,"환경분석";#N/A,#N/A,FALSE,"Sheet16"}</definedName>
    <definedName name="오수토공" hidden="1">{#N/A,#N/A,FALSE,"기안지";#N/A,#N/A,FALSE,"통신지"}</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hidden="1">{#N/A,#N/A,FALSE,"이태원철근"}</definedName>
    <definedName name="옥외대비" hidden="1">{#N/A,#N/A,FALSE,"이태원철근"}</definedName>
    <definedName name="울트구룡대보2공구" hidden="1">{#N/A,#N/A,FALSE,"속도"}</definedName>
    <definedName name="울트라" hidden="1">{#N/A,#N/A,FALSE,"구조1"}</definedName>
    <definedName name="울트라구룡2공구" hidden="1">{#N/A,#N/A,FALSE,"이정표"}</definedName>
    <definedName name="원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월별투입" hidden="1">{#N/A,#N/A,FALSE,"지침";#N/A,#N/A,FALSE,"환경분석";#N/A,#N/A,FALSE,"Sheet16"}</definedName>
    <definedName name="이슈" hidden="1">{#N/A,#N/A,FALSE,"지침";#N/A,#N/A,FALSE,"환경분석";#N/A,#N/A,FALSE,"Sheet16"}</definedName>
    <definedName name="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정표" hidden="1">{#N/A,#N/A,FALSE,"이태원철근"}</definedName>
    <definedName name="일정표0124" hidden="1">{#N/A,#N/A,FALSE,"이태원철근"}</definedName>
    <definedName name="자양" hidden="1">{#N/A,#N/A,FALSE,"이태원철근"}</definedName>
    <definedName name="자양공사개요" hidden="1">{#N/A,#N/A,FALSE,"이태원철근"}</definedName>
    <definedName name="자운" hidden="1">#REF!</definedName>
    <definedName name="전자CF" hidden="1">{#N/A,#N/A,FALSE,"지침";#N/A,#N/A,FALSE,"환경분석";#N/A,#N/A,FALSE,"Sheet16"}</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 hidden="1">{#N/A,#N/A,FALSE,"지침";#N/A,#N/A,FALSE,"환경분석";#N/A,#N/A,FALSE,"Sheet16"}</definedName>
    <definedName name="죽전5차" hidden="1">{#N/A,#N/A,FALSE,"이태원철근"}</definedName>
    <definedName name="ㅊ" hidden="1">{#N/A,#N/A,FALSE,"운반시간"}</definedName>
    <definedName name="철콘부대외" hidden="1">{#N/A,#N/A,FALSE,"Sheet1"}</definedName>
    <definedName name="총갑지" hidden="1">#REF!</definedName>
    <definedName name="출판" hidden="1">{#N/A,#N/A,FALSE,"지침";#N/A,#N/A,FALSE,"환경분석";#N/A,#N/A,FALSE,"Sheet16"}</definedName>
    <definedName name="취하" hidden="1">{#N/A,#N/A,FALSE,"이태원철근"}</definedName>
    <definedName name="취하실적1." hidden="1">{#N/A,#N/A,FALSE,"이태원철근"}</definedName>
    <definedName name="캐쉬" hidden="1">{#N/A,#N/A,FALSE,"지침";#N/A,#N/A,FALSE,"환경분석";#N/A,#N/A,FALSE,"Sheet16"}</definedName>
    <definedName name="토목공사강릉" hidden="1">#REF!</definedName>
    <definedName name="토목설계" hidden="1">{#N/A,#N/A,FALSE,"골재소요량";#N/A,#N/A,FALSE,"골재소요량"}</definedName>
    <definedName name="토목실견적" hidden="1">{#N/A,#N/A,FALSE,"이태원철근"}</definedName>
    <definedName name="투찰" hidden="1">{#N/A,#N/A,FALSE,"단가표지"}</definedName>
    <definedName name="ㅍ" hidden="1">{#N/A,#N/A,FALSE,"조골재"}</definedName>
    <definedName name="포장2월ocf" hidden="1">{#N/A,#N/A,FALSE,"지침";#N/A,#N/A,FALSE,"환경분석";#N/A,#N/A,FALSE,"Sheet16"}</definedName>
    <definedName name="포장ocf" hidden="1">{#N/A,#N/A,FALSE,"지침";#N/A,#N/A,FALSE,"환경분석";#N/A,#N/A,FALSE,"Sheet16"}</definedName>
    <definedName name="표지" hidden="1">#REF!</definedName>
    <definedName name="표지2" hidden="1">#REF!</definedName>
    <definedName name="품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피로티" hidden="1">{#N/A,#N/A,FALSE,"이태원철근"}</definedName>
    <definedName name="피로티1" hidden="1">{#N/A,#N/A,FALSE,"이태원철근"}</definedName>
    <definedName name="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 hidden="1">{#N/A,#N/A,FALSE,"지침";#N/A,#N/A,FALSE,"환경분석";#N/A,#N/A,FALSE,"Sheet16"}</definedName>
    <definedName name="하도대상" hidden="1">{#N/A,#N/A,FALSE,"골재소요량";#N/A,#N/A,FALSE,"골재소요량"}</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협조전" hidden="1">#REF!</definedName>
    <definedName name="호ㅓ" hidden="1">#REF!</definedName>
    <definedName name="홍범표" hidden="1">{#N/A,#N/A,FALSE,"이태원철근"}</definedName>
    <definedName name="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ㅠㅠ" hidden="1">{#N/A,#N/A,FALSE,"지침";#N/A,#N/A,FALSE,"환경분석";#N/A,#N/A,FALSE,"Sheet16"}</definedName>
    <definedName name="ㅡㅡㅡ" hidden="1">{#N/A,#N/A,FALSE,"지침";#N/A,#N/A,FALSE,"환경분석";#N/A,#N/A,FALSE,"Sheet16"}</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取费" hidden="1">{"'现金流量表（全部投资）'!$B$4:$P$23"}</definedName>
    <definedName name="地基处理" hidden="1">{"'现金流量表（全部投资）'!$B$4:$P$23"}</definedName>
    <definedName name="実行" hidden="1">{"'Sheet1'!$L$16"}</definedName>
    <definedName name="岡田" hidden="1">{#N/A,#N/A,TRUE,"SUM";#N/A,#N/A,TRUE,"EE";#N/A,#N/A,TRUE,"AC";#N/A,#N/A,TRUE,"SN"}</definedName>
    <definedName name="影响力" hidden="1">{"'现金流量表（全部投资）'!$B$4:$P$23"}</definedName>
    <definedName name="新封" hidden="1">{"'现金流量表（全部投资）'!$B$4:$P$23"}</definedName>
    <definedName name="脱硫表二" hidden="1">{"'现金流量表（全部投资）'!$B$4:$P$23"}</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03" l="1"/>
  <c r="F7" i="103"/>
  <c r="E4" i="103" l="1"/>
  <c r="D6" i="102"/>
  <c r="H4" i="106"/>
  <c r="I4" i="106" s="1"/>
  <c r="H5" i="106"/>
  <c r="I5" i="106" s="1"/>
  <c r="H6" i="106"/>
  <c r="I6" i="106" s="1"/>
  <c r="H11" i="106"/>
  <c r="I11" i="106" s="1"/>
  <c r="H12" i="106"/>
  <c r="H14" i="106"/>
  <c r="F6" i="103" l="1"/>
  <c r="H13" i="106"/>
  <c r="I13" i="106" s="1"/>
  <c r="I14" i="106"/>
  <c r="I12" i="106"/>
  <c r="H10" i="106"/>
  <c r="I10" i="106" s="1"/>
  <c r="H3" i="106"/>
  <c r="E9" i="103"/>
  <c r="E14" i="103"/>
  <c r="E13" i="103"/>
  <c r="E12" i="103"/>
  <c r="E11" i="103"/>
  <c r="H15" i="106" l="1"/>
  <c r="I15" i="106" s="1"/>
  <c r="I3" i="106"/>
  <c r="F16" i="103"/>
  <c r="C13" i="104" s="1"/>
  <c r="F14" i="103"/>
  <c r="C11" i="104" s="1"/>
  <c r="F13" i="103"/>
  <c r="C10" i="104" s="1"/>
  <c r="F12" i="103"/>
  <c r="C9" i="104" s="1"/>
  <c r="F11" i="103"/>
  <c r="C8" i="104" s="1"/>
  <c r="D10" i="103"/>
  <c r="E8" i="103"/>
  <c r="D3" i="102" s="1"/>
  <c r="D8" i="103"/>
  <c r="C3" i="102" s="1"/>
  <c r="D2" i="102"/>
  <c r="C4" i="102" l="1"/>
  <c r="D21" i="103"/>
  <c r="D17" i="103" s="1"/>
  <c r="E15" i="103"/>
  <c r="D5" i="102" s="1"/>
  <c r="C14" i="104"/>
  <c r="C7" i="104"/>
  <c r="F10" i="103"/>
  <c r="E4" i="102" s="1"/>
  <c r="E10" i="103"/>
  <c r="F9" i="103"/>
  <c r="E19" i="103" l="1"/>
  <c r="D4" i="102"/>
  <c r="D7" i="102" s="1"/>
  <c r="F8" i="103"/>
  <c r="C6" i="104"/>
  <c r="C5" i="104" s="1"/>
  <c r="E3" i="102" l="1"/>
  <c r="K9" i="72" l="1"/>
  <c r="F15" i="72"/>
  <c r="I18" i="72"/>
  <c r="J20" i="72"/>
  <c r="C34" i="72"/>
  <c r="D34" i="72" s="1"/>
  <c r="C35" i="72"/>
  <c r="D35" i="72" s="1"/>
  <c r="C36" i="72"/>
  <c r="D36" i="72" s="1"/>
  <c r="C37" i="72"/>
  <c r="E37" i="72" s="1"/>
  <c r="C38" i="72"/>
  <c r="D38" i="72" s="1"/>
  <c r="C39" i="72"/>
  <c r="D39" i="72" s="1"/>
  <c r="C40" i="72"/>
  <c r="D40" i="72" s="1"/>
  <c r="C41" i="72"/>
  <c r="D41" i="72" s="1"/>
  <c r="C42" i="72"/>
  <c r="D42" i="72" s="1"/>
  <c r="E41" i="72" l="1"/>
  <c r="F41" i="72" s="1"/>
  <c r="G41" i="72" s="1"/>
  <c r="H41" i="72" s="1"/>
  <c r="E39" i="72"/>
  <c r="F39" i="72" s="1"/>
  <c r="G39" i="72" s="1"/>
  <c r="H39" i="72" s="1"/>
  <c r="E35" i="72"/>
  <c r="F35" i="72" s="1"/>
  <c r="G35" i="72" s="1"/>
  <c r="D37" i="72"/>
  <c r="F37" i="72" s="1"/>
  <c r="G37" i="72" s="1"/>
  <c r="E42" i="72"/>
  <c r="F42" i="72" s="1"/>
  <c r="G42" i="72" s="1"/>
  <c r="H42" i="72" s="1"/>
  <c r="E40" i="72"/>
  <c r="F40" i="72" s="1"/>
  <c r="G40" i="72" s="1"/>
  <c r="H40" i="72" s="1"/>
  <c r="E38" i="72"/>
  <c r="F38" i="72" s="1"/>
  <c r="G38" i="72" s="1"/>
  <c r="H38" i="72" s="1"/>
  <c r="E36" i="72"/>
  <c r="F36" i="72" s="1"/>
  <c r="G36" i="72" s="1"/>
  <c r="H36" i="72" s="1"/>
  <c r="E34" i="72"/>
  <c r="F34" i="72" s="1"/>
  <c r="G34" i="72" s="1"/>
  <c r="H34" i="72" s="1"/>
  <c r="D9" i="72" l="1"/>
  <c r="F9" i="72" s="1"/>
  <c r="D11" i="72"/>
  <c r="F11" i="72" s="1"/>
  <c r="D10" i="72"/>
  <c r="F10" i="72" s="1"/>
  <c r="H35" i="72"/>
  <c r="D12" i="72"/>
  <c r="F12" i="72" s="1"/>
  <c r="D7" i="72"/>
  <c r="H37" i="72"/>
  <c r="F7" i="72" l="1"/>
  <c r="D8" i="72"/>
  <c r="F8" i="72" s="1"/>
  <c r="F5" i="72" l="1"/>
  <c r="F14" i="72" l="1"/>
  <c r="F22" i="72" s="1"/>
  <c r="F28" i="72" s="1"/>
  <c r="F23" i="72" l="1"/>
  <c r="F24" i="72" s="1"/>
  <c r="F25" i="72" s="1"/>
  <c r="F33" i="73" l="1"/>
  <c r="F32" i="73"/>
  <c r="F30" i="73"/>
  <c r="F29" i="73"/>
  <c r="F27" i="73"/>
  <c r="F26" i="73"/>
  <c r="F25" i="73"/>
  <c r="F24" i="73"/>
  <c r="F23" i="73"/>
  <c r="F22" i="73"/>
  <c r="F21" i="73"/>
  <c r="F20" i="73"/>
  <c r="F19" i="73"/>
  <c r="F18" i="73"/>
  <c r="F17" i="73"/>
  <c r="F16" i="73"/>
  <c r="F15" i="73"/>
  <c r="F13" i="73"/>
  <c r="F12" i="73"/>
  <c r="F11" i="73"/>
  <c r="F9" i="73"/>
  <c r="F8" i="73"/>
  <c r="F6" i="73" l="1"/>
  <c r="F34" i="73" l="1"/>
  <c r="F36" i="73" l="1"/>
  <c r="F37" i="73" l="1"/>
  <c r="F38" i="73" s="1"/>
  <c r="D8" i="74" l="1"/>
  <c r="F8" i="74" s="1"/>
  <c r="D7" i="74"/>
  <c r="F7" i="74" s="1"/>
  <c r="D9" i="74"/>
  <c r="F9" i="74" s="1"/>
  <c r="F6" i="74" l="1"/>
  <c r="F10" i="74" l="1"/>
  <c r="F12" i="74" s="1"/>
  <c r="F13" i="74" s="1"/>
  <c r="F14" i="74" l="1"/>
  <c r="J5" i="103" l="1"/>
  <c r="F5" i="103"/>
  <c r="F4" i="103" s="1"/>
  <c r="C2" i="102"/>
  <c r="C4" i="104" l="1"/>
  <c r="C3" i="104" s="1"/>
  <c r="D15" i="103"/>
  <c r="C5" i="102" s="1"/>
  <c r="F17" i="103"/>
  <c r="E2" i="102" l="1"/>
  <c r="F15" i="103"/>
  <c r="C15" i="104"/>
  <c r="C12" i="104" s="1"/>
  <c r="C6" i="102" l="1"/>
  <c r="C7" i="102" s="1"/>
  <c r="E5" i="102"/>
  <c r="D19" i="103" l="1"/>
  <c r="F18" i="103"/>
  <c r="E6" i="102" s="1"/>
  <c r="E7" i="102" s="1"/>
  <c r="F19" i="103" l="1"/>
  <c r="C16" i="104"/>
  <c r="C17" i="104" s="1"/>
  <c r="E22" i="103" l="1"/>
  <c r="E23" i="103"/>
</calcChain>
</file>

<file path=xl/sharedStrings.xml><?xml version="1.0" encoding="utf-8"?>
<sst xmlns="http://schemas.openxmlformats.org/spreadsheetml/2006/main" count="339" uniqueCount="211">
  <si>
    <t>STT</t>
  </si>
  <si>
    <t>A</t>
  </si>
  <si>
    <t>B</t>
  </si>
  <si>
    <t>C</t>
  </si>
  <si>
    <t>I</t>
  </si>
  <si>
    <t>II</t>
  </si>
  <si>
    <t>III</t>
  </si>
  <si>
    <t>IV</t>
  </si>
  <si>
    <t>V</t>
  </si>
  <si>
    <t>TT</t>
  </si>
  <si>
    <t>1.1</t>
  </si>
  <si>
    <t>1.2</t>
  </si>
  <si>
    <t>Tổng cộng</t>
  </si>
  <si>
    <t>Diễn giải</t>
  </si>
  <si>
    <t>Thu nhập chịu thuế tính trước</t>
  </si>
  <si>
    <t>TỔNG CỘNG</t>
  </si>
  <si>
    <t>Chuẩn bị</t>
  </si>
  <si>
    <t>Kế hoạch triển khai (Lập, review, thống nhất các kế hoạch khung, đào tạo, vận hành thử nghiệm, vận hành chính thức,…)</t>
  </si>
  <si>
    <t>Kick off dự án giữa đội dự án đơn vị triển khai và đội dự án khách hàng</t>
  </si>
  <si>
    <t>Cài đặt, thiết lập hệ thống</t>
  </si>
  <si>
    <t>Kiểm tra hạ tầng (PC, Server, LAN, WAN,…)</t>
  </si>
  <si>
    <t>Cài đặt hệ thống (server, PC,…)</t>
  </si>
  <si>
    <t>Cấu hình hệ thống phần mềm (LDAP, người dùng, phân quyền, danh mục,...)</t>
  </si>
  <si>
    <t xml:space="preserve">Hướng dẫn sử dụng tại chỗ </t>
  </si>
  <si>
    <t>Thiết lập cơ chế vận hành hệ thống toàn đơn vị (dự thảo, review, thống nhất, ban hành)</t>
  </si>
  <si>
    <t>D</t>
  </si>
  <si>
    <t>Vận hành</t>
  </si>
  <si>
    <t xml:space="preserve">Hỗ trợ vận hành thử nghiệm các phân hệ </t>
  </si>
  <si>
    <t>Thu thập ý kiến đóng góp trong quá trình vận hành của NSD (ý kiến đóng góp NSD được tổng hợp theo quy trình)</t>
  </si>
  <si>
    <t>Tiến hành phân tích đánh giá (góp ý đơn vị trong quá trình đào tạo và vận hành)</t>
  </si>
  <si>
    <t>Điều chỉnh tài liệu phân tích</t>
  </si>
  <si>
    <t>Thống nhất kết quả phân tích, đánh giá, và xác định yêu cầu điều chỉnh trong quá trình đào tạo triển khai của đơn vị</t>
  </si>
  <si>
    <t>Tiến hành thiết kế các hiệu chỉnh phần mềm theo kết quả thống nhất</t>
  </si>
  <si>
    <t>Điều chỉnh tài liệu thiết kế</t>
  </si>
  <si>
    <t>Thực hiện hiệu chỉnh phần mềm</t>
  </si>
  <si>
    <t>Báo cáo kết quả điều chỉnh phần mềm, thống nhất nội dung phần mềm hoàn chỉnh trước khi tiến hành triển khai chính thức</t>
  </si>
  <si>
    <t>Hỗ trợ vận hành thử nghiệm tại đơn vị sau khi hoàn thiện hiệu chỉnh phần mềm theo góp ý (hỗ trợ theo phòng ban, theo cá nhân phòng ban, theo đối tượng NSD)</t>
  </si>
  <si>
    <t>Báo cáo kết quả vận hành thử nghiệm</t>
  </si>
  <si>
    <t>Hỗ trợ vận hành chính thức tại đơn vị (hỗ trợ theo phòng ban, theo cá nhân phòng ban, theo đối tượng NSD)</t>
  </si>
  <si>
    <t>Báo cáo kết quả vận hành chính thức</t>
  </si>
  <si>
    <t>E</t>
  </si>
  <si>
    <t>Chuyển giao công nghệ cho chủ đầu tư</t>
  </si>
  <si>
    <t>Tiếp nhận Chuyển giao mã nguồn sản phẩm</t>
  </si>
  <si>
    <t>Hướng dẫn cài đặt, cấu hình, hiệu chỉnh, quản trị phần mềm</t>
  </si>
  <si>
    <t>Nghiệm thu dự án</t>
  </si>
  <si>
    <t>Tiến hành thủ tục nghiệm thu dự án</t>
  </si>
  <si>
    <t>Bậc</t>
  </si>
  <si>
    <t>GIÁ TRỊ</t>
  </si>
  <si>
    <t>Họp nghiệm thu dự án</t>
  </si>
  <si>
    <t>Người lao động đã qua học nghề (NLĐHN): 7%</t>
  </si>
  <si>
    <t>3</t>
  </si>
  <si>
    <t>4</t>
  </si>
  <si>
    <t>5</t>
  </si>
  <si>
    <t>Chi phí khác</t>
  </si>
  <si>
    <t>GHI CHÚ</t>
  </si>
  <si>
    <t>1.3</t>
  </si>
  <si>
    <t>BẢNG TÍNH CHI PHÍ TƯ VẤN</t>
  </si>
  <si>
    <t>CHI PHÍ</t>
  </si>
  <si>
    <t>DIỄN GIẢI</t>
  </si>
  <si>
    <t>ĐƠN GIÁ</t>
  </si>
  <si>
    <t>SỐ NGÀY</t>
  </si>
  <si>
    <t>Chi phí chuyên gia</t>
  </si>
  <si>
    <t>(Lcg + Pc)</t>
  </si>
  <si>
    <t>Chi phí chuyên gia thuê khoán</t>
  </si>
  <si>
    <t>Ccg</t>
  </si>
  <si>
    <t>Đơn giá ngày công x Số ngày</t>
  </si>
  <si>
    <t>- Tổ chức quản lý chất lượng, khối lượng và tiến độ thực hiện dự án
- Tư vấn giúp chủ đầu tư hệ thống hóa và kiểm soát tài liệu của dự án
- Dự kiến hàng tháng tổ chức thực hiện định kỳ tối thiểu 4 lần/tháng (12*4)</t>
  </si>
  <si>
    <t>- Kiểm tra, giám sát việc chuyển giao công nghệ của các nhà thầu
- Dự kiến hàng tháng tổ chức thực hiện định kỳ tối thiểu 4 lần/tháng (12*4)</t>
  </si>
  <si>
    <t>- Quản lý việc thực hiện tất cả các Hợp đồng triển khai của các nhà thầu khác đã ký kết với Chủ đầu tư</t>
  </si>
  <si>
    <t>Phụ cấp kiêm nhiệm chủ đầu tư</t>
  </si>
  <si>
    <t>Trong quy mô dự án này không đề xuất kinh phí (phụ cấp kiêm nhiệm quản lý dự án theo quy định tại điểm b khoản 3 Điều 11 Thông tư số 72/2017/TT-BTC ngày 17/7/2017 đã hết hiệu lực). Chủ đầu tư tự phân bổ nhân sự thực hiện</t>
  </si>
  <si>
    <t>Pc</t>
  </si>
  <si>
    <t>2</t>
  </si>
  <si>
    <t>Chi phí quản lý</t>
  </si>
  <si>
    <t>55% x Ccg</t>
  </si>
  <si>
    <t>Cql</t>
  </si>
  <si>
    <t>Ck</t>
  </si>
  <si>
    <t>- Chi phí vật liệu, văn phòng phẩm</t>
  </si>
  <si>
    <t>Thanh toán theo thực tế</t>
  </si>
  <si>
    <t>Thanh toán 1 lần/tổng số hóa đơn</t>
  </si>
  <si>
    <t>- Chi phí chuyển phát nhanh</t>
  </si>
  <si>
    <t>- Chi phí thanh toán tiền điện thoại</t>
  </si>
  <si>
    <t>Thanh toán khoán trọn gói 6 nhân sự/250.000 đồng</t>
  </si>
  <si>
    <t>- Chi phí thanh toán tiền điện</t>
  </si>
  <si>
    <t>- Chi phí thanh toán tiền nước Lavie</t>
  </si>
  <si>
    <t>- Chi phí thanh toán tiền bảo trì, sửa chữa máy lạnh</t>
  </si>
  <si>
    <t>6% (Ccg + Cql + Ck)</t>
  </si>
  <si>
    <t>TN</t>
  </si>
  <si>
    <t>Chi phí QLHM đã trình</t>
  </si>
  <si>
    <t>Thuế giá trị gia tăng</t>
  </si>
  <si>
    <t>10% (Ccg+Cql+Ck+TN)</t>
  </si>
  <si>
    <t>VAT</t>
  </si>
  <si>
    <t>Làm tròn</t>
  </si>
  <si>
    <t>Hệ số</t>
  </si>
  <si>
    <t>Lương cơ bản</t>
  </si>
  <si>
    <t>BHYT</t>
  </si>
  <si>
    <t>Tổng</t>
  </si>
  <si>
    <t>CP 1 ngày công</t>
  </si>
  <si>
    <t>CP 1 giờ công</t>
  </si>
  <si>
    <t>BHTN</t>
  </si>
  <si>
    <t>BHXH</t>
  </si>
  <si>
    <t>Lương cơ bản</t>
  </si>
  <si>
    <r>
      <t>Chú thích</t>
    </r>
    <r>
      <rPr>
        <sz val="14"/>
        <color theme="1"/>
        <rFont val="Times New Roman"/>
        <family val="1"/>
      </rPr>
      <t>:</t>
    </r>
  </si>
  <si>
    <t>Cấp bậc kỹ sư quy định trong bảng trên là cấp bậc kỹ sư được vận dụng quy định tại Bảng 3 - Bảng lương chuyên môn, nghiệp vụ đối với cán bộ, viên chức trong các đơn vị sự nghiệp của Nhà nước, ban hành kèm theo Nghị định số 204/2004/NĐ-CP ngày 14/12/2004;</t>
  </si>
  <si>
    <t>Người lao động đã qua học nghề (NLĐHN) = 7% x Lương cơ bản;</t>
  </si>
  <si>
    <t>Bảo hiểm xã hội =17% x Lương cơ bản;</t>
  </si>
  <si>
    <t>Bảo hiểm tai nạn lao động, bệnh nghề nghiệp =0,5% x Lương cơ bản;</t>
  </si>
  <si>
    <t>Bảo hiểm y tế =3% x Lương cơ bản;</t>
  </si>
  <si>
    <t>Bảo hiểm thất nghiệp =1% x Lương cơ bản;</t>
  </si>
  <si>
    <t>Tổng cộng mức đóng bảo hiểm: 21,5%;</t>
  </si>
  <si>
    <t>Lương cơ bản: 1.490.000 đồng theo Nghị quyết 70/2018/QH14 của Quốc hội về dự toán ngân sách Nhà nước năm 2019.</t>
  </si>
  <si>
    <t>- Tổ chức nghiệm thu, bàn giao các công việc của gói thầu. Dự kiến hàng tháng tổ chức thực hiện định kỳ tối thiểu 4 lần/tháng (12*3)
- Tổ chức nghiệm thu, thanh toán, quyết toán Hợp đồng đợt 1 và đợt 2 (30 ngày)</t>
  </si>
  <si>
    <t>BẢNG TÍNH CHI PHÍ TRIỂN KHAI</t>
  </si>
  <si>
    <t>I. Bảng dự toán giá trị công việc "Triển khai, hỗ trợ,quản trị, vận hành"  (Căn cứ Phụ lục 05, Thông tư 04/2020/TT-BTTTT ngày 24/02/2020)</t>
  </si>
  <si>
    <t>Chi phí chuyên gia trực tiếp</t>
  </si>
  <si>
    <t>65% x Ccg</t>
  </si>
  <si>
    <t>BẢNG TÍNH CHI PHÍ ĐÀO TẠO</t>
  </si>
  <si>
    <t>Thu thập ý kiến đóng góp trong quá trình đào tạo hướng dẫn sử dụng tại chỗ của NSD (ý kiến đóng góp NSD được tổng hợp theo quy trình)</t>
  </si>
  <si>
    <t>- Báo cáo các khiếm khuyết, các công việc trễ tiến độ thực hiện của các nhà thầu khác và yêu cầu các nhà thầu này có biện pháp khắc phục nhằm hoàn thành đúng tiến độ đã cam kết với Chủ đầu tư
- Kiểm tra, báo cáo, tổng hợp các thay đổi hoặc phát sinh thiết kế trong quá trình thực hiện kế hoạch thuê dịch vụ
- Dự kiến hàng tháng tổ chức thực hiện định kỳ tối thiểu 4 lần/tháng (12*4)</t>
  </si>
  <si>
    <t>-Theo dõi, đánh giá và báo cáo mức độ hoàn thành tiến độ của các nhà thầu
- Dự kiến hàng tháng tổ chức thực hiện định kỳ tối thiểu 4 lần/tháng (12*4)</t>
  </si>
  <si>
    <t>Thành viên 1 Quản lý dự án</t>
  </si>
  <si>
    <t>Thành viên 2 Quản lý dự án</t>
  </si>
  <si>
    <t>Thành viên 3 Quản lý dự án</t>
  </si>
  <si>
    <t>Thành viên 4 Quản lý dự án</t>
  </si>
  <si>
    <t>Thành viên 5 Quản lý dự án</t>
  </si>
  <si>
    <t>Thành viên 6 Quản lý dự án</t>
  </si>
  <si>
    <r>
      <t xml:space="preserve">Công việc: Quản lý </t>
    </r>
    <r>
      <rPr>
        <b/>
        <sz val="13"/>
        <color rgb="FFFF0000"/>
        <rFont val="Times New Roman"/>
        <family val="1"/>
      </rPr>
      <t>hạng mục</t>
    </r>
  </si>
  <si>
    <r>
      <t xml:space="preserve">I. Bảng dự toán giá trị công việc "Quản lý </t>
    </r>
    <r>
      <rPr>
        <b/>
        <sz val="13"/>
        <color rgb="FFFF0000"/>
        <rFont val="Times New Roman"/>
        <family val="1"/>
      </rPr>
      <t>hạng mục</t>
    </r>
    <r>
      <rPr>
        <b/>
        <sz val="13"/>
        <rFont val="Times New Roman"/>
        <family val="1"/>
      </rPr>
      <t>" (Căn cứ theo Quyết định 2378/QĐ-BTTTT ngày 30/12/2016 và Quyết định 1688/QĐ-BTTTT ngày 11/10/2019):</t>
    </r>
  </si>
  <si>
    <t>II. Bảng dự toán giá trị công việc "Đào tạo hướng dẫn sử dụng tại chỗ trong quá trình vận hành hệ thống tại các đơn vị, phòng ban"  (Căn cứ Phụ lục 05, Thông tư 04/2020/TT-BTTTT ngày 24/02/2020)</t>
  </si>
  <si>
    <t>Lcg</t>
  </si>
  <si>
    <t>Nội dung chi phí</t>
  </si>
  <si>
    <t>Giá trị trước thuế (VND)</t>
  </si>
  <si>
    <t xml:space="preserve"> Thuế GTGT (VND)</t>
  </si>
  <si>
    <t>Giá trị sau thuế (VND)</t>
  </si>
  <si>
    <t xml:space="preserve">Chi phí thiết bị </t>
  </si>
  <si>
    <t>Chi phí quản lý dự án</t>
  </si>
  <si>
    <t xml:space="preserve">Chi phí tư vấn đầu tư </t>
  </si>
  <si>
    <t xml:space="preserve">Chi phí dự phòng </t>
  </si>
  <si>
    <t>TỔNG DỰ TOÁN</t>
  </si>
  <si>
    <t>TMĐT</t>
  </si>
  <si>
    <t>Stt</t>
  </si>
  <si>
    <t>Nội dung</t>
  </si>
  <si>
    <t>Chi phí 
trước thuế</t>
  </si>
  <si>
    <t>Thuế GTGT</t>
  </si>
  <si>
    <t>Chi phí sau thuế</t>
  </si>
  <si>
    <t>CHI PHÍ THIẾT BỊ (Gtb)</t>
  </si>
  <si>
    <t>Nâng cấp, triển khai phần mềm</t>
  </si>
  <si>
    <t>CHI PHÍ QUẢN LÝ DỰ ÁN (Gql)</t>
  </si>
  <si>
    <t>Theo báo giá thực tế</t>
  </si>
  <si>
    <t>CHI PHÍ TƯ VẤN ĐẦU TƯ (Gtv)</t>
  </si>
  <si>
    <t>Chi phí lập báo cáo kinh tế - kỹ thuật</t>
  </si>
  <si>
    <t>Chi phí thẩm tra báo cáo kinh tế - kỹ thuật</t>
  </si>
  <si>
    <t>Chi phí lập E-HSMT và đánh giá E-HSDT</t>
  </si>
  <si>
    <t>Chi phí thẩm định E-HSMT và kết quả lựa chọn nhà thầu</t>
  </si>
  <si>
    <t>CHI PHÍ KHÁC CÓ LIÊN QUAN (Gk)</t>
  </si>
  <si>
    <t>Chi phí kiểm thử phần mềm</t>
  </si>
  <si>
    <t>CHI PHÍ DỰ PHÒNG (Gdp)</t>
  </si>
  <si>
    <t>I + II + III + IV + V</t>
  </si>
  <si>
    <t>Chi phí thẩm tra phê duyệt quyết toán</t>
  </si>
  <si>
    <t>Chi phí quản lý dự án và giám sát, đánh giá đầu tư</t>
  </si>
  <si>
    <t>điểm a, khoản 5 Điều 16, Nghị định số 45/2026/NĐ-CP</t>
  </si>
  <si>
    <t>Kế hoạch phân bổ vốn</t>
  </si>
  <si>
    <t>Năm 2026</t>
  </si>
  <si>
    <t>- Giá chưa bao gồm VAT 8%</t>
  </si>
  <si>
    <t>1 tháng</t>
  </si>
  <si>
    <t>trang</t>
  </si>
  <si>
    <t>Dịch vụ OCR</t>
  </si>
  <si>
    <t>Chuyển đổi dữ liệu từ PDF sang văn bản; Chuyển đổi tài liệu thành tri thức</t>
  </si>
  <si>
    <t>Dịch vụ AI xử lý văn bản</t>
  </si>
  <si>
    <t>ký tự</t>
  </si>
  <si>
    <t>Text to Speech</t>
  </si>
  <si>
    <t>Hỗ trợ đọc bài viết</t>
  </si>
  <si>
    <t>phút</t>
  </si>
  <si>
    <t>Speech to Text</t>
  </si>
  <si>
    <t>Chuyển đổi dữ liệu từ file ghi âm audio sang văn bản</t>
  </si>
  <si>
    <t>Dịch vụ AI xử lý giọng nói</t>
  </si>
  <si>
    <t>Gợi ý từ khóa và thẻ (tag) khi soạn thảo</t>
  </si>
  <si>
    <t>Kiểm tra từ ngữ nhạy cảm, nội dung tiêu cực</t>
  </si>
  <si>
    <t>Tóm tắt nội dung bài viết</t>
  </si>
  <si>
    <t>request</t>
  </si>
  <si>
    <t>Dịch vụ GenAI
- Input tối đa 8000 từ (~10.000 token)</t>
  </si>
  <si>
    <t>Kiểm tra chính tả và ngữ pháp</t>
  </si>
  <si>
    <t>Dịch vụ VoiceBot GenAI</t>
  </si>
  <si>
    <t>Hỏi đáp bằng giọng nói</t>
  </si>
  <si>
    <t>Dịch vụ ChatBot GenAI</t>
  </si>
  <si>
    <t>Hỏi đáp ngôn ngữ tự nhiên; Tìm kiếm và tổng hợp thông tin</t>
  </si>
  <si>
    <t>Dịch vụ GenAI</t>
  </si>
  <si>
    <t>Thành tiền/ năm
(VND)</t>
  </si>
  <si>
    <t>Thành tiền / tháng
(VND)</t>
  </si>
  <si>
    <t>Đơn giá
(VND)</t>
  </si>
  <si>
    <t>Số lượng</t>
  </si>
  <si>
    <t>Thời gian sử dụng</t>
  </si>
  <si>
    <t>Đơn vị tính</t>
  </si>
  <si>
    <t>Dịch vụ AI</t>
  </si>
  <si>
    <t>Tính năng tích hợp</t>
  </si>
  <si>
    <t>Chi phí thuê dịch vụ AI</t>
  </si>
  <si>
    <t>DỰ TOÁN CHI PHÍ DỊCH VỤ AI (Phạm vi triển khai cho 01 trang thông tin điện tử tỉnh Khánh Hòa)</t>
  </si>
  <si>
    <t>Chi phí thiết lập trang thành phần</t>
  </si>
  <si>
    <t>điểm a, Khoản 4, Điều 16 của Nghị định số 45/2026/NĐ-CP</t>
  </si>
  <si>
    <t>GTQT</t>
  </si>
  <si>
    <t>điểm a, Khoản 5 Điều 16, Nghị định số 45/2026/NĐ-CP</t>
  </si>
  <si>
    <t>Căn cứ pháp lý</t>
  </si>
  <si>
    <t xml:space="preserve">Chi phí quản lý dự án  </t>
  </si>
  <si>
    <t>&lt;5%</t>
  </si>
  <si>
    <t>Phụ lục 03, Thông tư 18/TT-BTTTT</t>
  </si>
  <si>
    <t>Bản quyền nền tảng AI (phần mềm thương mại)</t>
  </si>
  <si>
    <t xml:space="preserve">Gtqt*0,53743%*70% </t>
  </si>
  <si>
    <t>điểm c, d, e, Khoản 1, Điều 45 Nghị định 254/2025/NĐ-CP</t>
  </si>
  <si>
    <t>Hợp đồng số 1504/VPUBND-MP ngày 15 tháng 04 năm 2026</t>
  </si>
  <si>
    <t>Đã ký hợp đồng tư vấn</t>
  </si>
  <si>
    <t>Hợp đồng số   162026/VPUBND-TTCĐSKH ngày 01 tháng 06 năm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</si>
</sst>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9">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00\ _€_-;\-* #,##0.00\ _€_-;_-* &quot;-&quot;??\ _€_-;_-@_-"/>
    <numFmt numFmtId="167" formatCode="_-&quot;$&quot;* #,##0_-;\-&quot;$&quot;* #,##0_-;_-&quot;$&quot;* &quot;-&quot;_-;_-@_-"/>
    <numFmt numFmtId="168" formatCode="_-&quot;$&quot;* #,##0.00_-;\-&quot;$&quot;* #,##0.00_-;_-&quot;$&quot;* &quot;-&quot;??_-;_-@_-"/>
    <numFmt numFmtId="169" formatCode="#,##0\ &quot;$&quot;_);[Red]\(#,##0\ &quot;$&quot;\)"/>
    <numFmt numFmtId="170" formatCode="&quot;\&quot;#,##0;[Red]&quot;\&quot;\-#,##0"/>
    <numFmt numFmtId="171" formatCode="&quot;\&quot;#,##0.00;[Red]&quot;\&quot;\-#,##0.00"/>
    <numFmt numFmtId="172" formatCode="_ &quot;\&quot;* #,##0.00_ ;_ &quot;\&quot;* &quot;\&quot;&quot;\&quot;&quot;\&quot;&quot;\&quot;&quot;\&quot;&quot;\&quot;&quot;\&quot;&quot;\&quot;&quot;\&quot;\-#,##0.00_ ;_ &quot;\&quot;* &quot;-&quot;??_ ;_ @_ "/>
    <numFmt numFmtId="173" formatCode="&quot;\&quot;#,##0;[Red]&quot;\&quot;&quot;\&quot;\-#,##0"/>
    <numFmt numFmtId="174" formatCode="&quot;\&quot;#,##0.00;[Red]&quot;\&quot;&quot;\&quot;&quot;\&quot;&quot;\&quot;&quot;\&quot;&quot;\&quot;\-#,##0.00"/>
    <numFmt numFmtId="175" formatCode="_(* #,##0_);_(* \(#,##0\);_(* &quot;-&quot;??_);_(@_)"/>
    <numFmt numFmtId="176" formatCode=".\ ###\ ;############################################################################################"/>
    <numFmt numFmtId="177" formatCode="&quot;$&quot;#,##0;[Red]\-&quot;$&quot;#,##0"/>
    <numFmt numFmtId="178" formatCode="_-* #,##0.00\ _V_N_D_-;\-* #,##0.00\ _V_N_D_-;_-* &quot;-&quot;??\ _V_N_D_-;_-@_-"/>
    <numFmt numFmtId="179" formatCode="_-* #,##0\ _V_N_D_-;\-* #,##0\ _V_N_D_-;_-* &quot;-&quot;\ _V_N_D_-;_-@_-"/>
    <numFmt numFmtId="180" formatCode="###0"/>
    <numFmt numFmtId="181" formatCode="&quot;$&quot;#&quot;$&quot;##0_);\(&quot;$&quot;#&quot;$&quot;##0\)"/>
    <numFmt numFmtId="182" formatCode="&quot;SFr.&quot;\ #,##0.00;[Red]&quot;SFr.&quot;\ \-#,##0.00"/>
    <numFmt numFmtId="183" formatCode="_ &quot;\&quot;* #,##0_ ;_ &quot;\&quot;* \-#,##0_ ;_ &quot;\&quot;* &quot;-&quot;_ ;_ @_ "/>
    <numFmt numFmtId="184" formatCode="_ &quot;SFr.&quot;\ * #,##0_ ;_ &quot;SFr.&quot;\ * \-#,##0_ ;_ &quot;SFr.&quot;\ * &quot;-&quot;_ ;_ @_ "/>
    <numFmt numFmtId="185" formatCode="_ * #,##0_ ;_ * \-#,##0_ ;_ * &quot;-&quot;_ ;_ @_ "/>
    <numFmt numFmtId="186" formatCode="_ * #,##0.00_ ;_ * \-#,##0.00_ ;_ * &quot;-&quot;??_ ;_ @_ "/>
    <numFmt numFmtId="187" formatCode="_ * #,##0_ ;_ * &quot;\&quot;&quot;\&quot;&quot;\&quot;&quot;\&quot;&quot;\&quot;&quot;\&quot;&quot;\&quot;&quot;\&quot;&quot;\&quot;&quot;\&quot;&quot;\&quot;&quot;\&quot;\-#,##0_ ;_ * &quot;-&quot;_ ;_ @_ "/>
    <numFmt numFmtId="188" formatCode="_ &quot;\&quot;* #,##0.00_ ;_ &quot;\&quot;* &quot;\&quot;&quot;\&quot;&quot;\&quot;&quot;\&quot;&quot;\&quot;&quot;\&quot;&quot;\&quot;&quot;\&quot;&quot;\&quot;&quot;\&quot;&quot;\&quot;&quot;\&quot;\-#,##0.00_ ;_ &quot;\&quot;* &quot;-&quot;??_ ;_ @_ "/>
    <numFmt numFmtId="189" formatCode="_ * #,##0.00_ ;_ * &quot;\&quot;&quot;\&quot;&quot;\&quot;&quot;\&quot;&quot;\&quot;&quot;\&quot;&quot;\&quot;&quot;\&quot;&quot;\&quot;&quot;\&quot;&quot;\&quot;&quot;\&quot;\-#,##0.00_ ;_ * &quot;-&quot;??_ ;_ @_ "/>
    <numFmt numFmtId="190" formatCode="&quot;\&quot;#,##0;&quot;\&quot;&quot;\&quot;&quot;\&quot;&quot;\&quot;&quot;\&quot;&quot;\&quot;&quot;\&quot;&quot;\&quot;&quot;\&quot;&quot;\&quot;&quot;\&quot;&quot;\&quot;&quot;\&quot;&quot;\&quot;\-#,##0"/>
    <numFmt numFmtId="191" formatCode="&quot;\&quot;#,##0;[Red]&quot;\&quot;&quot;\&quot;&quot;\&quot;&quot;\&quot;&quot;\&quot;&quot;\&quot;&quot;\&quot;&quot;\&quot;&quot;\&quot;&quot;\&quot;&quot;\&quot;&quot;\&quot;&quot;\&quot;&quot;\&quot;\-#,##0"/>
    <numFmt numFmtId="192" formatCode="&quot;\&quot;#,##0.00;&quot;\&quot;&quot;\&quot;&quot;\&quot;&quot;\&quot;&quot;\&quot;&quot;\&quot;&quot;\&quot;&quot;\&quot;&quot;\&quot;&quot;\&quot;&quot;\&quot;&quot;\&quot;&quot;\&quot;&quot;\&quot;\-#,##0.00"/>
    <numFmt numFmtId="193" formatCode="_-* #,##0.00\ &quot;F&quot;_-;\-* #,##0.00\ &quot;F&quot;_-;_-* &quot;-&quot;??\ &quot;F&quot;_-;_-@_-"/>
    <numFmt numFmtId="194" formatCode="_ * #,##0.00_)&quot;L&quot;_ ;_ * \(#,##0.00\)&quot;L&quot;_ ;_ * &quot;-&quot;??_)&quot;L&quot;_ ;_ @_ "/>
    <numFmt numFmtId="195" formatCode="#,##0;\(#,##0\)"/>
    <numFmt numFmtId="196" formatCode="_ &quot;R&quot;\ * #,##0_ ;_ &quot;R&quot;\ * \-#,##0_ ;_ &quot;R&quot;\ * &quot;-&quot;_ ;_ @_ "/>
    <numFmt numFmtId="197" formatCode="&quot;$&quot;#,##0.000_);[Red]\(&quot;$&quot;#,##0.00\)"/>
    <numFmt numFmtId="198" formatCode="\t0.00%"/>
    <numFmt numFmtId="199" formatCode="&quot;$&quot;\ \ \ \ #,##0_);\(&quot;$&quot;\ \ \ #,##0\)"/>
    <numFmt numFmtId="200" formatCode="&quot;$&quot;\ \ \ \ \ #,##0_);\(&quot;$&quot;\ \ \ \ \ #,##0\)"/>
    <numFmt numFmtId="201" formatCode="_-&quot;F&quot;\ * #,##0.0_-;_-&quot;F&quot;\ * #,##0.0\-;_-&quot;F&quot;\ * &quot;-&quot;??_-;_-@_-"/>
    <numFmt numFmtId="202" formatCode="\t#\ ??/??"/>
    <numFmt numFmtId="203" formatCode="_-* #,##0.00\ [$€]_-;\-* #,##0.00\ [$€]_-;_-* &quot;-&quot;??\ [$€]_-;_-@_-"/>
    <numFmt numFmtId="204" formatCode="_(* #,##0.000000_);_(* \(#,##0.000000\);_(* &quot;-&quot;??_);_(@_)"/>
    <numFmt numFmtId="205" formatCode="_-* #,##0\ _P_t_a_-;\-* #,##0\ _P_t_a_-;_-* &quot;-&quot;\ _P_t_a_-;_-@_-"/>
    <numFmt numFmtId="206" formatCode="_-&quot;£&quot;* #,##0_-;\-&quot;£&quot;* #,##0_-;_-&quot;£&quot;* &quot;-&quot;_-;_-@_-"/>
    <numFmt numFmtId="207" formatCode="_ &quot;\&quot;* #,##0_ ;_ &quot;\&quot;* &quot;\&quot;&quot;\&quot;&quot;\&quot;&quot;\&quot;&quot;\&quot;&quot;\&quot;&quot;\&quot;&quot;\&quot;&quot;\&quot;&quot;\&quot;&quot;\&quot;&quot;\&quot;&quot;\&quot;&quot;\&quot;\-#,##0_ ;_ &quot;\&quot;* &quot;-&quot;_ ;_ @_ "/>
    <numFmt numFmtId="208" formatCode="#"/>
    <numFmt numFmtId="209" formatCode="&quot;¡Ì&quot;#,##0;[Red]\-&quot;¡Ì&quot;#,##0"/>
    <numFmt numFmtId="210" formatCode="\$#,##0\ ;\(\$#,##0\)"/>
    <numFmt numFmtId="211" formatCode="_(&quot;.&quot;* #&quot;$&quot;##0_);_(&quot;.&quot;* \(#&quot;$&quot;##0\);_(&quot;.&quot;* &quot;-&quot;_);_(@_)"/>
    <numFmt numFmtId="212" formatCode="&quot;$&quot;#&quot;$&quot;##0_);[Red]\(&quot;$&quot;#&quot;$&quot;##0\)"/>
    <numFmt numFmtId="213" formatCode="#,##0.00\ \ "/>
    <numFmt numFmtId="214" formatCode="#,##0.00\ &quot;F&quot;;[Red]\-#,##0.00\ &quot;F&quot;"/>
    <numFmt numFmtId="215" formatCode="&quot;£&quot;#,##0;[Red]\-&quot;£&quot;#,##0"/>
    <numFmt numFmtId="216" formatCode="&quot;\&quot;#,##0.00;[Red]&quot;\&quot;&quot;\&quot;&quot;\&quot;&quot;\&quot;&quot;\&quot;&quot;\&quot;&quot;\&quot;&quot;\&quot;&quot;\&quot;&quot;\&quot;&quot;\&quot;&quot;\&quot;&quot;\&quot;&quot;\&quot;\-#,##0.00"/>
    <numFmt numFmtId="217" formatCode="_ &quot;\&quot;* #,##0_ ;_ &quot;\&quot;* &quot;\&quot;&quot;\&quot;&quot;\&quot;&quot;\&quot;&quot;\&quot;&quot;\&quot;&quot;\&quot;&quot;\&quot;&quot;\&quot;&quot;\&quot;&quot;\&quot;&quot;\&quot;&quot;\&quot;\-#,##0_ ;_ &quot;\&quot;* &quot;-&quot;_ ;_ @_ "/>
    <numFmt numFmtId="218" formatCode="#,##0.00\ "/>
    <numFmt numFmtId="219" formatCode="0\ \ \ \ "/>
    <numFmt numFmtId="220" formatCode="#,##0.00\ \ \ "/>
    <numFmt numFmtId="221" formatCode="General_)"/>
    <numFmt numFmtId="222" formatCode="###\ ###\ ###"/>
    <numFmt numFmtId="223" formatCode="_ * #,##0.00_)_$_ ;_ * \(#,##0.00\)_$_ ;_ * &quot;-&quot;??_)_$_ ;_ @_ "/>
    <numFmt numFmtId="224" formatCode="0.000&quot;% x Tđ&quot;"/>
    <numFmt numFmtId="225" formatCode="_-* #,##0.00\ _₫_-;\-* #,##0.00\ _₫_-;_-* &quot;-&quot;??\ _₫_-;_-@_-"/>
    <numFmt numFmtId="226" formatCode="0.0%"/>
  </numFmts>
  <fonts count="1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63"/>
      <scheme val="minor"/>
    </font>
    <font>
      <sz val="11"/>
      <color theme="1"/>
      <name val="Calibri"/>
      <family val="2"/>
      <scheme val="minor"/>
    </font>
    <font>
      <sz val="11"/>
      <color theme="1"/>
      <name val="Calibri"/>
      <family val="2"/>
      <scheme val="minor"/>
    </font>
    <font>
      <sz val="10"/>
      <name val="Arial"/>
      <family val="2"/>
    </font>
    <font>
      <sz val="10"/>
      <name val="Arial"/>
      <family val="2"/>
    </font>
    <font>
      <sz val="12"/>
      <name val="VNI-Times"/>
    </font>
    <font>
      <b/>
      <sz val="12"/>
      <name val="Arial"/>
      <family val="2"/>
    </font>
    <font>
      <b/>
      <sz val="18"/>
      <name val="Arial"/>
      <family val="2"/>
    </font>
    <font>
      <sz val="10"/>
      <name val="MS Sans Serif"/>
      <family val="2"/>
    </font>
    <font>
      <sz val="12"/>
      <name val="Arial"/>
      <family val="2"/>
    </font>
    <font>
      <b/>
      <sz val="12"/>
      <name val=".VnTime"/>
      <family val="2"/>
    </font>
    <font>
      <b/>
      <sz val="10"/>
      <name val=".VnTime"/>
      <family val="2"/>
    </font>
    <font>
      <sz val="10"/>
      <name val=".VnTime"/>
      <family val="2"/>
    </font>
    <font>
      <sz val="9"/>
      <name val=".VnTime"/>
      <family val="2"/>
    </font>
    <font>
      <sz val="14"/>
      <name val="뼻뮝"/>
      <family val="3"/>
      <charset val="129"/>
    </font>
    <font>
      <sz val="12"/>
      <name val="바탕체"/>
      <family val="3"/>
    </font>
    <font>
      <sz val="12"/>
      <name val="뼻뮝"/>
      <family val="1"/>
      <charset val="129"/>
    </font>
    <font>
      <sz val="12"/>
      <name val="Courier"/>
      <family val="3"/>
    </font>
    <font>
      <sz val="12"/>
      <name val=".VnTime"/>
      <family val="2"/>
    </font>
    <font>
      <sz val="12"/>
      <name val="바탕체"/>
      <family val="1"/>
      <charset val="129"/>
    </font>
    <font>
      <sz val="10"/>
      <name val="굴림체"/>
      <family val="3"/>
      <charset val="129"/>
    </font>
    <font>
      <sz val="10"/>
      <name val=" "/>
      <family val="1"/>
      <charset val="136"/>
    </font>
    <font>
      <sz val="12"/>
      <name val="Times New Roman"/>
      <family val="1"/>
    </font>
    <font>
      <b/>
      <sz val="12"/>
      <name val="Times New Roman"/>
      <family val="1"/>
    </font>
    <font>
      <b/>
      <sz val="14"/>
      <name val="Times New Roman"/>
      <family val="1"/>
    </font>
    <font>
      <sz val="10"/>
      <name val="Times New Roman"/>
      <family val="1"/>
    </font>
    <font>
      <b/>
      <sz val="13"/>
      <name val="Times New Roman"/>
      <family val="1"/>
    </font>
    <font>
      <sz val="8"/>
      <name val="Arial"/>
      <family val="2"/>
    </font>
    <font>
      <sz val="9"/>
      <name val="Arial"/>
      <family val="2"/>
    </font>
    <font>
      <b/>
      <i/>
      <sz val="12"/>
      <name val="Times New Roman"/>
      <family val="1"/>
    </font>
    <font>
      <sz val="14"/>
      <name val="Times New Roman"/>
      <family val="1"/>
    </font>
    <font>
      <b/>
      <sz val="14"/>
      <color theme="1"/>
      <name val="Times New Roman"/>
      <family val="1"/>
    </font>
    <font>
      <sz val="14"/>
      <color theme="1"/>
      <name val="Times New Roman"/>
      <family val="1"/>
    </font>
    <font>
      <b/>
      <sz val="11"/>
      <color rgb="FF3F3F3F"/>
      <name val="Calibri"/>
      <family val="2"/>
      <scheme val="minor"/>
    </font>
    <font>
      <sz val="13"/>
      <color rgb="FF000000"/>
      <name val="Times New Roman"/>
      <family val="1"/>
    </font>
    <font>
      <sz val="12"/>
      <name val="돋움체"/>
      <family val="3"/>
      <charset val="129"/>
    </font>
    <font>
      <sz val="10"/>
      <name val="AngsanaUPC"/>
      <family val="1"/>
    </font>
    <font>
      <sz val="12"/>
      <name val=".VnArial"/>
      <family val="2"/>
    </font>
    <font>
      <sz val="12"/>
      <name val="????"/>
      <family val="1"/>
      <charset val="136"/>
    </font>
    <font>
      <sz val="10"/>
      <name val="VNI-Times"/>
    </font>
    <font>
      <sz val="10"/>
      <name val="Helv"/>
      <charset val="204"/>
    </font>
    <font>
      <sz val="11"/>
      <name val="–¾’©"/>
      <family val="1"/>
      <charset val="128"/>
    </font>
    <font>
      <b/>
      <u/>
      <sz val="14"/>
      <color indexed="8"/>
      <name val=".VnBook-AntiquaH"/>
      <family val="2"/>
    </font>
    <font>
      <sz val="11"/>
      <name val=".VnTime"/>
      <family val="2"/>
    </font>
    <font>
      <b/>
      <sz val="10"/>
      <name val=".VnArial"/>
      <family val="2"/>
    </font>
    <font>
      <sz val="12"/>
      <name val="???"/>
      <family val="3"/>
    </font>
    <font>
      <sz val="12"/>
      <color indexed="8"/>
      <name val="¹ÙÅÁÃ¼"/>
      <family val="1"/>
      <charset val="129"/>
    </font>
    <font>
      <i/>
      <sz val="12"/>
      <color indexed="8"/>
      <name val=".VnBook-AntiquaH"/>
      <family val="2"/>
    </font>
    <font>
      <b/>
      <sz val="12"/>
      <color indexed="8"/>
      <name val=".VnBook-Antiqua"/>
      <family val="2"/>
    </font>
    <font>
      <i/>
      <sz val="12"/>
      <color indexed="8"/>
      <name val=".VnBook-Antiqua"/>
      <family val="2"/>
    </font>
    <font>
      <sz val="12"/>
      <name val="¹UAAA¼"/>
      <family val="3"/>
      <charset val="129"/>
    </font>
    <font>
      <sz val="11"/>
      <name val="±¼¸²Ã¼"/>
      <family val="3"/>
      <charset val="129"/>
    </font>
    <font>
      <sz val="8"/>
      <name val="Times New Roman"/>
      <family val="1"/>
    </font>
    <font>
      <sz val="12"/>
      <name val="¹ÙÅÁÃ¼"/>
      <charset val="129"/>
    </font>
    <font>
      <sz val="12"/>
      <name val="Tms Rmn"/>
    </font>
    <font>
      <sz val="12"/>
      <name val="µ¸¿òÃ¼"/>
      <family val="3"/>
      <charset val="129"/>
    </font>
    <font>
      <sz val="10"/>
      <color indexed="16"/>
      <name val="MS Sans Serif"/>
      <family val="2"/>
    </font>
    <font>
      <b/>
      <sz val="10"/>
      <name val="Helv"/>
    </font>
    <font>
      <sz val="12"/>
      <name val="宋体"/>
      <charset val="134"/>
    </font>
    <font>
      <sz val="11"/>
      <color indexed="8"/>
      <name val="Calibri"/>
      <family val="2"/>
    </font>
    <font>
      <sz val="10"/>
      <name val="MS Serif"/>
      <family val="1"/>
    </font>
    <font>
      <sz val="13"/>
      <name val=".VnTime"/>
      <family val="2"/>
    </font>
    <font>
      <sz val="10"/>
      <color indexed="8"/>
      <name val="Arial"/>
      <family val="2"/>
    </font>
    <font>
      <sz val="10"/>
      <name val="Arial CE"/>
      <charset val="238"/>
    </font>
    <font>
      <sz val="10"/>
      <color indexed="16"/>
      <name val="MS Serif"/>
      <family val="1"/>
    </font>
    <font>
      <b/>
      <sz val="12"/>
      <color indexed="9"/>
      <name val="Tms Rmn"/>
    </font>
    <font>
      <b/>
      <sz val="12"/>
      <name val="Helv"/>
    </font>
    <font>
      <b/>
      <sz val="8"/>
      <name val="MS Sans Serif"/>
      <family val="2"/>
    </font>
    <font>
      <sz val="10"/>
      <color indexed="9"/>
      <name val="MS Sans Serif"/>
      <family val="2"/>
    </font>
    <font>
      <b/>
      <sz val="14"/>
      <name val=".VnTimeH"/>
      <family val="2"/>
    </font>
    <font>
      <sz val="12"/>
      <name val="??"/>
      <family val="1"/>
      <charset val="129"/>
    </font>
    <font>
      <b/>
      <sz val="11"/>
      <name val="Helv"/>
    </font>
    <font>
      <sz val="7"/>
      <name val="Small Fonts"/>
      <family val="2"/>
    </font>
    <font>
      <sz val="10"/>
      <name val="Helv"/>
      <family val="2"/>
    </font>
    <font>
      <sz val="10"/>
      <color indexed="8"/>
      <name val="MS Sans Serif"/>
      <family val="2"/>
    </font>
    <font>
      <b/>
      <sz val="11"/>
      <name val="Arial"/>
      <family val="2"/>
    </font>
    <font>
      <sz val="12"/>
      <name val="Helv"/>
      <family val="2"/>
    </font>
    <font>
      <b/>
      <sz val="10"/>
      <name val="MS Sans Serif"/>
      <family val="2"/>
    </font>
    <font>
      <sz val="10"/>
      <color indexed="18"/>
      <name val="MS Sans Serif"/>
      <family val="2"/>
    </font>
    <font>
      <sz val="8"/>
      <name val="Wingdings"/>
      <charset val="2"/>
    </font>
    <font>
      <sz val="8"/>
      <name val="Helv"/>
    </font>
    <font>
      <b/>
      <sz val="12"/>
      <color indexed="8"/>
      <name val="Arial"/>
      <family val="2"/>
    </font>
    <font>
      <b/>
      <i/>
      <sz val="12"/>
      <color indexed="8"/>
      <name val="Arial"/>
      <family val="2"/>
    </font>
    <font>
      <sz val="12"/>
      <color indexed="8"/>
      <name val="Arial"/>
      <family val="2"/>
    </font>
    <font>
      <i/>
      <sz val="12"/>
      <color indexed="8"/>
      <name val="Arial"/>
      <family val="2"/>
    </font>
    <font>
      <sz val="19"/>
      <color indexed="48"/>
      <name val="Arial"/>
      <family val="2"/>
    </font>
    <font>
      <sz val="12"/>
      <color indexed="14"/>
      <name val="Arial"/>
      <family val="2"/>
    </font>
    <font>
      <sz val="11"/>
      <name val="3C_Times_T"/>
    </font>
    <font>
      <sz val="8"/>
      <name val="MS Sans Serif"/>
      <family val="2"/>
    </font>
    <font>
      <sz val="10"/>
      <name val="3C_Times_T"/>
    </font>
    <font>
      <i/>
      <sz val="10"/>
      <color indexed="13"/>
      <name val="MS Sans Serif"/>
      <family val="2"/>
    </font>
    <font>
      <b/>
      <sz val="8"/>
      <color indexed="8"/>
      <name val="Helv"/>
    </font>
    <font>
      <sz val="14"/>
      <name val=".VnTime"/>
      <family val="2"/>
    </font>
    <font>
      <sz val="10"/>
      <name val="VNI-Univer"/>
    </font>
    <font>
      <sz val="12"/>
      <name val="VNTime"/>
    </font>
    <font>
      <b/>
      <sz val="13"/>
      <color indexed="8"/>
      <name val=".VnTimeH"/>
      <family val="2"/>
    </font>
    <font>
      <b/>
      <sz val="11"/>
      <name val="Times New Roman"/>
      <family val="1"/>
    </font>
    <font>
      <sz val="10"/>
      <name val=".VnArial Narrow"/>
      <family val="2"/>
    </font>
    <font>
      <sz val="10"/>
      <name val="VNI-Helve-Condense"/>
    </font>
    <font>
      <sz val="14"/>
      <name val=".VnArial"/>
      <family val="2"/>
    </font>
    <font>
      <sz val="10"/>
      <name val="명조"/>
      <family val="3"/>
      <charset val="129"/>
    </font>
    <font>
      <sz val="10"/>
      <name val="돋움체"/>
      <family val="3"/>
      <charset val="129"/>
    </font>
    <font>
      <sz val="10"/>
      <name val="Courier"/>
      <family val="3"/>
    </font>
    <font>
      <sz val="14"/>
      <name val="ＭＳ 明朝"/>
      <family val="1"/>
      <charset val="128"/>
    </font>
    <font>
      <sz val="11"/>
      <name val="明朝"/>
      <family val="1"/>
      <charset val="128"/>
    </font>
    <font>
      <sz val="11"/>
      <name val="ｸｰﾘｴ"/>
      <family val="3"/>
    </font>
    <font>
      <b/>
      <sz val="13"/>
      <color rgb="FF000000"/>
      <name val="Times New Roman"/>
      <family val="1"/>
    </font>
    <font>
      <b/>
      <sz val="13"/>
      <color theme="1"/>
      <name val="Times New Roman"/>
      <family val="1"/>
    </font>
    <font>
      <sz val="12"/>
      <color theme="1"/>
      <name val="Times New Roman"/>
      <family val="1"/>
    </font>
    <font>
      <b/>
      <sz val="10"/>
      <name val="Arial"/>
      <family val="2"/>
    </font>
    <font>
      <sz val="13"/>
      <color theme="1"/>
      <name val="Times New Roman"/>
      <family val="1"/>
    </font>
    <font>
      <i/>
      <u/>
      <sz val="14"/>
      <color theme="1"/>
      <name val="Times New Roman"/>
      <family val="1"/>
    </font>
    <font>
      <sz val="14"/>
      <color theme="1"/>
      <name val="Times New Roman"/>
      <family val="2"/>
    </font>
    <font>
      <sz val="10"/>
      <name val="Arial"/>
      <family val="2"/>
      <charset val="163"/>
    </font>
    <font>
      <sz val="14"/>
      <color rgb="FFFF0000"/>
      <name val="Times New Roman"/>
      <family val="1"/>
    </font>
    <font>
      <sz val="10"/>
      <color rgb="FFC00000"/>
      <name val="Times New Roman"/>
      <family val="1"/>
    </font>
    <font>
      <i/>
      <sz val="13"/>
      <name val="Times New Roman"/>
      <family val="1"/>
    </font>
    <font>
      <b/>
      <sz val="14"/>
      <color rgb="FFFF0000"/>
      <name val="Times New Roman"/>
      <family val="1"/>
    </font>
    <font>
      <b/>
      <sz val="13"/>
      <color rgb="FFFF0000"/>
      <name val="Times New Roman"/>
      <family val="1"/>
    </font>
    <font>
      <sz val="12"/>
      <color rgb="FF000000"/>
      <name val="Times New Roman"/>
      <family val="1"/>
    </font>
    <font>
      <sz val="12"/>
      <color theme="1"/>
      <name val="Times New Roman"/>
      <family val="2"/>
    </font>
    <font>
      <sz val="12"/>
      <color indexed="8"/>
      <name val="Times New Roman"/>
      <family val="1"/>
      <charset val="163"/>
    </font>
    <font>
      <sz val="11"/>
      <color rgb="FF000000"/>
      <name val="Calibri"/>
      <family val="2"/>
    </font>
    <font>
      <sz val="12"/>
      <color rgb="FFFF0000"/>
      <name val="Times New Roman"/>
      <family val="1"/>
    </font>
    <font>
      <b/>
      <sz val="14"/>
      <color theme="1"/>
      <name val="Times New Roman"/>
      <family val="1"/>
      <charset val="163"/>
    </font>
    <font>
      <sz val="14"/>
      <color theme="1"/>
      <name val="Times New Roman"/>
      <family val="1"/>
      <charset val="163"/>
    </font>
    <font>
      <sz val="10"/>
      <color theme="1"/>
      <name val="Calibri"/>
      <family val="2"/>
      <charset val="163"/>
    </font>
    <font>
      <b/>
      <sz val="14"/>
      <name val="Times New Roman"/>
      <family val="1"/>
      <charset val="163"/>
    </font>
    <font>
      <sz val="14"/>
      <name val="Times New Roman"/>
      <family val="1"/>
      <charset val="163"/>
    </font>
    <font>
      <i/>
      <sz val="14"/>
      <name val="Times New Roman"/>
      <family val="1"/>
      <charset val="163"/>
    </font>
    <font>
      <i/>
      <sz val="11"/>
      <color theme="1"/>
      <name val="Calibri"/>
      <family val="2"/>
      <scheme val="minor"/>
    </font>
    <font>
      <sz val="14"/>
      <color rgb="FF000000"/>
      <name val="Times New Roman"/>
      <family val="1"/>
      <charset val="163"/>
    </font>
    <font>
      <b/>
      <sz val="14"/>
      <name val="Cambria"/>
      <family val="1"/>
      <charset val="163"/>
      <scheme val="major"/>
    </font>
    <font>
      <sz val="14"/>
      <name val="Cambria"/>
      <family val="1"/>
      <charset val="163"/>
      <scheme val="major"/>
    </font>
    <font>
      <sz val="11"/>
      <color rgb="FF000000"/>
      <name val="Calibri"/>
      <family val="2"/>
    </font>
    <font>
      <sz val="13"/>
      <color theme="1"/>
      <name val="Calibri"/>
      <family val="2"/>
      <scheme val="minor"/>
    </font>
    <font>
      <sz val="10"/>
      <name val="Arial"/>
      <family val="2"/>
    </font>
    <font>
      <b/>
      <sz val="11"/>
      <color theme="1"/>
      <name val="Calibri"/>
      <family val="2"/>
      <scheme val="minor"/>
    </font>
    <font>
      <sz val="14"/>
      <color rgb="FF000000"/>
      <name val="Times New Roman"/>
      <family val="1"/>
    </font>
  </fonts>
  <fills count="30">
    <fill>
      <patternFill patternType="none"/>
    </fill>
    <fill>
      <patternFill patternType="gray125"/>
    </fill>
    <fill>
      <patternFill patternType="gray125">
        <fgColor indexed="35"/>
      </patternFill>
    </fill>
    <fill>
      <patternFill patternType="solid">
        <fgColor indexed="13"/>
        <bgColor indexed="64"/>
      </patternFill>
    </fill>
    <fill>
      <patternFill patternType="solid">
        <fgColor indexed="42"/>
        <bgColor indexed="64"/>
      </patternFill>
    </fill>
    <fill>
      <patternFill patternType="solid">
        <fgColor indexed="43"/>
        <bgColor indexed="64"/>
      </patternFill>
    </fill>
    <fill>
      <patternFill patternType="solid">
        <fgColor rgb="FFF2F2F2"/>
      </patternFill>
    </fill>
    <fill>
      <patternFill patternType="solid">
        <fgColor indexed="22"/>
        <bgColor indexed="64"/>
      </patternFill>
    </fill>
    <fill>
      <patternFill patternType="solid">
        <fgColor indexed="22"/>
      </patternFill>
    </fill>
    <fill>
      <patternFill patternType="solid">
        <fgColor indexed="65"/>
        <bgColor indexed="64"/>
      </patternFill>
    </fill>
    <fill>
      <patternFill patternType="solid">
        <fgColor indexed="26"/>
        <bgColor indexed="64"/>
      </patternFill>
    </fill>
    <fill>
      <patternFill patternType="darkVertica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51"/>
        <bgColor indexed="64"/>
      </patternFill>
    </fill>
    <fill>
      <patternFill patternType="solid">
        <fgColor indexed="47"/>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lightUp">
        <fgColor indexed="48"/>
        <bgColor indexed="44"/>
      </patternFill>
    </fill>
    <fill>
      <patternFill patternType="solid">
        <fgColor indexed="44"/>
        <bgColor indexed="64"/>
      </patternFill>
    </fill>
    <fill>
      <patternFill patternType="solid">
        <fgColor indexed="41"/>
        <bgColor indexed="64"/>
      </patternFill>
    </fill>
    <fill>
      <patternFill patternType="solid">
        <fgColor indexed="40"/>
        <bgColor indexed="64"/>
      </patternFill>
    </fill>
    <fill>
      <patternFill patternType="solid">
        <fgColor rgb="FFFFFF00"/>
        <bgColor indexed="64"/>
      </patternFill>
    </fill>
    <fill>
      <patternFill patternType="solid">
        <fgColor theme="0"/>
        <bgColor indexed="64"/>
      </patternFill>
    </fill>
    <fill>
      <patternFill patternType="solid">
        <fgColor rgb="FFFFFFFF"/>
        <bgColor indexed="64"/>
      </patternFill>
    </fill>
    <fill>
      <patternFill patternType="solid">
        <fgColor rgb="FFD0E0E3"/>
        <bgColor indexed="64"/>
      </patternFill>
    </fill>
    <fill>
      <patternFill patternType="solid">
        <fgColor rgb="FF00FFFF"/>
        <bgColor indexed="64"/>
      </patternFill>
    </fill>
  </fills>
  <borders count="30">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style="double">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style="thin">
        <color rgb="FF3F3F3F"/>
      </left>
      <right style="thin">
        <color rgb="FF3F3F3F"/>
      </right>
      <top style="thin">
        <color rgb="FF3F3F3F"/>
      </top>
      <bottom style="thin">
        <color rgb="FF3F3F3F"/>
      </bottom>
      <diagonal/>
    </border>
    <border>
      <left/>
      <right/>
      <top/>
      <bottom style="medium">
        <color indexed="64"/>
      </bottom>
      <diagonal/>
    </border>
    <border>
      <left/>
      <right/>
      <top style="medium">
        <color indexed="64"/>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right style="medium">
        <color indexed="0"/>
      </right>
      <top/>
      <bottom/>
      <diagonal/>
    </border>
    <border>
      <left style="hair">
        <color indexed="64"/>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rgb="FF000000"/>
      </right>
      <top/>
      <bottom style="medium">
        <color rgb="FF000000"/>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auto="1"/>
      </right>
      <top style="medium">
        <color auto="1"/>
      </top>
      <bottom/>
      <diagonal/>
    </border>
    <border>
      <left style="medium">
        <color auto="1"/>
      </left>
      <right style="medium">
        <color auto="1"/>
      </right>
      <top style="medium">
        <color auto="1"/>
      </top>
      <bottom/>
      <diagonal/>
    </border>
    <border>
      <left/>
      <right style="medium">
        <color auto="1"/>
      </right>
      <top/>
      <bottom/>
      <diagonal/>
    </border>
  </borders>
  <cellStyleXfs count="494">
    <xf numFmtId="0" fontId="0" fillId="0" borderId="0"/>
    <xf numFmtId="174" fontId="10" fillId="0" borderId="0" applyFont="0" applyFill="0" applyBorder="0" applyAlignment="0" applyProtection="0"/>
    <xf numFmtId="173" fontId="10" fillId="0" borderId="0" applyFont="0" applyFill="0" applyBorder="0" applyAlignment="0" applyProtection="0"/>
    <xf numFmtId="166" fontId="9" fillId="0" borderId="0" applyFont="0" applyFill="0" applyBorder="0" applyAlignment="0" applyProtection="0"/>
    <xf numFmtId="3" fontId="10" fillId="0" borderId="0" applyFont="0" applyFill="0" applyBorder="0" applyAlignment="0" applyProtection="0"/>
    <xf numFmtId="172" fontId="11" fillId="0" borderId="0" applyFont="0" applyFill="0" applyBorder="0" applyAlignment="0" applyProtection="0"/>
    <xf numFmtId="0" fontId="10" fillId="0" borderId="0" applyFont="0" applyFill="0" applyBorder="0" applyAlignment="0" applyProtection="0"/>
    <xf numFmtId="2" fontId="10" fillId="0" borderId="0" applyFont="0" applyFill="0" applyBorder="0" applyAlignment="0" applyProtection="0"/>
    <xf numFmtId="0" fontId="12" fillId="0" borderId="1" applyNumberFormat="0" applyAlignment="0" applyProtection="0">
      <alignment horizontal="left" vertical="center"/>
    </xf>
    <xf numFmtId="0" fontId="12" fillId="0" borderId="2">
      <alignment horizontal="left" vertical="center"/>
    </xf>
    <xf numFmtId="0" fontId="13" fillId="0" borderId="0" applyNumberFormat="0" applyFill="0" applyBorder="0" applyAlignment="0" applyProtection="0"/>
    <xf numFmtId="0" fontId="12" fillId="0" borderId="0" applyNumberFormat="0" applyFill="0" applyBorder="0" applyAlignment="0" applyProtection="0"/>
    <xf numFmtId="40" fontId="14" fillId="0" borderId="0" applyFont="0" applyFill="0" applyBorder="0" applyAlignment="0" applyProtection="0"/>
    <xf numFmtId="0" fontId="15" fillId="0" borderId="0" applyNumberFormat="0" applyFont="0" applyFill="0" applyAlignment="0"/>
    <xf numFmtId="0" fontId="10" fillId="0" borderId="0"/>
    <xf numFmtId="0" fontId="10" fillId="0" borderId="3" applyNumberFormat="0" applyFont="0" applyFill="0" applyAlignment="0" applyProtection="0"/>
    <xf numFmtId="0" fontId="16" fillId="2" borderId="4">
      <alignment horizontal="left" vertical="center"/>
    </xf>
    <xf numFmtId="5" fontId="17" fillId="0" borderId="5">
      <alignment horizontal="left" vertical="top"/>
    </xf>
    <xf numFmtId="5" fontId="18" fillId="0" borderId="6">
      <alignment horizontal="left" vertical="top"/>
    </xf>
    <xf numFmtId="0" fontId="19" fillId="0" borderId="6">
      <alignment horizontal="left" vertical="center"/>
    </xf>
    <xf numFmtId="0" fontId="27" fillId="0" borderId="0" applyFont="0" applyFill="0" applyBorder="0" applyAlignment="0" applyProtection="0"/>
    <xf numFmtId="0" fontId="27" fillId="0" borderId="0" applyFont="0" applyFill="0" applyBorder="0" applyAlignment="0" applyProtection="0"/>
    <xf numFmtId="0" fontId="28" fillId="0" borderId="0">
      <alignment vertical="center"/>
    </xf>
    <xf numFmtId="40" fontId="20"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9" fontId="21" fillId="0" borderId="0" applyFont="0" applyFill="0" applyBorder="0" applyAlignment="0" applyProtection="0"/>
    <xf numFmtId="0" fontId="22" fillId="0" borderId="0"/>
    <xf numFmtId="171" fontId="25" fillId="0" borderId="0" applyFont="0" applyFill="0" applyBorder="0" applyAlignment="0" applyProtection="0"/>
    <xf numFmtId="170" fontId="25" fillId="0" borderId="0" applyFont="0" applyFill="0" applyBorder="0" applyAlignment="0" applyProtection="0"/>
    <xf numFmtId="0" fontId="26" fillId="0" borderId="0"/>
    <xf numFmtId="169" fontId="23" fillId="0" borderId="0" applyFont="0" applyFill="0" applyBorder="0" applyAlignment="0" applyProtection="0"/>
    <xf numFmtId="0" fontId="10" fillId="0" borderId="0"/>
    <xf numFmtId="166" fontId="8" fillId="0" borderId="0" applyFont="0" applyFill="0" applyBorder="0" applyAlignment="0" applyProtection="0"/>
    <xf numFmtId="167" fontId="11" fillId="0" borderId="0" applyFont="0" applyFill="0" applyBorder="0" applyAlignment="0" applyProtection="0"/>
    <xf numFmtId="0" fontId="24" fillId="0" borderId="0" applyNumberFormat="0" applyFill="0" applyBorder="0" applyAlignment="0" applyProtection="0"/>
    <xf numFmtId="3" fontId="41" fillId="0" borderId="4"/>
    <xf numFmtId="0" fontId="42" fillId="0" borderId="0" applyFont="0" applyFill="0" applyBorder="0" applyAlignment="0" applyProtection="0"/>
    <xf numFmtId="0" fontId="43" fillId="0" borderId="0" applyFont="0" applyFill="0" applyBorder="0" applyAlignment="0" applyProtection="0"/>
    <xf numFmtId="176" fontId="24" fillId="0" borderId="0" applyFont="0" applyFill="0" applyBorder="0" applyAlignment="0" applyProtection="0"/>
    <xf numFmtId="164" fontId="44" fillId="0" borderId="0" applyFont="0" applyFill="0" applyBorder="0" applyAlignment="0" applyProtection="0"/>
    <xf numFmtId="165" fontId="44" fillId="0" borderId="0" applyFont="0" applyFill="0" applyBorder="0" applyAlignment="0" applyProtection="0"/>
    <xf numFmtId="177" fontId="23" fillId="0" borderId="0" applyFont="0" applyFill="0" applyBorder="0" applyAlignment="0" applyProtection="0"/>
    <xf numFmtId="0" fontId="42"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0" fontId="10" fillId="0" borderId="0"/>
    <xf numFmtId="0" fontId="10" fillId="0" borderId="0"/>
    <xf numFmtId="0" fontId="14" fillId="0" borderId="0"/>
    <xf numFmtId="0" fontId="14" fillId="0" borderId="0"/>
    <xf numFmtId="0" fontId="14" fillId="0" borderId="0"/>
    <xf numFmtId="0" fontId="14" fillId="0" borderId="0" applyFont="0" applyFill="0" applyBorder="0" applyAlignment="0" applyProtection="0"/>
    <xf numFmtId="0" fontId="18" fillId="0" borderId="0" applyNumberFormat="0" applyFill="0" applyBorder="0" applyAlignment="0" applyProtection="0"/>
    <xf numFmtId="42" fontId="45" fillId="0" borderId="0" applyFont="0" applyFill="0" applyBorder="0" applyAlignment="0" applyProtection="0"/>
    <xf numFmtId="0" fontId="46" fillId="0" borderId="0"/>
    <xf numFmtId="0" fontId="28" fillId="0" borderId="0"/>
    <xf numFmtId="0" fontId="14" fillId="0" borderId="0"/>
    <xf numFmtId="0" fontId="14" fillId="0" borderId="0"/>
    <xf numFmtId="42" fontId="45" fillId="0" borderId="0" applyFont="0" applyFill="0" applyBorder="0" applyAlignment="0" applyProtection="0"/>
    <xf numFmtId="167" fontId="11" fillId="0" borderId="0" applyFont="0" applyFill="0" applyBorder="0" applyAlignment="0" applyProtection="0"/>
    <xf numFmtId="165" fontId="11" fillId="0" borderId="0" applyFont="0" applyFill="0" applyBorder="0" applyAlignment="0" applyProtection="0"/>
    <xf numFmtId="178" fontId="45" fillId="0" borderId="0" applyFont="0" applyFill="0" applyBorder="0" applyAlignment="0" applyProtection="0"/>
    <xf numFmtId="164" fontId="11" fillId="0" borderId="0" applyFont="0" applyFill="0" applyBorder="0" applyAlignment="0" applyProtection="0"/>
    <xf numFmtId="42" fontId="45" fillId="0" borderId="0" applyFont="0" applyFill="0" applyBorder="0" applyAlignment="0" applyProtection="0"/>
    <xf numFmtId="178" fontId="45" fillId="0" borderId="0" applyFont="0" applyFill="0" applyBorder="0" applyAlignment="0" applyProtection="0"/>
    <xf numFmtId="165" fontId="11" fillId="0" borderId="0" applyFont="0" applyFill="0" applyBorder="0" applyAlignment="0" applyProtection="0"/>
    <xf numFmtId="179" fontId="45" fillId="0" borderId="0" applyFont="0" applyFill="0" applyBorder="0" applyAlignment="0" applyProtection="0"/>
    <xf numFmtId="164" fontId="11" fillId="0" borderId="0" applyFont="0" applyFill="0" applyBorder="0" applyAlignment="0" applyProtection="0"/>
    <xf numFmtId="165" fontId="11" fillId="0" borderId="0" applyFont="0" applyFill="0" applyBorder="0" applyAlignment="0" applyProtection="0"/>
    <xf numFmtId="179" fontId="45" fillId="0" borderId="0" applyFont="0" applyFill="0" applyBorder="0" applyAlignment="0" applyProtection="0"/>
    <xf numFmtId="178" fontId="45" fillId="0" borderId="0" applyFont="0" applyFill="0" applyBorder="0" applyAlignment="0" applyProtection="0"/>
    <xf numFmtId="164" fontId="11" fillId="0" borderId="0" applyFont="0" applyFill="0" applyBorder="0" applyAlignment="0" applyProtection="0"/>
    <xf numFmtId="167" fontId="11" fillId="0" borderId="0" applyFont="0" applyFill="0" applyBorder="0" applyAlignment="0" applyProtection="0"/>
    <xf numFmtId="0" fontId="14" fillId="0" borderId="0"/>
    <xf numFmtId="0" fontId="18" fillId="0" borderId="0" applyNumberFormat="0" applyFill="0" applyBorder="0" applyAlignment="0" applyProtection="0"/>
    <xf numFmtId="164" fontId="11" fillId="0" borderId="0" applyFont="0" applyFill="0" applyBorder="0" applyAlignment="0" applyProtection="0"/>
    <xf numFmtId="179" fontId="45" fillId="0" borderId="0" applyFont="0" applyFill="0" applyBorder="0" applyAlignment="0" applyProtection="0"/>
    <xf numFmtId="178" fontId="45" fillId="0" borderId="0" applyFont="0" applyFill="0" applyBorder="0" applyAlignment="0" applyProtection="0"/>
    <xf numFmtId="167" fontId="11" fillId="0" borderId="0" applyFont="0" applyFill="0" applyBorder="0" applyAlignment="0" applyProtection="0"/>
    <xf numFmtId="165" fontId="11" fillId="0" borderId="0" applyFont="0" applyFill="0" applyBorder="0" applyAlignment="0" applyProtection="0"/>
    <xf numFmtId="0" fontId="18" fillId="0" borderId="0" applyNumberFormat="0" applyFill="0" applyBorder="0" applyAlignment="0" applyProtection="0"/>
    <xf numFmtId="180" fontId="43" fillId="0" borderId="0" applyFont="0" applyFill="0" applyBorder="0" applyAlignment="0" applyProtection="0"/>
    <xf numFmtId="6" fontId="23" fillId="0" borderId="0" applyFont="0" applyFill="0" applyBorder="0" applyAlignment="0" applyProtection="0"/>
    <xf numFmtId="168" fontId="34" fillId="0" borderId="0" applyFont="0" applyFill="0" applyBorder="0" applyAlignment="0" applyProtection="0"/>
    <xf numFmtId="167" fontId="34" fillId="0" borderId="0" applyFont="0" applyFill="0" applyBorder="0" applyAlignment="0" applyProtection="0"/>
    <xf numFmtId="6" fontId="23" fillId="0" borderId="0" applyFont="0" applyFill="0" applyBorder="0" applyAlignment="0" applyProtection="0"/>
    <xf numFmtId="168" fontId="34" fillId="0" borderId="0" applyFont="0" applyFill="0" applyBorder="0" applyAlignment="0" applyProtection="0"/>
    <xf numFmtId="181" fontId="18" fillId="0" borderId="0" applyFont="0" applyFill="0" applyBorder="0" applyAlignment="0" applyProtection="0"/>
    <xf numFmtId="170" fontId="25" fillId="0" borderId="0" applyFont="0" applyFill="0" applyBorder="0" applyAlignment="0" applyProtection="0"/>
    <xf numFmtId="0" fontId="47" fillId="0" borderId="0"/>
    <xf numFmtId="0" fontId="31" fillId="0" borderId="0"/>
    <xf numFmtId="0" fontId="28" fillId="0" borderId="0"/>
    <xf numFmtId="3" fontId="41" fillId="0" borderId="4"/>
    <xf numFmtId="3" fontId="41" fillId="0" borderId="4"/>
    <xf numFmtId="0" fontId="48" fillId="7" borderId="0"/>
    <xf numFmtId="0" fontId="48" fillId="7" borderId="0"/>
    <xf numFmtId="0" fontId="49" fillId="7" borderId="0"/>
    <xf numFmtId="0" fontId="49" fillId="7" borderId="0"/>
    <xf numFmtId="0" fontId="49" fillId="7" borderId="0"/>
    <xf numFmtId="0" fontId="49" fillId="7" borderId="0"/>
    <xf numFmtId="0" fontId="49" fillId="7" borderId="0"/>
    <xf numFmtId="0" fontId="49" fillId="7" borderId="0"/>
    <xf numFmtId="0" fontId="49" fillId="7" borderId="0"/>
    <xf numFmtId="0" fontId="48" fillId="7" borderId="0"/>
    <xf numFmtId="0" fontId="49" fillId="7" borderId="0"/>
    <xf numFmtId="0" fontId="48" fillId="7" borderId="0"/>
    <xf numFmtId="0" fontId="48" fillId="7" borderId="0"/>
    <xf numFmtId="0" fontId="48" fillId="7" borderId="0"/>
    <xf numFmtId="0" fontId="50" fillId="0" borderId="4" applyNumberFormat="0" applyFont="0" applyBorder="0">
      <alignment horizontal="left" indent="2"/>
    </xf>
    <xf numFmtId="9" fontId="51" fillId="0" borderId="0" applyFont="0" applyFill="0" applyBorder="0" applyAlignment="0" applyProtection="0"/>
    <xf numFmtId="9" fontId="21" fillId="0" borderId="0" applyFont="0" applyFill="0" applyBorder="0" applyAlignment="0" applyProtection="0"/>
    <xf numFmtId="9" fontId="52" fillId="0" borderId="0" applyBorder="0" applyAlignment="0" applyProtection="0"/>
    <xf numFmtId="0" fontId="53" fillId="7" borderId="0"/>
    <xf numFmtId="0" fontId="53" fillId="7" borderId="0"/>
    <xf numFmtId="0" fontId="24" fillId="7" borderId="0"/>
    <xf numFmtId="0" fontId="49" fillId="7" borderId="0"/>
    <xf numFmtId="0" fontId="53" fillId="7" borderId="0"/>
    <xf numFmtId="0" fontId="49" fillId="7" borderId="0"/>
    <xf numFmtId="0" fontId="53" fillId="7" borderId="0"/>
    <xf numFmtId="0" fontId="49" fillId="7" borderId="0"/>
    <xf numFmtId="0" fontId="49" fillId="7" borderId="0"/>
    <xf numFmtId="0" fontId="49" fillId="7" borderId="0"/>
    <xf numFmtId="0" fontId="49" fillId="7" borderId="0"/>
    <xf numFmtId="0" fontId="49" fillId="7" borderId="0"/>
    <xf numFmtId="0" fontId="53" fillId="7" borderId="0"/>
    <xf numFmtId="0" fontId="49" fillId="7" borderId="0"/>
    <xf numFmtId="0" fontId="53" fillId="7" borderId="0"/>
    <xf numFmtId="0" fontId="53" fillId="7" borderId="0"/>
    <xf numFmtId="0" fontId="53" fillId="7" borderId="0"/>
    <xf numFmtId="0" fontId="53" fillId="7" borderId="0"/>
    <xf numFmtId="0" fontId="53" fillId="7" borderId="0"/>
    <xf numFmtId="0" fontId="50" fillId="0" borderId="4" applyNumberFormat="0" applyFont="0" applyBorder="0" applyAlignment="0">
      <alignment horizontal="center"/>
    </xf>
    <xf numFmtId="0" fontId="24" fillId="0" borderId="0"/>
    <xf numFmtId="0" fontId="54" fillId="7" borderId="0"/>
    <xf numFmtId="0" fontId="54" fillId="7" borderId="0"/>
    <xf numFmtId="0" fontId="24" fillId="7" borderId="0"/>
    <xf numFmtId="0" fontId="24" fillId="7" borderId="0"/>
    <xf numFmtId="0" fontId="24" fillId="7" borderId="0"/>
    <xf numFmtId="0" fontId="49" fillId="7" borderId="0"/>
    <xf numFmtId="0" fontId="54" fillId="7" borderId="0"/>
    <xf numFmtId="0" fontId="49" fillId="7" borderId="0"/>
    <xf numFmtId="0" fontId="54" fillId="7" borderId="0"/>
    <xf numFmtId="0" fontId="49" fillId="7" borderId="0"/>
    <xf numFmtId="0" fontId="49" fillId="7" borderId="0"/>
    <xf numFmtId="0" fontId="49" fillId="7" borderId="0"/>
    <xf numFmtId="0" fontId="49" fillId="7" borderId="0"/>
    <xf numFmtId="0" fontId="49" fillId="7" borderId="0"/>
    <xf numFmtId="0" fontId="54" fillId="7" borderId="0"/>
    <xf numFmtId="0" fontId="49" fillId="7" borderId="0"/>
    <xf numFmtId="0" fontId="54" fillId="7" borderId="0"/>
    <xf numFmtId="0" fontId="54" fillId="7" borderId="0"/>
    <xf numFmtId="0" fontId="54" fillId="7" borderId="0"/>
    <xf numFmtId="0" fontId="54" fillId="7" borderId="0"/>
    <xf numFmtId="0" fontId="55" fillId="0" borderId="0">
      <alignment wrapText="1"/>
    </xf>
    <xf numFmtId="0" fontId="55" fillId="0" borderId="0">
      <alignment wrapText="1"/>
    </xf>
    <xf numFmtId="0" fontId="24" fillId="0" borderId="0">
      <alignment wrapText="1"/>
    </xf>
    <xf numFmtId="0" fontId="24" fillId="0" borderId="0">
      <alignment wrapText="1"/>
    </xf>
    <xf numFmtId="0" fontId="24" fillId="0" borderId="0">
      <alignment wrapText="1"/>
    </xf>
    <xf numFmtId="0" fontId="49" fillId="0" borderId="0">
      <alignment wrapText="1"/>
    </xf>
    <xf numFmtId="0" fontId="55" fillId="0" borderId="0">
      <alignment wrapText="1"/>
    </xf>
    <xf numFmtId="0" fontId="49" fillId="0" borderId="0">
      <alignment wrapText="1"/>
    </xf>
    <xf numFmtId="0" fontId="55" fillId="0" borderId="0">
      <alignment wrapText="1"/>
    </xf>
    <xf numFmtId="0" fontId="49" fillId="0" borderId="0">
      <alignment wrapText="1"/>
    </xf>
    <xf numFmtId="0" fontId="49" fillId="0" borderId="0">
      <alignment wrapText="1"/>
    </xf>
    <xf numFmtId="0" fontId="49" fillId="0" borderId="0">
      <alignment wrapText="1"/>
    </xf>
    <xf numFmtId="0" fontId="49" fillId="0" borderId="0">
      <alignment wrapText="1"/>
    </xf>
    <xf numFmtId="0" fontId="49" fillId="0" borderId="0">
      <alignment wrapText="1"/>
    </xf>
    <xf numFmtId="0" fontId="55" fillId="0" borderId="0">
      <alignment wrapText="1"/>
    </xf>
    <xf numFmtId="0" fontId="49" fillId="0" borderId="0">
      <alignment wrapText="1"/>
    </xf>
    <xf numFmtId="0" fontId="55" fillId="0" borderId="0">
      <alignment wrapText="1"/>
    </xf>
    <xf numFmtId="0" fontId="55" fillId="0" borderId="0">
      <alignment wrapText="1"/>
    </xf>
    <xf numFmtId="0" fontId="55" fillId="0" borderId="0">
      <alignment wrapText="1"/>
    </xf>
    <xf numFmtId="0" fontId="55" fillId="0" borderId="0">
      <alignment wrapText="1"/>
    </xf>
    <xf numFmtId="0" fontId="18" fillId="0" borderId="0"/>
    <xf numFmtId="0" fontId="20" fillId="0" borderId="0" applyFont="0" applyFill="0" applyBorder="0" applyAlignment="0" applyProtection="0"/>
    <xf numFmtId="0" fontId="20" fillId="0" borderId="0" applyFont="0" applyFill="0" applyBorder="0" applyAlignment="0" applyProtection="0"/>
    <xf numFmtId="182" fontId="10" fillId="0" borderId="0" applyFont="0" applyFill="0" applyBorder="0" applyAlignment="0" applyProtection="0"/>
    <xf numFmtId="0" fontId="56" fillId="0" borderId="0" applyFont="0" applyFill="0" applyBorder="0" applyAlignment="0" applyProtection="0"/>
    <xf numFmtId="183" fontId="57" fillId="0" borderId="0" applyFont="0" applyFill="0" applyBorder="0" applyAlignment="0" applyProtection="0"/>
    <xf numFmtId="184" fontId="10" fillId="0" borderId="0" applyFont="0" applyFill="0" applyBorder="0" applyAlignment="0" applyProtection="0"/>
    <xf numFmtId="0" fontId="56" fillId="0" borderId="0" applyFont="0" applyFill="0" applyBorder="0" applyAlignment="0" applyProtection="0"/>
    <xf numFmtId="184" fontId="10" fillId="0" borderId="0" applyFont="0" applyFill="0" applyBorder="0" applyAlignment="0" applyProtection="0"/>
    <xf numFmtId="0" fontId="58" fillId="0" borderId="0">
      <alignment horizontal="center" wrapText="1"/>
      <protection locked="0"/>
    </xf>
    <xf numFmtId="185" fontId="59" fillId="0" borderId="0" applyFont="0" applyFill="0" applyBorder="0" applyAlignment="0" applyProtection="0"/>
    <xf numFmtId="0" fontId="56" fillId="0" borderId="0" applyFont="0" applyFill="0" applyBorder="0" applyAlignment="0" applyProtection="0"/>
    <xf numFmtId="185" fontId="59" fillId="0" borderId="0" applyFont="0" applyFill="0" applyBorder="0" applyAlignment="0" applyProtection="0"/>
    <xf numFmtId="186" fontId="59" fillId="0" borderId="0" applyFont="0" applyFill="0" applyBorder="0" applyAlignment="0" applyProtection="0"/>
    <xf numFmtId="0" fontId="56" fillId="0" borderId="0" applyFont="0" applyFill="0" applyBorder="0" applyAlignment="0" applyProtection="0"/>
    <xf numFmtId="186" fontId="59" fillId="0" borderId="0" applyFont="0" applyFill="0" applyBorder="0" applyAlignment="0" applyProtection="0"/>
    <xf numFmtId="167" fontId="11" fillId="0" borderId="0" applyFont="0" applyFill="0" applyBorder="0" applyAlignment="0" applyProtection="0"/>
    <xf numFmtId="0" fontId="10" fillId="8" borderId="0"/>
    <xf numFmtId="0" fontId="60" fillId="0" borderId="0" applyNumberFormat="0" applyFill="0" applyBorder="0" applyAlignment="0" applyProtection="0"/>
    <xf numFmtId="0" fontId="56" fillId="0" borderId="0"/>
    <xf numFmtId="0" fontId="31" fillId="0" borderId="0"/>
    <xf numFmtId="0" fontId="56" fillId="0" borderId="0"/>
    <xf numFmtId="0" fontId="61" fillId="0" borderId="0"/>
    <xf numFmtId="0" fontId="49" fillId="0" borderId="0"/>
    <xf numFmtId="187" fontId="10" fillId="0" borderId="0" applyFill="0" applyBorder="0" applyAlignment="0"/>
    <xf numFmtId="188" fontId="10" fillId="0" borderId="0" applyFill="0" applyBorder="0" applyAlignment="0"/>
    <xf numFmtId="189" fontId="10" fillId="0" borderId="0" applyFill="0" applyBorder="0" applyAlignment="0"/>
    <xf numFmtId="190" fontId="10" fillId="0" borderId="0" applyFill="0" applyBorder="0" applyAlignment="0"/>
    <xf numFmtId="191" fontId="10" fillId="0" borderId="0" applyFill="0" applyBorder="0" applyAlignment="0"/>
    <xf numFmtId="187" fontId="10" fillId="0" borderId="0" applyFill="0" applyBorder="0" applyAlignment="0"/>
    <xf numFmtId="192" fontId="10" fillId="0" borderId="0" applyFill="0" applyBorder="0" applyAlignment="0"/>
    <xf numFmtId="188" fontId="10" fillId="0" borderId="0" applyFill="0" applyBorder="0" applyAlignment="0"/>
    <xf numFmtId="3" fontId="62" fillId="0" borderId="0" applyFill="0" applyBorder="0" applyProtection="0"/>
    <xf numFmtId="0" fontId="63" fillId="0" borderId="0"/>
    <xf numFmtId="193" fontId="45" fillId="0" borderId="0" applyFont="0" applyFill="0" applyBorder="0" applyAlignment="0" applyProtection="0"/>
    <xf numFmtId="194" fontId="64" fillId="0" borderId="0"/>
    <xf numFmtId="194" fontId="64" fillId="0" borderId="0"/>
    <xf numFmtId="194" fontId="64" fillId="0" borderId="0"/>
    <xf numFmtId="194" fontId="64" fillId="0" borderId="0"/>
    <xf numFmtId="194" fontId="64" fillId="0" borderId="0"/>
    <xf numFmtId="194" fontId="64" fillId="0" borderId="0"/>
    <xf numFmtId="194" fontId="64" fillId="0" borderId="0"/>
    <xf numFmtId="194" fontId="64" fillId="0" borderId="0"/>
    <xf numFmtId="187" fontId="10" fillId="0" borderId="0" applyFont="0" applyFill="0" applyBorder="0" applyAlignment="0" applyProtection="0"/>
    <xf numFmtId="43" fontId="65" fillId="0" borderId="0" applyFont="0" applyFill="0" applyBorder="0" applyAlignment="0" applyProtection="0"/>
    <xf numFmtId="43" fontId="8" fillId="0" borderId="0" applyFont="0" applyFill="0" applyBorder="0" applyAlignment="0" applyProtection="0"/>
    <xf numFmtId="166" fontId="10" fillId="0" borderId="0" applyFont="0" applyFill="0" applyBorder="0" applyAlignment="0" applyProtection="0"/>
    <xf numFmtId="195" fontId="31" fillId="0" borderId="0"/>
    <xf numFmtId="0" fontId="66" fillId="0" borderId="0" applyNumberFormat="0" applyAlignment="0">
      <alignment horizontal="left"/>
    </xf>
    <xf numFmtId="196" fontId="67" fillId="0" borderId="0" applyFont="0" applyFill="0" applyBorder="0" applyAlignment="0" applyProtection="0"/>
    <xf numFmtId="197" fontId="43" fillId="0" borderId="0" applyFont="0" applyFill="0" applyBorder="0" applyAlignment="0" applyProtection="0"/>
    <xf numFmtId="165" fontId="34" fillId="0" borderId="0" applyFont="0" applyFill="0" applyBorder="0" applyAlignment="0" applyProtection="0"/>
    <xf numFmtId="188" fontId="10" fillId="0" borderId="0" applyFont="0" applyFill="0" applyBorder="0" applyAlignment="0" applyProtection="0"/>
    <xf numFmtId="198" fontId="10" fillId="0" borderId="0"/>
    <xf numFmtId="14" fontId="68" fillId="0" borderId="0" applyFill="0" applyBorder="0" applyAlignment="0"/>
    <xf numFmtId="199" fontId="14" fillId="0" borderId="0" applyFont="0" applyFill="0" applyBorder="0" applyAlignment="0" applyProtection="0"/>
    <xf numFmtId="200" fontId="14" fillId="0" borderId="0" applyFont="0" applyFill="0" applyBorder="0" applyAlignment="0" applyProtection="0"/>
    <xf numFmtId="201" fontId="43" fillId="0" borderId="0" applyFont="0" applyFill="0" applyBorder="0" applyAlignment="0" applyProtection="0"/>
    <xf numFmtId="174" fontId="10" fillId="0" borderId="0" applyFont="0" applyFill="0" applyBorder="0" applyAlignment="0" applyProtection="0"/>
    <xf numFmtId="202" fontId="10" fillId="0" borderId="0"/>
    <xf numFmtId="41" fontId="69" fillId="0" borderId="0" applyFont="0" applyFill="0" applyBorder="0" applyAlignment="0" applyProtection="0"/>
    <xf numFmtId="41" fontId="69" fillId="0" borderId="0" applyFont="0" applyFill="0" applyBorder="0" applyAlignment="0" applyProtection="0"/>
    <xf numFmtId="43" fontId="69" fillId="0" borderId="0" applyFont="0" applyFill="0" applyBorder="0" applyAlignment="0" applyProtection="0"/>
    <xf numFmtId="43" fontId="69" fillId="0" borderId="0" applyFont="0" applyFill="0" applyBorder="0" applyAlignment="0" applyProtection="0"/>
    <xf numFmtId="3" fontId="24" fillId="0" borderId="0" applyFont="0" applyBorder="0" applyAlignment="0"/>
    <xf numFmtId="187" fontId="10" fillId="0" borderId="0" applyFill="0" applyBorder="0" applyAlignment="0"/>
    <xf numFmtId="188" fontId="10" fillId="0" borderId="0" applyFill="0" applyBorder="0" applyAlignment="0"/>
    <xf numFmtId="187" fontId="10" fillId="0" borderId="0" applyFill="0" applyBorder="0" applyAlignment="0"/>
    <xf numFmtId="192" fontId="10" fillId="0" borderId="0" applyFill="0" applyBorder="0" applyAlignment="0"/>
    <xf numFmtId="188" fontId="10" fillId="0" borderId="0" applyFill="0" applyBorder="0" applyAlignment="0"/>
    <xf numFmtId="0" fontId="70" fillId="0" borderId="0" applyNumberFormat="0" applyAlignment="0">
      <alignment horizontal="left"/>
    </xf>
    <xf numFmtId="0" fontId="33" fillId="3" borderId="4"/>
    <xf numFmtId="203" fontId="10" fillId="0" borderId="0" applyFont="0" applyFill="0" applyBorder="0" applyAlignment="0" applyProtection="0"/>
    <xf numFmtId="3" fontId="24" fillId="0" borderId="0" applyFont="0" applyBorder="0" applyAlignment="0"/>
    <xf numFmtId="38" fontId="33" fillId="7" borderId="0" applyNumberFormat="0" applyBorder="0" applyAlignment="0" applyProtection="0"/>
    <xf numFmtId="0" fontId="71" fillId="9" borderId="0"/>
    <xf numFmtId="0" fontId="72" fillId="0" borderId="0">
      <alignment horizontal="left"/>
    </xf>
    <xf numFmtId="204" fontId="11" fillId="0" borderId="0">
      <protection locked="0"/>
    </xf>
    <xf numFmtId="204" fontId="11" fillId="0" borderId="0">
      <protection locked="0"/>
    </xf>
    <xf numFmtId="0" fontId="73" fillId="0" borderId="13">
      <alignment horizontal="center"/>
    </xf>
    <xf numFmtId="0" fontId="73" fillId="0" borderId="0">
      <alignment horizontal="center"/>
    </xf>
    <xf numFmtId="0" fontId="74" fillId="0" borderId="0" applyNumberFormat="0" applyBorder="0"/>
    <xf numFmtId="49" fontId="75" fillId="0" borderId="4">
      <alignment vertical="center"/>
    </xf>
    <xf numFmtId="0" fontId="76" fillId="0" borderId="0"/>
    <xf numFmtId="0" fontId="27" fillId="0" borderId="0" applyFont="0" applyFill="0" applyBorder="0" applyAlignment="0" applyProtection="0"/>
    <xf numFmtId="0" fontId="27" fillId="0" borderId="0" applyFont="0" applyFill="0" applyBorder="0" applyAlignment="0" applyProtection="0"/>
    <xf numFmtId="10" fontId="33" fillId="10" borderId="4" applyNumberFormat="0" applyBorder="0" applyAlignment="0" applyProtection="0"/>
    <xf numFmtId="0" fontId="14" fillId="0" borderId="0"/>
    <xf numFmtId="187" fontId="10" fillId="0" borderId="0" applyFill="0" applyBorder="0" applyAlignment="0"/>
    <xf numFmtId="188" fontId="10" fillId="0" borderId="0" applyFill="0" applyBorder="0" applyAlignment="0"/>
    <xf numFmtId="187" fontId="10" fillId="0" borderId="0" applyFill="0" applyBorder="0" applyAlignment="0"/>
    <xf numFmtId="192" fontId="10" fillId="0" borderId="0" applyFill="0" applyBorder="0" applyAlignment="0"/>
    <xf numFmtId="188" fontId="10" fillId="0" borderId="0" applyFill="0" applyBorder="0" applyAlignment="0"/>
    <xf numFmtId="205" fontId="14" fillId="0" borderId="0" applyFont="0" applyFill="0" applyBorder="0" applyAlignment="0" applyProtection="0"/>
    <xf numFmtId="185" fontId="10" fillId="0" borderId="0" applyFont="0" applyFill="0" applyBorder="0" applyAlignment="0" applyProtection="0"/>
    <xf numFmtId="186" fontId="10" fillId="0" borderId="0" applyFont="0" applyFill="0" applyBorder="0" applyAlignment="0" applyProtection="0"/>
    <xf numFmtId="0" fontId="77" fillId="0" borderId="13"/>
    <xf numFmtId="206" fontId="10" fillId="0" borderId="8"/>
    <xf numFmtId="42" fontId="10" fillId="0" borderId="0" applyFont="0" applyFill="0" applyBorder="0" applyAlignment="0" applyProtection="0"/>
    <xf numFmtId="44" fontId="10" fillId="0" borderId="0" applyFont="0" applyFill="0" applyBorder="0" applyAlignment="0" applyProtection="0"/>
    <xf numFmtId="42" fontId="10" fillId="0" borderId="0" applyFont="0" applyFill="0" applyBorder="0" applyAlignment="0" applyProtection="0"/>
    <xf numFmtId="44" fontId="10" fillId="0" borderId="0" applyFont="0" applyFill="0" applyBorder="0" applyAlignment="0" applyProtection="0"/>
    <xf numFmtId="0" fontId="67" fillId="0" borderId="4"/>
    <xf numFmtId="0" fontId="31" fillId="0" borderId="0"/>
    <xf numFmtId="37" fontId="78" fillId="0" borderId="0"/>
    <xf numFmtId="0" fontId="43" fillId="0" borderId="0"/>
    <xf numFmtId="0" fontId="8" fillId="0" borderId="0"/>
    <xf numFmtId="0" fontId="24" fillId="0" borderId="0"/>
    <xf numFmtId="0" fontId="80" fillId="0" borderId="0"/>
    <xf numFmtId="165" fontId="47" fillId="0" borderId="0" applyFont="0" applyFill="0" applyBorder="0" applyAlignment="0" applyProtection="0"/>
    <xf numFmtId="164" fontId="47" fillId="0" borderId="0" applyFont="0" applyFill="0" applyBorder="0" applyAlignment="0" applyProtection="0"/>
    <xf numFmtId="0" fontId="81" fillId="0" borderId="0" applyNumberFormat="0" applyFill="0" applyBorder="0" applyAlignment="0" applyProtection="0"/>
    <xf numFmtId="0" fontId="67" fillId="0" borderId="0" applyNumberFormat="0" applyFill="0" applyBorder="0" applyAlignment="0" applyProtection="0"/>
    <xf numFmtId="0" fontId="24" fillId="0" borderId="0" applyNumberFormat="0" applyFill="0" applyBorder="0" applyAlignment="0" applyProtection="0"/>
    <xf numFmtId="0" fontId="10" fillId="0" borderId="0" applyFont="0" applyFill="0" applyBorder="0" applyAlignment="0" applyProtection="0"/>
    <xf numFmtId="0" fontId="31" fillId="0" borderId="0"/>
    <xf numFmtId="0" fontId="39" fillId="6" borderId="12" applyNumberFormat="0" applyAlignment="0" applyProtection="0"/>
    <xf numFmtId="14" fontId="58" fillId="0" borderId="0">
      <alignment horizontal="center" wrapText="1"/>
      <protection locked="0"/>
    </xf>
    <xf numFmtId="191" fontId="10" fillId="0" borderId="0" applyFont="0" applyFill="0" applyBorder="0" applyAlignment="0" applyProtection="0"/>
    <xf numFmtId="207" fontId="10" fillId="0" borderId="0" applyFont="0" applyFill="0" applyBorder="0" applyAlignment="0" applyProtection="0"/>
    <xf numFmtId="10" fontId="10" fillId="0" borderId="0" applyFont="0" applyFill="0" applyBorder="0" applyAlignment="0" applyProtection="0"/>
    <xf numFmtId="9" fontId="14" fillId="0" borderId="14" applyNumberFormat="0" applyBorder="0"/>
    <xf numFmtId="0" fontId="33" fillId="7" borderId="4"/>
    <xf numFmtId="187" fontId="10" fillId="0" borderId="0" applyFill="0" applyBorder="0" applyAlignment="0"/>
    <xf numFmtId="188" fontId="10" fillId="0" borderId="0" applyFill="0" applyBorder="0" applyAlignment="0"/>
    <xf numFmtId="187" fontId="10" fillId="0" borderId="0" applyFill="0" applyBorder="0" applyAlignment="0"/>
    <xf numFmtId="192" fontId="10" fillId="0" borderId="0" applyFill="0" applyBorder="0" applyAlignment="0"/>
    <xf numFmtId="188" fontId="10" fillId="0" borderId="0" applyFill="0" applyBorder="0" applyAlignment="0"/>
    <xf numFmtId="0" fontId="82" fillId="0" borderId="0"/>
    <xf numFmtId="37" fontId="10" fillId="0" borderId="0" applyFont="0" applyFill="0" applyBorder="0" applyAlignment="0" applyProtection="0"/>
    <xf numFmtId="0" fontId="14" fillId="0" borderId="0" applyNumberFormat="0" applyFont="0" applyFill="0" applyBorder="0" applyAlignment="0" applyProtection="0">
      <alignment horizontal="left"/>
    </xf>
    <xf numFmtId="0" fontId="83" fillId="0" borderId="13">
      <alignment horizontal="center"/>
    </xf>
    <xf numFmtId="3" fontId="84" fillId="0" borderId="0" applyFill="0" applyBorder="0" applyProtection="0"/>
    <xf numFmtId="0" fontId="85" fillId="11" borderId="0" applyNumberFormat="0" applyFont="0" applyBorder="0" applyAlignment="0">
      <alignment horizontal="center"/>
    </xf>
    <xf numFmtId="14" fontId="86" fillId="0" borderId="0" applyNumberFormat="0" applyFill="0" applyBorder="0" applyAlignment="0" applyProtection="0">
      <alignment horizontal="left"/>
    </xf>
    <xf numFmtId="0" fontId="24" fillId="0" borderId="0" applyNumberFormat="0" applyFill="0" applyBorder="0" applyAlignment="0" applyProtection="0"/>
    <xf numFmtId="4" fontId="87" fillId="5" borderId="15" applyNumberFormat="0" applyProtection="0">
      <alignment vertical="center"/>
    </xf>
    <xf numFmtId="4" fontId="88" fillId="5" borderId="15" applyNumberFormat="0" applyProtection="0">
      <alignment vertical="center"/>
    </xf>
    <xf numFmtId="4" fontId="89" fillId="5" borderId="15" applyNumberFormat="0" applyProtection="0">
      <alignment horizontal="left" vertical="center" indent="1"/>
    </xf>
    <xf numFmtId="4" fontId="89" fillId="12" borderId="0" applyNumberFormat="0" applyProtection="0">
      <alignment horizontal="left" vertical="center" indent="1"/>
    </xf>
    <xf numFmtId="4" fontId="89" fillId="13" borderId="15" applyNumberFormat="0" applyProtection="0">
      <alignment horizontal="right" vertical="center"/>
    </xf>
    <xf numFmtId="4" fontId="89" fillId="14" borderId="15" applyNumberFormat="0" applyProtection="0">
      <alignment horizontal="right" vertical="center"/>
    </xf>
    <xf numFmtId="4" fontId="89" fillId="15" borderId="15" applyNumberFormat="0" applyProtection="0">
      <alignment horizontal="right" vertical="center"/>
    </xf>
    <xf numFmtId="4" fontId="89" fillId="4" borderId="15" applyNumberFormat="0" applyProtection="0">
      <alignment horizontal="right" vertical="center"/>
    </xf>
    <xf numFmtId="4" fontId="89" fillId="16" borderId="15" applyNumberFormat="0" applyProtection="0">
      <alignment horizontal="right" vertical="center"/>
    </xf>
    <xf numFmtId="4" fontId="89" fillId="17" borderId="15" applyNumberFormat="0" applyProtection="0">
      <alignment horizontal="right" vertical="center"/>
    </xf>
    <xf numFmtId="4" fontId="89" fillId="18" borderId="15" applyNumberFormat="0" applyProtection="0">
      <alignment horizontal="right" vertical="center"/>
    </xf>
    <xf numFmtId="4" fontId="89" fillId="19" borderId="15" applyNumberFormat="0" applyProtection="0">
      <alignment horizontal="right" vertical="center"/>
    </xf>
    <xf numFmtId="4" fontId="89" fillId="20" borderId="15" applyNumberFormat="0" applyProtection="0">
      <alignment horizontal="right" vertical="center"/>
    </xf>
    <xf numFmtId="4" fontId="87" fillId="21" borderId="16" applyNumberFormat="0" applyProtection="0">
      <alignment horizontal="left" vertical="center" indent="1"/>
    </xf>
    <xf numFmtId="4" fontId="87" fillId="22" borderId="0" applyNumberFormat="0" applyProtection="0">
      <alignment horizontal="left" vertical="center" indent="1"/>
    </xf>
    <xf numFmtId="4" fontId="87" fillId="12" borderId="0" applyNumberFormat="0" applyProtection="0">
      <alignment horizontal="left" vertical="center" indent="1"/>
    </xf>
    <xf numFmtId="4" fontId="89" fillId="22" borderId="15" applyNumberFormat="0" applyProtection="0">
      <alignment horizontal="right" vertical="center"/>
    </xf>
    <xf numFmtId="4" fontId="68" fillId="22" borderId="0" applyNumberFormat="0" applyProtection="0">
      <alignment horizontal="left" vertical="center" indent="1"/>
    </xf>
    <xf numFmtId="4" fontId="68" fillId="12" borderId="0" applyNumberFormat="0" applyProtection="0">
      <alignment horizontal="left" vertical="center" indent="1"/>
    </xf>
    <xf numFmtId="4" fontId="89" fillId="23" borderId="15" applyNumberFormat="0" applyProtection="0">
      <alignment vertical="center"/>
    </xf>
    <xf numFmtId="4" fontId="90" fillId="23" borderId="15" applyNumberFormat="0" applyProtection="0">
      <alignment vertical="center"/>
    </xf>
    <xf numFmtId="4" fontId="87" fillId="22" borderId="17" applyNumberFormat="0" applyProtection="0">
      <alignment horizontal="left" vertical="center" indent="1"/>
    </xf>
    <xf numFmtId="4" fontId="89" fillId="23" borderId="15" applyNumberFormat="0" applyProtection="0">
      <alignment horizontal="right" vertical="center"/>
    </xf>
    <xf numFmtId="4" fontId="90" fillId="23" borderId="15" applyNumberFormat="0" applyProtection="0">
      <alignment horizontal="right" vertical="center"/>
    </xf>
    <xf numFmtId="4" fontId="87" fillId="22" borderId="15" applyNumberFormat="0" applyProtection="0">
      <alignment horizontal="left" vertical="center" indent="1"/>
    </xf>
    <xf numFmtId="4" fontId="91" fillId="24" borderId="17" applyNumberFormat="0" applyProtection="0">
      <alignment horizontal="left" vertical="center" indent="1"/>
    </xf>
    <xf numFmtId="4" fontId="92" fillId="23" borderId="15" applyNumberFormat="0" applyProtection="0">
      <alignment horizontal="right" vertical="center"/>
    </xf>
    <xf numFmtId="0" fontId="28" fillId="0" borderId="0">
      <alignment vertical="center"/>
    </xf>
    <xf numFmtId="208" fontId="93" fillId="0" borderId="0" applyFont="0" applyFill="0" applyBorder="0" applyAlignment="0" applyProtection="0"/>
    <xf numFmtId="0" fontId="85" fillId="1" borderId="2" applyNumberFormat="0" applyFont="0" applyAlignment="0">
      <alignment horizontal="center"/>
    </xf>
    <xf numFmtId="0" fontId="94" fillId="0" borderId="0" applyNumberFormat="0" applyFill="0" applyBorder="0" applyAlignment="0">
      <alignment horizontal="center"/>
    </xf>
    <xf numFmtId="0" fontId="10" fillId="0" borderId="0"/>
    <xf numFmtId="0" fontId="46" fillId="0" borderId="0"/>
    <xf numFmtId="0" fontId="79" fillId="0" borderId="0"/>
    <xf numFmtId="0" fontId="12" fillId="0" borderId="2">
      <alignment horizontal="left" vertical="center"/>
    </xf>
    <xf numFmtId="0" fontId="12" fillId="0" borderId="1" applyNumberFormat="0" applyAlignment="0" applyProtection="0">
      <alignment horizontal="left" vertical="center"/>
    </xf>
    <xf numFmtId="0" fontId="12" fillId="0" borderId="0" applyNumberFormat="0" applyFill="0" applyBorder="0" applyAlignment="0" applyProtection="0"/>
    <xf numFmtId="0" fontId="13" fillId="0" borderId="0" applyNumberFormat="0" applyFill="0" applyBorder="0" applyAlignment="0" applyProtection="0"/>
    <xf numFmtId="0" fontId="49" fillId="0" borderId="0"/>
    <xf numFmtId="0" fontId="95" fillId="0" borderId="0"/>
    <xf numFmtId="0" fontId="67" fillId="0" borderId="0"/>
    <xf numFmtId="0" fontId="67" fillId="0" borderId="0"/>
    <xf numFmtId="179" fontId="45" fillId="0" borderId="0" applyFont="0" applyFill="0" applyBorder="0" applyAlignment="0" applyProtection="0"/>
    <xf numFmtId="42" fontId="45" fillId="0" borderId="0" applyFont="0" applyFill="0" applyBorder="0" applyAlignment="0" applyProtection="0"/>
    <xf numFmtId="0" fontId="15" fillId="0" borderId="0" applyNumberFormat="0" applyFont="0" applyFill="0" applyAlignment="0"/>
    <xf numFmtId="0" fontId="10" fillId="0" borderId="3" applyNumberFormat="0" applyFont="0" applyFill="0" applyAlignment="0" applyProtection="0"/>
    <xf numFmtId="209" fontId="67" fillId="0" borderId="0" applyFont="0" applyFill="0" applyBorder="0" applyAlignment="0" applyProtection="0"/>
    <xf numFmtId="42" fontId="45" fillId="0" borderId="0" applyFont="0" applyFill="0" applyBorder="0" applyAlignment="0" applyProtection="0"/>
    <xf numFmtId="0" fontId="10" fillId="0" borderId="3" applyNumberFormat="0" applyFont="0" applyFill="0" applyAlignment="0" applyProtection="0"/>
    <xf numFmtId="209" fontId="67" fillId="0" borderId="0" applyFont="0" applyFill="0" applyBorder="0" applyAlignment="0" applyProtection="0"/>
    <xf numFmtId="179" fontId="45" fillId="0" borderId="0" applyFont="0" applyFill="0" applyBorder="0" applyAlignment="0" applyProtection="0"/>
    <xf numFmtId="3" fontId="10" fillId="0" borderId="0" applyFont="0" applyFill="0" applyBorder="0" applyAlignment="0" applyProtection="0"/>
    <xf numFmtId="210" fontId="10" fillId="0" borderId="0" applyFont="0" applyFill="0" applyBorder="0" applyAlignment="0" applyProtection="0"/>
    <xf numFmtId="211" fontId="18" fillId="0" borderId="0" applyFont="0" applyFill="0" applyBorder="0" applyAlignment="0" applyProtection="0"/>
    <xf numFmtId="212" fontId="18" fillId="0" borderId="0" applyFont="0" applyFill="0" applyBorder="0" applyAlignment="0" applyProtection="0"/>
    <xf numFmtId="0" fontId="10" fillId="0" borderId="0" applyFont="0" applyFill="0" applyBorder="0" applyAlignment="0" applyProtection="0"/>
    <xf numFmtId="2" fontId="10" fillId="0" borderId="0" applyFont="0" applyFill="0" applyBorder="0" applyAlignment="0" applyProtection="0"/>
    <xf numFmtId="3" fontId="96" fillId="0" borderId="0" applyNumberFormat="0" applyAlignment="0">
      <alignment horizontal="right"/>
    </xf>
    <xf numFmtId="0" fontId="77" fillId="0" borderId="0"/>
    <xf numFmtId="40" fontId="97" fillId="0" borderId="0" applyBorder="0">
      <alignment horizontal="right"/>
    </xf>
    <xf numFmtId="213" fontId="45" fillId="0" borderId="9">
      <alignment horizontal="right" vertical="center"/>
    </xf>
    <xf numFmtId="214" fontId="67" fillId="0" borderId="9">
      <alignment horizontal="right" vertical="center"/>
    </xf>
    <xf numFmtId="215" fontId="98" fillId="0" borderId="9">
      <alignment horizontal="right" vertical="center"/>
    </xf>
    <xf numFmtId="215" fontId="98" fillId="0" borderId="9">
      <alignment horizontal="right" vertical="center"/>
    </xf>
    <xf numFmtId="49" fontId="68" fillId="0" borderId="0" applyFill="0" applyBorder="0" applyAlignment="0"/>
    <xf numFmtId="216" fontId="10" fillId="0" borderId="0" applyFill="0" applyBorder="0" applyAlignment="0"/>
    <xf numFmtId="217" fontId="10" fillId="0" borderId="0" applyFill="0" applyBorder="0" applyAlignment="0"/>
    <xf numFmtId="218" fontId="99" fillId="0" borderId="9">
      <alignment horizontal="center"/>
    </xf>
    <xf numFmtId="0" fontId="100" fillId="0" borderId="18"/>
    <xf numFmtId="0" fontId="67" fillId="0" borderId="0" applyNumberFormat="0" applyFill="0" applyBorder="0" applyAlignment="0" applyProtection="0"/>
    <xf numFmtId="0" fontId="81" fillId="0" borderId="0" applyNumberFormat="0" applyFill="0" applyBorder="0" applyAlignment="0" applyProtection="0"/>
    <xf numFmtId="3" fontId="101" fillId="0" borderId="10" applyNumberFormat="0" applyBorder="0" applyAlignment="0"/>
    <xf numFmtId="40" fontId="102" fillId="0" borderId="0"/>
    <xf numFmtId="0" fontId="13" fillId="0" borderId="0">
      <alignment vertical="center"/>
    </xf>
    <xf numFmtId="0" fontId="103" fillId="0" borderId="19">
      <alignment horizontal="center"/>
    </xf>
    <xf numFmtId="164" fontId="10" fillId="0" borderId="0" applyFont="0" applyFill="0" applyBorder="0" applyAlignment="0" applyProtection="0"/>
    <xf numFmtId="165" fontId="10" fillId="0" borderId="0" applyFont="0" applyFill="0" applyBorder="0" applyAlignment="0" applyProtection="0"/>
    <xf numFmtId="167" fontId="10" fillId="0" borderId="0" applyFont="0" applyFill="0" applyBorder="0" applyAlignment="0" applyProtection="0"/>
    <xf numFmtId="168" fontId="10" fillId="0" borderId="0" applyFont="0" applyFill="0" applyBorder="0" applyAlignment="0" applyProtection="0"/>
    <xf numFmtId="219" fontId="104" fillId="0" borderId="0"/>
    <xf numFmtId="220" fontId="104" fillId="0" borderId="4"/>
    <xf numFmtId="42" fontId="10" fillId="0" borderId="0" applyFont="0" applyFill="0" applyBorder="0" applyAlignment="0" applyProtection="0"/>
    <xf numFmtId="0" fontId="10" fillId="0" borderId="0" applyFont="0" applyFill="0" applyBorder="0" applyAlignment="0" applyProtection="0"/>
    <xf numFmtId="42" fontId="69" fillId="0" borderId="0" applyFont="0" applyFill="0" applyBorder="0" applyAlignment="0" applyProtection="0"/>
    <xf numFmtId="44" fontId="69" fillId="0" borderId="0" applyFont="0" applyFill="0" applyBorder="0" applyAlignment="0" applyProtection="0"/>
    <xf numFmtId="0" fontId="105" fillId="0" borderId="0" applyNumberFormat="0" applyFill="0" applyBorder="0" applyAlignment="0" applyProtection="0"/>
    <xf numFmtId="0" fontId="106" fillId="0" borderId="11"/>
    <xf numFmtId="186" fontId="41" fillId="0" borderId="0" applyFon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xf numFmtId="0" fontId="107" fillId="0" borderId="0"/>
    <xf numFmtId="0" fontId="15" fillId="0" borderId="0"/>
    <xf numFmtId="164" fontId="28" fillId="0" borderId="0" applyFont="0" applyFill="0" applyBorder="0" applyAlignment="0" applyProtection="0"/>
    <xf numFmtId="165" fontId="28" fillId="0" borderId="0" applyFont="0" applyFill="0" applyBorder="0" applyAlignment="0" applyProtection="0"/>
    <xf numFmtId="164" fontId="34" fillId="0" borderId="0" applyFont="0" applyFill="0" applyBorder="0" applyAlignment="0" applyProtection="0"/>
    <xf numFmtId="165" fontId="34" fillId="0" borderId="0" applyFont="0" applyFill="0" applyBorder="0" applyAlignment="0" applyProtection="0"/>
    <xf numFmtId="221" fontId="108" fillId="0" borderId="0"/>
    <xf numFmtId="0" fontId="64" fillId="0" borderId="0"/>
    <xf numFmtId="0" fontId="109" fillId="0" borderId="0"/>
    <xf numFmtId="186" fontId="110" fillId="0" borderId="0" applyFont="0" applyFill="0" applyBorder="0" applyAlignment="0" applyProtection="0"/>
    <xf numFmtId="41" fontId="10" fillId="0" borderId="0" applyFont="0" applyFill="0" applyBorder="0" applyAlignment="0" applyProtection="0"/>
    <xf numFmtId="0" fontId="111" fillId="0" borderId="0"/>
    <xf numFmtId="167" fontId="34" fillId="0" borderId="0" applyFont="0" applyFill="0" applyBorder="0" applyAlignment="0" applyProtection="0"/>
    <xf numFmtId="168" fontId="34" fillId="0" borderId="0" applyFont="0" applyFill="0" applyBorder="0" applyAlignment="0" applyProtection="0"/>
    <xf numFmtId="44" fontId="110" fillId="0" borderId="0" applyFont="0" applyFill="0" applyBorder="0" applyAlignment="0" applyProtection="0"/>
    <xf numFmtId="42" fontId="110" fillId="0" borderId="0" applyFont="0" applyFill="0" applyBorder="0" applyAlignment="0" applyProtection="0"/>
    <xf numFmtId="0" fontId="7" fillId="0" borderId="0"/>
    <xf numFmtId="0" fontId="9" fillId="0" borderId="0"/>
    <xf numFmtId="0" fontId="9" fillId="0" borderId="0"/>
    <xf numFmtId="0" fontId="6" fillId="0" borderId="0"/>
    <xf numFmtId="0" fontId="5" fillId="0" borderId="0"/>
    <xf numFmtId="43" fontId="5" fillId="0" borderId="0" applyFont="0" applyFill="0" applyBorder="0" applyAlignment="0" applyProtection="0"/>
    <xf numFmtId="43" fontId="118" fillId="0" borderId="0" applyFont="0" applyFill="0" applyBorder="0" applyAlignment="0" applyProtection="0"/>
    <xf numFmtId="43" fontId="119" fillId="0" borderId="0" applyFont="0" applyFill="0" applyBorder="0" applyAlignment="0" applyProtection="0"/>
    <xf numFmtId="0" fontId="115" fillId="0" borderId="0" applyFont="0" applyFill="0" applyBorder="0" applyAlignment="0" applyProtection="0"/>
    <xf numFmtId="0" fontId="9" fillId="0" borderId="0"/>
    <xf numFmtId="43" fontId="9" fillId="0" borderId="0" applyFont="0" applyFill="0" applyBorder="0" applyAlignment="0" applyProtection="0"/>
    <xf numFmtId="41" fontId="9" fillId="0" borderId="0" applyFont="0" applyFill="0" applyBorder="0" applyAlignment="0" applyProtection="0"/>
    <xf numFmtId="0" fontId="4" fillId="0" borderId="0"/>
    <xf numFmtId="0" fontId="9" fillId="0" borderId="0"/>
    <xf numFmtId="0" fontId="126" fillId="0" borderId="0"/>
    <xf numFmtId="43" fontId="127" fillId="0" borderId="0" applyFont="0" applyFill="0" applyBorder="0" applyAlignment="0" applyProtection="0"/>
    <xf numFmtId="0" fontId="127" fillId="0" borderId="0"/>
    <xf numFmtId="0" fontId="126" fillId="0" borderId="0"/>
    <xf numFmtId="223" fontId="9" fillId="0" borderId="0" applyFont="0" applyFill="0" applyBorder="0" applyAlignment="0" applyProtection="0"/>
    <xf numFmtId="0" fontId="9" fillId="0" borderId="0"/>
    <xf numFmtId="166" fontId="9" fillId="0" borderId="0" applyFont="0" applyFill="0" applyBorder="0" applyAlignment="0" applyProtection="0"/>
    <xf numFmtId="0" fontId="4" fillId="0" borderId="0"/>
    <xf numFmtId="0" fontId="4" fillId="0" borderId="0"/>
    <xf numFmtId="0" fontId="4" fillId="0" borderId="0"/>
    <xf numFmtId="0" fontId="9" fillId="0" borderId="0"/>
    <xf numFmtId="0" fontId="9" fillId="0" borderId="0"/>
    <xf numFmtId="0" fontId="128" fillId="0" borderId="0"/>
    <xf numFmtId="0" fontId="4" fillId="0" borderId="0"/>
    <xf numFmtId="0" fontId="9" fillId="0" borderId="0"/>
    <xf numFmtId="43" fontId="4" fillId="0" borderId="0" applyFont="0" applyFill="0" applyBorder="0" applyAlignment="0" applyProtection="0"/>
    <xf numFmtId="43" fontId="65" fillId="0" borderId="0" applyFont="0" applyFill="0" applyBorder="0" applyAlignment="0" applyProtection="0"/>
    <xf numFmtId="0" fontId="4" fillId="0" borderId="0"/>
    <xf numFmtId="43" fontId="65" fillId="0" borderId="0" applyFont="0" applyFill="0" applyBorder="0" applyAlignment="0" applyProtection="0"/>
    <xf numFmtId="43" fontId="65"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4" fillId="0" borderId="0"/>
    <xf numFmtId="0" fontId="4" fillId="0" borderId="0"/>
    <xf numFmtId="0" fontId="3" fillId="0" borderId="0"/>
    <xf numFmtId="0" fontId="3" fillId="0" borderId="0"/>
    <xf numFmtId="0" fontId="9" fillId="0" borderId="0"/>
    <xf numFmtId="225" fontId="3" fillId="0" borderId="0" applyFont="0" applyFill="0" applyBorder="0" applyAlignment="0" applyProtection="0"/>
    <xf numFmtId="43" fontId="65" fillId="0" borderId="0" applyFont="0" applyFill="0" applyBorder="0" applyAlignment="0" applyProtection="0"/>
    <xf numFmtId="0" fontId="119" fillId="0" borderId="0"/>
    <xf numFmtId="0" fontId="2" fillId="0" borderId="0">
      <alignment vertical="center"/>
    </xf>
    <xf numFmtId="0" fontId="140" fillId="0" borderId="0"/>
    <xf numFmtId="0" fontId="128" fillId="0" borderId="0"/>
    <xf numFmtId="0" fontId="1" fillId="0" borderId="0"/>
    <xf numFmtId="0" fontId="1" fillId="0" borderId="0"/>
    <xf numFmtId="0" fontId="6" fillId="0" borderId="0"/>
    <xf numFmtId="0" fontId="9" fillId="0" borderId="0">
      <alignment vertical="center"/>
    </xf>
    <xf numFmtId="9" fontId="142" fillId="0" borderId="0" applyFont="0" applyFill="0" applyBorder="0" applyAlignment="0" applyProtection="0"/>
  </cellStyleXfs>
  <cellXfs count="168">
    <xf numFmtId="0" fontId="0" fillId="0" borderId="0" xfId="0"/>
    <xf numFmtId="0" fontId="28" fillId="0" borderId="0" xfId="0" applyFont="1" applyAlignment="1">
      <alignment vertical="center"/>
    </xf>
    <xf numFmtId="0" fontId="28" fillId="0" borderId="24" xfId="0" applyFont="1" applyBorder="1" applyAlignment="1">
      <alignment horizontal="center" vertical="center" wrapText="1"/>
    </xf>
    <xf numFmtId="1" fontId="0" fillId="0" borderId="0" xfId="0" applyNumberFormat="1"/>
    <xf numFmtId="0" fontId="6" fillId="0" borderId="0" xfId="279" applyFont="1"/>
    <xf numFmtId="1" fontId="6" fillId="0" borderId="0" xfId="279" applyNumberFormat="1" applyFont="1"/>
    <xf numFmtId="0" fontId="29" fillId="0" borderId="24" xfId="0" applyFont="1" applyBorder="1" applyAlignment="1">
      <alignment horizontal="center" vertical="center"/>
    </xf>
    <xf numFmtId="0" fontId="31" fillId="0" borderId="0" xfId="0" applyFont="1" applyAlignment="1">
      <alignment vertical="center"/>
    </xf>
    <xf numFmtId="3" fontId="31" fillId="0" borderId="0" xfId="0" applyNumberFormat="1" applyFont="1" applyAlignment="1">
      <alignment vertical="center"/>
    </xf>
    <xf numFmtId="0" fontId="29" fillId="0" borderId="24" xfId="0" applyFont="1" applyBorder="1" applyAlignment="1">
      <alignment vertical="center"/>
    </xf>
    <xf numFmtId="3" fontId="29" fillId="0" borderId="24" xfId="0" applyNumberFormat="1" applyFont="1" applyBorder="1" applyAlignment="1">
      <alignment horizontal="right" vertical="center"/>
    </xf>
    <xf numFmtId="0" fontId="28" fillId="0" borderId="24" xfId="0" applyFont="1" applyBorder="1" applyAlignment="1">
      <alignment horizontal="center" vertical="center"/>
    </xf>
    <xf numFmtId="0" fontId="28" fillId="0" borderId="24" xfId="0" quotePrefix="1" applyFont="1" applyBorder="1" applyAlignment="1">
      <alignment vertical="center"/>
    </xf>
    <xf numFmtId="3" fontId="28" fillId="0" borderId="24" xfId="0" applyNumberFormat="1" applyFont="1" applyBorder="1" applyAlignment="1">
      <alignment horizontal="center" vertical="center"/>
    </xf>
    <xf numFmtId="175" fontId="28" fillId="0" borderId="24" xfId="427" applyNumberFormat="1" applyFont="1" applyBorder="1" applyAlignment="1">
      <alignment vertical="center"/>
    </xf>
    <xf numFmtId="0" fontId="28" fillId="0" borderId="24" xfId="0" quotePrefix="1" applyFont="1" applyBorder="1" applyAlignment="1">
      <alignment horizontal="left" vertical="center" wrapText="1"/>
    </xf>
    <xf numFmtId="0" fontId="116" fillId="0" borderId="24" xfId="0" applyFont="1" applyBorder="1" applyAlignment="1">
      <alignment horizontal="left" vertical="center" wrapText="1"/>
    </xf>
    <xf numFmtId="175" fontId="31" fillId="0" borderId="0" xfId="0" applyNumberFormat="1" applyFont="1" applyAlignment="1">
      <alignment vertical="center"/>
    </xf>
    <xf numFmtId="0" fontId="29" fillId="0" borderId="24" xfId="0" quotePrefix="1" applyFont="1" applyBorder="1" applyAlignment="1">
      <alignment vertical="center"/>
    </xf>
    <xf numFmtId="3" fontId="29" fillId="0" borderId="24" xfId="0" applyNumberFormat="1" applyFont="1" applyBorder="1" applyAlignment="1">
      <alignment horizontal="center" vertical="center"/>
    </xf>
    <xf numFmtId="175" fontId="29" fillId="0" borderId="24" xfId="427" applyNumberFormat="1" applyFont="1" applyBorder="1" applyAlignment="1">
      <alignment vertical="center"/>
    </xf>
    <xf numFmtId="175" fontId="29" fillId="0" borderId="24" xfId="427" applyNumberFormat="1" applyFont="1" applyBorder="1" applyAlignment="1">
      <alignment horizontal="center" vertical="center"/>
    </xf>
    <xf numFmtId="175" fontId="29" fillId="0" borderId="24" xfId="0" applyNumberFormat="1" applyFont="1" applyBorder="1" applyAlignment="1">
      <alignment horizontal="right" vertical="center"/>
    </xf>
    <xf numFmtId="222" fontId="28" fillId="0" borderId="24" xfId="0" quotePrefix="1" applyNumberFormat="1" applyFont="1" applyBorder="1" applyAlignment="1">
      <alignment vertical="center" wrapText="1"/>
    </xf>
    <xf numFmtId="222" fontId="28" fillId="0" borderId="24" xfId="0" quotePrefix="1" applyNumberFormat="1" applyFont="1" applyBorder="1" applyAlignment="1">
      <alignment horizontal="center" vertical="center" wrapText="1"/>
    </xf>
    <xf numFmtId="0" fontId="28" fillId="0" borderId="24" xfId="0" applyFont="1" applyBorder="1" applyAlignment="1">
      <alignment vertical="center" wrapText="1"/>
    </xf>
    <xf numFmtId="175" fontId="28" fillId="0" borderId="24" xfId="0" applyNumberFormat="1" applyFont="1" applyBorder="1" applyAlignment="1">
      <alignment horizontal="right" vertical="center"/>
    </xf>
    <xf numFmtId="175" fontId="28" fillId="26" borderId="24" xfId="0" applyNumberFormat="1" applyFont="1" applyFill="1" applyBorder="1" applyAlignment="1">
      <alignment horizontal="right" vertical="center"/>
    </xf>
    <xf numFmtId="0" fontId="31" fillId="0" borderId="0" xfId="0" applyFont="1"/>
    <xf numFmtId="175" fontId="28" fillId="26" borderId="24" xfId="0" applyNumberFormat="1" applyFont="1" applyFill="1" applyBorder="1" applyAlignment="1">
      <alignment horizontal="center" vertical="center" wrapText="1"/>
    </xf>
    <xf numFmtId="175" fontId="0" fillId="0" borderId="0" xfId="0" applyNumberFormat="1"/>
    <xf numFmtId="0" fontId="121" fillId="0" borderId="0" xfId="0" quotePrefix="1" applyFont="1" applyAlignment="1">
      <alignment vertical="center"/>
    </xf>
    <xf numFmtId="3" fontId="29" fillId="25" borderId="24" xfId="0" applyNumberFormat="1" applyFont="1" applyFill="1" applyBorder="1" applyAlignment="1">
      <alignment horizontal="right" vertical="center"/>
    </xf>
    <xf numFmtId="175" fontId="29" fillId="0" borderId="24" xfId="0" applyNumberFormat="1" applyFont="1" applyBorder="1" applyAlignment="1">
      <alignment horizontal="center" vertical="center"/>
    </xf>
    <xf numFmtId="175" fontId="29" fillId="0" borderId="24" xfId="427" applyNumberFormat="1" applyFont="1" applyBorder="1" applyAlignment="1">
      <alignment horizontal="right" vertical="center"/>
    </xf>
    <xf numFmtId="0" fontId="35" fillId="0" borderId="24" xfId="0" applyFont="1" applyBorder="1" applyAlignment="1">
      <alignment horizontal="center" vertical="center"/>
    </xf>
    <xf numFmtId="175" fontId="31" fillId="0" borderId="0" xfId="0" applyNumberFormat="1" applyFont="1"/>
    <xf numFmtId="0" fontId="32" fillId="0" borderId="0" xfId="0" applyFont="1" applyAlignment="1">
      <alignment horizontal="right"/>
    </xf>
    <xf numFmtId="0" fontId="32" fillId="0" borderId="0" xfId="0" applyFont="1"/>
    <xf numFmtId="0" fontId="37" fillId="0" borderId="27" xfId="0" applyFont="1" applyBorder="1" applyAlignment="1">
      <alignment horizontal="center" vertical="center" wrapText="1"/>
    </xf>
    <xf numFmtId="0" fontId="37" fillId="0" borderId="29" xfId="0" applyFont="1" applyBorder="1" applyAlignment="1">
      <alignment horizontal="center" vertical="center" wrapText="1"/>
    </xf>
    <xf numFmtId="0" fontId="37" fillId="0" borderId="21" xfId="0" applyFont="1" applyBorder="1" applyAlignment="1">
      <alignment horizontal="center" vertical="center" wrapText="1"/>
    </xf>
    <xf numFmtId="0" fontId="38" fillId="26" borderId="20" xfId="0" applyFont="1" applyFill="1" applyBorder="1" applyAlignment="1">
      <alignment horizontal="center" vertical="center" wrapText="1"/>
    </xf>
    <xf numFmtId="0" fontId="38" fillId="0" borderId="23" xfId="0" applyFont="1" applyBorder="1" applyAlignment="1">
      <alignment horizontal="center" vertical="center" wrapText="1"/>
    </xf>
    <xf numFmtId="3" fontId="38" fillId="0" borderId="23" xfId="0" applyNumberFormat="1" applyFont="1" applyBorder="1" applyAlignment="1">
      <alignment horizontal="center" vertical="center" wrapText="1"/>
    </xf>
    <xf numFmtId="3" fontId="38" fillId="26" borderId="23" xfId="0" applyNumberFormat="1" applyFont="1" applyFill="1" applyBorder="1" applyAlignment="1">
      <alignment horizontal="center" vertical="center" wrapText="1"/>
    </xf>
    <xf numFmtId="0" fontId="38" fillId="25" borderId="20" xfId="0" applyFont="1" applyFill="1" applyBorder="1" applyAlignment="1">
      <alignment horizontal="center" vertical="center" wrapText="1"/>
    </xf>
    <xf numFmtId="2" fontId="38" fillId="0" borderId="23" xfId="0" applyNumberFormat="1" applyFont="1" applyBorder="1" applyAlignment="1">
      <alignment horizontal="center" vertical="center" wrapText="1"/>
    </xf>
    <xf numFmtId="0" fontId="38" fillId="0" borderId="20" xfId="0" applyFont="1" applyBorder="1" applyAlignment="1">
      <alignment horizontal="center" vertical="center" wrapText="1"/>
    </xf>
    <xf numFmtId="0" fontId="38" fillId="0" borderId="0" xfId="0" applyFont="1" applyAlignment="1">
      <alignment horizontal="center" vertical="center" wrapText="1"/>
    </xf>
    <xf numFmtId="0" fontId="120" fillId="0" borderId="0" xfId="0" applyFont="1" applyAlignment="1">
      <alignment horizontal="center" vertical="center" wrapText="1"/>
    </xf>
    <xf numFmtId="3" fontId="38" fillId="0" borderId="0" xfId="0" applyNumberFormat="1" applyFont="1" applyAlignment="1">
      <alignment horizontal="center" vertical="center" wrapText="1"/>
    </xf>
    <xf numFmtId="3" fontId="123" fillId="0" borderId="24" xfId="0" applyNumberFormat="1" applyFont="1" applyBorder="1" applyAlignment="1">
      <alignment horizontal="center" vertical="center" wrapText="1"/>
    </xf>
    <xf numFmtId="0" fontId="112" fillId="26" borderId="24" xfId="0" applyFont="1" applyFill="1" applyBorder="1" applyAlignment="1">
      <alignment horizontal="center" vertical="center" wrapText="1"/>
    </xf>
    <xf numFmtId="0" fontId="112" fillId="26" borderId="24" xfId="0" applyFont="1" applyFill="1" applyBorder="1" applyAlignment="1">
      <alignment horizontal="left" vertical="center" wrapText="1"/>
    </xf>
    <xf numFmtId="0" fontId="40" fillId="26" borderId="24" xfId="0" applyFont="1" applyFill="1" applyBorder="1" applyAlignment="1">
      <alignment horizontal="left" vertical="center" wrapText="1"/>
    </xf>
    <xf numFmtId="175" fontId="28" fillId="0" borderId="24" xfId="3" applyNumberFormat="1" applyFont="1" applyBorder="1" applyAlignment="1">
      <alignment vertical="center"/>
    </xf>
    <xf numFmtId="0" fontId="40" fillId="26" borderId="24" xfId="0" applyFont="1" applyFill="1" applyBorder="1" applyAlignment="1">
      <alignment horizontal="center" vertical="center" wrapText="1"/>
    </xf>
    <xf numFmtId="0" fontId="29" fillId="26" borderId="24" xfId="0" applyFont="1" applyFill="1" applyBorder="1" applyAlignment="1">
      <alignment horizontal="center" vertical="center"/>
    </xf>
    <xf numFmtId="175" fontId="29" fillId="0" borderId="24" xfId="3" applyNumberFormat="1" applyFont="1" applyBorder="1" applyAlignment="1">
      <alignment horizontal="center" vertical="center"/>
    </xf>
    <xf numFmtId="175" fontId="32" fillId="0" borderId="0" xfId="0" applyNumberFormat="1" applyFont="1"/>
    <xf numFmtId="0" fontId="15" fillId="0" borderId="0" xfId="0" applyFont="1"/>
    <xf numFmtId="3" fontId="28" fillId="0" borderId="0" xfId="0" applyNumberFormat="1" applyFont="1" applyAlignment="1">
      <alignment vertical="center"/>
    </xf>
    <xf numFmtId="0" fontId="125" fillId="26" borderId="24" xfId="0" applyFont="1" applyFill="1" applyBorder="1" applyAlignment="1">
      <alignment horizontal="center" vertical="center" wrapText="1"/>
    </xf>
    <xf numFmtId="0" fontId="114" fillId="26" borderId="24" xfId="0" applyFont="1" applyFill="1" applyBorder="1" applyAlignment="1">
      <alignment horizontal="left" vertical="center" wrapText="1"/>
    </xf>
    <xf numFmtId="0" fontId="125" fillId="26" borderId="24" xfId="0" applyFont="1" applyFill="1" applyBorder="1" applyAlignment="1">
      <alignment horizontal="left" vertical="center" wrapText="1"/>
    </xf>
    <xf numFmtId="0" fontId="28" fillId="0" borderId="0" xfId="0" applyFont="1"/>
    <xf numFmtId="175" fontId="28" fillId="0" borderId="0" xfId="0" applyNumberFormat="1" applyFont="1"/>
    <xf numFmtId="175" fontId="28" fillId="0" borderId="0" xfId="0" applyNumberFormat="1" applyFont="1" applyAlignment="1">
      <alignment vertical="center"/>
    </xf>
    <xf numFmtId="0" fontId="29" fillId="0" borderId="0" xfId="0" applyFont="1" applyAlignment="1">
      <alignment horizontal="right"/>
    </xf>
    <xf numFmtId="175" fontId="29" fillId="0" borderId="0" xfId="0" applyNumberFormat="1" applyFont="1"/>
    <xf numFmtId="0" fontId="130" fillId="0" borderId="4" xfId="480" applyFont="1" applyBorder="1" applyAlignment="1">
      <alignment horizontal="center" vertical="center" wrapText="1"/>
    </xf>
    <xf numFmtId="0" fontId="3" fillId="0" borderId="0" xfId="480"/>
    <xf numFmtId="0" fontId="131" fillId="0" borderId="4" xfId="480" applyFont="1" applyBorder="1" applyAlignment="1">
      <alignment horizontal="center" vertical="center"/>
    </xf>
    <xf numFmtId="0" fontId="130" fillId="0" borderId="4" xfId="480" applyFont="1" applyBorder="1" applyAlignment="1">
      <alignment horizontal="justify" vertical="center" wrapText="1"/>
    </xf>
    <xf numFmtId="3" fontId="131" fillId="0" borderId="4" xfId="480" applyNumberFormat="1" applyFont="1" applyBorder="1" applyAlignment="1">
      <alignment horizontal="right" vertical="center"/>
    </xf>
    <xf numFmtId="0" fontId="130" fillId="0" borderId="4" xfId="480" applyFont="1" applyBorder="1" applyAlignment="1">
      <alignment horizontal="justify" vertical="center"/>
    </xf>
    <xf numFmtId="0" fontId="132" fillId="0" borderId="4" xfId="480" applyFont="1" applyBorder="1" applyAlignment="1">
      <alignment vertical="center"/>
    </xf>
    <xf numFmtId="0" fontId="130" fillId="0" borderId="4" xfId="480" applyFont="1" applyBorder="1" applyAlignment="1">
      <alignment horizontal="center" vertical="center"/>
    </xf>
    <xf numFmtId="3" fontId="130" fillId="0" borderId="4" xfId="480" applyNumberFormat="1" applyFont="1" applyBorder="1" applyAlignment="1">
      <alignment horizontal="right" vertical="center"/>
    </xf>
    <xf numFmtId="0" fontId="130" fillId="0" borderId="4" xfId="481" applyFont="1" applyBorder="1" applyAlignment="1">
      <alignment horizontal="center" vertical="center" wrapText="1"/>
    </xf>
    <xf numFmtId="0" fontId="133" fillId="0" borderId="4" xfId="482" applyFont="1" applyBorder="1" applyAlignment="1">
      <alignment horizontal="center" vertical="center"/>
    </xf>
    <xf numFmtId="49" fontId="133" fillId="0" borderId="9" xfId="482" applyNumberFormat="1" applyFont="1" applyBorder="1" applyAlignment="1">
      <alignment horizontal="justify" vertical="center" wrapText="1"/>
    </xf>
    <xf numFmtId="0" fontId="131" fillId="0" borderId="4" xfId="481" applyFont="1" applyBorder="1" applyAlignment="1">
      <alignment horizontal="center" vertical="center" wrapText="1"/>
    </xf>
    <xf numFmtId="3" fontId="133" fillId="0" borderId="4" xfId="481" applyNumberFormat="1" applyFont="1" applyBorder="1" applyAlignment="1">
      <alignment horizontal="right" vertical="center" wrapText="1"/>
    </xf>
    <xf numFmtId="0" fontId="134" fillId="0" borderId="4" xfId="481" applyFont="1" applyBorder="1" applyAlignment="1">
      <alignment horizontal="center" vertical="center" wrapText="1"/>
    </xf>
    <xf numFmtId="0" fontId="131" fillId="0" borderId="4" xfId="481" applyFont="1" applyBorder="1" applyAlignment="1">
      <alignment vertical="center" wrapText="1"/>
    </xf>
    <xf numFmtId="224" fontId="134" fillId="0" borderId="4" xfId="480" applyNumberFormat="1" applyFont="1" applyBorder="1" applyAlignment="1">
      <alignment horizontal="center" vertical="center" wrapText="1"/>
    </xf>
    <xf numFmtId="3" fontId="134" fillId="0" borderId="4" xfId="481" applyNumberFormat="1" applyFont="1" applyBorder="1" applyAlignment="1">
      <alignment horizontal="right" vertical="center" wrapText="1"/>
    </xf>
    <xf numFmtId="0" fontId="134" fillId="0" borderId="4" xfId="480" applyFont="1" applyBorder="1" applyAlignment="1">
      <alignment horizontal="center" vertical="center" wrapText="1"/>
    </xf>
    <xf numFmtId="3" fontId="3" fillId="0" borderId="0" xfId="480" applyNumberFormat="1"/>
    <xf numFmtId="0" fontId="133" fillId="0" borderId="4" xfId="430" applyFont="1" applyBorder="1" applyAlignment="1">
      <alignment horizontal="center" vertical="center" wrapText="1"/>
    </xf>
    <xf numFmtId="0" fontId="133" fillId="0" borderId="9" xfId="430" applyFont="1" applyBorder="1" applyAlignment="1">
      <alignment vertical="center" wrapText="1"/>
    </xf>
    <xf numFmtId="0" fontId="135" fillId="0" borderId="4" xfId="480" applyFont="1" applyBorder="1" applyAlignment="1">
      <alignment horizontal="center" vertical="center"/>
    </xf>
    <xf numFmtId="0" fontId="134" fillId="0" borderId="4" xfId="430" applyFont="1" applyBorder="1" applyAlignment="1">
      <alignment horizontal="center" vertical="center" wrapText="1"/>
    </xf>
    <xf numFmtId="49" fontId="134" fillId="0" borderId="9" xfId="482" applyNumberFormat="1" applyFont="1" applyBorder="1" applyAlignment="1">
      <alignment horizontal="justify" vertical="center" wrapText="1"/>
    </xf>
    <xf numFmtId="0" fontId="130" fillId="0" borderId="4" xfId="481" applyFont="1" applyBorder="1" applyAlignment="1">
      <alignment horizontal="right" vertical="center" wrapText="1"/>
    </xf>
    <xf numFmtId="3" fontId="136" fillId="0" borderId="0" xfId="480" applyNumberFormat="1" applyFont="1"/>
    <xf numFmtId="0" fontId="136" fillId="0" borderId="0" xfId="480" applyFont="1"/>
    <xf numFmtId="0" fontId="131" fillId="0" borderId="4" xfId="481" applyFont="1" applyBorder="1" applyAlignment="1">
      <alignment horizontal="right" vertical="center" wrapText="1"/>
    </xf>
    <xf numFmtId="0" fontId="134" fillId="0" borderId="4" xfId="482" applyFont="1" applyBorder="1" applyAlignment="1">
      <alignment horizontal="center" vertical="center"/>
    </xf>
    <xf numFmtId="0" fontId="131" fillId="0" borderId="4" xfId="480" applyFont="1" applyBorder="1" applyAlignment="1">
      <alignment horizontal="justify" vertical="center" wrapText="1"/>
    </xf>
    <xf numFmtId="175" fontId="134" fillId="0" borderId="4" xfId="484" applyNumberFormat="1" applyFont="1" applyFill="1" applyBorder="1" applyAlignment="1">
      <alignment horizontal="right" vertical="center" wrapText="1"/>
    </xf>
    <xf numFmtId="3" fontId="133" fillId="0" borderId="4" xfId="484" applyNumberFormat="1" applyFont="1" applyFill="1" applyBorder="1" applyAlignment="1">
      <alignment horizontal="right" vertical="center" wrapText="1"/>
    </xf>
    <xf numFmtId="49" fontId="133" fillId="0" borderId="9" xfId="482" applyNumberFormat="1" applyFont="1" applyBorder="1" applyAlignment="1">
      <alignment horizontal="center" vertical="center" wrapText="1"/>
    </xf>
    <xf numFmtId="3" fontId="134" fillId="0" borderId="4" xfId="481" applyNumberFormat="1" applyFont="1" applyBorder="1" applyAlignment="1">
      <alignment vertical="center"/>
    </xf>
    <xf numFmtId="0" fontId="131" fillId="0" borderId="9" xfId="480" applyFont="1" applyBorder="1" applyAlignment="1">
      <alignment horizontal="justify" vertical="center" wrapText="1"/>
    </xf>
    <xf numFmtId="3" fontId="134" fillId="0" borderId="4" xfId="482" applyNumberFormat="1" applyFont="1" applyBorder="1" applyAlignment="1">
      <alignment horizontal="center" vertical="center"/>
    </xf>
    <xf numFmtId="3" fontId="137" fillId="0" borderId="4" xfId="417" applyNumberFormat="1" applyFont="1" applyBorder="1" applyAlignment="1">
      <alignment horizontal="center" vertical="center" wrapText="1"/>
    </xf>
    <xf numFmtId="0" fontId="36" fillId="26" borderId="4" xfId="417" applyFont="1" applyFill="1" applyBorder="1" applyAlignment="1">
      <alignment horizontal="center" vertical="center" wrapText="1"/>
    </xf>
    <xf numFmtId="0" fontId="36" fillId="0" borderId="4" xfId="481" applyFont="1" applyBorder="1" applyAlignment="1">
      <alignment horizontal="center" vertical="center" wrapText="1"/>
    </xf>
    <xf numFmtId="175" fontId="36" fillId="0" borderId="4" xfId="483" applyNumberFormat="1" applyFont="1" applyFill="1" applyBorder="1" applyAlignment="1">
      <alignment horizontal="center" vertical="center" wrapText="1"/>
    </xf>
    <xf numFmtId="0" fontId="37" fillId="0" borderId="4" xfId="481" applyFont="1" applyBorder="1" applyAlignment="1">
      <alignment horizontal="center" vertical="center" wrapText="1"/>
    </xf>
    <xf numFmtId="0" fontId="38" fillId="0" borderId="4" xfId="481" applyFont="1" applyBorder="1" applyAlignment="1">
      <alignment horizontal="center" vertical="center" wrapText="1"/>
    </xf>
    <xf numFmtId="0" fontId="36" fillId="0" borderId="4" xfId="485" applyFont="1" applyBorder="1" applyAlignment="1">
      <alignment horizontal="center" vertical="center" wrapText="1"/>
    </xf>
    <xf numFmtId="3" fontId="134" fillId="0" borderId="4" xfId="481" applyNumberFormat="1" applyFont="1" applyBorder="1" applyAlignment="1">
      <alignment horizontal="center" vertical="center" wrapText="1"/>
    </xf>
    <xf numFmtId="3" fontId="133" fillId="0" borderId="4" xfId="481" applyNumberFormat="1" applyFont="1" applyBorder="1" applyAlignment="1">
      <alignment horizontal="center" vertical="center" wrapText="1"/>
    </xf>
    <xf numFmtId="3" fontId="133" fillId="0" borderId="4" xfId="484" applyNumberFormat="1" applyFont="1" applyFill="1" applyBorder="1" applyAlignment="1">
      <alignment horizontal="center" vertical="center" wrapText="1"/>
    </xf>
    <xf numFmtId="0" fontId="138" fillId="27" borderId="4" xfId="481" applyFont="1" applyFill="1" applyBorder="1" applyAlignment="1">
      <alignment horizontal="center" vertical="center" wrapText="1"/>
    </xf>
    <xf numFmtId="0" fontId="139" fillId="0" borderId="0" xfId="481" applyFont="1"/>
    <xf numFmtId="0" fontId="138" fillId="27" borderId="4" xfId="481" applyFont="1" applyFill="1" applyBorder="1" applyAlignment="1">
      <alignment vertical="center" wrapText="1"/>
    </xf>
    <xf numFmtId="3" fontId="139" fillId="0" borderId="0" xfId="481" applyNumberFormat="1" applyFont="1"/>
    <xf numFmtId="0" fontId="2" fillId="0" borderId="0" xfId="486">
      <alignment vertical="center"/>
    </xf>
    <xf numFmtId="0" fontId="129" fillId="0" borderId="0" xfId="486" quotePrefix="1" applyFont="1">
      <alignment vertical="center"/>
    </xf>
    <xf numFmtId="3" fontId="113" fillId="28" borderId="4" xfId="487" applyNumberFormat="1" applyFont="1" applyFill="1" applyBorder="1" applyAlignment="1">
      <alignment horizontal="right" wrapText="1"/>
    </xf>
    <xf numFmtId="0" fontId="141" fillId="28" borderId="4" xfId="487" applyFont="1" applyFill="1" applyBorder="1" applyAlignment="1">
      <alignment wrapText="1"/>
    </xf>
    <xf numFmtId="0" fontId="113" fillId="28" borderId="4" xfId="487" applyFont="1" applyFill="1" applyBorder="1" applyAlignment="1">
      <alignment horizontal="center" vertical="center" wrapText="1"/>
    </xf>
    <xf numFmtId="0" fontId="141" fillId="0" borderId="4" xfId="487" applyFont="1" applyBorder="1" applyAlignment="1">
      <alignment wrapText="1"/>
    </xf>
    <xf numFmtId="3" fontId="116" fillId="0" borderId="4" xfId="487" applyNumberFormat="1" applyFont="1" applyBorder="1" applyAlignment="1">
      <alignment horizontal="right" vertical="center" wrapText="1"/>
    </xf>
    <xf numFmtId="0" fontId="116" fillId="0" borderId="4" xfId="487" applyFont="1" applyBorder="1" applyAlignment="1">
      <alignment horizontal="center" vertical="center" wrapText="1"/>
    </xf>
    <xf numFmtId="0" fontId="116" fillId="0" borderId="4" xfId="487" applyFont="1" applyBorder="1" applyAlignment="1">
      <alignment vertical="center" wrapText="1"/>
    </xf>
    <xf numFmtId="3" fontId="113" fillId="29" borderId="4" xfId="487" applyNumberFormat="1" applyFont="1" applyFill="1" applyBorder="1" applyAlignment="1">
      <alignment horizontal="right" vertical="center" wrapText="1"/>
    </xf>
    <xf numFmtId="0" fontId="141" fillId="29" borderId="4" xfId="487" applyFont="1" applyFill="1" applyBorder="1" applyAlignment="1">
      <alignment vertical="center" wrapText="1"/>
    </xf>
    <xf numFmtId="0" fontId="141" fillId="0" borderId="4" xfId="487" applyFont="1" applyBorder="1" applyAlignment="1">
      <alignment vertical="center" wrapText="1"/>
    </xf>
    <xf numFmtId="0" fontId="116" fillId="0" borderId="4" xfId="487" applyFont="1" applyBorder="1" applyAlignment="1">
      <alignment horizontal="right" vertical="center" wrapText="1"/>
    </xf>
    <xf numFmtId="0" fontId="113" fillId="0" borderId="4" xfId="487" applyFont="1" applyBorder="1" applyAlignment="1">
      <alignment horizontal="center" vertical="center" wrapText="1"/>
    </xf>
    <xf numFmtId="0" fontId="36" fillId="0" borderId="9" xfId="481" applyFont="1" applyBorder="1" applyAlignment="1">
      <alignment vertical="center" wrapText="1"/>
    </xf>
    <xf numFmtId="3" fontId="36" fillId="0" borderId="4" xfId="481" applyNumberFormat="1" applyFont="1" applyBorder="1" applyAlignment="1">
      <alignment horizontal="right" vertical="center" wrapText="1"/>
    </xf>
    <xf numFmtId="3" fontId="36" fillId="0" borderId="4" xfId="481" applyNumberFormat="1" applyFont="1" applyBorder="1" applyAlignment="1">
      <alignment horizontal="center" vertical="center" wrapText="1"/>
    </xf>
    <xf numFmtId="226" fontId="3" fillId="0" borderId="0" xfId="493" applyNumberFormat="1" applyFont="1"/>
    <xf numFmtId="0" fontId="143" fillId="0" borderId="0" xfId="480" applyFont="1" applyAlignment="1">
      <alignment horizontal="right"/>
    </xf>
    <xf numFmtId="175" fontId="143" fillId="0" borderId="0" xfId="480" applyNumberFormat="1" applyFont="1"/>
    <xf numFmtId="3" fontId="143" fillId="0" borderId="0" xfId="480" applyNumberFormat="1" applyFont="1"/>
    <xf numFmtId="3" fontId="37" fillId="0" borderId="4" xfId="481" applyNumberFormat="1" applyFont="1" applyBorder="1" applyAlignment="1">
      <alignment horizontal="right" vertical="center" wrapText="1"/>
    </xf>
    <xf numFmtId="0" fontId="38" fillId="0" borderId="0" xfId="0" applyFont="1" applyAlignment="1">
      <alignment horizontal="left" vertical="center" wrapText="1"/>
    </xf>
    <xf numFmtId="0" fontId="30" fillId="0" borderId="0" xfId="0" applyFont="1" applyAlignment="1">
      <alignment horizontal="center"/>
    </xf>
    <xf numFmtId="0" fontId="32" fillId="0" borderId="0" xfId="0" applyFont="1" applyAlignment="1">
      <alignment horizontal="center" vertical="center"/>
    </xf>
    <xf numFmtId="0" fontId="32" fillId="0" borderId="7" xfId="0" applyFont="1" applyBorder="1" applyAlignment="1">
      <alignment horizontal="left" vertical="center" wrapText="1"/>
    </xf>
    <xf numFmtId="0" fontId="32" fillId="0" borderId="0" xfId="0" applyFont="1" applyAlignment="1">
      <alignment horizontal="right"/>
    </xf>
    <xf numFmtId="0" fontId="122" fillId="0" borderId="13" xfId="0" applyFont="1" applyBorder="1" applyAlignment="1">
      <alignment horizontal="left" vertical="center"/>
    </xf>
    <xf numFmtId="0" fontId="37" fillId="0" borderId="28" xfId="0" applyFont="1" applyBorder="1" applyAlignment="1">
      <alignment horizontal="center" vertical="center" wrapText="1"/>
    </xf>
    <xf numFmtId="0" fontId="37" fillId="0" borderId="22" xfId="0" applyFont="1" applyBorder="1" applyAlignment="1">
      <alignment horizontal="center" vertical="center" wrapText="1"/>
    </xf>
    <xf numFmtId="0" fontId="37" fillId="0" borderId="20" xfId="0" applyFont="1" applyBorder="1" applyAlignment="1">
      <alignment horizontal="center" vertical="center" wrapText="1"/>
    </xf>
    <xf numFmtId="0" fontId="38" fillId="0" borderId="25" xfId="0" applyFont="1" applyBorder="1" applyAlignment="1">
      <alignment horizontal="center"/>
    </xf>
    <xf numFmtId="0" fontId="38" fillId="0" borderId="26" xfId="0" applyFont="1" applyBorder="1" applyAlignment="1">
      <alignment horizontal="center"/>
    </xf>
    <xf numFmtId="0" fontId="38" fillId="0" borderId="0" xfId="0" applyFont="1" applyAlignment="1">
      <alignment horizontal="left"/>
    </xf>
    <xf numFmtId="0" fontId="117" fillId="0" borderId="0" xfId="0" applyFont="1" applyAlignment="1">
      <alignment horizontal="left" vertical="center" wrapText="1"/>
    </xf>
    <xf numFmtId="0" fontId="32" fillId="0" borderId="0" xfId="0" applyFont="1" applyAlignment="1">
      <alignment horizontal="left" vertical="center" wrapText="1"/>
    </xf>
    <xf numFmtId="0" fontId="29" fillId="0" borderId="0" xfId="0" applyFont="1" applyAlignment="1">
      <alignment horizontal="center"/>
    </xf>
    <xf numFmtId="0" fontId="29" fillId="0" borderId="0" xfId="0" applyFont="1" applyAlignment="1">
      <alignment horizontal="center" vertical="center"/>
    </xf>
    <xf numFmtId="0" fontId="29" fillId="0" borderId="0" xfId="0" applyFont="1" applyAlignment="1">
      <alignment horizontal="left" vertical="center" wrapText="1"/>
    </xf>
    <xf numFmtId="0" fontId="29" fillId="0" borderId="0" xfId="0" applyFont="1" applyAlignment="1">
      <alignment horizontal="right"/>
    </xf>
    <xf numFmtId="0" fontId="138" fillId="27" borderId="4" xfId="481" applyFont="1" applyFill="1" applyBorder="1" applyAlignment="1">
      <alignment horizontal="center" vertical="center" wrapText="1"/>
    </xf>
    <xf numFmtId="0" fontId="116" fillId="0" borderId="4" xfId="487" applyFont="1" applyBorder="1" applyAlignment="1">
      <alignment horizontal="center" vertical="center" wrapText="1"/>
    </xf>
    <xf numFmtId="0" fontId="113" fillId="0" borderId="4" xfId="486" applyFont="1" applyBorder="1" applyAlignment="1">
      <alignment horizontal="center" vertical="center" wrapText="1"/>
    </xf>
    <xf numFmtId="3" fontId="116" fillId="0" borderId="4" xfId="487" applyNumberFormat="1" applyFont="1" applyBorder="1" applyAlignment="1">
      <alignment horizontal="right" vertical="center" wrapText="1"/>
    </xf>
    <xf numFmtId="0" fontId="116" fillId="0" borderId="4" xfId="487" applyFont="1" applyBorder="1" applyAlignment="1">
      <alignment horizontal="right" vertical="center" wrapText="1"/>
    </xf>
    <xf numFmtId="0" fontId="144" fillId="0" borderId="4" xfId="417" applyFont="1" applyBorder="1" applyAlignment="1">
      <alignment horizontal="center" vertical="center" wrapText="1"/>
    </xf>
  </cellXfs>
  <cellStyles count="494">
    <cellStyle name="_x0001_" xfId="35"/>
    <cellStyle name="          _x000d__x000a_shell=progman.exe_x000d__x000a_m" xfId="36"/>
    <cellStyle name="#,##0" xfId="37"/>
    <cellStyle name="??" xfId="1"/>
    <cellStyle name="?? [0.00]_      " xfId="38"/>
    <cellStyle name="?? [0]" xfId="2"/>
    <cellStyle name="???? [0.00]_      " xfId="39"/>
    <cellStyle name="????_      " xfId="40"/>
    <cellStyle name="???[0]_?? DI" xfId="41"/>
    <cellStyle name="???_?? DI" xfId="42"/>
    <cellStyle name="??[0]_BRE" xfId="43"/>
    <cellStyle name="??_      " xfId="44"/>
    <cellStyle name="_x0001_?¶æµ_x001b_ºß­ " xfId="45"/>
    <cellStyle name="_x0001_?¶æµ_x001b_ºß­_" xfId="46"/>
    <cellStyle name="_x0001_\Ô" xfId="47"/>
    <cellStyle name="_Alcatel_Quotation to HN_gui Cuong" xfId="48"/>
    <cellStyle name="_BCKT-KTLapTongDai-CIPUTRA" xfId="49"/>
    <cellStyle name="_BOM v1.1.Cat4500_23 Jul 07" xfId="50"/>
    <cellStyle name="_BOM-CPT-NMS (Country of Origin) (2)" xfId="51"/>
    <cellStyle name="_Book1" xfId="52"/>
    <cellStyle name="_Book1_1" xfId="53"/>
    <cellStyle name="_Book1_2" xfId="54"/>
    <cellStyle name="_Book2" xfId="55"/>
    <cellStyle name="_DA-Nguon accu BCC" xfId="56"/>
    <cellStyle name="_du toan" xfId="57"/>
    <cellStyle name="_DUATOANBAOLC_BANCUOI3" xfId="58"/>
    <cellStyle name="_KT (2)" xfId="59"/>
    <cellStyle name="_KT (2)_1" xfId="60"/>
    <cellStyle name="_KT (2)_2" xfId="61"/>
    <cellStyle name="_KT (2)_2_TG-TH" xfId="62"/>
    <cellStyle name="_KT (2)_3" xfId="63"/>
    <cellStyle name="_KT (2)_3_TG-TH" xfId="64"/>
    <cellStyle name="_KT (2)_4" xfId="65"/>
    <cellStyle name="_KT (2)_4_TG-TH" xfId="66"/>
    <cellStyle name="_KT (2)_5" xfId="67"/>
    <cellStyle name="_KT (2)_TG-TH" xfId="68"/>
    <cellStyle name="_KT_TG" xfId="69"/>
    <cellStyle name="_KT_TG_1" xfId="70"/>
    <cellStyle name="_KT_TG_2" xfId="71"/>
    <cellStyle name="_KT_TG_3" xfId="72"/>
    <cellStyle name="_KT_TG_4" xfId="73"/>
    <cellStyle name="_MAN E-11-09" xfId="74"/>
    <cellStyle name="_t nuoc" xfId="75"/>
    <cellStyle name="_TG-TH" xfId="76"/>
    <cellStyle name="_TG-TH_1" xfId="77"/>
    <cellStyle name="_TG-TH_2" xfId="78"/>
    <cellStyle name="_TG-TH_3" xfId="79"/>
    <cellStyle name="_TG-TH_4" xfId="80"/>
    <cellStyle name="_ÿÿÿÿÿ" xfId="81"/>
    <cellStyle name="_x0001_¨c^ " xfId="82"/>
    <cellStyle name="_x0001_¨c^[" xfId="83"/>
    <cellStyle name="_x0001_¨c^_" xfId="84"/>
    <cellStyle name="_x0001_¨Œc^ " xfId="85"/>
    <cellStyle name="_x0001_¨Œc^[" xfId="86"/>
    <cellStyle name="_x0001_¨Œc^_" xfId="87"/>
    <cellStyle name="_x0001_µÑTÖ " xfId="88"/>
    <cellStyle name="_x0001_µÑTÖ_" xfId="89"/>
    <cellStyle name="•W_’·Šú‰p•¶" xfId="90"/>
    <cellStyle name="W_MARINE" xfId="91"/>
    <cellStyle name="0,0_x000d__x000a_NA_x000d__x000a_" xfId="92"/>
    <cellStyle name="0.0" xfId="93"/>
    <cellStyle name="0.00" xfId="94"/>
    <cellStyle name="1" xfId="95"/>
    <cellStyle name="1_Bao gia BTN DM moi" xfId="96"/>
    <cellStyle name="1_Book1" xfId="97"/>
    <cellStyle name="1_Cau thuy dien Ban La (Cu Anh)" xfId="98"/>
    <cellStyle name="1_Du toan 558 (Km17+508.12 - Km 22)" xfId="99"/>
    <cellStyle name="1_Du toan Goi 1" xfId="100"/>
    <cellStyle name="1_Du toan Goi 2" xfId="101"/>
    <cellStyle name="1_Du toan ngay 1-9-2004 (version 1)" xfId="102"/>
    <cellStyle name="1_Gia_VLQL48_duyet " xfId="103"/>
    <cellStyle name="1_Hoi Song" xfId="104"/>
    <cellStyle name="1_KlQdinhduyet" xfId="105"/>
    <cellStyle name="1_t nuoc" xfId="106"/>
    <cellStyle name="1_TRUNG PMU 5" xfId="107"/>
    <cellStyle name="1_ÿÿÿÿÿ" xfId="108"/>
    <cellStyle name="1_ÿÿÿÿÿ_Book1" xfId="109"/>
    <cellStyle name="_x0001_1¼„½(" xfId="110"/>
    <cellStyle name="_x0001_1¼½(" xfId="111"/>
    <cellStyle name="¹éºÐÀ²_      " xfId="112"/>
    <cellStyle name="2" xfId="113"/>
    <cellStyle name="2_Bao gia BTN DM moi" xfId="114"/>
    <cellStyle name="2_BBNThu THD" xfId="115"/>
    <cellStyle name="2_Book1" xfId="116"/>
    <cellStyle name="2_BV MBHC Tr . Kh.Ch©n LÎ" xfId="117"/>
    <cellStyle name="2_Cau thuy dien Ban La (Cu Anh)" xfId="118"/>
    <cellStyle name="2_DT THD" xfId="119"/>
    <cellStyle name="2_Du toan 558 (Km17+508.12 - Km 22)" xfId="120"/>
    <cellStyle name="2_Du toan Goi 1" xfId="121"/>
    <cellStyle name="2_Du toan Goi 2" xfId="122"/>
    <cellStyle name="2_Du toan ngay 1-9-2004 (version 1)" xfId="123"/>
    <cellStyle name="2_Gia_VLQL48_duyet " xfId="124"/>
    <cellStyle name="2_Hoi Song" xfId="125"/>
    <cellStyle name="2_KlQdinhduyet" xfId="126"/>
    <cellStyle name="2_NTCT Quan Trung" xfId="127"/>
    <cellStyle name="2_QT LPHiªu" xfId="128"/>
    <cellStyle name="2_t nuoc" xfId="129"/>
    <cellStyle name="2_TRUNG PMU 5" xfId="130"/>
    <cellStyle name="2_ÿÿÿÿÿ" xfId="131"/>
    <cellStyle name="2_ÿÿÿÿÿ_Book1" xfId="132"/>
    <cellStyle name="20" xfId="133"/>
    <cellStyle name="3" xfId="134"/>
    <cellStyle name="3_Bao gia BTN DM moi" xfId="135"/>
    <cellStyle name="3_BBNThu A-B" xfId="136"/>
    <cellStyle name="3_BBNThu A-B chan" xfId="137"/>
    <cellStyle name="3_BBNThu THD" xfId="138"/>
    <cellStyle name="3_Book1" xfId="139"/>
    <cellStyle name="3_BV MBHC Tr . Kh.Ch©n LÎ" xfId="140"/>
    <cellStyle name="3_Cau thuy dien Ban La (Cu Anh)" xfId="141"/>
    <cellStyle name="3_DT THD" xfId="142"/>
    <cellStyle name="3_Du toan 558 (Km17+508.12 - Km 22)" xfId="143"/>
    <cellStyle name="3_Du toan Goi 1" xfId="144"/>
    <cellStyle name="3_Du toan Goi 2" xfId="145"/>
    <cellStyle name="3_Du toan ngay 1-9-2004 (version 1)" xfId="146"/>
    <cellStyle name="3_Gia_VLQL48_duyet " xfId="147"/>
    <cellStyle name="3_Hoi Song" xfId="148"/>
    <cellStyle name="3_KlQdinhduyet" xfId="149"/>
    <cellStyle name="3_NTCT Quan Trung" xfId="150"/>
    <cellStyle name="3_QT LPHiªu" xfId="151"/>
    <cellStyle name="3_t nuoc" xfId="152"/>
    <cellStyle name="3_ÿÿÿÿÿ" xfId="153"/>
    <cellStyle name="4" xfId="154"/>
    <cellStyle name="4_Bao gia BTN DM moi" xfId="155"/>
    <cellStyle name="4_BBNThu A-B" xfId="156"/>
    <cellStyle name="4_BBNThu A-B chan" xfId="157"/>
    <cellStyle name="4_BBNThu THD" xfId="158"/>
    <cellStyle name="4_Book1" xfId="159"/>
    <cellStyle name="4_BV MBHC Tr . Kh.Ch©n LÎ" xfId="160"/>
    <cellStyle name="4_Cau thuy dien Ban La (Cu Anh)" xfId="161"/>
    <cellStyle name="4_DT THD" xfId="162"/>
    <cellStyle name="4_Du toan 558 (Km17+508.12 - Km 22)" xfId="163"/>
    <cellStyle name="4_Du toan Goi 1" xfId="164"/>
    <cellStyle name="4_Du toan Goi 2" xfId="165"/>
    <cellStyle name="4_Du toan ngay 1-9-2004 (version 1)" xfId="166"/>
    <cellStyle name="4_Gia_VLQL48_duyet " xfId="167"/>
    <cellStyle name="4_Hoi Song" xfId="168"/>
    <cellStyle name="4_KlQdinhduyet" xfId="169"/>
    <cellStyle name="4_NTCT Quan Trung" xfId="170"/>
    <cellStyle name="4_QT LPHiªu" xfId="171"/>
    <cellStyle name="4_t nuoc" xfId="172"/>
    <cellStyle name="4_ÿÿÿÿÿ" xfId="173"/>
    <cellStyle name="6" xfId="174"/>
    <cellStyle name="_x0001_Å»_x001e_´ " xfId="175"/>
    <cellStyle name="_x0001_Å»_x001e_´_" xfId="176"/>
    <cellStyle name="ÅëÈ­ [0]_      " xfId="177"/>
    <cellStyle name="AeE­ [0]_INQUIRY ¿?¾÷AßAø " xfId="178"/>
    <cellStyle name="ÅëÈ­ [0]_laroux" xfId="179"/>
    <cellStyle name="ÅëÈ­_      " xfId="180"/>
    <cellStyle name="AeE­_INQUIRY ¿?¾÷AßAø " xfId="181"/>
    <cellStyle name="ÅëÈ­_L601CPT" xfId="182"/>
    <cellStyle name="args.style" xfId="183"/>
    <cellStyle name="ÄÞ¸¶ [0]_      " xfId="184"/>
    <cellStyle name="AÞ¸¶ [0]_INQUIRY ¿?¾÷AßAø " xfId="185"/>
    <cellStyle name="ÄÞ¸¶ [0]_L601CPT" xfId="186"/>
    <cellStyle name="ÄÞ¸¶_      " xfId="187"/>
    <cellStyle name="AÞ¸¶_INQUIRY ¿?¾÷AßAø " xfId="188"/>
    <cellStyle name="ÄÞ¸¶_L601CPT" xfId="189"/>
    <cellStyle name="AutoFormat Options" xfId="190"/>
    <cellStyle name="axlcolour" xfId="191"/>
    <cellStyle name="Body" xfId="192"/>
    <cellStyle name="C?AØ_¿?¾÷CoE² " xfId="193"/>
    <cellStyle name="Ç¥ÁØ_      " xfId="194"/>
    <cellStyle name="C￥AØ_¿μ¾÷CoE² " xfId="195"/>
    <cellStyle name="Ç¥ÁØ_±³°¢¼ö·®" xfId="196"/>
    <cellStyle name="C￥AØ_Sheet1_¿μ¾÷CoE² " xfId="197"/>
    <cellStyle name="Calc Currency (0)" xfId="198"/>
    <cellStyle name="Calc Currency (2)" xfId="199"/>
    <cellStyle name="Calc Percent (0)" xfId="200"/>
    <cellStyle name="Calc Percent (1)" xfId="201"/>
    <cellStyle name="Calc Percent (2)" xfId="202"/>
    <cellStyle name="Calc Units (0)" xfId="203"/>
    <cellStyle name="Calc Units (1)" xfId="204"/>
    <cellStyle name="Calc Units (2)" xfId="205"/>
    <cellStyle name="Calculated" xfId="206"/>
    <cellStyle name="category" xfId="207"/>
    <cellStyle name="Cerrency_Sheet2_XANGDAU" xfId="208"/>
    <cellStyle name="Comma" xfId="3" builtinId="3"/>
    <cellStyle name="Comma  - Style1" xfId="209"/>
    <cellStyle name="Comma  - Style2" xfId="210"/>
    <cellStyle name="Comma  - Style3" xfId="211"/>
    <cellStyle name="Comma  - Style4" xfId="212"/>
    <cellStyle name="Comma  - Style5" xfId="213"/>
    <cellStyle name="Comma  - Style6" xfId="214"/>
    <cellStyle name="Comma  - Style7" xfId="215"/>
    <cellStyle name="Comma  - Style8" xfId="216"/>
    <cellStyle name="Comma [0] 2" xfId="428"/>
    <cellStyle name="Comma [00]" xfId="217"/>
    <cellStyle name="Comma 10" xfId="449"/>
    <cellStyle name="Comma 11" xfId="423"/>
    <cellStyle name="Comma 12" xfId="425"/>
    <cellStyle name="Comma 13" xfId="437"/>
    <cellStyle name="Comma 14" xfId="446"/>
    <cellStyle name="Comma 16 2 2" xfId="432"/>
    <cellStyle name="Comma 2" xfId="34"/>
    <cellStyle name="Comma 2 2" xfId="424"/>
    <cellStyle name="Comma 2 2 2" xfId="435"/>
    <cellStyle name="Comma 2 2 3" xfId="484"/>
    <cellStyle name="Comma 2 4" xfId="450"/>
    <cellStyle name="Comma 3" xfId="218"/>
    <cellStyle name="Comma 3 2 2" xfId="447"/>
    <cellStyle name="Comma 3 2 3" xfId="427"/>
    <cellStyle name="Comma 4" xfId="219"/>
    <cellStyle name="Comma 5" xfId="220"/>
    <cellStyle name="Comma 6" xfId="422"/>
    <cellStyle name="Comma 7" xfId="483"/>
    <cellStyle name="comma zerodec" xfId="221"/>
    <cellStyle name="Comma0" xfId="4"/>
    <cellStyle name="Copied" xfId="222"/>
    <cellStyle name="Cࡵrrency_Sheet1_PRODUCTĠ" xfId="223"/>
    <cellStyle name="_x0001_CS_x0006_RMO[" xfId="224"/>
    <cellStyle name="_x0001_CS_x0006_RMO_" xfId="225"/>
    <cellStyle name="Currency [00]" xfId="226"/>
    <cellStyle name="Currency0" xfId="5"/>
    <cellStyle name="Currency1" xfId="227"/>
    <cellStyle name="Date" xfId="6"/>
    <cellStyle name="Date Short" xfId="228"/>
    <cellStyle name="Dezimal [0]_NEGS" xfId="229"/>
    <cellStyle name="Dezimal_NEGS" xfId="230"/>
    <cellStyle name="_x0001_dÏÈ¹ " xfId="231"/>
    <cellStyle name="_x0001_dÏÈ¹_" xfId="232"/>
    <cellStyle name="Dollar (zero dec)" xfId="233"/>
    <cellStyle name="Dziesietny [0]_Invoices2001Slovakia" xfId="234"/>
    <cellStyle name="Dziesiętny [0]_Invoices2001Slovakia" xfId="235"/>
    <cellStyle name="Dziesietny_Invoices2001Slovakia" xfId="236"/>
    <cellStyle name="Dziesiętny_Invoices2001Slovakia" xfId="237"/>
    <cellStyle name="e" xfId="238"/>
    <cellStyle name="Enter Currency (0)" xfId="239"/>
    <cellStyle name="Enter Currency (2)" xfId="240"/>
    <cellStyle name="Enter Units (0)" xfId="241"/>
    <cellStyle name="Enter Units (1)" xfId="242"/>
    <cellStyle name="Enter Units (2)" xfId="243"/>
    <cellStyle name="Entered" xfId="244"/>
    <cellStyle name="entry box" xfId="245"/>
    <cellStyle name="Euro" xfId="246"/>
    <cellStyle name="f" xfId="247"/>
    <cellStyle name="Fixed" xfId="7"/>
    <cellStyle name="Grey" xfId="248"/>
    <cellStyle name="Head 1" xfId="249"/>
    <cellStyle name="HEADER" xfId="250"/>
    <cellStyle name="Header1" xfId="8"/>
    <cellStyle name="Header2" xfId="9"/>
    <cellStyle name="Heading 1" xfId="10" builtinId="16" customBuiltin="1"/>
    <cellStyle name="Heading 2" xfId="11" builtinId="17" customBuiltin="1"/>
    <cellStyle name="Heading1" xfId="251"/>
    <cellStyle name="Heading2" xfId="252"/>
    <cellStyle name="HEADINGS" xfId="253"/>
    <cellStyle name="HEADINGSTOP" xfId="254"/>
    <cellStyle name="hidden" xfId="255"/>
    <cellStyle name="Hoa-Scholl" xfId="256"/>
    <cellStyle name="_x0001_í½?" xfId="257"/>
    <cellStyle name="_x0001_íå_x001b_ô " xfId="258"/>
    <cellStyle name="_x0001_íå_x001b_ô_" xfId="259"/>
    <cellStyle name="Input [yellow]" xfId="260"/>
    <cellStyle name="Ledger 17 x 11 in" xfId="261"/>
    <cellStyle name="Link Currency (0)" xfId="262"/>
    <cellStyle name="Link Currency (2)" xfId="263"/>
    <cellStyle name="Link Units (0)" xfId="264"/>
    <cellStyle name="Link Units (1)" xfId="265"/>
    <cellStyle name="Link Units (2)" xfId="266"/>
    <cellStyle name="Millares [0]_PCP_repairs_ed01_010703" xfId="267"/>
    <cellStyle name="Millares_Well Timing" xfId="12"/>
    <cellStyle name="Milliers [0]_      " xfId="268"/>
    <cellStyle name="Milliers_      " xfId="269"/>
    <cellStyle name="Model" xfId="270"/>
    <cellStyle name="moi" xfId="271"/>
    <cellStyle name="Moneda [0]_pldt" xfId="272"/>
    <cellStyle name="Moneda_pldt" xfId="273"/>
    <cellStyle name="Monétaire [0]_      " xfId="274"/>
    <cellStyle name="Monétaire_      " xfId="275"/>
    <cellStyle name="n" xfId="13"/>
    <cellStyle name="New" xfId="276"/>
    <cellStyle name="New Times Roman" xfId="277"/>
    <cellStyle name="no dec" xfId="278"/>
    <cellStyle name="Normal" xfId="0" builtinId="0"/>
    <cellStyle name="Normal - Style1" xfId="33"/>
    <cellStyle name="Normal 10" xfId="487"/>
    <cellStyle name="Normal 10 2 3" xfId="436"/>
    <cellStyle name="Normal 11 2 2" xfId="420"/>
    <cellStyle name="Normal 13" xfId="445"/>
    <cellStyle name="Normal 13 2" xfId="479"/>
    <cellStyle name="Normal 15" xfId="434"/>
    <cellStyle name="Normal 15 2" xfId="486"/>
    <cellStyle name="Normal 16 2" xfId="431"/>
    <cellStyle name="Normal 16 2 2" xfId="489"/>
    <cellStyle name="Normal 16 2 2 2" xfId="433"/>
    <cellStyle name="Normal 19" xfId="448"/>
    <cellStyle name="Normal 2" xfId="279"/>
    <cellStyle name="Normal 2 10" xfId="442"/>
    <cellStyle name="Normal 2 2" xfId="419"/>
    <cellStyle name="Normal 2 2 2" xfId="426"/>
    <cellStyle name="Normal 2 2 2 10 2" xfId="430"/>
    <cellStyle name="Normal 2 2 2 2 2" xfId="441"/>
    <cellStyle name="Normal 2 3" xfId="492"/>
    <cellStyle name="Normal 2 3 2" xfId="488"/>
    <cellStyle name="Normal 2 4" xfId="438"/>
    <cellStyle name="Normal 2 4 2" xfId="481"/>
    <cellStyle name="Normal 2 4 2 2" xfId="491"/>
    <cellStyle name="Normal 25" xfId="490"/>
    <cellStyle name="Normal 3" xfId="280"/>
    <cellStyle name="Normal 3 12 2 2 2" xfId="439"/>
    <cellStyle name="Normal 3 2" xfId="429"/>
    <cellStyle name="Normal 34 3" xfId="440"/>
    <cellStyle name="Normal 37" xfId="451"/>
    <cellStyle name="Normal 4" xfId="14"/>
    <cellStyle name="Normal 4 2" xfId="444"/>
    <cellStyle name="Normal 4 4" xfId="478"/>
    <cellStyle name="Normal 43" xfId="452"/>
    <cellStyle name="Normal 44" xfId="454"/>
    <cellStyle name="Normal 45" xfId="459"/>
    <cellStyle name="Normal 46" xfId="457"/>
    <cellStyle name="Normal 47" xfId="462"/>
    <cellStyle name="Normal 48" xfId="453"/>
    <cellStyle name="Normal 49" xfId="463"/>
    <cellStyle name="Normal 5" xfId="417"/>
    <cellStyle name="Normal 5 2" xfId="485"/>
    <cellStyle name="Normal 5 2 2 2" xfId="477"/>
    <cellStyle name="Normal 50" xfId="455"/>
    <cellStyle name="Normal 51" xfId="460"/>
    <cellStyle name="Normal 53" xfId="461"/>
    <cellStyle name="Normal 54" xfId="456"/>
    <cellStyle name="Normal 56" xfId="464"/>
    <cellStyle name="Normal 57" xfId="470"/>
    <cellStyle name="Normal 58" xfId="458"/>
    <cellStyle name="Normal 59" xfId="465"/>
    <cellStyle name="Normal 6" xfId="418"/>
    <cellStyle name="Normal 61" xfId="466"/>
    <cellStyle name="Normal 66" xfId="467"/>
    <cellStyle name="Normal 69" xfId="468"/>
    <cellStyle name="Normal 7" xfId="421"/>
    <cellStyle name="Normal 70" xfId="469"/>
    <cellStyle name="Normal 71" xfId="471"/>
    <cellStyle name="Normal 72" xfId="472"/>
    <cellStyle name="Normal 73" xfId="473"/>
    <cellStyle name="Normal 74" xfId="474"/>
    <cellStyle name="Normal 75" xfId="475"/>
    <cellStyle name="Normal 79" xfId="476"/>
    <cellStyle name="Normal 8" xfId="443"/>
    <cellStyle name="Normal 9" xfId="480"/>
    <cellStyle name="Normal_091010_Du_toan_trien_khai_chuong_trinh_HT 2" xfId="482"/>
    <cellStyle name="Normal1" xfId="281"/>
    <cellStyle name="Normalny_Arkusz1" xfId="282"/>
    <cellStyle name="Œ…‹æØ‚è [0.00]_laroux" xfId="283"/>
    <cellStyle name="Œ…‹æØ‚è_laroux" xfId="284"/>
    <cellStyle name="oft Excel]_x000d__x000a_Comment=open=/f ‚ðw’è‚·‚é‚ÆAƒ†[ƒU[’è‹`ŠÖ”‚ðŠÖ”“\‚è•t‚¯‚Ìˆê——‚É“o˜^‚·‚é‚±‚Æ‚ª‚Å‚«‚Ü‚·B_x000d__x000a_Maximized" xfId="285"/>
    <cellStyle name="oft Excel]_x000d__x000a_Comment=The open=/f lines load custom functions into the Paste Function list._x000d__x000a_Maximized=2_x000d__x000a_Basics=1_x000d__x000a_A" xfId="286"/>
    <cellStyle name="oft Excel]_x000d__x000a_Comment=The open=/f lines load custom functions into the Paste Function list._x000d__x000a_Maximized=3_x000d__x000a_Basics=1_x000d__x000a_A" xfId="287"/>
    <cellStyle name="omma [0]_Mktg Prog" xfId="288"/>
    <cellStyle name="ormal_Sheet1_1" xfId="289"/>
    <cellStyle name="Output 2" xfId="290"/>
    <cellStyle name="per.style" xfId="291"/>
    <cellStyle name="Percent" xfId="493" builtinId="5"/>
    <cellStyle name="Percent [0]" xfId="292"/>
    <cellStyle name="Percent [00]" xfId="293"/>
    <cellStyle name="Percent [2]" xfId="294"/>
    <cellStyle name="PERCENTAGE" xfId="295"/>
    <cellStyle name="Prefilled" xfId="296"/>
    <cellStyle name="PrePop Currency (0)" xfId="297"/>
    <cellStyle name="PrePop Currency (2)" xfId="298"/>
    <cellStyle name="PrePop Units (0)" xfId="299"/>
    <cellStyle name="PrePop Units (1)" xfId="300"/>
    <cellStyle name="PrePop Units (2)" xfId="301"/>
    <cellStyle name="pricing" xfId="302"/>
    <cellStyle name="PropGenCurrencyFormat" xfId="303"/>
    <cellStyle name="PSChar" xfId="304"/>
    <cellStyle name="PSHeading" xfId="305"/>
    <cellStyle name="Rack_kit" xfId="306"/>
    <cellStyle name="regstoresfromspecstores" xfId="307"/>
    <cellStyle name="RevList" xfId="308"/>
    <cellStyle name="s]_x000d__x000a_spooler=yes_x000d__x000a_load=_x000d__x000a_Beep=yes_x000d__x000a_NullPort=None_x000d__x000a_BorderWidth=3_x000d__x000a_CursorBlinkRate=1200_x000d__x000a_DoubleClickSpeed=452_x000d__x000a_Programs=co" xfId="309"/>
    <cellStyle name="SAPBEXaggData" xfId="310"/>
    <cellStyle name="SAPBEXaggDataEmph" xfId="311"/>
    <cellStyle name="SAPBEXaggItem" xfId="312"/>
    <cellStyle name="SAPBEXchaText" xfId="313"/>
    <cellStyle name="SAPBEXexcBad7" xfId="314"/>
    <cellStyle name="SAPBEXexcBad8" xfId="315"/>
    <cellStyle name="SAPBEXexcBad9" xfId="316"/>
    <cellStyle name="SAPBEXexcCritical4" xfId="317"/>
    <cellStyle name="SAPBEXexcCritical5" xfId="318"/>
    <cellStyle name="SAPBEXexcCritical6" xfId="319"/>
    <cellStyle name="SAPBEXexcGood1" xfId="320"/>
    <cellStyle name="SAPBEXexcGood2" xfId="321"/>
    <cellStyle name="SAPBEXexcGood3" xfId="322"/>
    <cellStyle name="SAPBEXfilterDrill" xfId="323"/>
    <cellStyle name="SAPBEXfilterItem" xfId="324"/>
    <cellStyle name="SAPBEXfilterText" xfId="325"/>
    <cellStyle name="SAPBEXformats" xfId="326"/>
    <cellStyle name="SAPBEXheaderItem" xfId="327"/>
    <cellStyle name="SAPBEXheaderText" xfId="328"/>
    <cellStyle name="SAPBEXresData" xfId="329"/>
    <cellStyle name="SAPBEXresDataEmph" xfId="330"/>
    <cellStyle name="SAPBEXresItem" xfId="331"/>
    <cellStyle name="SAPBEXstdData" xfId="332"/>
    <cellStyle name="SAPBEXstdDataEmph" xfId="333"/>
    <cellStyle name="SAPBEXstdItem" xfId="334"/>
    <cellStyle name="SAPBEXtitle" xfId="335"/>
    <cellStyle name="SAPBEXundefined" xfId="336"/>
    <cellStyle name="_x0001_sç?" xfId="337"/>
    <cellStyle name="serJet 1200 Series PCL 6" xfId="338"/>
    <cellStyle name="SHADEDSTORES" xfId="339"/>
    <cellStyle name="specstores" xfId="340"/>
    <cellStyle name="Standard_KALK-054" xfId="341"/>
    <cellStyle name="Style 1" xfId="342"/>
    <cellStyle name="Style 1 2" xfId="343"/>
    <cellStyle name="Style 10" xfId="344"/>
    <cellStyle name="Style 11" xfId="345"/>
    <cellStyle name="Style 12" xfId="346"/>
    <cellStyle name="Style 13" xfId="347"/>
    <cellStyle name="Style 14" xfId="348"/>
    <cellStyle name="Style 15" xfId="349"/>
    <cellStyle name="Style 16" xfId="350"/>
    <cellStyle name="Style 17" xfId="351"/>
    <cellStyle name="Style 18" xfId="352"/>
    <cellStyle name="Style 19" xfId="353"/>
    <cellStyle name="Style 2" xfId="354"/>
    <cellStyle name="Style 20" xfId="355"/>
    <cellStyle name="Style 21" xfId="356"/>
    <cellStyle name="Style 22" xfId="357"/>
    <cellStyle name="Style 23" xfId="358"/>
    <cellStyle name="Style 24" xfId="359"/>
    <cellStyle name="Style 3" xfId="360"/>
    <cellStyle name="Style 4" xfId="361"/>
    <cellStyle name="Style 5" xfId="362"/>
    <cellStyle name="Style 6" xfId="363"/>
    <cellStyle name="Style 7" xfId="364"/>
    <cellStyle name="Style 8" xfId="365"/>
    <cellStyle name="Style 9" xfId="366"/>
    <cellStyle name="subcalc" xfId="367"/>
    <cellStyle name="subhead" xfId="368"/>
    <cellStyle name="Subtotal" xfId="369"/>
    <cellStyle name="T" xfId="370"/>
    <cellStyle name="T_Book1" xfId="371"/>
    <cellStyle name="T_Book1_1" xfId="372"/>
    <cellStyle name="T_denbu" xfId="373"/>
    <cellStyle name="Text Indent A" xfId="374"/>
    <cellStyle name="Text Indent B" xfId="375"/>
    <cellStyle name="Text Indent C" xfId="376"/>
    <cellStyle name="th" xfId="377"/>
    <cellStyle name="þ_x001d_ð¤_x000c_¯þ_x0014__x000d_¨þU_x0001_À_x0004_ _x0015__x000f__x0001__x0001_" xfId="378"/>
    <cellStyle name="þ_x001d_ð·_x000c_æþ'_x000d_ßþU_x0001_Ø_x0005_ü_x0014__x0007__x0001__x0001_" xfId="379"/>
    <cellStyle name="þ_x001d_ðK_x000c_Fý_x001b__x000d_9ýU_x0001_Ð_x0008_¦)_x0007__x0001__x0001_" xfId="380"/>
    <cellStyle name="Thuyet minh" xfId="381"/>
    <cellStyle name="Times New Roman" xfId="382"/>
    <cellStyle name="titre1" xfId="383"/>
    <cellStyle name="Total" xfId="15" builtinId="25" customBuiltin="1"/>
    <cellStyle name="tt1" xfId="384"/>
    <cellStyle name="Tusental (0)_pldt" xfId="385"/>
    <cellStyle name="Tusental_pldt" xfId="386"/>
    <cellStyle name="Valuta (0)_pldt" xfId="387"/>
    <cellStyle name="Valuta_pldt" xfId="388"/>
    <cellStyle name="viet" xfId="389"/>
    <cellStyle name="viet2" xfId="390"/>
    <cellStyle name="vnhead1" xfId="16"/>
    <cellStyle name="vnhead3" xfId="17"/>
    <cellStyle name="vntxt1" xfId="18"/>
    <cellStyle name="vntxt2" xfId="19"/>
    <cellStyle name="Währung [0]_Referenzkonfigurationen; Vergult 14.7" xfId="391"/>
    <cellStyle name="Währung_Referenzkonfigurationen; Vergult 14.7" xfId="392"/>
    <cellStyle name="Walutowy [0]_Invoices2001Slovakia" xfId="393"/>
    <cellStyle name="Walutowy_Invoices2001Slovakia" xfId="394"/>
    <cellStyle name="xuan" xfId="395"/>
    <cellStyle name=" [0.00]_ Att. 1- Cover" xfId="20"/>
    <cellStyle name="_ Att. 1- Cover" xfId="21"/>
    <cellStyle name="?_ Att. 1- Cover" xfId="22"/>
    <cellStyle name="똿뗦먛귟 [0.00]_PRODUCT DETAIL Q1" xfId="23"/>
    <cellStyle name="똿뗦먛귟_PRODUCT DETAIL Q1" xfId="24"/>
    <cellStyle name="믅됞 [0.00]_PRODUCT DETAIL Q1" xfId="25"/>
    <cellStyle name="믅됞_PRODUCT DETAIL Q1" xfId="26"/>
    <cellStyle name="백분율_95" xfId="27"/>
    <cellStyle name="뷭?_BOOKSHIP" xfId="28"/>
    <cellStyle name="안건회계법인" xfId="396"/>
    <cellStyle name="콤맀_Sheet1_총괄표 (수출입) (2)" xfId="397"/>
    <cellStyle name="콤마 [0]_ 비목별 월별기술 " xfId="398"/>
    <cellStyle name="콤마_ 비목별 월별기술 " xfId="399"/>
    <cellStyle name="통화 [0]_1202" xfId="29"/>
    <cellStyle name="통화_1202" xfId="30"/>
    <cellStyle name="표섀_변경(최종)" xfId="400"/>
    <cellStyle name="표준_(정보부문)월별인원계획" xfId="31"/>
    <cellStyle name="표줠_Sheet1_1_총괄표 (수출입) (2)" xfId="401"/>
    <cellStyle name="一般_00Q3902REV.1" xfId="402"/>
    <cellStyle name="千位[0]_laroux" xfId="403"/>
    <cellStyle name="千位_laroux" xfId="404"/>
    <cellStyle name="千分位[0]_00Q3902REV.1" xfId="405"/>
    <cellStyle name="千分位_00Q3902REV.1" xfId="406"/>
    <cellStyle name="常规_1540_fr20V24e_All" xfId="407"/>
    <cellStyle name="普通_laroux" xfId="408"/>
    <cellStyle name="未定義" xfId="409"/>
    <cellStyle name="桁区切り [0.00]_laroux" xfId="410"/>
    <cellStyle name="桁区切り_GRASH1" xfId="411"/>
    <cellStyle name="標準_AN NHON (3)" xfId="412"/>
    <cellStyle name="貨幣 [0]_00Q3902REV.1" xfId="413"/>
    <cellStyle name="貨幣[0]_BRE" xfId="32"/>
    <cellStyle name="貨幣_00Q3902REV.1" xfId="414"/>
    <cellStyle name="通貨 [0.00]_laroux" xfId="415"/>
    <cellStyle name="通貨_laroux" xfId="41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39" Type="http://schemas.openxmlformats.org/officeDocument/2006/relationships/calcChain" Target="calcChain.xml"/><Relationship Id="rId21" Type="http://schemas.openxmlformats.org/officeDocument/2006/relationships/externalLink" Target="externalLinks/externalLink14.xml"/><Relationship Id="rId34" Type="http://schemas.openxmlformats.org/officeDocument/2006/relationships/externalLink" Target="externalLinks/externalLink27.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externalLink" Target="externalLinks/externalLink26.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externalLink" Target="externalLinks/externalLink13.xml"/><Relationship Id="rId29" Type="http://schemas.openxmlformats.org/officeDocument/2006/relationships/externalLink" Target="externalLinks/externalLink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externalLink" Target="externalLinks/externalLink25.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theme" Target="theme/theme1.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31" Type="http://schemas.openxmlformats.org/officeDocument/2006/relationships/externalLink" Target="externalLinks/externalLink24.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8" Type="http://schemas.openxmlformats.org/officeDocument/2006/relationships/externalLink" Target="externalLinks/externalLink1.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ejozsoo\Local%20Settings\Temporary%20Internet%20Files\OLK78\Documents%20and%20Settings\ejozsoo\My%20Documents\Reference\Generic\Pric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TA/DataFile/O/DB9604/RevMay97/SHOPLIS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Mesrv\ME%20Database\A%20Project\VARIOUS-FILE\FORMAT_BQ\AFORM-BQ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Sekret\c\Documents%20and%20Settings\&#37428;&#26408;&#12288;&#36948;&#21705;\Local%20Settings\Temporary%20Internet%20Files\Content.IE5\XV65FD25\BOURJOIS\BOURJBQ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DATA%20PROJECT%20DISINI\ACHALIQ%20PROJECT%20FILE\ATD-PLAZA\EST.%20SERVICEHEATEXCHANGER-ATD.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THANH\Olympus\BoQ\Kien\Lienn\Lien2004\General\Progress%20Claim%20Form.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Tifico-newoffice,R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M%20&amp;%20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THANH\Olympus\BoQ\Kien\THANH\Nikko%20Hai%20Phong\BQ\N&#272;Kien\nISSEI%20eLECTRIC%20hANOI%20quotation%20form%20Constrexim\SCHED\schedule%20form.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fptcloud.sharepoint.com/CONG%20VIEC/INCIVI/Cap%20dien%20cac%20%20KDC%20Da%20Nang%202011%20-%20GD3/Khu%20TDC%20FPT/DU%20TOAN%20KDC%20FPT%20(thay%20doi%20T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G:\Tult\dadtfornbin\Flash%20driver\OLD_HaNoi%20QLDC_DuToan%20v0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Tadgi14\Dropbox\Quan\Quan%20ly%20dau%20thau\Nam%202012\Danh%20muc%20hoan%20chinh\Danh%20muc%20tong%20hop\Tuyen%20xa%20-%20Dieu%20chinh%203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DOCUME~1\ADMINI~1\LOCALS~1\Temp\Du%20toan%2027102011_aHung%20d&#432;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tai%20lieu%20desktop\DA%20Ki&#7875;m%20L&#226;m\tong%20hop%20de%20xua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Documents%20and%20Settings\Administrator\Desktop\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huynhnhu\Downloads\Dutoan_58B_DNI_v3.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ADMIN\Desktop\DU%20TOAN%20KSAN%207%20HUYEN%20TINH%20KON%20TUM%20NAM%202022%20-%20Excel\0.%20BANG%20THKP%20KSAN%20TINH%20KON%20TUM%20202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F%3fx\TOSHIBA\Scaffolds-qty_rev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fptcloud.sharepoint.com/DEN%20THGT/BAO%20CAO%20KTKT/Da%20Nang/Mau%20du%20toan%20Da%20Nang/Du%20toan%20THGT%20nut%20Nguyen%20Tat%20Thanh%20-%20Ly%20Thai%20Tong%2013-11-2019.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H:\bmts%20on%20hgy%20(Yg)\Dau_thau&amp;Du_an\VOV%20traffic%20channel\PHASE%202\Quyettoan%20phase2\Tonghopdutoan\DutoanXaydungNoithatVOV%20(22011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DATA\01.%20Cong%20ty\05.%20Cong%20trinh\01.%20Thiet%20ke\2016\DC-MIC\Trien%20khai%20DD\N:\QT-DLUC\DIEN-CO\T-SOTHU\ST-CTHE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vicvietnam-my.sharepoint.com/Users/Quyen/Documents/Zalo%20Received%20Files/My%20folder/DU%20AN%20-%20qpl/C.%20H&#7857;ng/1.Khai%20toan%20tong%20muc%20dau%20tu%20Thanh%20Thai.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New%20folder%20(4)\Users\ducbt1.VTIT\AppData\Local\Microsoft\Windows\Temporary%20Internet%20Files\Content.Outlook\ZE62YXOC\New%20folder%20(2)\Copy%20of%2020151231%20DT%20QL14_PA%20cap%20ngam%20-%20phongnd%20-%20V3%200%2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Hoai\2007\2007\Quyet%20toan%202006\QT%20C2_2006\TONG%20HOP%20CAP%20II.2006%20on%20Phung\QT%20C2_2006\Quyet%20toan%202005\01%20Quan%202005\02%20Ke%20hoach%202005\Giao%20Ke%20hoach\Giao%20ke%20hoach%20dieu%20chinh%20lan%2001\01%20Trung%20tam%20KTTV.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Documents%20and%20Settings\T\Desktop\ANH\Cac_DA\Ql_4\QL4_TMDT.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tai%20lieu%20document\1\songoaivu_992011\Copy%20of%20Du%20toan%20tong%20hop%20songoaivu99201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Documents%20and%20Settings\Administrator\Desktop\Delta80\DinhMuc\GiaCM_TT06_201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Ngoc%20anh\d\DATA\TRI\DUTOAN\XUON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vered_Sheet1"/>
      <sheetName val="Para"/>
      <sheetName val="Gen"/>
      <sheetName val="BS"/>
      <sheetName val="P&amp;L"/>
      <sheetName val="Report"/>
      <sheetName val="CF"/>
      <sheetName val="Risk"/>
      <sheetName val="Sum"/>
      <sheetName val="Sum Link"/>
      <sheetName val="ProjDesign"/>
      <sheetName val="NetDesign"/>
      <sheetName val="Prboq"/>
      <sheetName val="Unit Price"/>
      <sheetName val="PUmat"/>
      <sheetName val="PUserv"/>
      <sheetName val="ForMat"/>
      <sheetName val="Opex"/>
      <sheetName val="Capex"/>
      <sheetName val="LocMat"/>
      <sheetName val="LocServ"/>
      <sheetName val="labour"/>
      <sheetName val="plant"/>
      <sheetName val="equip"/>
      <sheetName val="Tongke"/>
      <sheetName val="dongia (2)"/>
      <sheetName val="lam-moi"/>
      <sheetName val="thao-go"/>
      <sheetName val="VC"/>
      <sheetName val="TH XL"/>
      <sheetName val="gtrinh"/>
      <sheetName val="chitiet"/>
      <sheetName val="giathanh1"/>
      <sheetName val="Tiepdia"/>
      <sheetName val="CHITIET VL-NC"/>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row r="2">
          <cell r="I2" t="str">
            <v>Total</v>
          </cell>
        </row>
        <row r="4">
          <cell r="I4" t="str">
            <v>Total</v>
          </cell>
        </row>
        <row r="7">
          <cell r="D7" t="str">
            <v>Description</v>
          </cell>
          <cell r="E7" t="str">
            <v>Article/</v>
          </cell>
          <cell r="G7" t="str">
            <v>Country</v>
          </cell>
          <cell r="I7" t="str">
            <v>Qty</v>
          </cell>
        </row>
        <row r="8">
          <cell r="E8" t="str">
            <v>PU No.</v>
          </cell>
          <cell r="G8" t="str">
            <v>of Origin</v>
          </cell>
          <cell r="I8" t="str">
            <v xml:space="preserve"> </v>
          </cell>
        </row>
        <row r="12">
          <cell r="D12" t="str">
            <v>Metropolitan Antananarivo</v>
          </cell>
        </row>
        <row r="13">
          <cell r="D13" t="str">
            <v>Materials</v>
          </cell>
        </row>
        <row r="14">
          <cell r="D14" t="str">
            <v>Microduct 3x10mm with nylon rodent protection and warning tape</v>
          </cell>
        </row>
        <row r="15">
          <cell r="D15" t="str">
            <v>Micronet cable with 8 fibers</v>
          </cell>
          <cell r="E15">
            <v>0</v>
          </cell>
          <cell r="G15" t="str">
            <v>Sweden</v>
          </cell>
        </row>
        <row r="16">
          <cell r="D16" t="str">
            <v xml:space="preserve">Optical joint closure </v>
          </cell>
          <cell r="E16">
            <v>0</v>
          </cell>
          <cell r="G16">
            <v>0</v>
          </cell>
        </row>
        <row r="17">
          <cell r="D17" t="str">
            <v>Optical distribution frame including patchcords</v>
          </cell>
          <cell r="E17">
            <v>0</v>
          </cell>
          <cell r="G17">
            <v>0</v>
          </cell>
        </row>
        <row r="19">
          <cell r="D19" t="str">
            <v>Total for Materials</v>
          </cell>
        </row>
        <row r="21">
          <cell r="D21" t="str">
            <v>Implementation services</v>
          </cell>
        </row>
        <row r="22">
          <cell r="D22" t="str">
            <v>Planning &amp; Design</v>
          </cell>
        </row>
        <row r="23">
          <cell r="D23" t="str">
            <v>Subcontractor installation</v>
          </cell>
        </row>
        <row r="24">
          <cell r="D24" t="str">
            <v>Testing and commissioning</v>
          </cell>
        </row>
        <row r="27">
          <cell r="D27" t="str">
            <v>Total for Implementation services</v>
          </cell>
        </row>
        <row r="29">
          <cell r="D29" t="str">
            <v>Dual duct proposal</v>
          </cell>
        </row>
        <row r="30">
          <cell r="D30" t="str">
            <v>Materials</v>
          </cell>
        </row>
        <row r="31">
          <cell r="D31" t="str">
            <v>HDPE pipe 2x26/36mm, connectors and warning tape</v>
          </cell>
          <cell r="E31">
            <v>0</v>
          </cell>
          <cell r="G31" t="str">
            <v>Sweden</v>
          </cell>
        </row>
        <row r="32">
          <cell r="D32" t="str">
            <v>Fiber optic cable concentric 6 fibre</v>
          </cell>
          <cell r="E32">
            <v>0</v>
          </cell>
          <cell r="G32" t="str">
            <v>Sweden</v>
          </cell>
        </row>
        <row r="33">
          <cell r="D33" t="str">
            <v xml:space="preserve">Optical joint closure </v>
          </cell>
          <cell r="E33" t="str">
            <v>NCD 504 2004</v>
          </cell>
          <cell r="G33" t="str">
            <v>Sweden</v>
          </cell>
        </row>
        <row r="34">
          <cell r="D34" t="str">
            <v>Optical distribution frame including patchcords</v>
          </cell>
        </row>
        <row r="36">
          <cell r="D36" t="str">
            <v>Total for Materials</v>
          </cell>
        </row>
        <row r="38">
          <cell r="D38" t="str">
            <v>Implementation services</v>
          </cell>
        </row>
        <row r="39">
          <cell r="D39" t="str">
            <v>Planning &amp; Design</v>
          </cell>
        </row>
        <row r="40">
          <cell r="D40" t="str">
            <v>Subcontractor installation</v>
          </cell>
        </row>
        <row r="41">
          <cell r="D41" t="str">
            <v>Testing and commissioning</v>
          </cell>
        </row>
        <row r="43">
          <cell r="D43" t="str">
            <v>Total for Implementation services</v>
          </cell>
        </row>
        <row r="44">
          <cell r="D44" t="str">
            <v>Total for Cable Network</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EX"/>
      <sheetName val="Quantity"/>
      <sheetName val="??-BLDG"/>
      <sheetName val="PNT-QUOT-#3"/>
      <sheetName val="COAT&amp;WRAP-QIOT-#3"/>
      <sheetName val="ml"/>
      <sheetName val="BG"/>
      <sheetName val="RAB AR&amp;STR"/>
      <sheetName val="Earthwork"/>
      <sheetName val="GIAVLIEU"/>
      <sheetName val="BQ"/>
      <sheetName val="BQ External"/>
      <sheetName val="SHOPLIST"/>
      <sheetName val="Penthouse Apartment"/>
      <sheetName val="icmal"/>
      <sheetName val="Notes"/>
      <sheetName val="Basis"/>
      <sheetName val="#REF"/>
      <sheetName val="StattCo yCharges"/>
      <sheetName val="GFA_HQ_Building"/>
      <sheetName val="GFA_Conference"/>
      <sheetName val="Su}}ary"/>
      <sheetName val="TAS"/>
      <sheetName val="SubmitCal"/>
      <sheetName val="Cash2"/>
      <sheetName val="Z"/>
      <sheetName val="Raw Data"/>
      <sheetName val="BOQ"/>
      <sheetName val="Bill No. 2"/>
      <sheetName val="Graph Data (DO NOT PRINT)"/>
      <sheetName val="D-623D"/>
      <sheetName val="_______"/>
      <sheetName val="核算项目余额表"/>
      <sheetName val="Criteria"/>
      <sheetName val="Assumptions"/>
      <sheetName val="@risk rents and incentives"/>
      <sheetName val="Car park lease"/>
      <sheetName val="Net rent analysis"/>
      <sheetName val="Poz-1 "/>
      <sheetName val="차액보증"/>
      <sheetName val="Option"/>
      <sheetName val="Chiet tinh dz22"/>
      <sheetName val="Chiet tinh dz35"/>
      <sheetName val="Lab Cum Hist"/>
      <sheetName val="LABOUR HISTOGRAM"/>
      <sheetName val="1"/>
      <sheetName val="ancillary"/>
      <sheetName val="改加胶玻璃、室外栏杆"/>
      <sheetName val="FOL - Bar"/>
      <sheetName val="CT Thang Mo"/>
      <sheetName val="Budget"/>
      <sheetName val="LEVEL SHEET"/>
      <sheetName val="CASHFLOWS"/>
      <sheetName val="SPT vs PHI"/>
      <sheetName val="budget summary (2)"/>
      <sheetName val="Budget Analysis Summary"/>
      <sheetName val=""/>
      <sheetName val="Sheet1"/>
      <sheetName val="BQ_External"/>
      <sheetName val="Bill_1"/>
      <sheetName val="Bill_2"/>
      <sheetName val="Bill_3"/>
      <sheetName val="Bill_4"/>
      <sheetName val="Bill_5"/>
      <sheetName val="Bill_6"/>
      <sheetName val="Bill_7"/>
      <sheetName val="LABOUR_HISTOGRAM"/>
      <sheetName val="JAS"/>
      <sheetName val="Rate analysis"/>
      <sheetName val="企业表一"/>
      <sheetName val="M-5C"/>
      <sheetName val="M-5A"/>
      <sheetName val="Sheet2"/>
      <sheetName val="ANNEXURE-A"/>
      <sheetName val="CT  PL"/>
      <sheetName val="Projet, methodes &amp; couts"/>
      <sheetName val="Macro1"/>
      <sheetName val="Planning"/>
      <sheetName val="TAHRIR"/>
      <sheetName val="Bases"/>
      <sheetName val="Risques majeurs &amp; Frais Ind."/>
      <sheetName val="Bouclage"/>
      <sheetName val="AREG_05"/>
      <sheetName val="concrete"/>
      <sheetName val="beam-reinft-IIInd floor"/>
      <sheetName val="beam-reinft-machine rm"/>
      <sheetName val="girder"/>
      <sheetName val="Rocker"/>
      <sheetName val="98Price"/>
      <sheetName val="Bill 1"/>
      <sheetName val="Bill 2"/>
      <sheetName val="Bill 3"/>
      <sheetName val="Bill 4"/>
      <sheetName val="Bill 5"/>
      <sheetName val="Bill 6"/>
      <sheetName val="Bill 7"/>
      <sheetName val="B"/>
      <sheetName val="Customize Your Invoice"/>
      <sheetName val="PriceSummary"/>
      <sheetName val="POWER ASSUMPTIONS"/>
      <sheetName val="intr stool brkup"/>
      <sheetName val="ConferenceCentre_x0000_옰ʒ䄂ʒ鵠ʐ䄂ʒ閐̐䄂ʒ蕈̐"/>
      <sheetName val="Top sheet"/>
      <sheetName val="HVAC BoQ"/>
      <sheetName val="GFA_HQ_Building1"/>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Data"/>
      <sheetName val="Tender Summary"/>
      <sheetName val="Insurance Ext"/>
      <sheetName val="Prelims"/>
      <sheetName val="Body Sheet"/>
      <sheetName val="1.0 Executive Summary"/>
      <sheetName val="Geneí¬_x0008_i_x0000__x0000__x0014__x0000_0."/>
      <sheetName val="70_x0000_,/0_x0000_s«_x0008_i_x0000_Æø_x0003_í¬_x0008_i_x0000_"/>
      <sheetName val="HQ-TO"/>
      <sheetName val="LABOUR_HISTOGRAM1"/>
      <sheetName val="COC"/>
      <sheetName val="List"/>
      <sheetName val="Currencies"/>
      <sheetName val="Ap A"/>
      <sheetName val="SAP"/>
      <sheetName val="DATAS"/>
      <sheetName val="POWER"/>
      <sheetName val="MTP"/>
      <sheetName val="Inputs"/>
      <sheetName val="기계내역서"/>
      <sheetName val="SHOPLIST.xls"/>
      <sheetName val="Rate_Analysis"/>
      <sheetName val="ACT_SPS"/>
      <sheetName val="SPSF"/>
      <sheetName val="Invoice Summary"/>
      <sheetName val="Sheet3"/>
      <sheetName val="2 Div 14 "/>
      <sheetName val="PROJECT BRIEF"/>
      <sheetName val="Civil Boq"/>
      <sheetName val="Tender_Summary"/>
      <sheetName val="Insurance_Ext"/>
      <sheetName val="C (3)"/>
      <sheetName val="공종별_집계금액"/>
      <sheetName val="Customize_Your_Invoice"/>
      <sheetName val="HVAC_BoQ"/>
      <sheetName val="Dubai golf"/>
      <sheetName val="GFA_HQ_Building2"/>
      <sheetName val="GFA_Conference2"/>
      <sheetName val="BQ_External2"/>
      <sheetName val="Penthouse_Apartment1"/>
      <sheetName val="StattCo_yCharges1"/>
      <sheetName val="Raw_Data1"/>
      <sheetName val="Bill_No__21"/>
      <sheetName val="Graph_Data_(DO_NOT_PRINT)1"/>
      <sheetName val="Chiet_tinh_dz221"/>
      <sheetName val="Chiet_tinh_dz351"/>
      <sheetName val="CT_Thang_Mo1"/>
      <sheetName val="@risk_rents_and_incentives1"/>
      <sheetName val="Car_park_lease1"/>
      <sheetName val="Net_rent_analysis1"/>
      <sheetName val="Poz-1_1"/>
      <sheetName val="Lab_Cum_Hist1"/>
      <sheetName val="FOL_-_Bar1"/>
      <sheetName val="LEVEL_SHEET1"/>
      <sheetName val="SPT_vs_PHI1"/>
      <sheetName val="budget_summary_(2)1"/>
      <sheetName val="Budget_Analysis_Summary1"/>
      <sheetName val="Projet,_methodes_&amp;_couts1"/>
      <sheetName val="Risques_majeurs_&amp;_Frais_Ind_1"/>
      <sheetName val="CT__PL1"/>
      <sheetName val="intr_stool_brkup"/>
      <sheetName val="Top_sheet"/>
      <sheetName val="Body_Sheet"/>
      <sheetName val="1_0_Executive_Summary"/>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ody_Sheet1"/>
      <sheetName val="1_0_Executive_Summary1"/>
      <sheetName val="Top_sheet1"/>
      <sheetName val="intr_stool_brkup1"/>
      <sheetName val="Rate_analysis1"/>
      <sheetName val="LABOUR_HISTOGRAM2"/>
      <sheetName val="Tender_Summary1"/>
      <sheetName val="Insurance_Ext1"/>
      <sheetName val="Customize_Your_Invoice1"/>
      <sheetName val="HVAC_BoQ1"/>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sal"/>
      <sheetName val="WITHOUT C&amp;I PROFIT (3)"/>
      <sheetName val="Geneí¬_x0008_i"/>
      <sheetName val="70"/>
      <sheetName val="CODE"/>
      <sheetName val="HIRED LABOUR CODE"/>
      <sheetName val="PA- Consutant "/>
      <sheetName val="Design"/>
      <sheetName val="upa"/>
      <sheetName val="foot-slab reinft"/>
      <sheetName val="Materials Cost(PCC)"/>
      <sheetName val="India F&amp;S Template"/>
      <sheetName val="Annex"/>
      <sheetName val="factors"/>
      <sheetName val="P4-B"/>
      <sheetName val="Break_Up"/>
      <sheetName val="RESULT"/>
      <sheetName val="IO LIST"/>
      <sheetName val="Formulas"/>
      <sheetName val="Material "/>
      <sheetName val="Quote Sheet"/>
      <sheetName val="Bill_21"/>
      <sheetName val="2_Div_14_"/>
      <sheetName val="Wall"/>
      <sheetName val="__-BLDG"/>
      <sheetName val="CERTIFICATE"/>
      <sheetName val="마산월령동골조물량변경"/>
      <sheetName val="Elemental Buildup"/>
      <sheetName val="TOSHIBA-Structure"/>
      <sheetName val="BOQ(MECH)"/>
      <sheetName val="BOQ(ELEC) "/>
      <sheetName val="Data Validation"/>
      <sheetName val="NKC6"/>
      <sheetName val="Activity List"/>
      <sheetName val="GFA_HQ_Building6"/>
      <sheetName val="MOS"/>
      <sheetName val="Softscape Buildup"/>
      <sheetName val="Mat'l Rate"/>
      <sheetName val="BILL COV"/>
      <sheetName val="Ap_A"/>
      <sheetName val="SHOPLIST_xls"/>
      <sheetName val="Geneí¬i0_"/>
      <sheetName val="Invoice_Summary"/>
      <sheetName val="PROJECT_BRIEF"/>
      <sheetName val="Ra  stair"/>
      <sheetName val="250mm"/>
      <sheetName val="200mm"/>
      <sheetName val="160mm"/>
      <sheetName val="FITTINGS"/>
      <sheetName val="VALVE CHAMBERS"/>
      <sheetName val="Fire Hydrants"/>
      <sheetName val="B.GATE VALVE"/>
      <sheetName val="Sub G1 Fire"/>
      <sheetName val="Sub G12 Fire"/>
      <sheetName val="ABSTRACT"/>
      <sheetName val="DETAILED  BOQ"/>
      <sheetName val="M-Book for Conc"/>
      <sheetName val="M-Book for FW"/>
      <sheetName val="Vehicles"/>
      <sheetName val="Toolbox"/>
      <sheetName val="Day work"/>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PROJECT_BRIEF1"/>
      <sheetName val="Bill_22"/>
      <sheetName val="C_(3)1"/>
      <sheetName val="Ap_A1"/>
      <sheetName val="2_Div_14_1"/>
      <sheetName val="Bill_11"/>
      <sheetName val="Bill_31"/>
      <sheetName val="Bill_41"/>
      <sheetName val="Bill_51"/>
      <sheetName val="Bill_61"/>
      <sheetName val="Bill_71"/>
      <sheetName val="Dubai_golf"/>
      <sheetName val="beam-reinft-IIInd_floor"/>
      <sheetName val="POWER_ASSUMPTIONS"/>
      <sheetName val="beam-reinft-machine_rm"/>
      <sheetName val="C_(3)"/>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Civil_Boq"/>
      <sheetName val="DETAILED__BOQ"/>
      <sheetName val="M-Book_for_Conc"/>
      <sheetName val="M-Book_for_FW"/>
      <sheetName val="Activity_List"/>
      <sheetName val="HIRED_LABOUR_CODE"/>
      <sheetName val="PA-_Consutant_"/>
      <sheetName val="foot-slab_reinft"/>
      <sheetName val="GFA_HQ_Building7"/>
      <sheetName val="GFA_Conference7"/>
      <sheetName val="BQ_External7"/>
      <sheetName val="StattCo_yCharges6"/>
      <sheetName val="Graph_Data_(DO_NOT_PRINT)6"/>
      <sheetName val="Penthouse_Apartment6"/>
      <sheetName val="Chiet_tinh_dz226"/>
      <sheetName val="Chiet_tinh_dz356"/>
      <sheetName val="Raw_Data6"/>
      <sheetName val="LABOUR_HISTOGRAM7"/>
      <sheetName val="@risk_rents_and_incentives6"/>
      <sheetName val="Car_park_lease6"/>
      <sheetName val="Net_rent_analysis6"/>
      <sheetName val="Poz-1_6"/>
      <sheetName val="Lab_Cum_Hist6"/>
      <sheetName val="CT_Thang_Mo6"/>
      <sheetName val="budget_summary_(2)5"/>
      <sheetName val="Budget_Analysis_Summary5"/>
      <sheetName val="Tender_Summary6"/>
      <sheetName val="Insurance_Ext6"/>
      <sheetName val="Customize_Your_Invoice6"/>
      <sheetName val="HVAC_BoQ6"/>
      <sheetName val="Bill_No__26"/>
      <sheetName val="Projet,_methodes_&amp;_couts5"/>
      <sheetName val="Risques_majeurs_&amp;_Frais_Ind_5"/>
      <sheetName val="LEVEL_SHEET6"/>
      <sheetName val="SPT_vs_PHI6"/>
      <sheetName val="CT__PL5"/>
      <sheetName val="FOL_-_Bar6"/>
      <sheetName val="intr_stool_brkup5"/>
      <sheetName val="Top_sheet5"/>
      <sheetName val="Rate_analysis4"/>
      <sheetName val="Body_Sheet5"/>
      <sheetName val="1_0_Executive_Summary5"/>
      <sheetName val="Bill_13"/>
      <sheetName val="Bill_24"/>
      <sheetName val="Bill_33"/>
      <sheetName val="Bill_43"/>
      <sheetName val="Bill_53"/>
      <sheetName val="Bill_63"/>
      <sheetName val="Bill_73"/>
      <sheetName val="2_Div_14_3"/>
      <sheetName val="Ap_A3"/>
      <sheetName val="SHOPLIST_xls2"/>
      <sheetName val="Dubai_golf2"/>
      <sheetName val="beam-reinft-IIInd_floor2"/>
      <sheetName val="beam-reinft-machine_rm2"/>
      <sheetName val="POWER_ASSUMPTIONS2"/>
      <sheetName val="Invoice_Summary2"/>
      <sheetName val="PROJECT_BRIEF3"/>
      <sheetName val="C_(3)3"/>
      <sheetName val="Civil_Boq1"/>
      <sheetName val="Activity_List1"/>
      <sheetName val="WITHOUT_C&amp;I_PROFIT_(3)1"/>
      <sheetName val="VALVE_CHAMBERS"/>
      <sheetName val="Fire_Hydrants"/>
      <sheetName val="B_GATE_VALVE"/>
      <sheetName val="Sub_G1_Fire"/>
      <sheetName val="Sub_G12_Fire"/>
      <sheetName val="DETAILED__BOQ1"/>
      <sheetName val="M-Book_for_Conc1"/>
      <sheetName val="M-Book_for_FW1"/>
      <sheetName val="Ra__stair"/>
      <sheetName val="HIRED_LABOUR_CODE1"/>
      <sheetName val="PA-_Consutant_1"/>
      <sheetName val="foot-slab_reinft1"/>
      <sheetName val="BILL_COV"/>
      <sheetName val="Softscape_Buildup"/>
      <sheetName val="Mat'l_Rate"/>
      <sheetName val="GFA_HQ_Building8"/>
      <sheetName val="GFA_Conference8"/>
      <sheetName val="BQ_External8"/>
      <sheetName val="StattCo_yCharges7"/>
      <sheetName val="Graph_Data_(DO_NOT_PRINT)7"/>
      <sheetName val="Penthouse_Apartment7"/>
      <sheetName val="Chiet_tinh_dz227"/>
      <sheetName val="Chiet_tinh_dz357"/>
      <sheetName val="Raw_Data7"/>
      <sheetName val="LABOUR_HISTOGRAM8"/>
      <sheetName val="@risk_rents_and_incentives7"/>
      <sheetName val="Car_park_lease7"/>
      <sheetName val="Net_rent_analysis7"/>
      <sheetName val="Poz-1_7"/>
      <sheetName val="Lab_Cum_Hist7"/>
      <sheetName val="CT_Thang_Mo7"/>
      <sheetName val="budget_summary_(2)6"/>
      <sheetName val="Budget_Analysis_Summary6"/>
      <sheetName val="Tender_Summary7"/>
      <sheetName val="Insurance_Ext7"/>
      <sheetName val="Customize_Your_Invoice7"/>
      <sheetName val="HVAC_BoQ7"/>
      <sheetName val="Bill_No__27"/>
      <sheetName val="Projet,_methodes_&amp;_couts6"/>
      <sheetName val="Risques_majeurs_&amp;_Frais_Ind_6"/>
      <sheetName val="LEVEL_SHEET7"/>
      <sheetName val="SPT_vs_PHI7"/>
      <sheetName val="CT__PL6"/>
      <sheetName val="FOL_-_Bar7"/>
      <sheetName val="intr_stool_brkup6"/>
      <sheetName val="Top_sheet6"/>
      <sheetName val="Rate_analysis5"/>
      <sheetName val="Body_Sheet6"/>
      <sheetName val="1_0_Executive_Summary6"/>
      <sheetName val="Bill_14"/>
      <sheetName val="Bill_25"/>
      <sheetName val="Bill_34"/>
      <sheetName val="Bill_44"/>
      <sheetName val="Bill_54"/>
      <sheetName val="Bill_64"/>
      <sheetName val="Bill_74"/>
      <sheetName val="2_Div_14_4"/>
      <sheetName val="Ap_A4"/>
      <sheetName val="SHOPLIST_xls3"/>
      <sheetName val="Dubai_golf3"/>
      <sheetName val="beam-reinft-IIInd_floor3"/>
      <sheetName val="beam-reinft-machine_rm3"/>
      <sheetName val="POWER_ASSUMPTIONS3"/>
      <sheetName val="Invoice_Summary3"/>
      <sheetName val="PROJECT_BRIEF4"/>
      <sheetName val="C_(3)4"/>
      <sheetName val="Civil_Boq2"/>
      <sheetName val="Activity_List2"/>
      <sheetName val="WITHOUT_C&amp;I_PROFIT_(3)2"/>
      <sheetName val="VALVE_CHAMBERS1"/>
      <sheetName val="Fire_Hydrants1"/>
      <sheetName val="B_GATE_VALVE1"/>
      <sheetName val="Sub_G1_Fire1"/>
      <sheetName val="Sub_G12_Fire1"/>
      <sheetName val="DETAILED__BOQ2"/>
      <sheetName val="M-Book_for_Conc2"/>
      <sheetName val="M-Book_for_FW2"/>
      <sheetName val="Ra__stair1"/>
      <sheetName val="HIRED_LABOUR_CODE2"/>
      <sheetName val="PA-_Consutant_2"/>
      <sheetName val="foot-slab_reinft2"/>
      <sheetName val="BILL_COV1"/>
      <sheetName val="Softscape_Buildup1"/>
      <sheetName val="Mat'l_Rate1"/>
      <sheetName val="GFA_HQ_Building9"/>
      <sheetName val="Rate_analysis6"/>
      <sheetName val="Day_work"/>
      <sheetName val="Dropdown"/>
      <sheetName val="ConferenceCentre?옰ʒ䄂ʒ鵠ʐ䄂ʒ閐̐䄂ʒ蕈̐"/>
      <sheetName val="INSTR"/>
      <sheetName val="갑지"/>
      <sheetName val="Data_Summary"/>
      <sheetName val="15-MECH"/>
      <sheetName val="Eq. Mobilization"/>
      <sheetName val="w't table"/>
      <sheetName val="cp-e1"/>
      <sheetName val="Softscape_Buildup2"/>
      <sheetName val="Mat'l_Rate2"/>
      <sheetName val="Working for RCC"/>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B185-B-2"/>
      <sheetName val="B185-B-3"/>
      <sheetName val="B185-B-4"/>
      <sheetName val="B185-B-5"/>
      <sheetName val="B185-B-6"/>
      <sheetName val="B185-B-7"/>
      <sheetName val="B185-B-8"/>
      <sheetName val="B185-B-9.1"/>
      <sheetName val="B185-B-9.2"/>
      <sheetName val="COLUMN"/>
      <sheetName val="집계표(OPTION)"/>
      <sheetName val="Materials_Cost(PCC)"/>
      <sheetName val="India_F&amp;S_Template"/>
      <sheetName val="IO_LIST"/>
      <sheetName val="Material_"/>
      <sheetName val="Quote_Sheet"/>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RA-markate"/>
      <sheetName val="BOQ_Direct_selling cost"/>
      <sheetName val="77S(O)"/>
      <sheetName val="PointNo.5"/>
      <sheetName val="11-hsd"/>
      <sheetName val="13-septic"/>
      <sheetName val="7-ug"/>
      <sheetName val="2-utility"/>
      <sheetName val="18-misc"/>
      <sheetName val="5-pipe"/>
      <sheetName val="PMWeb data"/>
      <sheetName val="ConferenceCentre_x005f_x0000_옰ʒ䄂ʒ鵠ʐ䄂ʒ"/>
      <sheetName val="Geneí¬_x005f_x0008_i_x005f_x0000__x005f_x0000__x0"/>
      <sheetName val="70_x005f_x0000_,_0_x005f_x0000_s«_x005f_x0008_i_x"/>
      <sheetName val="_x005f_x0000__x005f_x0000__x005f_x0000__x005f_x0000__x0"/>
      <sheetName val="PRECAST lightconc-II"/>
      <sheetName val="col-reinft1"/>
      <sheetName val="P&amp;L-BDMC"/>
      <sheetName val="final abstract"/>
      <sheetName val="Staff Acco."/>
      <sheetName val="TBAL9697 -group wise  sdpl"/>
      <sheetName val="CHART OF ACCOUNTS"/>
      <sheetName val="E-Bill No.6 A-O"/>
      <sheetName val="房屋及建筑物"/>
      <sheetName val="XL4Poppy"/>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B03"/>
      <sheetName val="B09.1"/>
      <sheetName val="Day_work1"/>
      <sheetName val="Gra¦_x0004_)_x0000__x0000__x0000_VW_x0000__x0000__x0000__x0000__x0000__x0000__x0000__x0000__x0000_ U"/>
      <sheetName val="/VW_x0000_VU_x0000_)_x0000__x0000__x0000_)_x0000__x0000__x0000__x0001__x0000__x0000__x0000_tÏØ0_x0009__x0008__x0000__x0000__x0009__x0008_"/>
      <sheetName val="Gra¦_x0004_)"/>
      <sheetName val="/VW"/>
      <sheetName val="2.2)Revised Cash Flow"/>
      <sheetName val="/VW_x0000_VU_x0000_)_x0000__x0000__x0000_)_x0000__x0000__x0000__x0001__x0000__x0000__x0000_tÏØ0 _x0008__x0000__x0000_ _x0008_"/>
      <sheetName val="Employee List"/>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Eq__Mobilization"/>
      <sheetName val="Working_for_RCC"/>
      <sheetName val="B185-B-9_1"/>
      <sheetName val="B185-B-9_2"/>
      <sheetName val="BOQ_Direct_selling_cost"/>
      <sheetName val="CHART_OF_ACCOUNTS"/>
      <sheetName val="E-Bill_No_6_A-O"/>
      <sheetName val="B09_1"/>
      <sheetName val="PMWeb_data"/>
      <sheetName val="SS_MH"/>
      <sheetName val="SS MH"/>
      <sheetName val="Geneí¬_x005f_x0008_i"/>
      <sheetName val="Material List "/>
      <sheetName val="Detail"/>
      <sheetName val="p&amp;m"/>
      <sheetName val="Voucher"/>
      <sheetName val="SStaff-Sept2013"/>
      <sheetName val="Index List"/>
      <sheetName val="Type List"/>
      <sheetName val="File Types"/>
      <sheetName val="입찰내역 발주처 양식"/>
      <sheetName val="LIST DO NOT REMOVE"/>
      <sheetName val="2_2)Revised_Cash_Flow"/>
      <sheetName val="Summary of Work"/>
      <sheetName val="Lists"/>
      <sheetName val="Div26 - Elect"/>
      <sheetName val="CHUNG CU CARRILON"/>
      <sheetName val="침하계"/>
      <sheetName val="70_x005f_x0000_,/0_x005f_x0000_s«_x005f_x0008_i_x"/>
      <sheetName val="escon"/>
      <sheetName val="SITE-E"/>
      <sheetName val="[SHOPLIST.xls]70___0_s__i_____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sheetData sheetId="185" refreshError="1"/>
      <sheetData sheetId="186" refreshError="1"/>
      <sheetData sheetId="187" refreshError="1"/>
      <sheetData sheetId="188" refreshError="1"/>
      <sheetData sheetId="189"/>
      <sheetData sheetId="190" refreshError="1"/>
      <sheetData sheetId="19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refreshError="1"/>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refreshError="1"/>
      <sheetData sheetId="473" refreshError="1"/>
      <sheetData sheetId="474" refreshError="1"/>
      <sheetData sheetId="475"/>
      <sheetData sheetId="476" refreshError="1"/>
      <sheetData sheetId="477" refreshError="1"/>
      <sheetData sheetId="478" refreshError="1"/>
      <sheetData sheetId="479" refreshError="1"/>
      <sheetData sheetId="480" refreshError="1"/>
      <sheetData sheetId="481"/>
      <sheetData sheetId="482"/>
      <sheetData sheetId="483"/>
      <sheetData sheetId="484"/>
      <sheetData sheetId="485"/>
      <sheetData sheetId="486" refreshError="1"/>
      <sheetData sheetId="487" refreshError="1"/>
      <sheetData sheetId="488"/>
      <sheetData sheetId="489" refreshError="1"/>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efreshError="1"/>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refreshError="1"/>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refreshError="1"/>
      <sheetData sheetId="626" refreshError="1"/>
      <sheetData sheetId="627" refreshError="1"/>
      <sheetData sheetId="628" refreshError="1"/>
      <sheetData sheetId="629" refreshError="1"/>
      <sheetData sheetId="630" refreshError="1"/>
      <sheetData sheetId="631"/>
      <sheetData sheetId="632" refreshError="1"/>
      <sheetData sheetId="633" refreshError="1"/>
      <sheetData sheetId="634"/>
      <sheetData sheetId="635" refreshError="1"/>
      <sheetData sheetId="636" refreshError="1"/>
      <sheetData sheetId="637" refreshError="1"/>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sheetData sheetId="755"/>
      <sheetData sheetId="756"/>
      <sheetData sheetId="757"/>
      <sheetData sheetId="758"/>
      <sheetData sheetId="759"/>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sheetData sheetId="849"/>
      <sheetData sheetId="850"/>
      <sheetData sheetId="851"/>
      <sheetData sheetId="852" refreshError="1"/>
      <sheetData sheetId="853"/>
      <sheetData sheetId="854"/>
      <sheetData sheetId="855" refreshError="1"/>
      <sheetData sheetId="856"/>
      <sheetData sheetId="857" refreshError="1"/>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refreshError="1"/>
      <sheetData sheetId="944" refreshError="1"/>
      <sheetData sheetId="945" refreshError="1"/>
      <sheetData sheetId="946"/>
      <sheetData sheetId="947"/>
      <sheetData sheetId="948"/>
      <sheetData sheetId="949" refreshError="1"/>
      <sheetData sheetId="950"/>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sheetData sheetId="961"/>
      <sheetData sheetId="962" refreshError="1"/>
      <sheetData sheetId="963" refreshError="1"/>
      <sheetData sheetId="964" refreshError="1"/>
      <sheetData sheetId="965" refreshError="1"/>
      <sheetData sheetId="966" refreshError="1"/>
      <sheetData sheetId="96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t"/>
      <sheetName val="escon"/>
      <sheetName val="maker"/>
      <sheetName val="scope"/>
      <sheetName val="bq"/>
      <sheetName val="PRO"/>
      <sheetName val="SUMPRO"/>
      <sheetName val="sex"/>
      <sheetName val="dbp-0601"/>
      <sheetName val="GTS I PS"/>
      <sheetName val="RAB"/>
      <sheetName val="BQ AC- SEMANAN"/>
      <sheetName val="AFORM-BQR"/>
      <sheetName val="Currency Rate"/>
      <sheetName val="I-KAMAR"/>
      <sheetName val="I_KAMAR"/>
      <sheetName val="boq"/>
      <sheetName val="BOW"/>
      <sheetName val="GTS_I_PS"/>
      <sheetName val="BQ_AC-_SEMANAN"/>
      <sheetName val="Currency_Rate"/>
      <sheetName val="AC"/>
      <sheetName val="capacity"/>
      <sheetName val="Man power"/>
      <sheetName val="Markup"/>
      <sheetName val="GTS_I_PS1"/>
      <sheetName val="BQ_AC-_SEMANAN1"/>
      <sheetName val="Currency_Rate1"/>
      <sheetName val="STR"/>
      <sheetName val="p_luar"/>
      <sheetName val="fin SB"/>
      <sheetName val="FIN PARKIR"/>
      <sheetName val="RINC FIN T4 "/>
      <sheetName val="daffin"/>
      <sheetName val="RINC FIN T4  _3_"/>
      <sheetName val="RINC FIN T4  _2_"/>
      <sheetName val="AHAS1"/>
      <sheetName val="Rekap Addendum"/>
      <sheetName val="LOADDAT"/>
      <sheetName val="Bill.1.VAC-Supply-A"/>
      <sheetName val="Plat"/>
      <sheetName val="Menu"/>
      <sheetName val="Daf Harga"/>
      <sheetName val="Bill"/>
      <sheetName val="Rekap Bill"/>
      <sheetName val="An_ Harga"/>
      <sheetName val="Cash Flow bulanan"/>
      <sheetName val="L-Mechanical"/>
      <sheetName val="BANGUNAN PENUNJANG"/>
      <sheetName val="GTS_I_PS2"/>
      <sheetName val="BQ_AC-_SEMANAN2"/>
      <sheetName val="Currency_Rate2"/>
      <sheetName val="Man_power"/>
      <sheetName val="HARSAT"/>
      <sheetName val="Rek_SA"/>
      <sheetName val="ES_T_B_C"/>
      <sheetName val="BAG_2"/>
      <sheetName val="Basic Price"/>
      <sheetName val="Agregat Halus _ Kasar"/>
      <sheetName val="Peralatan"/>
      <sheetName val="div 8"/>
      <sheetName val="div 2"/>
      <sheetName val="div 3"/>
      <sheetName val="div 4"/>
      <sheetName val="div 5"/>
      <sheetName val="div 6"/>
      <sheetName val="div 7"/>
      <sheetName val="div 9"/>
      <sheetName val="L4_PemelRutin"/>
      <sheetName val="Rekap Biaya"/>
      <sheetName val="Informasi"/>
      <sheetName val="dasboard"/>
      <sheetName val="AHS_Kusen"/>
      <sheetName val="harsat&amp;upah"/>
      <sheetName val="Listrik"/>
      <sheetName val="Cover"/>
      <sheetName val="Analisa"/>
      <sheetName val="INDEKS"/>
      <sheetName val="JABATAN"/>
      <sheetName val="DATA"/>
      <sheetName val="Z"/>
      <sheetName val="Cash2"/>
      <sheetName val="Harsat Bahan"/>
      <sheetName val="Harsat Upah"/>
      <sheetName val="tifico"/>
      <sheetName val="TOTAL"/>
      <sheetName val="r.tank"/>
      <sheetName val="prelim"/>
      <sheetName val="BQ ARS"/>
      <sheetName val="SAT-BHN"/>
      <sheetName val="A"/>
      <sheetName val="TENAGA"/>
      <sheetName val="Kolom UT"/>
      <sheetName val="Perhit.Alat"/>
      <sheetName val="Urai _Resap pengikat"/>
      <sheetName val="STAF"/>
      <sheetName val="F ALARM"/>
      <sheetName val="Rekapitulasi"/>
      <sheetName val="Rekap RAB_kl"/>
      <sheetName val="RAB_KL"/>
      <sheetName val="Rekap RAB_Amd"/>
      <sheetName val="RAB_Amd"/>
      <sheetName val="REKAP_Dftr_Kuan_Hrg_Amd"/>
      <sheetName val="Dftr_Kuan_Hrg Amd"/>
      <sheetName val="Public Area"/>
      <sheetName val="luar"/>
      <sheetName val="RINC hotel"/>
      <sheetName val="PROTECTION "/>
      <sheetName val="bahan-mos"/>
      <sheetName val="Ch"/>
      <sheetName val="SDY"/>
      <sheetName val="Perhitungan RAB"/>
      <sheetName val="Rencana Anggaran Biaya"/>
      <sheetName val="Harga Satuan"/>
      <sheetName val="Daf 1"/>
      <sheetName val="H.Satuan"/>
      <sheetName val="TE TS FA LAN MATV"/>
      <sheetName val="安装"/>
      <sheetName val="Material"/>
      <sheetName val="VAC-1"/>
      <sheetName val="대비표"/>
      <sheetName val="L-TIGA"/>
      <sheetName val="Man Power &amp; Comp"/>
      <sheetName val="SAP"/>
      <sheetName val="Grand summary"/>
      <sheetName val="SITE-E"/>
      <sheetName val="磨煤加压"/>
      <sheetName val="RAB-ME"/>
      <sheetName val="struktur tdk dipakai"/>
      <sheetName val="schalt"/>
      <sheetName val="schtng"/>
      <sheetName val="schbhn"/>
      <sheetName val="luar Apart"/>
      <sheetName val="Anal"/>
      <sheetName val="RAB-NEGO"/>
      <sheetName val="Bill rekap"/>
      <sheetName val="STRUCTURE"/>
      <sheetName val="hrg dasar"/>
      <sheetName val="Ahs.2"/>
      <sheetName val="Ahs.1"/>
      <sheetName val="Sheet1"/>
      <sheetName val="daf-3(OK)"/>
      <sheetName val="BQ-E20-02(Rp)"/>
      <sheetName val="daf-7(OK)"/>
      <sheetName val="DAF-2"/>
      <sheetName val="bahan "/>
      <sheetName val="ANALISA SNI'13 "/>
      <sheetName val="Tender Review"/>
      <sheetName val="Elec_ins"/>
      <sheetName val="Elec-ins"/>
      <sheetName val="#REF"/>
      <sheetName val="DONGIA"/>
      <sheetName val="dtxl"/>
      <sheetName val="TONGKE-HT"/>
      <sheetName val="phuluc1"/>
      <sheetName val="lam-moi"/>
      <sheetName val="chitimc"/>
      <sheetName val="THPDMoi  (2)"/>
      <sheetName val="giathanh1"/>
      <sheetName val="t-h HA THE"/>
      <sheetName val="CHITIET VL-NC-TT -1p"/>
      <sheetName val="dongia (2)"/>
      <sheetName val="TONG HOP VL-NC TT"/>
      <sheetName val="TH XL"/>
      <sheetName val="gtrinh"/>
      <sheetName val="thao-go"/>
      <sheetName val="TONG HOP VL-NC"/>
      <sheetName val="chitiet"/>
      <sheetName val="TONGKE3p "/>
      <sheetName val="TH VL, NC, DDHT Thanhphuoc"/>
      <sheetName val="DON GIA"/>
      <sheetName val="LKVL-CK-HT-GD1"/>
      <sheetName val="TNHCHINH"/>
      <sheetName val="CHITIET VL-NC"/>
      <sheetName val="jadw"/>
      <sheetName val="BM"/>
      <sheetName val="BID"/>
      <sheetName val="Estimate"/>
      <sheetName val="Kolom"/>
      <sheetName val="Bill of Quantity"/>
      <sheetName val="PileCap"/>
      <sheetName val="TB"/>
      <sheetName val="Perm. Test"/>
      <sheetName val="PNT"/>
      <sheetName val="Bill of Qty"/>
      <sheetName val="bahan"/>
      <sheetName val="DKH"/>
      <sheetName val="SUMMARY"/>
      <sheetName val="SPOOL"/>
      <sheetName val="DG"/>
      <sheetName val="COVERUSRP"/>
      <sheetName val="SITE"/>
      <sheetName val="ESCOND"/>
      <sheetName val="BQUSRP"/>
      <sheetName val="kin_OLP_xxx"/>
      <sheetName val="Hitung"/>
      <sheetName val="ANALISA PEK.UMUM"/>
      <sheetName val="ANALISA KONST BTN"/>
      <sheetName val="ana_san"/>
      <sheetName val="Analisa Str"/>
      <sheetName val="Electrikal"/>
      <sheetName val="Elektronik"/>
      <sheetName val="Plumbing"/>
      <sheetName val="Fire Fighting"/>
      <sheetName val="Item Kompensasi"/>
      <sheetName val="An Arsitektur"/>
      <sheetName val="Data basic price jgan diprint"/>
      <sheetName val="Jurnal"/>
      <sheetName val="Galian 1"/>
      <sheetName val="Sheet9"/>
      <sheetName val="川崎HRSG"/>
      <sheetName val="CAT_HAR"/>
      <sheetName val="time schedule"/>
      <sheetName val="periode progress"/>
      <sheetName val="progres"/>
      <sheetName val="rekap progres)"/>
      <sheetName val="GTS_I_PS3"/>
      <sheetName val="BQ_AC-_SEMANAN3"/>
      <sheetName val="Currency_Rate3"/>
      <sheetName val="Man_power1"/>
      <sheetName val="fin_SB"/>
      <sheetName val="FIN_PARKIR"/>
      <sheetName val="RINC_FIN_T4_"/>
      <sheetName val="RINC_FIN_T4___3_"/>
      <sheetName val="RINC_FIN_T4___2_"/>
      <sheetName val="Rekap_Addendum"/>
      <sheetName val="Bill_1_VAC-Supply-A"/>
      <sheetName val="Daf_Harga"/>
      <sheetName val="Rekap_Bill"/>
      <sheetName val="An__Harga"/>
      <sheetName val="Cash_Flow_bulanan"/>
      <sheetName val="BANGUNAN_PENUNJANG"/>
      <sheetName val="Basic_Price"/>
      <sheetName val="Agregat_Halus___Kasar"/>
      <sheetName val="div_8"/>
      <sheetName val="div_2"/>
      <sheetName val="div_3"/>
      <sheetName val="div_4"/>
      <sheetName val="div_5"/>
      <sheetName val="div_6"/>
      <sheetName val="div_7"/>
      <sheetName val="div_9"/>
      <sheetName val="Rekap_Biaya"/>
      <sheetName val="Harsat_Bahan"/>
      <sheetName val="Harsat_Upah"/>
      <sheetName val="r_tank"/>
      <sheetName val="BQ_ARS"/>
      <sheetName val="F_ALARM"/>
      <sheetName val="Rekap_RAB_kl"/>
      <sheetName val="Rekap_RAB_Amd"/>
      <sheetName val="Dftr_Kuan_Hrg_Amd"/>
      <sheetName val="DAF_1"/>
      <sheetName val="concept cost code"/>
      <sheetName val="summary cost code"/>
      <sheetName val="SPK"/>
      <sheetName val="kas proyek"/>
      <sheetName val="lain lain"/>
      <sheetName val="rekap1"/>
      <sheetName val="FitOutConfCentre"/>
      <sheetName val="ANA"/>
      <sheetName val="PRICES"/>
      <sheetName val="Input"/>
      <sheetName val="MUA"/>
      <sheetName val="GTS_I_PS4"/>
      <sheetName val="BQ_AC-_SEMANAN4"/>
      <sheetName val="Currency_Rate4"/>
      <sheetName val="Man_power2"/>
      <sheetName val="fin_SB1"/>
      <sheetName val="FIN_PARKIR1"/>
      <sheetName val="RINC_FIN_T4_1"/>
      <sheetName val="RINC_FIN_T4___3_1"/>
      <sheetName val="RINC_FIN_T4___2_1"/>
      <sheetName val="Rekap_Addendum1"/>
      <sheetName val="Bill_1_VAC-Supply-A1"/>
      <sheetName val="Daf_Harga1"/>
      <sheetName val="Rekap_Bill1"/>
      <sheetName val="An__Harga1"/>
      <sheetName val="Cash_Flow_bulanan1"/>
      <sheetName val="BANGUNAN_PENUNJANG1"/>
      <sheetName val="Basic_Price1"/>
      <sheetName val="Agregat_Halus___Kasar1"/>
      <sheetName val="div_81"/>
      <sheetName val="div_21"/>
      <sheetName val="div_31"/>
      <sheetName val="div_41"/>
      <sheetName val="div_51"/>
      <sheetName val="div_61"/>
      <sheetName val="div_71"/>
      <sheetName val="div_91"/>
      <sheetName val="Rekap_Biaya1"/>
      <sheetName val="Grand_summary"/>
      <sheetName val="Kolom_UT"/>
      <sheetName val="Perhit_Alat"/>
      <sheetName val="Urai__Resap_pengikat"/>
      <sheetName val="Public_Area"/>
      <sheetName val="Man_Power_&amp;_Comp"/>
      <sheetName val="TE_TS_FA_LAN_MATV"/>
      <sheetName val="RINC_hotel"/>
      <sheetName val="PROTECTION_"/>
      <sheetName val="Perhitungan_RAB"/>
      <sheetName val="Rencana_Anggaran_Biaya"/>
      <sheetName val="Harga_Satuan"/>
      <sheetName val="H_Satuan"/>
      <sheetName val="struktur_tdk_dipakai"/>
      <sheetName val="luar_Apart"/>
      <sheetName val="Bill_rekap"/>
      <sheetName val="Ahs_2"/>
      <sheetName val="Ahs_1"/>
      <sheetName val="hrg_dasar"/>
      <sheetName val="Tender_Review"/>
      <sheetName val="THPDMoi__(2)"/>
      <sheetName val="t-h_HA_THE"/>
      <sheetName val="CHITIET_VL-NC-TT_-1p"/>
      <sheetName val="dongia_(2)"/>
      <sheetName val="TONG_HOP_VL-NC_TT"/>
      <sheetName val="TH_XL"/>
      <sheetName val="TONG_HOP_VL-NC"/>
      <sheetName val="TONGKE3p_"/>
      <sheetName val="TH_VL,_NC,_DDHT_Thanhphuoc"/>
      <sheetName val="DON_GIA"/>
      <sheetName val="CHITIET_VL-NC"/>
      <sheetName val="bahan_"/>
      <sheetName val="ANALISA_SNI'13_"/>
      <sheetName val="Bill_of_Quantity"/>
      <sheetName val="Perm__Test"/>
      <sheetName val="Kanan"/>
      <sheetName val="r_fin"/>
      <sheetName val="Luas Gross"/>
      <sheetName val="bas A"/>
      <sheetName val="bas B"/>
      <sheetName val="RINC FIN A_hotel_"/>
      <sheetName val="RINC FIN A_hotel_ _2_"/>
      <sheetName val="Traf&amp;Genst"/>
      <sheetName val="REF.ONLY"/>
      <sheetName val="REQDELTA"/>
      <sheetName val="TU"/>
      <sheetName val="L_TIGA"/>
      <sheetName val="INDEX"/>
      <sheetName val="FR"/>
      <sheetName val="SAT_BHN"/>
      <sheetName val="analisa PUBM"/>
      <sheetName val="NET?"/>
      <sheetName val="BQ?"/>
      <sheetName val="3-DIV5"/>
      <sheetName val="Analisa Harga"/>
      <sheetName val="Upah"/>
      <sheetName val="RAB AR&amp;STR"/>
      <sheetName val="ANALISA1"/>
      <sheetName val="Thiet bi"/>
      <sheetName val="DM.ChiPhi"/>
      <sheetName val="BasicPrice"/>
      <sheetName val="AnConW"/>
      <sheetName val="AnEarthW"/>
      <sheetName val="AnStoneW"/>
      <sheetName val="Input Data"/>
      <sheetName val="UPAH BAHAN"/>
      <sheetName val="sort"/>
      <sheetName val="NP"/>
      <sheetName val="TJ1Q47"/>
      <sheetName val="Agregat Halus &amp; Kasar"/>
      <sheetName val="351BQMCN"/>
      <sheetName val="노임단가"/>
      <sheetName val="6MONTHS"/>
      <sheetName val="負荷集計（断熱不燃）"/>
      <sheetName val="침하계"/>
      <sheetName val="#REF!"/>
      <sheetName val="Tiepdia"/>
      <sheetName val="TDTKP"/>
      <sheetName val="VCV-BE-TONG"/>
      <sheetName val="NET_"/>
      <sheetName val="BQ_"/>
      <sheetName val="DG duoi"/>
      <sheetName val="electrical"/>
      <sheetName val="SALING"/>
      <sheetName val="149-2"/>
      <sheetName val="Basement (2)"/>
      <sheetName val="MP-PLAN"/>
      <sheetName val="EE-PROP"/>
      <sheetName val="10"/>
      <sheetName val="5"/>
      <sheetName val="1"/>
      <sheetName val="MP_PLAN"/>
      <sheetName val="schedule"/>
      <sheetName val="Penawaran"/>
      <sheetName val="Fill this out first___"/>
      <sheetName val="Rekapitulasi Harga Satuan"/>
      <sheetName val="Daftar Harga Material"/>
      <sheetName val="Kuantitas &amp; Harga"/>
      <sheetName val="rcnpdp"/>
      <sheetName val="harga"/>
      <sheetName val="HSD"/>
      <sheetName val="FAKTOR"/>
      <sheetName val="daf isi (xref)"/>
      <sheetName val="4-Basic Price"/>
      <sheetName val="5-ALAT(1)"/>
      <sheetName val="Bill_of_Qty"/>
      <sheetName val="ANALISA_PEK_UMUM"/>
      <sheetName val="ANALISA_KONST_BTN"/>
      <sheetName val="Analisa_Str"/>
      <sheetName val="Fire_Fighting"/>
      <sheetName val="Item_Kompensasi"/>
      <sheetName val="An_Arsitektur"/>
      <sheetName val="Data_basic_price_jgan_diprint"/>
      <sheetName val="Galian_1"/>
      <sheetName val="time_schedule"/>
      <sheetName val="periode_progress"/>
      <sheetName val="rekap_progres)"/>
      <sheetName val="目次"/>
      <sheetName val="실행"/>
      <sheetName val="Takeoff"/>
      <sheetName val="264"/>
      <sheetName val="Cash Flow"/>
      <sheetName val="NHAP"/>
      <sheetName val="XUAT"/>
      <sheetName val="Cable ko co giap bao ve "/>
      <sheetName val="gVL"/>
      <sheetName val="Config"/>
      <sheetName val="Chiết tính BS"/>
      <sheetName val="CP HMC"/>
      <sheetName val="Du thau"/>
      <sheetName val="Tong hop DT XDCT"/>
      <sheetName val="TH_CPTB"/>
      <sheetName val="CP Khac cuoc VC"/>
      <sheetName val="AFORM-BQR.xls"/>
      <sheetName val="UNIT_P"/>
      <sheetName val="F&amp;S"/>
      <sheetName val="Pipe"/>
      <sheetName val="valve"/>
      <sheetName val="Steel-Twr"/>
      <sheetName val="5.1.ELEKTRIKAL-ELEKTRONIK"/>
      <sheetName val="L 1"/>
      <sheetName val="Analisa Alat Berat"/>
      <sheetName val="PESANTREN"/>
      <sheetName val="G"/>
      <sheetName val="Curup"/>
      <sheetName val="Prabu"/>
      <sheetName val="On Time"/>
      <sheetName val="Grafik"/>
      <sheetName val="pro ra op"/>
      <sheetName val="Week9-Feb    "/>
      <sheetName val="PNT-QUOT-#3"/>
      <sheetName val="COAT&amp;WRAP-QIOT-#3"/>
      <sheetName val="BQ_IABK"/>
      <sheetName val="BQ-IABK"/>
      <sheetName val="XL4Poppy"/>
      <sheetName val="PNT_QUOT__3"/>
      <sheetName val="COAT_WRAP_QIOT__3"/>
      <sheetName val="Notes"/>
      <sheetName val="Quantity"/>
      <sheetName val="gia vt"/>
      <sheetName val="1.BILL MOI THAU CAN THUONG"/>
      <sheetName val="4-Lane bridge"/>
      <sheetName val="Temp&amp;Site"/>
      <sheetName val="GTS_I_PS5"/>
      <sheetName val="BQ_AC-_SEMANAN5"/>
      <sheetName val="Currency_Rate5"/>
      <sheetName val="Man_power3"/>
      <sheetName val="fin_SB2"/>
      <sheetName val="FIN_PARKIR2"/>
      <sheetName val="RINC_FIN_T4_2"/>
      <sheetName val="RINC_FIN_T4___3_2"/>
      <sheetName val="RINC_FIN_T4___2_2"/>
      <sheetName val="Rekap_Addendum2"/>
      <sheetName val="Bill_1_VAC-Supply-A2"/>
      <sheetName val="BANGUNAN_PENUNJANG2"/>
      <sheetName val="Daf_Harga2"/>
      <sheetName val="Rekap_Bill2"/>
      <sheetName val="An__Harga2"/>
      <sheetName val="Cash_Flow_bulanan2"/>
      <sheetName val="Basic_Price2"/>
      <sheetName val="Agregat_Halus___Kasar2"/>
      <sheetName val="div_82"/>
      <sheetName val="div_22"/>
      <sheetName val="div_32"/>
      <sheetName val="div_42"/>
      <sheetName val="div_52"/>
      <sheetName val="div_62"/>
      <sheetName val="div_72"/>
      <sheetName val="div_92"/>
      <sheetName val="Rekap_Biaya2"/>
      <sheetName val="Harsat_Bahan1"/>
      <sheetName val="Harsat_Upah1"/>
      <sheetName val="r_tank1"/>
      <sheetName val="BQ_ARS1"/>
      <sheetName val="Kolom_UT1"/>
      <sheetName val="Perhit_Alat1"/>
      <sheetName val="Urai__Resap_pengikat1"/>
      <sheetName val="F_ALARM1"/>
      <sheetName val="Rekap_RAB_kl1"/>
      <sheetName val="Rekap_RAB_Amd1"/>
      <sheetName val="Dftr_Kuan_Hrg_Amd1"/>
      <sheetName val="Public_Area1"/>
      <sheetName val="RINC_hotel1"/>
      <sheetName val="PROTECTION_1"/>
      <sheetName val="Perhitungan_RAB1"/>
      <sheetName val="Rencana_Anggaran_Biaya1"/>
      <sheetName val="Harga_Satuan1"/>
      <sheetName val="H_Satuan1"/>
      <sheetName val="TE_TS_FA_LAN_MATV1"/>
      <sheetName val="Man_Power_&amp;_Comp1"/>
      <sheetName val="Grand_summary1"/>
      <sheetName val="struktur_tdk_dipakai1"/>
      <sheetName val="luar_Apart1"/>
      <sheetName val="Bill_rekap1"/>
      <sheetName val="hrg_dasar1"/>
      <sheetName val="Ahs_21"/>
      <sheetName val="Ahs_11"/>
      <sheetName val="bahan_1"/>
      <sheetName val="ANALISA_SNI'13_1"/>
      <sheetName val="Tender_Review1"/>
      <sheetName val="THPDMoi__(2)1"/>
      <sheetName val="t-h_HA_THE1"/>
      <sheetName val="CHITIET_VL-NC-TT_-1p1"/>
      <sheetName val="dongia_(2)1"/>
      <sheetName val="TONG_HOP_VL-NC_TT1"/>
      <sheetName val="TH_XL1"/>
      <sheetName val="TONG_HOP_VL-NC1"/>
      <sheetName val="TONGKE3p_1"/>
      <sheetName val="TH_VL,_NC,_DDHT_Thanhphuoc1"/>
      <sheetName val="DON_GIA1"/>
      <sheetName val="CHITIET_VL-NC1"/>
      <sheetName val="Bill_of_Quantity1"/>
      <sheetName val="Perm__Test1"/>
      <sheetName val="Thiet_bi"/>
      <sheetName val="DM_ChiPhi"/>
      <sheetName val="concept_cost_code"/>
      <sheetName val="summary_cost_code"/>
      <sheetName val="kas_proyek"/>
      <sheetName val="lain_lain"/>
      <sheetName val="Luas_Gross"/>
      <sheetName val="bas_A"/>
      <sheetName val="bas_B"/>
      <sheetName val="RINC_FIN_A_hotel_"/>
      <sheetName val="RINC_FIN_A_hotel___2_"/>
      <sheetName val="REF_ONLY"/>
      <sheetName val="Analisa_Harga"/>
      <sheetName val="RAB_AR&amp;STR"/>
      <sheetName val="analisa_PUBM"/>
      <sheetName val="Bill of Qty MEP"/>
      <sheetName val="토공"/>
      <sheetName val="조명시설"/>
      <sheetName val="TESİSAT"/>
      <sheetName val="D7(1)"/>
      <sheetName val="villa"/>
      <sheetName val="???1"/>
      <sheetName val="KP-XL"/>
      <sheetName val="Tra_bang"/>
      <sheetName val="Div2"/>
      <sheetName val="Tuk Koef"/>
      <sheetName val="Hsatuan-OK"/>
      <sheetName val="Har Sat"/>
      <sheetName val="Har_Sat"/>
      <sheetName val="Kuantitas_&amp;_Harga"/>
      <sheetName val="DIV.1"/>
      <sheetName val="bq analisa"/>
      <sheetName val="CBD"/>
      <sheetName val="An HarSatPek"/>
      <sheetName val="Sat Bah &amp; Up"/>
      <sheetName val="Struk"/>
      <sheetName val="PRD 01-6(I-II)"/>
      <sheetName val="PRD 01-7 alat"/>
      <sheetName val="BASIC"/>
      <sheetName val="EVAL-ANAL"/>
      <sheetName val="MAP"/>
      <sheetName val="div-6"/>
      <sheetName val="RKP"/>
      <sheetName val="div-2"/>
      <sheetName val="Ana. PU"/>
      <sheetName val="Rekap"/>
      <sheetName val="Rincian"/>
      <sheetName val="HARGA AT"/>
      <sheetName val="Progress"/>
      <sheetName val="skejul"/>
      <sheetName val="per span 35"/>
      <sheetName val="ANL_TEK.6"/>
      <sheetName val="Pack-3"/>
      <sheetName val="QUOTATION"/>
      <sheetName val="QUOTATION (2)"/>
      <sheetName val="Piping"/>
      <sheetName val="Bill-19"/>
      <sheetName val="sum-bill22"/>
      <sheetName val="An Struktur"/>
      <sheetName val="CALC"/>
      <sheetName val="Project Data"/>
      <sheetName val="Confidential PAS HMI"/>
      <sheetName val="sept"/>
      <sheetName val="Div3"/>
      <sheetName val="Div4"/>
      <sheetName val="galian saluran"/>
      <sheetName val="Analisa Harga Satuan"/>
      <sheetName val="Daftar Harga"/>
      <sheetName val="Analisa Prelim"/>
      <sheetName val="area"/>
      <sheetName val="Rekapitulasi Akhir"/>
      <sheetName val="Bill.1 Persiapan"/>
      <sheetName val="Bill.4 tambah kurang"/>
      <sheetName val="NP (2)"/>
      <sheetName val="fas"/>
      <sheetName val="typ 10_25"/>
      <sheetName val="ph26"/>
      <sheetName val="ph27"/>
      <sheetName val="kor_un"/>
      <sheetName val="kor"/>
      <sheetName val="Column"/>
      <sheetName val="Cover (x)"/>
      <sheetName val="Cor Apt"/>
      <sheetName val="Sales"/>
      <sheetName val="Analysis"/>
      <sheetName val="Mob"/>
      <sheetName val="D7"/>
      <sheetName val="Mẫu"/>
      <sheetName val="LEGEND"/>
      <sheetName val="B3A - TOWER A"/>
      <sheetName val="MTO REV.2(ARMOR)"/>
      <sheetName val="GTS_I_PS6"/>
      <sheetName val="BQ_AC-_SEMANAN6"/>
      <sheetName val="Currency_Rate6"/>
      <sheetName val="Man_power4"/>
      <sheetName val="fin_SB3"/>
      <sheetName val="FIN_PARKIR3"/>
      <sheetName val="RINC_FIN_T4_3"/>
      <sheetName val="RINC_FIN_T4___3_3"/>
      <sheetName val="RINC_FIN_T4___2_3"/>
      <sheetName val="Rekap_Addendum3"/>
      <sheetName val="Bill_1_VAC-Supply-A3"/>
      <sheetName val="BANGUNAN_PENUNJANG3"/>
      <sheetName val="Daf_Harga3"/>
      <sheetName val="Rekap_Bill3"/>
      <sheetName val="An__Harga3"/>
      <sheetName val="Cash_Flow_bulanan3"/>
      <sheetName val="Basic_Price3"/>
      <sheetName val="Agregat_Halus___Kasar3"/>
      <sheetName val="div_83"/>
      <sheetName val="div_23"/>
      <sheetName val="div_33"/>
      <sheetName val="div_43"/>
      <sheetName val="div_53"/>
      <sheetName val="div_63"/>
      <sheetName val="div_73"/>
      <sheetName val="div_93"/>
      <sheetName val="Rekap_Biaya3"/>
      <sheetName val="Harsat_Bahan2"/>
      <sheetName val="Harsat_Upah2"/>
      <sheetName val="r_tank2"/>
      <sheetName val="BQ_ARS2"/>
      <sheetName val="Kolom_UT2"/>
      <sheetName val="Perhit_Alat2"/>
      <sheetName val="Urai__Resap_pengikat2"/>
      <sheetName val="F_ALARM2"/>
      <sheetName val="Rekap_RAB_kl2"/>
      <sheetName val="Rekap_RAB_Amd2"/>
      <sheetName val="Dftr_Kuan_Hrg_Amd2"/>
      <sheetName val="Public_Area2"/>
      <sheetName val="RINC_hotel2"/>
      <sheetName val="PROTECTION_2"/>
      <sheetName val="Perhitungan_RAB2"/>
      <sheetName val="Rencana_Anggaran_Biaya2"/>
      <sheetName val="Harga_Satuan2"/>
      <sheetName val="H_Satuan2"/>
      <sheetName val="TE_TS_FA_LAN_MATV2"/>
      <sheetName val="Man_Power_&amp;_Comp2"/>
      <sheetName val="Grand_summary2"/>
      <sheetName val="struktur_tdk_dipakai2"/>
      <sheetName val="luar_Apart2"/>
      <sheetName val="Bill_rekap2"/>
      <sheetName val="hrg_dasar2"/>
      <sheetName val="Ahs_22"/>
      <sheetName val="Ahs_12"/>
      <sheetName val="bahan_2"/>
      <sheetName val="ANALISA_SNI'13_2"/>
      <sheetName val="Tender_Review2"/>
      <sheetName val="THPDMoi__(2)2"/>
      <sheetName val="t-h_HA_THE2"/>
      <sheetName val="CHITIET_VL-NC-TT_-1p2"/>
      <sheetName val="dongia_(2)2"/>
      <sheetName val="TONG_HOP_VL-NC_TT2"/>
      <sheetName val="TH_XL2"/>
      <sheetName val="TONG_HOP_VL-NC2"/>
      <sheetName val="TONGKE3p_2"/>
      <sheetName val="TH_VL,_NC,_DDHT_Thanhphuoc2"/>
      <sheetName val="DON_GIA2"/>
      <sheetName val="CHITIET_VL-NC2"/>
      <sheetName val="Bill_of_Quantity2"/>
      <sheetName val="Perm__Test2"/>
      <sheetName val="Bill_of_Qty1"/>
      <sheetName val="ANALISA_PEK_UMUM1"/>
      <sheetName val="ANALISA_KONST_BTN1"/>
      <sheetName val="Analisa_Str1"/>
      <sheetName val="Fire_Fighting1"/>
      <sheetName val="Item_Kompensasi1"/>
      <sheetName val="An_Arsitektur1"/>
      <sheetName val="Data_basic_price_jgan_diprint1"/>
      <sheetName val="Galian_11"/>
      <sheetName val="Thiet_bi1"/>
      <sheetName val="DM_ChiPhi1"/>
      <sheetName val="time_schedule1"/>
      <sheetName val="periode_progress1"/>
      <sheetName val="rekap_progres)1"/>
      <sheetName val="concept_cost_code1"/>
      <sheetName val="summary_cost_code1"/>
      <sheetName val="kas_proyek1"/>
      <sheetName val="lain_lain1"/>
      <sheetName val="RAB_AR&amp;STR1"/>
      <sheetName val="DG_duoi"/>
      <sheetName val="Luas_Gross1"/>
      <sheetName val="bas_A1"/>
      <sheetName val="bas_B1"/>
      <sheetName val="RINC_FIN_A_hotel_1"/>
      <sheetName val="RINC_FIN_A_hotel___2_1"/>
      <sheetName val="REF_ONLY1"/>
      <sheetName val="Analisa_Harga1"/>
      <sheetName val="analisa_PUBM1"/>
      <sheetName val="4-Lane_bridge"/>
      <sheetName val="Cash_Flow"/>
      <sheetName val="Input_Data"/>
      <sheetName val="UPAH_BAHAN"/>
      <sheetName val="Agregat_Halus_&amp;_Kasar"/>
      <sheetName val="Chiết_tính_BS"/>
      <sheetName val="CP_HMC"/>
      <sheetName val="Du_thau"/>
      <sheetName val="Tong_hop_DT_XDCT"/>
      <sheetName val="CP_Khac_cuoc_VC"/>
      <sheetName val="Basement_(2)"/>
      <sheetName val="Fill_this_out_first___"/>
      <sheetName val="Rekapitulasi_Harga_Satuan"/>
      <sheetName val="Daftar_Harga_Material"/>
      <sheetName val="Kuantitas_&amp;_Harga1"/>
      <sheetName val="daf_isi_(xref)"/>
      <sheetName val="4-Basic_Price"/>
      <sheetName val="Cable_ko_co_giap_bao_ve_"/>
      <sheetName val="AFORM-BQR_xls"/>
      <sheetName val="Week9-Feb____"/>
      <sheetName val="gia_vt"/>
      <sheetName val="1_BILL_MOI_THAU_CAN_THUONG"/>
      <sheetName val="5_1_ELEKTRIKAL-ELEKTRONIK"/>
      <sheetName val="L_1"/>
      <sheetName val="Analisa_Alat_Berat"/>
      <sheetName val="On_Time"/>
      <sheetName val="pro_ra_op"/>
      <sheetName val="ANL_TEK_6"/>
      <sheetName val="bq_analisa"/>
      <sheetName val="per_span_35"/>
      <sheetName val="An_HarSatPek"/>
      <sheetName val="Sat_Bah_&amp;_Up"/>
      <sheetName val="Tuk_Koef"/>
      <sheetName val="Har_Sat1"/>
      <sheetName val="DIV_1"/>
      <sheetName val="PRD_01-6(I-II)"/>
      <sheetName val="PRD_01-7_alat"/>
      <sheetName val="Ana__PU"/>
      <sheetName val="HARGA_AT"/>
      <sheetName val="An_Struktur"/>
      <sheetName val="MTP"/>
      <sheetName val="GTS_I_PS7"/>
      <sheetName val="BQ_AC-_SEMANAN7"/>
      <sheetName val="Currency_Rate7"/>
      <sheetName val="Man_power5"/>
      <sheetName val="fin_SB4"/>
      <sheetName val="FIN_PARKIR4"/>
      <sheetName val="RINC_FIN_T4_4"/>
      <sheetName val="RINC_FIN_T4___3_4"/>
      <sheetName val="RINC_FIN_T4___2_4"/>
      <sheetName val="Rekap_Addendum4"/>
      <sheetName val="Bill_1_VAC-Supply-A4"/>
      <sheetName val="BANGUNAN_PENUNJANG4"/>
      <sheetName val="Daf_Harga4"/>
      <sheetName val="Rekap_Bill4"/>
      <sheetName val="An__Harga4"/>
      <sheetName val="Cash_Flow_bulanan4"/>
      <sheetName val="Basic_Price4"/>
      <sheetName val="Agregat_Halus___Kasar4"/>
      <sheetName val="div_84"/>
      <sheetName val="div_24"/>
      <sheetName val="div_34"/>
      <sheetName val="div_44"/>
      <sheetName val="div_54"/>
      <sheetName val="div_64"/>
      <sheetName val="div_74"/>
      <sheetName val="div_94"/>
      <sheetName val="Rekap_Biaya4"/>
      <sheetName val="Harsat_Bahan3"/>
      <sheetName val="Harsat_Upah3"/>
      <sheetName val="r_tank3"/>
      <sheetName val="BQ_ARS3"/>
      <sheetName val="Kolom_UT3"/>
      <sheetName val="Perhit_Alat3"/>
      <sheetName val="Urai__Resap_pengikat3"/>
      <sheetName val="F_ALARM3"/>
      <sheetName val="Rekap_RAB_kl3"/>
      <sheetName val="Rekap_RAB_Amd3"/>
      <sheetName val="Dftr_Kuan_Hrg_Amd3"/>
      <sheetName val="Public_Area3"/>
      <sheetName val="RINC_hotel3"/>
      <sheetName val="PROTECTION_3"/>
      <sheetName val="Perhitungan_RAB3"/>
      <sheetName val="Rencana_Anggaran_Biaya3"/>
      <sheetName val="Harga_Satuan3"/>
      <sheetName val="H_Satuan3"/>
      <sheetName val="TE_TS_FA_LAN_MATV3"/>
      <sheetName val="Man_Power_&amp;_Comp3"/>
      <sheetName val="Grand_summary3"/>
      <sheetName val="struktur_tdk_dipakai3"/>
      <sheetName val="luar_Apart3"/>
      <sheetName val="Bill_rekap3"/>
      <sheetName val="hrg_dasar3"/>
      <sheetName val="Ahs_23"/>
      <sheetName val="Ahs_13"/>
      <sheetName val="bahan_3"/>
      <sheetName val="ANALISA_SNI'13_3"/>
      <sheetName val="Tender_Review3"/>
      <sheetName val="THPDMoi__(2)3"/>
      <sheetName val="t-h_HA_THE3"/>
      <sheetName val="CHITIET_VL-NC-TT_-1p3"/>
      <sheetName val="dongia_(2)3"/>
      <sheetName val="TONG_HOP_VL-NC_TT3"/>
      <sheetName val="TH_XL3"/>
      <sheetName val="TONG_HOP_VL-NC3"/>
      <sheetName val="TONGKE3p_3"/>
      <sheetName val="TH_VL,_NC,_DDHT_Thanhphuoc3"/>
      <sheetName val="DON_GIA3"/>
      <sheetName val="CHITIET_VL-NC3"/>
      <sheetName val="Bill_of_Quantity3"/>
      <sheetName val="Perm__Test3"/>
      <sheetName val="Bill_of_Qty2"/>
      <sheetName val="ANALISA_PEK_UMUM2"/>
      <sheetName val="ANALISA_KONST_BTN2"/>
      <sheetName val="Analisa_Str2"/>
      <sheetName val="Fire_Fighting2"/>
      <sheetName val="Item_Kompensasi2"/>
      <sheetName val="An_Arsitektur2"/>
      <sheetName val="Data_basic_price_jgan_diprint2"/>
      <sheetName val="Galian_12"/>
      <sheetName val="Thiet_bi2"/>
      <sheetName val="DM_ChiPhi2"/>
      <sheetName val="time_schedule2"/>
      <sheetName val="periode_progress2"/>
      <sheetName val="rekap_progres)2"/>
      <sheetName val="concept_cost_code2"/>
      <sheetName val="summary_cost_code2"/>
      <sheetName val="kas_proyek2"/>
      <sheetName val="lain_lain2"/>
      <sheetName val="RAB_AR&amp;STR2"/>
      <sheetName val="Cash_Flow1"/>
      <sheetName val="DG_duoi1"/>
      <sheetName val="Luas_Gross2"/>
      <sheetName val="bas_A2"/>
      <sheetName val="bas_B2"/>
      <sheetName val="RINC_FIN_A_hotel_2"/>
      <sheetName val="RINC_FIN_A_hotel___2_2"/>
      <sheetName val="REF_ONLY2"/>
      <sheetName val="Analisa_Harga2"/>
      <sheetName val="analisa_PUBM2"/>
      <sheetName val="Input_Data1"/>
      <sheetName val="UPAH_BAHAN1"/>
      <sheetName val="Agregat_Halus_&amp;_Kasar1"/>
      <sheetName val="Cable_ko_co_giap_bao_ve_1"/>
      <sheetName val="Basement_(2)1"/>
      <sheetName val="Fill_this_out_first___1"/>
      <sheetName val="Rekapitulasi_Harga_Satuan1"/>
      <sheetName val="Daftar_Harga_Material1"/>
      <sheetName val="Kuantitas_&amp;_Harga2"/>
      <sheetName val="daf_isi_(xref)1"/>
      <sheetName val="4-Basic_Price1"/>
      <sheetName val="Chiết_tính_BS1"/>
      <sheetName val="CP_HMC1"/>
      <sheetName val="Du_thau1"/>
      <sheetName val="Tong_hop_DT_XDCT1"/>
      <sheetName val="CP_Khac_cuoc_VC1"/>
      <sheetName val="4-Lane_bridge1"/>
      <sheetName val="AFORM-BQR_xls1"/>
      <sheetName val="gia_vt1"/>
      <sheetName val="1_BILL_MOI_THAU_CAN_THUONG1"/>
      <sheetName val="Week9-Feb____1"/>
      <sheetName val="5_1_ELEKTRIKAL-ELEKTRONIK1"/>
      <sheetName val="L_11"/>
      <sheetName val="Analisa_Alat_Berat1"/>
      <sheetName val="On_Time1"/>
      <sheetName val="pro_ra_op1"/>
      <sheetName val="ANL_TEK_61"/>
      <sheetName val="bq_analisa1"/>
      <sheetName val="per_span_351"/>
      <sheetName val="An_HarSatPek1"/>
      <sheetName val="Sat_Bah_&amp;_Up1"/>
      <sheetName val="Tuk_Koef1"/>
      <sheetName val="Har_Sat2"/>
      <sheetName val="DIV_11"/>
      <sheetName val="PRD_01-6(I-II)1"/>
      <sheetName val="PRD_01-7_alat1"/>
      <sheetName val="Ana__PU1"/>
      <sheetName val="HARGA_AT1"/>
      <sheetName val="An_Struktur1"/>
      <sheetName val="Project_P"/>
      <sheetName val="BUSWAY"/>
      <sheetName val="Harsat.Alat"/>
      <sheetName val="MAPP"/>
      <sheetName val="anls"/>
      <sheetName val="BAHAN MEP"/>
      <sheetName val="DPKlah"/>
      <sheetName val="Waktu"/>
      <sheetName val="Harga Satuan Bahan"/>
      <sheetName val="VL"/>
      <sheetName val="ND"/>
      <sheetName val="Bangia"/>
      <sheetName val="入力作成表"/>
      <sheetName val="Earthwork"/>
      <sheetName val="CT"/>
      <sheetName val="D6"/>
      <sheetName val="D8"/>
      <sheetName val="Isolasi Luar"/>
      <sheetName val="FINISHING"/>
      <sheetName val="ocean voyage"/>
      <sheetName val="PE-F-42 Rev 01 Manpower"/>
      <sheetName val="0000"/>
      <sheetName val="Net sum"/>
      <sheetName val="0-Grand Summary"/>
      <sheetName val="FP-(B&amp;EDECK)-Breakdown"/>
      <sheetName val="FP-(BLOCK B1)-Breakdown"/>
      <sheetName val="FP-(BLOCK B2)-Breakdown"/>
      <sheetName val="FP-(BLOCK B3)-Breakdown"/>
      <sheetName val="FP-(Club House)-Breadown"/>
      <sheetName val="KL THÉP MÓNG,DẦM, SÀN, CỘT B2"/>
      <sheetName val="THKLTT THÉP B2"/>
      <sheetName val="___1"/>
      <sheetName val="har-sat"/>
      <sheetName val="ANALISA HARGA   "/>
      <sheetName val="Memb Schd"/>
      <sheetName val="Master Edit"/>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upah_borong"/>
      <sheetName val="satuan_pek"/>
      <sheetName val="Book 1 Summary"/>
      <sheetName val="HRG"/>
      <sheetName val="PERALATAN PROYEK GOL III A"/>
      <sheetName val="JAD-PEL"/>
      <sheetName val="harga dasar T-M-A"/>
      <sheetName val="6-AGREGAT"/>
      <sheetName val="Vibro_Roller"/>
      <sheetName val="CUACA"/>
      <sheetName val="Up"/>
      <sheetName val="DIV1"/>
      <sheetName val="Upah "/>
      <sheetName val="5-Peralatan"/>
      <sheetName val="HARGA MATERIAL"/>
      <sheetName val="HSP"/>
      <sheetName val="telp"/>
      <sheetName val="an.pemel.rutin"/>
      <sheetName val="an.mobilisasi"/>
      <sheetName val="an.dmpu"/>
      <sheetName val="daftar.kuantita"/>
      <sheetName val="alat"/>
      <sheetName val="metode.dmpu"/>
      <sheetName val="analis"/>
      <sheetName val="REKAP ARSITEKTUR"/>
      <sheetName val="REKAP STRKTR"/>
      <sheetName val="Volume"/>
      <sheetName val="AHS"/>
      <sheetName val="NET表"/>
      <sheetName val="BQ表"/>
      <sheetName val="Analisa &amp; Upah"/>
      <sheetName val="Analisa 2"/>
      <sheetName val="daf_3_OK_"/>
      <sheetName val="daf_7_OK_"/>
      <sheetName val="HRG BHN"/>
      <sheetName val="LG"/>
      <sheetName val="DESCRIPTION"/>
      <sheetName val="BM DATA SHEET"/>
      <sheetName val="Fabrication"/>
      <sheetName val="bke7"/>
      <sheetName val="Priced BOQ"/>
      <sheetName val="Elec LG"/>
      <sheetName val="BOQ_MECH"/>
      <sheetName val="BOQ_ELEC"/>
      <sheetName val="IBMS"/>
      <sheetName val="ABB_Trans"/>
      <sheetName val="Main Feeder"/>
      <sheetName val="Capacitor"/>
      <sheetName val="Input_Data-1"/>
      <sheetName val="PE Wire"/>
      <sheetName val="XLPE_Cable"/>
      <sheetName val="Master"/>
      <sheetName val="係数"/>
      <sheetName val="MTO REV_0"/>
      <sheetName val="BAB_3_2_scd"/>
      <sheetName val="BAB_5_13_Anal"/>
      <sheetName val="Pricing"/>
      <sheetName val="3-DIV3"/>
      <sheetName val="HRG BAHAN &amp; UPAH okk"/>
      <sheetName val="Analis Kusen okk"/>
      <sheetName val="DAF-1"/>
      <sheetName val="CH-RANC"/>
      <sheetName val="PSB"/>
      <sheetName val="Analisa-Harga"/>
      <sheetName val="KS-P"/>
      <sheetName val="Upah&amp;Bahan"/>
      <sheetName val="Analisa1-10"/>
      <sheetName val="KPVC-BD "/>
      <sheetName val="SAT"/>
      <sheetName val="rap rinci"/>
      <sheetName val="ANALISA SNI NUSA"/>
      <sheetName val="ANALISA SNI"/>
      <sheetName val="HSA &amp; PAB"/>
      <sheetName val="DETAIL LT11-13"/>
      <sheetName val="me"/>
      <sheetName val="Bunga"/>
      <sheetName val="BAG-III"/>
      <sheetName val="Df-Hg"/>
      <sheetName val="HS-Ban"/>
      <sheetName val="HB "/>
      <sheetName val="Bill 5 - Carpark"/>
      <sheetName val="BAG-2"/>
      <sheetName val="Rencana Anggaran Beaya"/>
      <sheetName val="Rencana_Anggaran_Beaya"/>
      <sheetName val="1.B"/>
      <sheetName val="OwnEq"/>
      <sheetName val="61004"/>
      <sheetName val="61007"/>
      <sheetName val="61008"/>
      <sheetName val="61005"/>
      <sheetName val="61006"/>
      <sheetName val="RECORD"/>
      <sheetName val="AG Pipe Qty Analysis"/>
      <sheetName val="Print"/>
      <sheetName val="F1.4"/>
      <sheetName val="집계표(OPTION)"/>
      <sheetName val="Sec I ML"/>
      <sheetName val="Daf_11"/>
      <sheetName val="Upah_"/>
      <sheetName val="HARGA_MATERIAL"/>
      <sheetName val="Harsat_Alat"/>
      <sheetName val="AN-K"/>
      <sheetName val="Koordinat"/>
      <sheetName val="ALAT1"/>
      <sheetName val="ALAT2"/>
      <sheetName val="Shedule"/>
      <sheetName val="B"/>
      <sheetName val="BreakDown"/>
      <sheetName val="Builder"/>
      <sheetName val="BND"/>
      <sheetName val="FUEL FILLER"/>
      <sheetName val="유림골조"/>
      <sheetName val="Sheet4"/>
      <sheetName val="설계내역서"/>
      <sheetName val="GTS_I_PS8"/>
      <sheetName val="BQ_AC-_SEMANAN8"/>
      <sheetName val="Currency_Rate8"/>
      <sheetName val="Man_power6"/>
      <sheetName val="fin_SB5"/>
      <sheetName val="FIN_PARKIR5"/>
      <sheetName val="RINC_FIN_T4_5"/>
      <sheetName val="RINC_FIN_T4___3_5"/>
      <sheetName val="RINC_FIN_T4___2_5"/>
      <sheetName val="Rekap_Addendum5"/>
      <sheetName val="Bill_1_VAC-Supply-A5"/>
      <sheetName val="BANGUNAN_PENUNJANG5"/>
      <sheetName val="Daf_Harga5"/>
      <sheetName val="Rekap_Bill5"/>
      <sheetName val="An__Harga5"/>
      <sheetName val="Cash_Flow_bulanan5"/>
      <sheetName val="Basic_Price5"/>
      <sheetName val="Agregat_Halus___Kasar5"/>
      <sheetName val="div_85"/>
      <sheetName val="div_25"/>
      <sheetName val="div_35"/>
      <sheetName val="div_45"/>
      <sheetName val="div_55"/>
      <sheetName val="div_65"/>
      <sheetName val="div_75"/>
      <sheetName val="div_95"/>
      <sheetName val="Rekap_Biaya5"/>
      <sheetName val="Harsat_Bahan4"/>
      <sheetName val="Harsat_Upah4"/>
      <sheetName val="r_tank4"/>
      <sheetName val="BQ_ARS4"/>
      <sheetName val="Kolom_UT4"/>
      <sheetName val="Perhit_Alat4"/>
      <sheetName val="Urai__Resap_pengikat4"/>
      <sheetName val="F_ALARM4"/>
      <sheetName val="Rekap_RAB_kl4"/>
      <sheetName val="Rekap_RAB_Amd4"/>
      <sheetName val="Dftr_Kuan_Hrg_Amd4"/>
      <sheetName val="Public_Area4"/>
      <sheetName val="RINC_hotel4"/>
      <sheetName val="PROTECTION_4"/>
      <sheetName val="Perhitungan_RAB4"/>
      <sheetName val="Rencana_Anggaran_Biaya4"/>
      <sheetName val="Harga_Satuan4"/>
      <sheetName val="H_Satuan4"/>
      <sheetName val="TE_TS_FA_LAN_MATV4"/>
      <sheetName val="Man_Power_&amp;_Comp4"/>
      <sheetName val="Grand_summary4"/>
      <sheetName val="struktur_tdk_dipakai4"/>
      <sheetName val="luar_Apart4"/>
      <sheetName val="Bill_rekap4"/>
      <sheetName val="hrg_dasar4"/>
      <sheetName val="Ahs_24"/>
      <sheetName val="Ahs_14"/>
      <sheetName val="bahan_4"/>
      <sheetName val="ANALISA_SNI'13_4"/>
      <sheetName val="Tender_Review4"/>
      <sheetName val="THPDMoi__(2)4"/>
      <sheetName val="t-h_HA_THE4"/>
      <sheetName val="CHITIET_VL-NC-TT_-1p4"/>
      <sheetName val="dongia_(2)4"/>
      <sheetName val="TONG_HOP_VL-NC_TT4"/>
      <sheetName val="TH_XL4"/>
      <sheetName val="TONG_HOP_VL-NC4"/>
      <sheetName val="TONGKE3p_4"/>
      <sheetName val="TH_VL,_NC,_DDHT_Thanhphuoc4"/>
      <sheetName val="DON_GIA4"/>
      <sheetName val="CHITIET_VL-NC4"/>
      <sheetName val="Bill_of_Quantity4"/>
      <sheetName val="Perm__Test4"/>
      <sheetName val="Bill_of_Qty3"/>
      <sheetName val="ANALISA_PEK_UMUM3"/>
      <sheetName val="ANALISA_KONST_BTN3"/>
      <sheetName val="Analisa_Str3"/>
      <sheetName val="Fire_Fighting3"/>
      <sheetName val="Item_Kompensasi3"/>
      <sheetName val="An_Arsitektur3"/>
      <sheetName val="Data_basic_price_jgan_diprint3"/>
      <sheetName val="Thiet_bi3"/>
      <sheetName val="DM_ChiPhi3"/>
      <sheetName val="Galian_13"/>
      <sheetName val="time_schedule3"/>
      <sheetName val="periode_progress3"/>
      <sheetName val="rekap_progres)3"/>
      <sheetName val="concept_cost_code3"/>
      <sheetName val="summary_cost_code3"/>
      <sheetName val="kas_proyek3"/>
      <sheetName val="lain_lain3"/>
      <sheetName val="Luas_Gross3"/>
      <sheetName val="bas_A3"/>
      <sheetName val="bas_B3"/>
      <sheetName val="RINC_FIN_A_hotel_3"/>
      <sheetName val="RINC_FIN_A_hotel___2_3"/>
      <sheetName val="REF_ONLY3"/>
      <sheetName val="Analisa_Harga3"/>
      <sheetName val="RAB_AR&amp;STR3"/>
      <sheetName val="analisa_PUBM3"/>
      <sheetName val="DG_duoi2"/>
      <sheetName val="Input_Data2"/>
      <sheetName val="UPAH_BAHAN2"/>
      <sheetName val="Agregat_Halus_&amp;_Kasar2"/>
      <sheetName val="Cable_ko_co_giap_bao_ve_2"/>
      <sheetName val="Cash_Flow2"/>
      <sheetName val="Chiết_tính_BS2"/>
      <sheetName val="CP_HMC2"/>
      <sheetName val="Du_thau2"/>
      <sheetName val="Tong_hop_DT_XDCT2"/>
      <sheetName val="CP_Khac_cuoc_VC2"/>
      <sheetName val="AFORM-BQR_xls2"/>
      <sheetName val="Basement_(2)2"/>
      <sheetName val="Fill_this_out_first___2"/>
      <sheetName val="Rekapitulasi_Harga_Satuan2"/>
      <sheetName val="Daftar_Harga_Material2"/>
      <sheetName val="Kuantitas_&amp;_Harga3"/>
      <sheetName val="daf_isi_(xref)2"/>
      <sheetName val="4-Basic_Price2"/>
      <sheetName val="gia_vt2"/>
      <sheetName val="1_BILL_MOI_THAU_CAN_THUONG2"/>
      <sheetName val="4-Lane_bridge2"/>
      <sheetName val="Week9-Feb____2"/>
      <sheetName val="5_1_ELEKTRIKAL-ELEKTRONIK2"/>
      <sheetName val="L_12"/>
      <sheetName val="Analisa_Alat_Berat2"/>
      <sheetName val="On_Time2"/>
      <sheetName val="pro_ra_op2"/>
      <sheetName val="ANL_TEK_62"/>
      <sheetName val="bq_analisa2"/>
      <sheetName val="per_span_352"/>
      <sheetName val="An_HarSatPek2"/>
      <sheetName val="Sat_Bah_&amp;_Up2"/>
      <sheetName val="Tuk_Koef2"/>
      <sheetName val="Har_Sat3"/>
      <sheetName val="DIV_12"/>
      <sheetName val="PRD_01-6(I-II)2"/>
      <sheetName val="PRD_01-7_alat2"/>
      <sheetName val="Ana__PU2"/>
      <sheetName val="HARGA_AT2"/>
      <sheetName val="An_Struktur2"/>
      <sheetName val="Bill_of_Qty_MEP"/>
      <sheetName val="QUOTATION_(2)"/>
      <sheetName val="Project_Data"/>
      <sheetName val="Confidential_PAS_HMI"/>
      <sheetName val="galian_saluran"/>
      <sheetName val="Analisa_Harga_Satuan"/>
      <sheetName val="Daftar_Harga"/>
      <sheetName val="Analisa_Prelim"/>
      <sheetName val="Rekapitulasi_Akhir"/>
      <sheetName val="Bill_1_Persiapan"/>
      <sheetName val="Bill_4_tambah_kurang"/>
      <sheetName val="NP_(2)"/>
      <sheetName val="typ_10_25"/>
      <sheetName val="Cover_(x)"/>
      <sheetName val="Cor_Apt"/>
      <sheetName val="B3A_-_TOWER_A"/>
      <sheetName val="MTO_REV_2(ARMOR)"/>
      <sheetName val="Net_sum"/>
      <sheetName val="0-Grand_Summary"/>
      <sheetName val="FP-(BLOCK_B1)-Breakdown"/>
      <sheetName val="FP-(BLOCK_B2)-Breakdown"/>
      <sheetName val="FP-(BLOCK_B3)-Breakdown"/>
      <sheetName val="FP-(Club_House)-Breadown"/>
      <sheetName val="KL_THÉP_MÓNG,DẦM,_SÀN,_CỘT_B2"/>
      <sheetName val="THKLTT_THÉP_B2"/>
      <sheetName val="BAHAN_MEP"/>
      <sheetName val="Harga_Satuan_Bahan"/>
      <sheetName val="Isolasi_Luar"/>
      <sheetName val="ocean_voyage"/>
      <sheetName val="PE-F-42_Rev_01_Manpower"/>
      <sheetName val="ANALISA_HARGA___"/>
      <sheetName val="Memb_Schd"/>
      <sheetName val="Master_Edit"/>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Book_1_Summary"/>
      <sheetName val="Elec_LG"/>
      <sheetName val="Priced_BOQ"/>
      <sheetName val="PERALATAN_PROYEK_GOL_III_A"/>
      <sheetName val="harga_dasar_T-M-A"/>
      <sheetName val="an_pemel_rutin"/>
      <sheetName val="an_mobilisasi"/>
      <sheetName val="an_dmpu"/>
      <sheetName val="daftar_kuantita"/>
      <sheetName val="metode_dmpu"/>
      <sheetName val="REKAP_ARSITEKTUR"/>
      <sheetName val="REKAP_STRKTR"/>
      <sheetName val="Analisa_&amp;_Upah"/>
      <sheetName val="Analisa_2"/>
      <sheetName val="HRG_BHN"/>
      <sheetName val="BM_DATA_SHEET"/>
      <sheetName val="Rates"/>
      <sheetName val="CE(E)"/>
      <sheetName val="基本"/>
      <sheetName val="FAB별"/>
      <sheetName val="F4-F7"/>
      <sheetName val="Duc_bk"/>
      <sheetName val="SCOPE OF WORK"/>
      <sheetName val="hs-str"/>
      <sheetName val="anal rab"/>
      <sheetName val="analis standar(20m)"/>
      <sheetName val="ANAL BETON"/>
      <sheetName val="jgn dihapus!"/>
      <sheetName val="Bank"/>
      <sheetName val="Isolasi Luar Dalam"/>
      <sheetName val="REKAP BQ "/>
      <sheetName val="bhn"/>
      <sheetName val="data_dci"/>
      <sheetName val="data_mci"/>
      <sheetName val="Main"/>
      <sheetName val="DAF-5"/>
      <sheetName val="1 OF 7"/>
      <sheetName val="EQUIP LIST"/>
      <sheetName val="amtek"/>
      <sheetName val="Rekap 1"/>
      <sheetName val="RPP01 3"/>
      <sheetName val="EDTL"/>
      <sheetName val="MAP2"/>
      <sheetName val="anal-mpu"/>
      <sheetName val="Identitas"/>
      <sheetName val="NP 7"/>
      <sheetName val="Analisa SNI STANDART "/>
      <sheetName val="Termin"/>
      <sheetName val="MING I"/>
      <sheetName val="Term konsPHO&amp;FHO"/>
      <sheetName val="BOQ-Indonesia"/>
      <sheetName val="GRAFIK "/>
      <sheetName val="ALATSEWA"/>
      <sheetName val="GENERAL"/>
      <sheetName val="U. div 2"/>
      <sheetName val="HSU 2016"/>
      <sheetName val="G Dinas Pendidikan"/>
      <sheetName val="Bill 1 - Preliminaries "/>
      <sheetName val="Bill No. 2 - Preambles"/>
      <sheetName val="Bill No. 3 Str Works"/>
      <sheetName val="Bill No. 4 Arch Works"/>
      <sheetName val="Bill 5 - MEP"/>
      <sheetName val="Bill No. 6 External"/>
      <sheetName val="EQ_an"/>
      <sheetName val="H.Material, Upah &amp; Alat"/>
      <sheetName val="Analisa H.Sat.Pek."/>
      <sheetName val="1195 B1"/>
      <sheetName val="HARGA PIPA"/>
      <sheetName val="IN OUT"/>
      <sheetName val="jobhist"/>
      <sheetName val="3-DIV2"/>
      <sheetName val="Sheet6"/>
      <sheetName val="a.2"/>
      <sheetName val="a.4"/>
      <sheetName val="8LT 12"/>
      <sheetName val="CURVA-S"/>
      <sheetName val="BAR-CHART"/>
      <sheetName val="Dhsp"/>
      <sheetName val="Dhsd"/>
      <sheetName val="R.Persiapan"/>
      <sheetName val="Ahs. Pek. Persiapan K3"/>
      <sheetName val="Ahs.Persiapan"/>
      <sheetName val="Ahs.Tanah"/>
      <sheetName val="Ahs.Pondasi"/>
      <sheetName val="Ahs.Bekisting"/>
      <sheetName val="Ahs.Pembesian"/>
      <sheetName val="Ahs.K300"/>
      <sheetName val="Ahs.K250"/>
      <sheetName val="Ahs.Arsitektur"/>
      <sheetName val="Ahs.Perkerasan"/>
      <sheetName val="PHU2017"/>
      <sheetName val="RKAP.2018"/>
      <sheetName val="Penwrn"/>
      <sheetName val="SDE"/>
      <sheetName val="H Satuan Dasar"/>
      <sheetName val="Office Tower"/>
      <sheetName val="SUM-AIR-Submit"/>
      <sheetName val="dasar"/>
      <sheetName val="RekapBOQ"/>
      <sheetName val="Module2"/>
      <sheetName val="STK-JUN"/>
      <sheetName val="Peralatan (2)"/>
      <sheetName val="Absen"/>
      <sheetName val="StrukGj"/>
      <sheetName val="Analisa HSP"/>
      <sheetName val="LS-Rutin"/>
      <sheetName val="CFS3"/>
      <sheetName val="Data Sheet"/>
      <sheetName val="Sheet"/>
      <sheetName val="금융"/>
      <sheetName val="GTS_I_PS9"/>
      <sheetName val="BQ_AC-_SEMANAN9"/>
      <sheetName val="Currency_Rate9"/>
      <sheetName val="Man_power7"/>
      <sheetName val="fin_SB6"/>
      <sheetName val="FIN_PARKIR6"/>
      <sheetName val="RINC_FIN_T4_6"/>
      <sheetName val="RINC_FIN_T4___3_6"/>
      <sheetName val="RINC_FIN_T4___2_6"/>
      <sheetName val="Rekap_Addendum6"/>
      <sheetName val="Bill_1_VAC-Supply-A6"/>
      <sheetName val="BANGUNAN_PENUNJANG6"/>
      <sheetName val="Daf_Harga6"/>
      <sheetName val="Rekap_Bill6"/>
      <sheetName val="An__Harga6"/>
      <sheetName val="Cash_Flow_bulanan6"/>
      <sheetName val="Basic_Price6"/>
      <sheetName val="Agregat_Halus___Kasar6"/>
      <sheetName val="div_86"/>
      <sheetName val="div_26"/>
      <sheetName val="div_36"/>
      <sheetName val="div_46"/>
      <sheetName val="div_56"/>
      <sheetName val="div_66"/>
      <sheetName val="div_76"/>
      <sheetName val="div_96"/>
      <sheetName val="Rekap_Biaya6"/>
      <sheetName val="Harsat_Bahan5"/>
      <sheetName val="Harsat_Upah5"/>
      <sheetName val="r_tank5"/>
      <sheetName val="BQ_ARS5"/>
      <sheetName val="Kolom_UT5"/>
      <sheetName val="Perhit_Alat5"/>
      <sheetName val="Urai__Resap_pengikat5"/>
      <sheetName val="F_ALARM5"/>
      <sheetName val="Rekap_RAB_kl5"/>
      <sheetName val="Rekap_RAB_Amd5"/>
      <sheetName val="Dftr_Kuan_Hrg_Amd5"/>
      <sheetName val="Public_Area5"/>
      <sheetName val="RINC_hotel5"/>
      <sheetName val="PROTECTION_5"/>
      <sheetName val="Perhitungan_RAB5"/>
      <sheetName val="Rencana_Anggaran_Biaya5"/>
      <sheetName val="Harga_Satuan5"/>
      <sheetName val="H_Satuan5"/>
      <sheetName val="TE_TS_FA_LAN_MATV5"/>
      <sheetName val="Man_Power_&amp;_Comp5"/>
      <sheetName val="Grand_summary5"/>
      <sheetName val="struktur_tdk_dipakai5"/>
      <sheetName val="luar_Apart5"/>
      <sheetName val="Bill_rekap5"/>
      <sheetName val="hrg_dasar5"/>
      <sheetName val="Ahs_25"/>
      <sheetName val="Ahs_15"/>
      <sheetName val="bahan_5"/>
      <sheetName val="ANALISA_SNI'13_5"/>
      <sheetName val="Tender_Review5"/>
      <sheetName val="THPDMoi__(2)5"/>
      <sheetName val="t-h_HA_THE5"/>
      <sheetName val="CHITIET_VL-NC-TT_-1p5"/>
      <sheetName val="dongia_(2)5"/>
      <sheetName val="TONG_HOP_VL-NC_TT5"/>
      <sheetName val="TH_XL5"/>
      <sheetName val="TONG_HOP_VL-NC5"/>
      <sheetName val="TONGKE3p_5"/>
      <sheetName val="TH_VL,_NC,_DDHT_Thanhphuoc5"/>
      <sheetName val="DON_GIA5"/>
      <sheetName val="CHITIET_VL-NC5"/>
      <sheetName val="Bill_of_Quantity5"/>
      <sheetName val="Perm__Test5"/>
      <sheetName val="Bill_of_Qty4"/>
      <sheetName val="ANALISA_PEK_UMUM4"/>
      <sheetName val="ANALISA_KONST_BTN4"/>
      <sheetName val="Analisa_Str4"/>
      <sheetName val="Fire_Fighting4"/>
      <sheetName val="Item_Kompensasi4"/>
      <sheetName val="An_Arsitektur4"/>
      <sheetName val="Data_basic_price_jgan_diprint4"/>
      <sheetName val="Galian_14"/>
      <sheetName val="Thiet_bi4"/>
      <sheetName val="DM_ChiPhi4"/>
      <sheetName val="time_schedule4"/>
      <sheetName val="periode_progress4"/>
      <sheetName val="rekap_progres)4"/>
      <sheetName val="concept_cost_code4"/>
      <sheetName val="summary_cost_code4"/>
      <sheetName val="kas_proyek4"/>
      <sheetName val="lain_lain4"/>
      <sheetName val="RAB_AR&amp;STR4"/>
      <sheetName val="DG_duoi3"/>
      <sheetName val="Cash_Flow3"/>
      <sheetName val="Luas_Gross4"/>
      <sheetName val="bas_A4"/>
      <sheetName val="bas_B4"/>
      <sheetName val="RINC_FIN_A_hotel_4"/>
      <sheetName val="RINC_FIN_A_hotel___2_4"/>
      <sheetName val="REF_ONLY4"/>
      <sheetName val="Analisa_Harga4"/>
      <sheetName val="analisa_PUBM4"/>
      <sheetName val="Input_Data3"/>
      <sheetName val="UPAH_BAHAN3"/>
      <sheetName val="Agregat_Halus_&amp;_Kasar3"/>
      <sheetName val="Cable_ko_co_giap_bao_ve_3"/>
      <sheetName val="Chiết_tính_BS3"/>
      <sheetName val="CP_HMC3"/>
      <sheetName val="Du_thau3"/>
      <sheetName val="Tong_hop_DT_XDCT3"/>
      <sheetName val="CP_Khac_cuoc_VC3"/>
      <sheetName val="Basement_(2)3"/>
      <sheetName val="Fill_this_out_first___3"/>
      <sheetName val="Rekapitulasi_Harga_Satuan3"/>
      <sheetName val="Daftar_Harga_Material3"/>
      <sheetName val="Kuantitas_&amp;_Harga4"/>
      <sheetName val="daf_isi_(xref)3"/>
      <sheetName val="4-Basic_Price3"/>
      <sheetName val="AFORM-BQR_xls3"/>
      <sheetName val="gia_vt3"/>
      <sheetName val="1_BILL_MOI_THAU_CAN_THUONG3"/>
      <sheetName val="4-Lane_bridge3"/>
      <sheetName val="Week9-Feb____3"/>
      <sheetName val="5_1_ELEKTRIKAL-ELEKTRONIK3"/>
      <sheetName val="L_13"/>
      <sheetName val="Analisa_Alat_Berat3"/>
      <sheetName val="On_Time3"/>
      <sheetName val="pro_ra_op3"/>
      <sheetName val="ANL_TEK_63"/>
      <sheetName val="bq_analisa3"/>
      <sheetName val="per_span_353"/>
      <sheetName val="An_HarSatPek3"/>
      <sheetName val="Sat_Bah_&amp;_Up3"/>
      <sheetName val="Tuk_Koef3"/>
      <sheetName val="Har_Sat4"/>
      <sheetName val="DIV_13"/>
      <sheetName val="PRD_01-6(I-II)3"/>
      <sheetName val="PRD_01-7_alat3"/>
      <sheetName val="Ana__PU3"/>
      <sheetName val="HARGA_AT3"/>
      <sheetName val="An_Struktur3"/>
      <sheetName val="B3A_-_TOWER_A1"/>
      <sheetName val="MTO_REV_2(ARMOR)1"/>
      <sheetName val="Bill_of_Qty_MEP1"/>
      <sheetName val="QUOTATION_(2)1"/>
      <sheetName val="Net_sum1"/>
      <sheetName val="0-Grand_Summary1"/>
      <sheetName val="FP-(BLOCK_B1)-Breakdown1"/>
      <sheetName val="FP-(BLOCK_B2)-Breakdown1"/>
      <sheetName val="FP-(BLOCK_B3)-Breakdown1"/>
      <sheetName val="FP-(Club_House)-Breadown1"/>
      <sheetName val="Project_Data1"/>
      <sheetName val="Confidential_PAS_HMI1"/>
      <sheetName val="galian_saluran1"/>
      <sheetName val="Analisa_Harga_Satuan1"/>
      <sheetName val="Daftar_Harga1"/>
      <sheetName val="Analisa_Prelim1"/>
      <sheetName val="Rekapitulasi_Akhir1"/>
      <sheetName val="Bill_1_Persiapan1"/>
      <sheetName val="Bill_4_tambah_kurang1"/>
      <sheetName val="NP_(2)1"/>
      <sheetName val="typ_10_251"/>
      <sheetName val="Cover_(x)1"/>
      <sheetName val="Cor_Apt1"/>
      <sheetName val="KL_THÉP_MÓNG,DẦM,_SÀN,_CỘT_B21"/>
      <sheetName val="THKLTT_THÉP_B21"/>
      <sheetName val="Harsat_Alat1"/>
      <sheetName val="BAHAN_MEP1"/>
      <sheetName val="Harga_Satuan_Bahan1"/>
      <sheetName val="Isolasi_Luar1"/>
      <sheetName val="ocean_voyage1"/>
      <sheetName val="PE-F-42_Rev_01_Manpower1"/>
      <sheetName val="ANALISA_HARGA___1"/>
      <sheetName val="Memb_Schd1"/>
      <sheetName val="Master_Edit1"/>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Book_1_Summary1"/>
      <sheetName val="Elec_LG1"/>
      <sheetName val="Priced_BOQ1"/>
      <sheetName val="PERALATAN_PROYEK_GOL_III_A1"/>
      <sheetName val="harga_dasar_T-M-A1"/>
      <sheetName val="Upah_1"/>
      <sheetName val="HARGA_MATERIAL1"/>
      <sheetName val="an_pemel_rutin1"/>
      <sheetName val="an_mobilisasi1"/>
      <sheetName val="an_dmpu1"/>
      <sheetName val="daftar_kuantita1"/>
      <sheetName val="metode_dmpu1"/>
      <sheetName val="REKAP_ARSITEKTUR1"/>
      <sheetName val="REKAP_STRKTR1"/>
      <sheetName val="Analisa_&amp;_Upah1"/>
      <sheetName val="Analisa_21"/>
      <sheetName val="HRG_BHN1"/>
      <sheetName val="BM_DATA_SHEET1"/>
      <sheetName val="FUEL_FILLER"/>
      <sheetName val="HB_"/>
      <sheetName val="AG_Pipe_Qty_Analysis"/>
      <sheetName val="ANALISA_SNI_NUSA"/>
      <sheetName val="ANALISA_SNI"/>
      <sheetName val="Main_Feeder"/>
      <sheetName val="PE_Wire"/>
      <sheetName val="MTO_REV_0"/>
      <sheetName val="HRG_BAHAN_&amp;_UPAH_okk"/>
      <sheetName val="Analis_Kusen_okk"/>
      <sheetName val="KPVC-BD_"/>
      <sheetName val="rap_rinci"/>
      <sheetName val="HSA_&amp;_PAB"/>
      <sheetName val="DETAIL_LT11-13"/>
      <sheetName val="Bill_5_-_Carpark"/>
      <sheetName val="Rencana_Anggaran_Beaya1"/>
      <sheetName val="1_B"/>
      <sheetName val="F1_4"/>
      <sheetName val="Sec_I_ML"/>
      <sheetName val="SCOPE_OF_WORK"/>
      <sheetName val="HE SO"/>
      <sheetName val="Perhitungan KC ke SUBKON"/>
      <sheetName val="CAT"/>
      <sheetName val="surat "/>
      <sheetName val="Ajuan"/>
      <sheetName val="Hit"/>
      <sheetName val="arsitektur"/>
      <sheetName val="SAT-UP"/>
      <sheetName val="PPC"/>
      <sheetName val="總表"/>
      <sheetName val="Budget Code"/>
      <sheetName val="tra-vat-lieu"/>
      <sheetName val="입찰안"/>
      <sheetName val="4"/>
      <sheetName val="Elektrikal"/>
      <sheetName val="Unit Rate (2)"/>
      <sheetName val="valve-20k"/>
      <sheetName val="DKH-E2"/>
      <sheetName val="fw-ugirder"/>
      <sheetName val="7.1(3)"/>
      <sheetName val="colection"/>
      <sheetName val="Biaya-Lat"/>
      <sheetName val="SKEDUL AV-05"/>
      <sheetName val="1195_B1"/>
      <sheetName val="HARGA_PIPA"/>
      <sheetName val="IN_OUT"/>
      <sheetName val="Analisa_SNI_STANDART_"/>
      <sheetName val="MING_I"/>
      <sheetName val="Term_konsPHO&amp;FHO"/>
      <sheetName val="Daf_12"/>
      <sheetName val="AG_Pipe_Qty_Analysis1"/>
      <sheetName val="1195_B11"/>
      <sheetName val="HRG_BAHAN_&amp;_UPAH_okk1"/>
      <sheetName val="Analis_Kusen_okk1"/>
      <sheetName val="HARGA_PIPA1"/>
      <sheetName val="Upah_2"/>
      <sheetName val="HARGA_MATERIAL2"/>
      <sheetName val="Harsat_Alat2"/>
      <sheetName val="F1_41"/>
      <sheetName val="IN_OUT1"/>
      <sheetName val="Analisa_SNI_STANDART_1"/>
      <sheetName val="1_B1"/>
      <sheetName val="Rencana_Anggaran_Beaya2"/>
      <sheetName val="KPVC-BD_1"/>
      <sheetName val="rap_rinci1"/>
      <sheetName val="MING_I1"/>
      <sheetName val="Term_konsPHO&amp;FHO1"/>
      <sheetName val="Sec_I_ML1"/>
      <sheetName val="lkalibrasi BENENAIN"/>
      <sheetName val="ANALISA ALAT ANGKUT"/>
      <sheetName val="CF-Rp-USD"/>
      <sheetName val="BHN-ALAT"/>
      <sheetName val="ANAL_P4"/>
      <sheetName val="TNG"/>
      <sheetName val="satuan_pek_ars"/>
      <sheetName val="Det Str BT"/>
      <sheetName val="BAG_III"/>
      <sheetName val="HB"/>
      <sheetName val="LAMP_A"/>
      <sheetName val="Persiapan"/>
      <sheetName val="Budget"/>
      <sheetName val="anal_rab"/>
      <sheetName val="analis_standar(20m)"/>
      <sheetName val="ANAL_BETON"/>
      <sheetName val="sdm"/>
      <sheetName val="3.4-PIPE"/>
      <sheetName val="GKP"/>
      <sheetName val="1995 Cellular"/>
      <sheetName val="Rev. History"/>
      <sheetName val="MTO REV_2_ARMOR_"/>
      <sheetName val="대비"/>
      <sheetName val="Detail"/>
      <sheetName val="6PILE  (돌출)"/>
      <sheetName val="Land Dev't. Ph-1"/>
      <sheetName val="Final Summary"/>
      <sheetName val="Bill 04 - FP"/>
      <sheetName val="현장별"/>
      <sheetName val="PNTEXT"/>
      <sheetName val="GRAND TOTAL"/>
      <sheetName val="DHS AC"/>
      <sheetName val="TABEL BAJA"/>
      <sheetName val="D-1"/>
      <sheetName val="2_2"/>
      <sheetName val=" PE-F-42 MR 9 Manpower"/>
      <sheetName val="PEF25_0I_mnhr"/>
      <sheetName val="PEF24_0I_mnpwr"/>
      <sheetName val="AN Tdr"/>
      <sheetName val="MEJA"/>
      <sheetName val="KURSI"/>
      <sheetName val="Rumus"/>
      <sheetName val="Sheet2"/>
      <sheetName val="WORKSTATION"/>
      <sheetName val="REVERENSI KURSI"/>
      <sheetName val="UP_an"/>
      <sheetName val="00000000"/>
      <sheetName val="RBP- 2"/>
      <sheetName val="RBP-3.1PP"/>
      <sheetName val="RBP-3.1.2"/>
      <sheetName val="BQ Banding "/>
      <sheetName val="RBP-5"/>
      <sheetName val="VERSI-PP"/>
      <sheetName val="RBP-1"/>
      <sheetName val="Analisa Quarry"/>
      <sheetName val="lkalibrasi_BENENAIN"/>
      <sheetName val="ANALISA_ALAT_ANGKUT"/>
      <sheetName val="U__div_2"/>
      <sheetName val="RBP-_2"/>
      <sheetName val="RBP-3_1PP"/>
      <sheetName val="RBP-3_1_2"/>
      <sheetName val="BQ_Banding_"/>
      <sheetName val="Analisa_Quarry"/>
      <sheetName val="harga dasar"/>
      <sheetName val="HS-2"/>
      <sheetName val="MAP-Prog"/>
      <sheetName val="ANSTRUK"/>
      <sheetName val="GP-WB"/>
      <sheetName val="HPP X Q'TY"/>
      <sheetName val="RINCIAN-SC"/>
      <sheetName val="Rate"/>
      <sheetName val="IDX06"/>
      <sheetName val="NOTE"/>
      <sheetName val="BK-PU 2011"/>
      <sheetName val="HS"/>
      <sheetName val="PkRp"/>
      <sheetName val="Basic Cost"/>
      <sheetName val="indirect"/>
      <sheetName val="Sch"/>
      <sheetName val="SAT UPAH RAPI"/>
      <sheetName val="D6-1b"/>
      <sheetName val="rek det 1-3"/>
      <sheetName val="Material-mr"/>
      <sheetName val="PaintBreak"/>
      <sheetName val="Sat~Bahu"/>
      <sheetName val="B.T"/>
      <sheetName val="AHS - Personel"/>
      <sheetName val="AHS - Non Personel"/>
      <sheetName val="B D_AHS6"/>
      <sheetName val="Balok L.1"/>
      <sheetName val="TBM"/>
      <sheetName val="Daftarharga"/>
      <sheetName val="hs_str"/>
      <sheetName val="HD ALAT"/>
      <sheetName val="DIV_3 _2_"/>
      <sheetName val="AT 1"/>
      <sheetName val="AT 2"/>
      <sheetName val="DIV7"/>
      <sheetName val="UPH,BHN,ALT"/>
      <sheetName val="Analis harga"/>
      <sheetName val="Harga bahan"/>
      <sheetName val="RBP-3.1-3(2)"/>
      <sheetName val="RBP-3.1-2"/>
      <sheetName val="RBP-3.1-1"/>
      <sheetName val="HARGA ME"/>
      <sheetName val="PAGAR DEPAN"/>
      <sheetName val="KM&amp;WC musolla"/>
      <sheetName val="URAIAN "/>
      <sheetName val="Analisa (2)"/>
      <sheetName val="Brdw"/>
      <sheetName val="AG_Pipe_Qty_Analysis2"/>
      <sheetName val="1195_B12"/>
      <sheetName val="HRG_BAHAN_&amp;_UPAH_okk2"/>
      <sheetName val="Analis_Kusen_okk2"/>
      <sheetName val="HARGA_PIPA2"/>
      <sheetName val="Upah_3"/>
      <sheetName val="HARGA_MATERIAL3"/>
      <sheetName val="Harsat_Alat3"/>
      <sheetName val="ANALISA_HARGA___2"/>
      <sheetName val="F1_42"/>
      <sheetName val="NP_(2)2"/>
      <sheetName val="IN_OUT2"/>
      <sheetName val="Analisa_SNI_STANDART_2"/>
      <sheetName val="harga_dasar_T-M-A2"/>
      <sheetName val="REKAP_ARSITEKTUR2"/>
      <sheetName val="REKAP_STRKTR2"/>
      <sheetName val="1_B2"/>
      <sheetName val="Harga_Satuan_Bahan2"/>
      <sheetName val="galian_saluran2"/>
      <sheetName val="BM_DATA_SHEET2"/>
      <sheetName val="Rencana_Anggaran_Beaya3"/>
      <sheetName val="PERALATAN_PROYEK_GOL_III_A2"/>
      <sheetName val="KPVC-BD_2"/>
      <sheetName val="rap_rinci2"/>
      <sheetName val="MING_I2"/>
      <sheetName val="Term_konsPHO&amp;FHO2"/>
      <sheetName val="Project_Data2"/>
      <sheetName val="Confidential_PAS_HMI2"/>
      <sheetName val="Sec_I_ML2"/>
      <sheetName val="SKEDUL_AV-05"/>
      <sheetName val="Rekap_1"/>
      <sheetName val="RPP01_3"/>
      <sheetName val="NP_7"/>
      <sheetName val="R_Persiapan"/>
      <sheetName val="Ahs__Pek__Persiapan_K3"/>
      <sheetName val="Ahs_Persiapan"/>
      <sheetName val="Ahs_Tanah"/>
      <sheetName val="Ahs_Pondasi"/>
      <sheetName val="Ahs_Bekisting"/>
      <sheetName val="Ahs_Pembesian"/>
      <sheetName val="Ahs_K300"/>
      <sheetName val="Ahs_K250"/>
      <sheetName val="Ahs_Arsitektur"/>
      <sheetName val="Ahs_Perkerasan"/>
      <sheetName val="RKAP_2018"/>
      <sheetName val="H_Satuan_Dasar"/>
      <sheetName val="Analisa_HSP"/>
      <sheetName val="RM IA"/>
      <sheetName val="Anal uph"/>
      <sheetName val="Analisa (me)"/>
      <sheetName val="behind"/>
      <sheetName val="PRO_DCI"/>
      <sheetName val="INST_DCI"/>
      <sheetName val="HVAC_DCI"/>
      <sheetName val="PIPE_DCI"/>
      <sheetName val="ALT"/>
      <sheetName val="SUB"/>
      <sheetName val="UPH"/>
      <sheetName val="개산공사비"/>
      <sheetName val="Struktur Atas"/>
      <sheetName val="Persiap"/>
      <sheetName val="Cashflow Analysis"/>
      <sheetName val="Sheet3"/>
      <sheetName val="LIST HARGA BARU"/>
      <sheetName val="ANALISA SNI'07(Bangli)"/>
      <sheetName val="Consumables"/>
      <sheetName val="Benchmark"/>
      <sheetName val="Fee Rate Summary"/>
      <sheetName val="CTEMCOST"/>
      <sheetName val="TOSHIBA-Structure"/>
      <sheetName val="ERECIN"/>
      <sheetName val="BoQ (ABBOTT)"/>
      <sheetName val="Annex B"/>
      <sheetName val="GAEYO"/>
      <sheetName val="운반"/>
      <sheetName val="Analisa SNI "/>
      <sheetName val="F2"/>
      <sheetName val="F3a"/>
      <sheetName val="G1"/>
      <sheetName val="G3"/>
      <sheetName val="G4a"/>
      <sheetName val="HS Alat"/>
      <sheetName val="H-BHN"/>
      <sheetName val="Penjumlahan"/>
      <sheetName val="Rekap-link"/>
      <sheetName val="HARGA SAT"/>
      <sheetName val="Calculation Sheet "/>
      <sheetName val="besi"/>
      <sheetName val="H. Satuan Upah &amp; Bahan"/>
      <sheetName val="H. Satuan Pekerjaan"/>
      <sheetName val="BXLDL"/>
      <sheetName val="NKC6"/>
      <sheetName val="Mob-Demob-Hotmix"/>
      <sheetName val="Uraian Analisa Alat (3)"/>
      <sheetName val="EQ"/>
      <sheetName val="DATA PROYEK"/>
      <sheetName val="items"/>
      <sheetName val="SUMBER DAYA"/>
      <sheetName val="Log"/>
      <sheetName val="Master 1.0"/>
      <sheetName val="304_06"/>
      <sheetName val="div7-1"/>
      <sheetName val="ANSAT"/>
      <sheetName val="Allowance"/>
      <sheetName val="SPJ"/>
      <sheetName val="Gaji"/>
      <sheetName val="MasterSheet"/>
      <sheetName val="idx-03"/>
      <sheetName val="Harga material_1"/>
      <sheetName val="terbilang"/>
      <sheetName val="COMP"/>
      <sheetName val="tr-28202"/>
      <sheetName val="TS (A3)"/>
      <sheetName val="HD BAHAN"/>
      <sheetName val="UG Excav"/>
      <sheetName val="BOQ CONTRACT WK"/>
      <sheetName val="DATA WP"/>
      <sheetName val="TL"/>
      <sheetName val="EVALUASI"/>
      <sheetName val="BLOK-BJR"/>
      <sheetName val="AnalisaSIPIL RIIL"/>
      <sheetName val="igp-03"/>
      <sheetName val="H-SAT"/>
      <sheetName val="pasca"/>
      <sheetName val="Electrical Breakdown"/>
      <sheetName val="Factor"/>
      <sheetName val="hf-4"/>
      <sheetName val="bq-str"/>
      <sheetName val="KH-Q1,Q2,01"/>
      <sheetName val="HRG SAT"/>
      <sheetName val="공통비총괄표"/>
      <sheetName val="Analis Alat"/>
      <sheetName val="Upah,Bahan,Alat"/>
      <sheetName val="AnPipa&amp;acc"/>
      <sheetName val="Koef"/>
      <sheetName val="harsat_str"/>
      <sheetName val="h-013211-2"/>
      <sheetName val="BJ"/>
      <sheetName val="C1"/>
      <sheetName val="MTL$-INTER"/>
      <sheetName val="Graphs"/>
      <sheetName val="Yield"/>
      <sheetName val="공사개요-C"/>
      <sheetName val="Du_lieu"/>
      <sheetName val="Parem"/>
      <sheetName val="k341k612"/>
      <sheetName val="hrg sat1"/>
      <sheetName val="sub_total_bag_7"/>
      <sheetName val="Bag_9"/>
      <sheetName val="graph"/>
      <sheetName val="Umum"/>
      <sheetName val="DAFTAR ISI"/>
      <sheetName val="IKHT"/>
      <sheetName val="RAB Original"/>
      <sheetName val="Daftar Kuantitas dan Harga"/>
      <sheetName val="Normalisasi"/>
      <sheetName val="REKAP A BESAR"/>
      <sheetName val="SAT_UP"/>
      <sheetName val="HB_1"/>
      <sheetName val="Basic_Cost"/>
      <sheetName val="Peralatan_(2)"/>
      <sheetName val="U__div_21"/>
      <sheetName val="lkalibrasi_BENENAIN1"/>
      <sheetName val="ANALISA_ALAT_ANGKUT1"/>
      <sheetName val="RBP-_21"/>
      <sheetName val="RBP-3_1PP1"/>
      <sheetName val="RBP-3_1_21"/>
      <sheetName val="BQ_Banding_1"/>
      <sheetName val="Analisa_Quarry1"/>
      <sheetName val="GRAFIK_"/>
      <sheetName val="8LT_12"/>
      <sheetName val="3_4-PIPE"/>
      <sheetName val="H_Material,_Upah_&amp;_Alat"/>
      <sheetName val="Analisa_H_Sat_Pek_"/>
      <sheetName val="7_1(3)"/>
      <sheetName val="HSU_2016"/>
      <sheetName val="harga_dasar"/>
      <sheetName val="HPP_X_Q'TY"/>
      <sheetName val="BK-PU_2011"/>
      <sheetName val="HD_ALAT"/>
      <sheetName val="Agregat_Halus_&amp;_Kasar4"/>
      <sheetName val="Data_basic_price_jgan_diprint5"/>
      <sheetName val="Input_Data4"/>
      <sheetName val="Kuantitas_&amp;_Harga5"/>
      <sheetName val="DIV_14"/>
      <sheetName val="PRD_01-6(I-II)4"/>
      <sheetName val="PRD_01-7_alat4"/>
      <sheetName val="Har_Sat5"/>
      <sheetName val="Ana__PU4"/>
      <sheetName val="4-Basic_Price4"/>
      <sheetName val="bq_analisa4"/>
      <sheetName val="An_HarSatPek4"/>
      <sheetName val="Sat_Bah_&amp;_Up4"/>
      <sheetName val="UPAH_BAHAN4"/>
      <sheetName val="per_span_354"/>
      <sheetName val="Analisa_Alat_Berat4"/>
      <sheetName val="Week9-Feb____4"/>
      <sheetName val="AG_Pipe_Qty_Analysis3"/>
      <sheetName val="1195_B13"/>
      <sheetName val="HARGA_AT4"/>
      <sheetName val="HRG_BAHAN_&amp;_UPAH_okk3"/>
      <sheetName val="Analis_Kusen_okk3"/>
      <sheetName val="HARGA_PIPA3"/>
      <sheetName val="ANL_TEK_64"/>
      <sheetName val="Upah_4"/>
      <sheetName val="L_14"/>
      <sheetName val="HARGA_MATERIAL4"/>
      <sheetName val="Harsat_Alat4"/>
      <sheetName val="ANALISA_HARGA___3"/>
      <sheetName val="F1_43"/>
      <sheetName val="NP_(2)3"/>
      <sheetName val="IN_OUT3"/>
      <sheetName val="Analisa_SNI_STANDART_3"/>
      <sheetName val="harga_dasar_T-M-A3"/>
      <sheetName val="REKAP_ARSITEKTUR3"/>
      <sheetName val="REKAP_STRKTR3"/>
      <sheetName val="1_B3"/>
      <sheetName val="Harga_Satuan_Bahan3"/>
      <sheetName val="galian_saluran3"/>
      <sheetName val="BM_DATA_SHEET3"/>
      <sheetName val="Rencana_Anggaran_Beaya4"/>
      <sheetName val="PERALATAN_PROYEK_GOL_III_A3"/>
      <sheetName val="rap_rinci3"/>
      <sheetName val="KPVC-BD_3"/>
      <sheetName val="MING_I3"/>
      <sheetName val="Term_konsPHO&amp;FHO3"/>
      <sheetName val="Project_Data3"/>
      <sheetName val="Confidential_PAS_HMI3"/>
      <sheetName val="Sec_I_ML3"/>
      <sheetName val="HB_2"/>
      <sheetName val="Analisa_Harga_Satuan2"/>
      <sheetName val="Basic_Cost1"/>
      <sheetName val="Peralatan_(2)1"/>
      <sheetName val="SKEDUL_AV-051"/>
      <sheetName val="Rekap_11"/>
      <sheetName val="RPP01_31"/>
      <sheetName val="NP_71"/>
      <sheetName val="ANALISA_SNI_NUSA1"/>
      <sheetName val="ANALISA_SNI1"/>
      <sheetName val="R_Persiapan1"/>
      <sheetName val="Ahs__Pek__Persiapan_K31"/>
      <sheetName val="Ahs_Persiapan1"/>
      <sheetName val="Ahs_Tanah1"/>
      <sheetName val="Ahs_Pondasi1"/>
      <sheetName val="Ahs_Bekisting1"/>
      <sheetName val="Ahs_Pembesian1"/>
      <sheetName val="Ahs_K3001"/>
      <sheetName val="Ahs_K2501"/>
      <sheetName val="Ahs_Arsitektur1"/>
      <sheetName val="Ahs_Perkerasan1"/>
      <sheetName val="RKAP_20181"/>
      <sheetName val="H_Satuan_Dasar1"/>
      <sheetName val="Analisa_HSP1"/>
      <sheetName val="HSA_&amp;_PAB1"/>
      <sheetName val="U__div_22"/>
      <sheetName val="lkalibrasi_BENENAIN2"/>
      <sheetName val="ANALISA_ALAT_ANGKUT2"/>
      <sheetName val="RBP-_22"/>
      <sheetName val="RBP-3_1PP2"/>
      <sheetName val="RBP-3_1_22"/>
      <sheetName val="BQ_Banding_2"/>
      <sheetName val="Analisa_Quarry2"/>
      <sheetName val="GRAFIK_1"/>
      <sheetName val="anal_rab1"/>
      <sheetName val="analis_standar(20m)1"/>
      <sheetName val="ANAL_BETON1"/>
      <sheetName val="8LT_121"/>
      <sheetName val="3_4-PIPE1"/>
      <sheetName val="H_Material,_Upah_&amp;_Alat1"/>
      <sheetName val="Analisa_H_Sat_Pek_1"/>
      <sheetName val="7_1(3)1"/>
      <sheetName val="HSU_20161"/>
      <sheetName val="harga_dasar1"/>
      <sheetName val="HPP_X_Q'TY1"/>
      <sheetName val="BK-PU_20111"/>
      <sheetName val="HD_ALAT1"/>
      <sheetName val="BETON"/>
      <sheetName val="DKH_2"/>
      <sheetName val="Stay Cable-1"/>
      <sheetName val="DKH_1"/>
      <sheetName val="610.04"/>
      <sheetName val="PU DAN COGS ERP"/>
      <sheetName val="Parameter"/>
      <sheetName val="Data Konsultan"/>
      <sheetName val="Data Masukan"/>
      <sheetName val="Fisik 2012"/>
      <sheetName val="Pek. Persiapan"/>
      <sheetName val="Rekap Anl.K"/>
      <sheetName val="Rekap Anl.SNI"/>
      <sheetName val="갑지(추정)"/>
      <sheetName val="GIAVLIEU"/>
      <sheetName val="TÍNH TOÁN KHỐI LƯỢNG P6"/>
      <sheetName val="INFO"/>
      <sheetName val="THCT"/>
      <sheetName val="THDZ0,4"/>
      <sheetName val="TH DZ35"/>
      <sheetName val="공통부대비"/>
      <sheetName val="차액보증"/>
      <sheetName val="TinhGiaNC"/>
      <sheetName val="trans"/>
      <sheetName val="ANalisa "/>
      <sheetName val="Analisa Biaya Alat"/>
      <sheetName val="OPALT"/>
      <sheetName val="UPH_BHN"/>
      <sheetName val="304-06"/>
      <sheetName val="SAT PL"/>
      <sheetName val="Calca"/>
      <sheetName val="Sub Kont"/>
      <sheetName val="RT13526 CPI"/>
      <sheetName val="011C101"/>
      <sheetName val="TEST1"/>
      <sheetName val="Eng_Hrs (HO)"/>
      <sheetName val="Sew-Tahan"/>
      <sheetName val="TABLE-A"/>
      <sheetName val="INSSUBCON"/>
      <sheetName val="HX"/>
      <sheetName val="S"/>
      <sheetName val="BQMPALOC"/>
      <sheetName val="石炭性状"/>
      <sheetName val="연돌일위집계"/>
      <sheetName val="Bill.2. PL - SUPPLY A"/>
      <sheetName val="DIVISI 3"/>
      <sheetName val="DATA MENTAH"/>
      <sheetName val="Equiv.Length"/>
      <sheetName val="Pas. Batu Gng"/>
      <sheetName val="slipsumpR"/>
      <sheetName val="Comps"/>
      <sheetName val="anal-2"/>
      <sheetName val="antek"/>
      <sheetName val="usaid"/>
      <sheetName val="Thoat nuoc"/>
      <sheetName val="갑지"/>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sheetData sheetId="257" refreshError="1"/>
      <sheetData sheetId="258"/>
      <sheetData sheetId="259"/>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sheetData sheetId="379"/>
      <sheetData sheetId="380"/>
      <sheetData sheetId="381"/>
      <sheetData sheetId="382" refreshError="1"/>
      <sheetData sheetId="383" refreshError="1"/>
      <sheetData sheetId="384" refreshError="1"/>
      <sheetData sheetId="385" refreshError="1"/>
      <sheetData sheetId="386" refreshError="1"/>
      <sheetData sheetId="387">
        <row r="3">
          <cell r="F3" t="str">
            <v>UNIT PRICE  (VND)</v>
          </cell>
        </row>
      </sheetData>
      <sheetData sheetId="388">
        <row r="3">
          <cell r="F3" t="str">
            <v>UNIT PRICE  (VND)</v>
          </cell>
        </row>
      </sheetData>
      <sheetData sheetId="389">
        <row r="3">
          <cell r="F3" t="str">
            <v>UNIT PRICE  (VND)</v>
          </cell>
        </row>
      </sheetData>
      <sheetData sheetId="390" refreshError="1"/>
      <sheetData sheetId="391" refreshError="1"/>
      <sheetData sheetId="392" refreshError="1"/>
      <sheetData sheetId="393" refreshError="1"/>
      <sheetData sheetId="394" refreshError="1"/>
      <sheetData sheetId="395">
        <row r="3">
          <cell r="F3" t="str">
            <v>UNIT PRICE  (VND)</v>
          </cell>
        </row>
      </sheetData>
      <sheetData sheetId="396">
        <row r="3">
          <cell r="F3" t="str">
            <v>UNIT PRICE  (VND)</v>
          </cell>
        </row>
      </sheetData>
      <sheetData sheetId="397">
        <row r="3">
          <cell r="F3" t="str">
            <v>UNIT PRICE  (VND)</v>
          </cell>
        </row>
      </sheetData>
      <sheetData sheetId="398">
        <row r="3">
          <cell r="F3" t="str">
            <v>UNIT PRICE  (VND)</v>
          </cell>
        </row>
      </sheetData>
      <sheetData sheetId="399"/>
      <sheetData sheetId="400">
        <row r="3">
          <cell r="F3" t="str">
            <v>UNIT PRICE  (VND)</v>
          </cell>
        </row>
      </sheetData>
      <sheetData sheetId="401"/>
      <sheetData sheetId="402">
        <row r="3">
          <cell r="F3" t="str">
            <v>UNIT PRICE  (VND)</v>
          </cell>
        </row>
      </sheetData>
      <sheetData sheetId="403">
        <row r="3">
          <cell r="F3" t="str">
            <v>UNIT PRICE  (VND)</v>
          </cell>
        </row>
      </sheetData>
      <sheetData sheetId="404">
        <row r="3">
          <cell r="F3" t="str">
            <v>UNIT PRICE  (VND)</v>
          </cell>
        </row>
      </sheetData>
      <sheetData sheetId="405"/>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refreshError="1"/>
      <sheetData sheetId="449" refreshError="1"/>
      <sheetData sheetId="450" refreshError="1"/>
      <sheetData sheetId="451" refreshError="1"/>
      <sheetData sheetId="452" refreshError="1"/>
      <sheetData sheetId="453">
        <row r="3">
          <cell r="F3" t="str">
            <v>UNIT PRICE  (VND)</v>
          </cell>
        </row>
      </sheetData>
      <sheetData sheetId="454">
        <row r="3">
          <cell r="F3" t="str">
            <v>UNIT PRICE  (VND)</v>
          </cell>
        </row>
      </sheetData>
      <sheetData sheetId="455">
        <row r="3">
          <cell r="F3" t="str">
            <v>UNIT PRICE  (VND)</v>
          </cell>
        </row>
      </sheetData>
      <sheetData sheetId="456">
        <row r="3">
          <cell r="F3" t="str">
            <v>UNIT PRICE  (VND)</v>
          </cell>
        </row>
      </sheetData>
      <sheetData sheetId="457">
        <row r="3">
          <cell r="F3" t="str">
            <v>UNIT PRICE  (VND)</v>
          </cell>
        </row>
      </sheetData>
      <sheetData sheetId="458">
        <row r="3">
          <cell r="F3" t="str">
            <v>UNIT PRICE  (VND)</v>
          </cell>
        </row>
      </sheetData>
      <sheetData sheetId="459">
        <row r="3">
          <cell r="F3" t="str">
            <v>UNIT PRICE  (VND)</v>
          </cell>
        </row>
      </sheetData>
      <sheetData sheetId="460">
        <row r="3">
          <cell r="F3" t="str">
            <v>UNIT PRICE  (VND)</v>
          </cell>
        </row>
      </sheetData>
      <sheetData sheetId="461">
        <row r="3">
          <cell r="F3" t="str">
            <v>UNIT PRICE  (VND)</v>
          </cell>
        </row>
      </sheetData>
      <sheetData sheetId="462">
        <row r="3">
          <cell r="F3" t="str">
            <v>UNIT PRICE  (VND)</v>
          </cell>
        </row>
      </sheetData>
      <sheetData sheetId="463">
        <row r="3">
          <cell r="F3" t="str">
            <v>UNIT PRICE  (VND)</v>
          </cell>
        </row>
      </sheetData>
      <sheetData sheetId="464">
        <row r="3">
          <cell r="F3" t="str">
            <v>UNIT PRICE  (VND)</v>
          </cell>
        </row>
      </sheetData>
      <sheetData sheetId="465">
        <row r="3">
          <cell r="F3" t="str">
            <v>UNIT PRICE  (VND)</v>
          </cell>
        </row>
      </sheetData>
      <sheetData sheetId="466">
        <row r="3">
          <cell r="F3" t="str">
            <v>UNIT PRICE  (VND)</v>
          </cell>
        </row>
      </sheetData>
      <sheetData sheetId="467">
        <row r="3">
          <cell r="F3" t="str">
            <v>UNIT PRICE  (VND)</v>
          </cell>
        </row>
      </sheetData>
      <sheetData sheetId="468">
        <row r="3">
          <cell r="F3" t="str">
            <v>UNIT PRICE  (VND)</v>
          </cell>
        </row>
      </sheetData>
      <sheetData sheetId="469">
        <row r="3">
          <cell r="F3" t="str">
            <v>UNIT PRICE  (VND)</v>
          </cell>
        </row>
      </sheetData>
      <sheetData sheetId="470">
        <row r="3">
          <cell r="F3" t="str">
            <v>UNIT PRICE  (VND)</v>
          </cell>
        </row>
      </sheetData>
      <sheetData sheetId="471">
        <row r="3">
          <cell r="F3" t="str">
            <v>UNIT PRICE  (VND)</v>
          </cell>
        </row>
      </sheetData>
      <sheetData sheetId="472">
        <row r="3">
          <cell r="F3" t="str">
            <v>UNIT PRICE  (VND)</v>
          </cell>
        </row>
      </sheetData>
      <sheetData sheetId="473">
        <row r="3">
          <cell r="F3" t="str">
            <v>UNIT PRICE  (VND)</v>
          </cell>
        </row>
      </sheetData>
      <sheetData sheetId="474">
        <row r="3">
          <cell r="F3" t="str">
            <v>UNIT PRICE  (VND)</v>
          </cell>
        </row>
      </sheetData>
      <sheetData sheetId="475">
        <row r="3">
          <cell r="F3" t="str">
            <v>UNIT PRICE  (VND)</v>
          </cell>
        </row>
      </sheetData>
      <sheetData sheetId="476">
        <row r="3">
          <cell r="F3" t="str">
            <v>UNIT PRICE  (VND)</v>
          </cell>
        </row>
      </sheetData>
      <sheetData sheetId="477">
        <row r="3">
          <cell r="F3" t="str">
            <v>UNIT PRICE  (VND)</v>
          </cell>
        </row>
      </sheetData>
      <sheetData sheetId="478">
        <row r="3">
          <cell r="F3" t="str">
            <v>UNIT PRICE  (VND)</v>
          </cell>
        </row>
      </sheetData>
      <sheetData sheetId="479">
        <row r="3">
          <cell r="F3" t="str">
            <v>UNIT PRICE  (VND)</v>
          </cell>
        </row>
      </sheetData>
      <sheetData sheetId="480">
        <row r="3">
          <cell r="F3" t="str">
            <v>UNIT PRICE  (VND)</v>
          </cell>
        </row>
      </sheetData>
      <sheetData sheetId="481">
        <row r="3">
          <cell r="F3" t="str">
            <v>UNIT PRICE  (VND)</v>
          </cell>
        </row>
      </sheetData>
      <sheetData sheetId="482">
        <row r="3">
          <cell r="F3" t="str">
            <v>UNIT PRICE  (VND)</v>
          </cell>
        </row>
      </sheetData>
      <sheetData sheetId="483">
        <row r="3">
          <cell r="F3" t="str">
            <v>UNIT PRICE  (VND)</v>
          </cell>
        </row>
      </sheetData>
      <sheetData sheetId="484">
        <row r="3">
          <cell r="F3" t="str">
            <v>UNIT PRICE  (VND)</v>
          </cell>
        </row>
      </sheetData>
      <sheetData sheetId="485">
        <row r="3">
          <cell r="F3" t="str">
            <v>UNIT PRICE  (VND)</v>
          </cell>
        </row>
      </sheetData>
      <sheetData sheetId="486">
        <row r="3">
          <cell r="F3" t="str">
            <v>UNIT PRICE  (VND)</v>
          </cell>
        </row>
      </sheetData>
      <sheetData sheetId="487">
        <row r="3">
          <cell r="F3" t="str">
            <v>UNIT PRICE  (VND)</v>
          </cell>
        </row>
      </sheetData>
      <sheetData sheetId="488">
        <row r="3">
          <cell r="F3" t="str">
            <v>UNIT PRICE  (VND)</v>
          </cell>
        </row>
      </sheetData>
      <sheetData sheetId="489">
        <row r="3">
          <cell r="F3" t="str">
            <v>UNIT PRICE  (VND)</v>
          </cell>
        </row>
      </sheetData>
      <sheetData sheetId="490">
        <row r="3">
          <cell r="F3" t="str">
            <v>UNIT PRICE  (VND)</v>
          </cell>
        </row>
      </sheetData>
      <sheetData sheetId="491">
        <row r="3">
          <cell r="F3" t="str">
            <v>UNIT PRICE  (VND)</v>
          </cell>
        </row>
      </sheetData>
      <sheetData sheetId="492">
        <row r="3">
          <cell r="F3" t="str">
            <v>UNIT PRICE  (VND)</v>
          </cell>
        </row>
      </sheetData>
      <sheetData sheetId="493">
        <row r="3">
          <cell r="F3" t="str">
            <v>UNIT PRICE  (VND)</v>
          </cell>
        </row>
      </sheetData>
      <sheetData sheetId="494">
        <row r="3">
          <cell r="F3" t="str">
            <v>UNIT PRICE  (VND)</v>
          </cell>
        </row>
      </sheetData>
      <sheetData sheetId="495">
        <row r="3">
          <cell r="F3" t="str">
            <v>UNIT PRICE  (VND)</v>
          </cell>
        </row>
      </sheetData>
      <sheetData sheetId="496">
        <row r="3">
          <cell r="F3" t="str">
            <v>UNIT PRICE  (VND)</v>
          </cell>
        </row>
      </sheetData>
      <sheetData sheetId="497">
        <row r="3">
          <cell r="F3" t="str">
            <v>UNIT PRICE  (VND)</v>
          </cell>
        </row>
      </sheetData>
      <sheetData sheetId="498">
        <row r="3">
          <cell r="F3" t="str">
            <v>UNIT PRICE  (VND)</v>
          </cell>
        </row>
      </sheetData>
      <sheetData sheetId="499">
        <row r="3">
          <cell r="F3" t="str">
            <v>UNIT PRICE  (VND)</v>
          </cell>
        </row>
      </sheetData>
      <sheetData sheetId="500">
        <row r="3">
          <cell r="F3" t="str">
            <v>UNIT PRICE  (VND)</v>
          </cell>
        </row>
      </sheetData>
      <sheetData sheetId="501" refreshError="1"/>
      <sheetData sheetId="502">
        <row r="3">
          <cell r="F3" t="str">
            <v>UNIT PRICE  (VND)</v>
          </cell>
        </row>
      </sheetData>
      <sheetData sheetId="503">
        <row r="3">
          <cell r="F3" t="str">
            <v>UNIT PRICE  (VND)</v>
          </cell>
        </row>
      </sheetData>
      <sheetData sheetId="504" refreshError="1"/>
      <sheetData sheetId="505" refreshError="1"/>
      <sheetData sheetId="506" refreshError="1"/>
      <sheetData sheetId="507">
        <row r="3">
          <cell r="F3" t="str">
            <v>UNIT PRICE  (VND)</v>
          </cell>
        </row>
      </sheetData>
      <sheetData sheetId="508">
        <row r="3">
          <cell r="F3" t="str">
            <v>UNIT PRICE  (VND)</v>
          </cell>
        </row>
      </sheetData>
      <sheetData sheetId="509">
        <row r="3">
          <cell r="F3" t="str">
            <v>UNIT PRICE  (VND)</v>
          </cell>
        </row>
      </sheetData>
      <sheetData sheetId="510">
        <row r="3">
          <cell r="F3" t="str">
            <v>UNIT PRICE  (VND)</v>
          </cell>
        </row>
      </sheetData>
      <sheetData sheetId="511">
        <row r="3">
          <cell r="F3" t="str">
            <v>UNIT PRICE  (VND)</v>
          </cell>
        </row>
      </sheetData>
      <sheetData sheetId="512">
        <row r="3">
          <cell r="F3" t="str">
            <v>UNIT PRICE  (VND)</v>
          </cell>
        </row>
      </sheetData>
      <sheetData sheetId="513">
        <row r="3">
          <cell r="F3" t="str">
            <v>UNIT PRICE  (VND)</v>
          </cell>
        </row>
      </sheetData>
      <sheetData sheetId="514">
        <row r="3">
          <cell r="F3" t="str">
            <v>UNIT PRICE  (VND)</v>
          </cell>
        </row>
      </sheetData>
      <sheetData sheetId="515">
        <row r="3">
          <cell r="F3" t="str">
            <v>UNIT PRICE  (VND)</v>
          </cell>
        </row>
      </sheetData>
      <sheetData sheetId="516">
        <row r="3">
          <cell r="F3" t="str">
            <v>UNIT PRICE  (VND)</v>
          </cell>
        </row>
      </sheetData>
      <sheetData sheetId="517">
        <row r="3">
          <cell r="F3" t="str">
            <v>UNIT PRICE  (VND)</v>
          </cell>
        </row>
      </sheetData>
      <sheetData sheetId="518" refreshError="1"/>
      <sheetData sheetId="519" refreshError="1"/>
      <sheetData sheetId="520" refreshError="1"/>
      <sheetData sheetId="521" refreshError="1"/>
      <sheetData sheetId="522" refreshError="1"/>
      <sheetData sheetId="523" refreshError="1"/>
      <sheetData sheetId="524"/>
      <sheetData sheetId="525"/>
      <sheetData sheetId="526"/>
      <sheetData sheetId="527" refreshError="1"/>
      <sheetData sheetId="528" refreshError="1"/>
      <sheetData sheetId="529" refreshError="1"/>
      <sheetData sheetId="530" refreshError="1"/>
      <sheetData sheetId="531" refreshError="1"/>
      <sheetData sheetId="532"/>
      <sheetData sheetId="533"/>
      <sheetData sheetId="534" refreshError="1"/>
      <sheetData sheetId="535" refreshError="1"/>
      <sheetData sheetId="536" refreshError="1"/>
      <sheetData sheetId="537" refreshError="1"/>
      <sheetData sheetId="538" refreshError="1"/>
      <sheetData sheetId="539" refreshError="1"/>
      <sheetData sheetId="540">
        <row r="3">
          <cell r="F3" t="str">
            <v>UNIT PRICE  (VND)</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sheetData sheetId="549"/>
      <sheetData sheetId="550"/>
      <sheetData sheetId="551"/>
      <sheetData sheetId="552"/>
      <sheetData sheetId="553">
        <row r="3">
          <cell r="F3" t="str">
            <v>UNIT PRICE  (VND)</v>
          </cell>
        </row>
      </sheetData>
      <sheetData sheetId="554"/>
      <sheetData sheetId="555"/>
      <sheetData sheetId="556"/>
      <sheetData sheetId="557"/>
      <sheetData sheetId="558"/>
      <sheetData sheetId="559">
        <row r="3">
          <cell r="F3" t="str">
            <v>UNIT PRICE  (VND)</v>
          </cell>
        </row>
      </sheetData>
      <sheetData sheetId="560">
        <row r="3">
          <cell r="F3" t="str">
            <v>UNIT PRICE  (VND)</v>
          </cell>
        </row>
      </sheetData>
      <sheetData sheetId="561" refreshError="1"/>
      <sheetData sheetId="562" refreshError="1"/>
      <sheetData sheetId="563" refreshError="1"/>
      <sheetData sheetId="564" refreshError="1"/>
      <sheetData sheetId="565" refreshError="1"/>
      <sheetData sheetId="566" refreshError="1"/>
      <sheetData sheetId="567"/>
      <sheetData sheetId="568" refreshError="1"/>
      <sheetData sheetId="569" refreshError="1"/>
      <sheetData sheetId="570"/>
      <sheetData sheetId="571" refreshError="1"/>
      <sheetData sheetId="572" refreshError="1"/>
      <sheetData sheetId="573" refreshError="1"/>
      <sheetData sheetId="574"/>
      <sheetData sheetId="575" refreshError="1"/>
      <sheetData sheetId="576" refreshError="1"/>
      <sheetData sheetId="577" refreshError="1"/>
      <sheetData sheetId="578" refreshError="1"/>
      <sheetData sheetId="579" refreshError="1"/>
      <sheetData sheetId="580"/>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ow r="3">
          <cell r="F3" t="str">
            <v>UNIT PRICE  (VND)</v>
          </cell>
        </row>
      </sheetData>
      <sheetData sheetId="615">
        <row r="3">
          <cell r="F3" t="str">
            <v>UNIT PRICE  (VND)</v>
          </cell>
        </row>
      </sheetData>
      <sheetData sheetId="616">
        <row r="3">
          <cell r="F3" t="str">
            <v>UNIT PRICE  (VND)</v>
          </cell>
        </row>
      </sheetData>
      <sheetData sheetId="617">
        <row r="3">
          <cell r="F3" t="str">
            <v>UNIT PRICE  (VND)</v>
          </cell>
        </row>
      </sheetData>
      <sheetData sheetId="618">
        <row r="3">
          <cell r="F3" t="str">
            <v>UNIT PRICE  (VND)</v>
          </cell>
        </row>
      </sheetData>
      <sheetData sheetId="619">
        <row r="3">
          <cell r="F3" t="str">
            <v>UNIT PRICE  (VND)</v>
          </cell>
        </row>
      </sheetData>
      <sheetData sheetId="620">
        <row r="3">
          <cell r="F3" t="str">
            <v>UNIT PRICE  (VND)</v>
          </cell>
        </row>
      </sheetData>
      <sheetData sheetId="621">
        <row r="3">
          <cell r="F3" t="str">
            <v>UNIT PRICE  (VND)</v>
          </cell>
        </row>
      </sheetData>
      <sheetData sheetId="622">
        <row r="3">
          <cell r="F3" t="str">
            <v>UNIT PRICE  (VND)</v>
          </cell>
        </row>
      </sheetData>
      <sheetData sheetId="623">
        <row r="3">
          <cell r="F3" t="str">
            <v>UNIT PRICE  (VND)</v>
          </cell>
        </row>
      </sheetData>
      <sheetData sheetId="624">
        <row r="3">
          <cell r="F3" t="str">
            <v>UNIT PRICE  (VND)</v>
          </cell>
        </row>
      </sheetData>
      <sheetData sheetId="625">
        <row r="3">
          <cell r="F3" t="str">
            <v>UNIT PRICE  (VND)</v>
          </cell>
        </row>
      </sheetData>
      <sheetData sheetId="626">
        <row r="3">
          <cell r="F3" t="str">
            <v>UNIT PRICE  (VND)</v>
          </cell>
        </row>
      </sheetData>
      <sheetData sheetId="627">
        <row r="3">
          <cell r="F3" t="str">
            <v>UNIT PRICE  (VND)</v>
          </cell>
        </row>
      </sheetData>
      <sheetData sheetId="628">
        <row r="3">
          <cell r="F3" t="str">
            <v>UNIT PRICE  (VND)</v>
          </cell>
        </row>
      </sheetData>
      <sheetData sheetId="629">
        <row r="3">
          <cell r="F3" t="str">
            <v>UNIT PRICE  (VND)</v>
          </cell>
        </row>
      </sheetData>
      <sheetData sheetId="630">
        <row r="3">
          <cell r="F3" t="str">
            <v>UNIT PRICE  (VND)</v>
          </cell>
        </row>
      </sheetData>
      <sheetData sheetId="631">
        <row r="3">
          <cell r="F3" t="str">
            <v>UNIT PRICE  (VND)</v>
          </cell>
        </row>
      </sheetData>
      <sheetData sheetId="632">
        <row r="3">
          <cell r="F3" t="str">
            <v>UNIT PRICE  (VND)</v>
          </cell>
        </row>
      </sheetData>
      <sheetData sheetId="633">
        <row r="3">
          <cell r="F3" t="str">
            <v>UNIT PRICE  (VND)</v>
          </cell>
        </row>
      </sheetData>
      <sheetData sheetId="634">
        <row r="3">
          <cell r="F3" t="str">
            <v>UNIT PRICE  (VND)</v>
          </cell>
        </row>
      </sheetData>
      <sheetData sheetId="635">
        <row r="3">
          <cell r="F3" t="str">
            <v>UNIT PRICE  (VND)</v>
          </cell>
        </row>
      </sheetData>
      <sheetData sheetId="636">
        <row r="3">
          <cell r="F3" t="str">
            <v>UNIT PRICE  (VND)</v>
          </cell>
        </row>
      </sheetData>
      <sheetData sheetId="637">
        <row r="3">
          <cell r="F3" t="str">
            <v>UNIT PRICE  (VND)</v>
          </cell>
        </row>
      </sheetData>
      <sheetData sheetId="638">
        <row r="3">
          <cell r="F3" t="str">
            <v>UNIT PRICE  (VND)</v>
          </cell>
        </row>
      </sheetData>
      <sheetData sheetId="639">
        <row r="3">
          <cell r="F3" t="str">
            <v>UNIT PRICE  (VND)</v>
          </cell>
        </row>
      </sheetData>
      <sheetData sheetId="640">
        <row r="3">
          <cell r="F3" t="str">
            <v>UNIT PRICE  (VND)</v>
          </cell>
        </row>
      </sheetData>
      <sheetData sheetId="641">
        <row r="3">
          <cell r="F3" t="str">
            <v>UNIT PRICE  (VND)</v>
          </cell>
        </row>
      </sheetData>
      <sheetData sheetId="642">
        <row r="3">
          <cell r="F3" t="str">
            <v>UNIT PRICE  (VND)</v>
          </cell>
        </row>
      </sheetData>
      <sheetData sheetId="643">
        <row r="3">
          <cell r="F3" t="str">
            <v>UNIT PRICE  (VND)</v>
          </cell>
        </row>
      </sheetData>
      <sheetData sheetId="644">
        <row r="3">
          <cell r="F3" t="str">
            <v>UNIT PRICE  (VND)</v>
          </cell>
        </row>
      </sheetData>
      <sheetData sheetId="645">
        <row r="3">
          <cell r="F3" t="str">
            <v>UNIT PRICE  (VND)</v>
          </cell>
        </row>
      </sheetData>
      <sheetData sheetId="646">
        <row r="3">
          <cell r="F3" t="str">
            <v>UNIT PRICE  (VND)</v>
          </cell>
        </row>
      </sheetData>
      <sheetData sheetId="647">
        <row r="3">
          <cell r="F3" t="str">
            <v>UNIT PRICE  (VND)</v>
          </cell>
        </row>
      </sheetData>
      <sheetData sheetId="648">
        <row r="3">
          <cell r="F3" t="str">
            <v>UNIT PRICE  (VND)</v>
          </cell>
        </row>
      </sheetData>
      <sheetData sheetId="649">
        <row r="3">
          <cell r="F3" t="str">
            <v>UNIT PRICE  (VND)</v>
          </cell>
        </row>
      </sheetData>
      <sheetData sheetId="650">
        <row r="3">
          <cell r="F3" t="str">
            <v>UNIT PRICE  (VND)</v>
          </cell>
        </row>
      </sheetData>
      <sheetData sheetId="651">
        <row r="3">
          <cell r="F3" t="str">
            <v>UNIT PRICE  (VND)</v>
          </cell>
        </row>
      </sheetData>
      <sheetData sheetId="652">
        <row r="3">
          <cell r="F3" t="str">
            <v>UNIT PRICE  (VND)</v>
          </cell>
        </row>
      </sheetData>
      <sheetData sheetId="653">
        <row r="3">
          <cell r="F3" t="str">
            <v>UNIT PRICE  (VND)</v>
          </cell>
        </row>
      </sheetData>
      <sheetData sheetId="654">
        <row r="3">
          <cell r="F3" t="str">
            <v>UNIT PRICE  (VND)</v>
          </cell>
        </row>
      </sheetData>
      <sheetData sheetId="655">
        <row r="3">
          <cell r="F3" t="str">
            <v>UNIT PRICE  (VND)</v>
          </cell>
        </row>
      </sheetData>
      <sheetData sheetId="656">
        <row r="3">
          <cell r="F3" t="str">
            <v>UNIT PRICE  (VND)</v>
          </cell>
        </row>
      </sheetData>
      <sheetData sheetId="657">
        <row r="3">
          <cell r="F3" t="str">
            <v>UNIT PRICE  (VND)</v>
          </cell>
        </row>
      </sheetData>
      <sheetData sheetId="658">
        <row r="3">
          <cell r="F3" t="str">
            <v>UNIT PRICE  (VND)</v>
          </cell>
        </row>
      </sheetData>
      <sheetData sheetId="659">
        <row r="3">
          <cell r="F3" t="str">
            <v>UNIT PRICE  (VND)</v>
          </cell>
        </row>
      </sheetData>
      <sheetData sheetId="660">
        <row r="3">
          <cell r="F3" t="str">
            <v>UNIT PRICE  (VND)</v>
          </cell>
        </row>
      </sheetData>
      <sheetData sheetId="661">
        <row r="3">
          <cell r="F3" t="str">
            <v>UNIT PRICE  (VND)</v>
          </cell>
        </row>
      </sheetData>
      <sheetData sheetId="662">
        <row r="3">
          <cell r="F3" t="str">
            <v>UNIT PRICE  (VND)</v>
          </cell>
        </row>
      </sheetData>
      <sheetData sheetId="663">
        <row r="3">
          <cell r="F3" t="str">
            <v>UNIT PRICE  (VND)</v>
          </cell>
        </row>
      </sheetData>
      <sheetData sheetId="664">
        <row r="3">
          <cell r="F3" t="str">
            <v>UNIT PRICE  (VND)</v>
          </cell>
        </row>
      </sheetData>
      <sheetData sheetId="665">
        <row r="3">
          <cell r="F3" t="str">
            <v>UNIT PRICE  (VND)</v>
          </cell>
        </row>
      </sheetData>
      <sheetData sheetId="666">
        <row r="3">
          <cell r="F3" t="str">
            <v>UNIT PRICE  (VND)</v>
          </cell>
        </row>
      </sheetData>
      <sheetData sheetId="667">
        <row r="3">
          <cell r="F3" t="str">
            <v>UNIT PRICE  (VND)</v>
          </cell>
        </row>
      </sheetData>
      <sheetData sheetId="668">
        <row r="3">
          <cell r="F3" t="str">
            <v>UNIT PRICE  (VND)</v>
          </cell>
        </row>
      </sheetData>
      <sheetData sheetId="669">
        <row r="3">
          <cell r="F3" t="str">
            <v>UNIT PRICE  (VND)</v>
          </cell>
        </row>
      </sheetData>
      <sheetData sheetId="670">
        <row r="3">
          <cell r="F3" t="str">
            <v>UNIT PRICE  (VND)</v>
          </cell>
        </row>
      </sheetData>
      <sheetData sheetId="671">
        <row r="3">
          <cell r="F3" t="str">
            <v>UNIT PRICE  (VND)</v>
          </cell>
        </row>
      </sheetData>
      <sheetData sheetId="672">
        <row r="3">
          <cell r="F3" t="str">
            <v>UNIT PRICE  (VND)</v>
          </cell>
        </row>
      </sheetData>
      <sheetData sheetId="673">
        <row r="3">
          <cell r="F3" t="str">
            <v>UNIT PRICE  (VND)</v>
          </cell>
        </row>
      </sheetData>
      <sheetData sheetId="674">
        <row r="3">
          <cell r="F3" t="str">
            <v>UNIT PRICE  (VND)</v>
          </cell>
        </row>
      </sheetData>
      <sheetData sheetId="675">
        <row r="3">
          <cell r="F3" t="str">
            <v>UNIT PRICE  (VND)</v>
          </cell>
        </row>
      </sheetData>
      <sheetData sheetId="676">
        <row r="3">
          <cell r="F3" t="str">
            <v>UNIT PRICE  (VND)</v>
          </cell>
        </row>
      </sheetData>
      <sheetData sheetId="677">
        <row r="3">
          <cell r="F3" t="str">
            <v>UNIT PRICE  (VND)</v>
          </cell>
        </row>
      </sheetData>
      <sheetData sheetId="678">
        <row r="3">
          <cell r="F3" t="str">
            <v>UNIT PRICE  (VND)</v>
          </cell>
        </row>
      </sheetData>
      <sheetData sheetId="679">
        <row r="3">
          <cell r="F3" t="str">
            <v>UNIT PRICE  (VND)</v>
          </cell>
        </row>
      </sheetData>
      <sheetData sheetId="680">
        <row r="3">
          <cell r="F3" t="str">
            <v>UNIT PRICE  (VND)</v>
          </cell>
        </row>
      </sheetData>
      <sheetData sheetId="681">
        <row r="3">
          <cell r="F3" t="str">
            <v>UNIT PRICE  (VND)</v>
          </cell>
        </row>
      </sheetData>
      <sheetData sheetId="682">
        <row r="3">
          <cell r="F3" t="str">
            <v>UNIT PRICE  (VND)</v>
          </cell>
        </row>
      </sheetData>
      <sheetData sheetId="683">
        <row r="3">
          <cell r="F3" t="str">
            <v>UNIT PRICE  (VND)</v>
          </cell>
        </row>
      </sheetData>
      <sheetData sheetId="684">
        <row r="3">
          <cell r="F3" t="str">
            <v>UNIT PRICE  (VND)</v>
          </cell>
        </row>
      </sheetData>
      <sheetData sheetId="685">
        <row r="3">
          <cell r="F3" t="str">
            <v>UNIT PRICE  (VND)</v>
          </cell>
        </row>
      </sheetData>
      <sheetData sheetId="686">
        <row r="3">
          <cell r="F3" t="str">
            <v>UNIT PRICE  (VND)</v>
          </cell>
        </row>
      </sheetData>
      <sheetData sheetId="687">
        <row r="3">
          <cell r="F3" t="str">
            <v>UNIT PRICE  (VND)</v>
          </cell>
        </row>
      </sheetData>
      <sheetData sheetId="688">
        <row r="3">
          <cell r="F3" t="str">
            <v>UNIT PRICE  (VND)</v>
          </cell>
        </row>
      </sheetData>
      <sheetData sheetId="689">
        <row r="3">
          <cell r="F3" t="str">
            <v>UNIT PRICE  (VND)</v>
          </cell>
        </row>
      </sheetData>
      <sheetData sheetId="690">
        <row r="3">
          <cell r="F3" t="str">
            <v>UNIT PRICE  (VND)</v>
          </cell>
        </row>
      </sheetData>
      <sheetData sheetId="691">
        <row r="3">
          <cell r="F3" t="str">
            <v>UNIT PRICE  (VND)</v>
          </cell>
        </row>
      </sheetData>
      <sheetData sheetId="692">
        <row r="3">
          <cell r="F3" t="str">
            <v>UNIT PRICE  (VND)</v>
          </cell>
        </row>
      </sheetData>
      <sheetData sheetId="693">
        <row r="3">
          <cell r="F3" t="str">
            <v>UNIT PRICE  (VND)</v>
          </cell>
        </row>
      </sheetData>
      <sheetData sheetId="694">
        <row r="3">
          <cell r="F3" t="str">
            <v>UNIT PRICE  (VND)</v>
          </cell>
        </row>
      </sheetData>
      <sheetData sheetId="695">
        <row r="3">
          <cell r="F3" t="str">
            <v>UNIT PRICE  (VND)</v>
          </cell>
        </row>
      </sheetData>
      <sheetData sheetId="696">
        <row r="3">
          <cell r="F3" t="str">
            <v>UNIT PRICE  (VND)</v>
          </cell>
        </row>
      </sheetData>
      <sheetData sheetId="697">
        <row r="3">
          <cell r="F3" t="str">
            <v>UNIT PRICE  (VND)</v>
          </cell>
        </row>
      </sheetData>
      <sheetData sheetId="698">
        <row r="3">
          <cell r="F3" t="str">
            <v>UNIT PRICE  (VND)</v>
          </cell>
        </row>
      </sheetData>
      <sheetData sheetId="699">
        <row r="3">
          <cell r="F3" t="str">
            <v>UNIT PRICE  (VND)</v>
          </cell>
        </row>
      </sheetData>
      <sheetData sheetId="700">
        <row r="3">
          <cell r="F3" t="str">
            <v>UNIT PRICE  (VND)</v>
          </cell>
        </row>
      </sheetData>
      <sheetData sheetId="701">
        <row r="3">
          <cell r="F3" t="str">
            <v>UNIT PRICE  (VND)</v>
          </cell>
        </row>
      </sheetData>
      <sheetData sheetId="702">
        <row r="3">
          <cell r="F3" t="str">
            <v>UNIT PRICE  (VND)</v>
          </cell>
        </row>
      </sheetData>
      <sheetData sheetId="703">
        <row r="3">
          <cell r="F3" t="str">
            <v>UNIT PRICE  (VND)</v>
          </cell>
        </row>
      </sheetData>
      <sheetData sheetId="704">
        <row r="3">
          <cell r="F3" t="str">
            <v>UNIT PRICE  (VND)</v>
          </cell>
        </row>
      </sheetData>
      <sheetData sheetId="705">
        <row r="3">
          <cell r="F3" t="str">
            <v>UNIT PRICE  (VND)</v>
          </cell>
        </row>
      </sheetData>
      <sheetData sheetId="706">
        <row r="3">
          <cell r="F3" t="str">
            <v>UNIT PRICE  (VND)</v>
          </cell>
        </row>
      </sheetData>
      <sheetData sheetId="707">
        <row r="3">
          <cell r="F3" t="str">
            <v>UNIT PRICE  (VND)</v>
          </cell>
        </row>
      </sheetData>
      <sheetData sheetId="708">
        <row r="3">
          <cell r="F3" t="str">
            <v>UNIT PRICE  (VND)</v>
          </cell>
        </row>
      </sheetData>
      <sheetData sheetId="709">
        <row r="3">
          <cell r="F3" t="str">
            <v>UNIT PRICE  (VND)</v>
          </cell>
        </row>
      </sheetData>
      <sheetData sheetId="710">
        <row r="3">
          <cell r="F3" t="str">
            <v>UNIT PRICE  (VND)</v>
          </cell>
        </row>
      </sheetData>
      <sheetData sheetId="711">
        <row r="3">
          <cell r="F3" t="str">
            <v>UNIT PRICE  (VND)</v>
          </cell>
        </row>
      </sheetData>
      <sheetData sheetId="712">
        <row r="3">
          <cell r="F3" t="str">
            <v>UNIT PRICE  (VND)</v>
          </cell>
        </row>
      </sheetData>
      <sheetData sheetId="713">
        <row r="3">
          <cell r="F3" t="str">
            <v>UNIT PRICE  (VND)</v>
          </cell>
        </row>
      </sheetData>
      <sheetData sheetId="714">
        <row r="3">
          <cell r="F3" t="str">
            <v>UNIT PRICE  (VND)</v>
          </cell>
        </row>
      </sheetData>
      <sheetData sheetId="715">
        <row r="3">
          <cell r="F3" t="str">
            <v>UNIT PRICE  (VND)</v>
          </cell>
        </row>
      </sheetData>
      <sheetData sheetId="716">
        <row r="3">
          <cell r="F3" t="str">
            <v>UNIT PRICE  (VND)</v>
          </cell>
        </row>
      </sheetData>
      <sheetData sheetId="717">
        <row r="3">
          <cell r="F3" t="str">
            <v>UNIT PRICE  (VND)</v>
          </cell>
        </row>
      </sheetData>
      <sheetData sheetId="718">
        <row r="3">
          <cell r="F3" t="str">
            <v>UNIT PRICE  (VND)</v>
          </cell>
        </row>
      </sheetData>
      <sheetData sheetId="719">
        <row r="3">
          <cell r="F3" t="str">
            <v>UNIT PRICE  (VND)</v>
          </cell>
        </row>
      </sheetData>
      <sheetData sheetId="720">
        <row r="3">
          <cell r="F3" t="str">
            <v>UNIT PRICE  (VND)</v>
          </cell>
        </row>
      </sheetData>
      <sheetData sheetId="721">
        <row r="3">
          <cell r="F3" t="str">
            <v>UNIT PRICE  (VND)</v>
          </cell>
        </row>
      </sheetData>
      <sheetData sheetId="722">
        <row r="3">
          <cell r="F3" t="str">
            <v>UNIT PRICE  (VND)</v>
          </cell>
        </row>
      </sheetData>
      <sheetData sheetId="723">
        <row r="3">
          <cell r="F3" t="str">
            <v>UNIT PRICE  (VND)</v>
          </cell>
        </row>
      </sheetData>
      <sheetData sheetId="724">
        <row r="3">
          <cell r="F3" t="str">
            <v>UNIT PRICE  (VND)</v>
          </cell>
        </row>
      </sheetData>
      <sheetData sheetId="725">
        <row r="3">
          <cell r="F3" t="str">
            <v>UNIT PRICE  (VND)</v>
          </cell>
        </row>
      </sheetData>
      <sheetData sheetId="726">
        <row r="3">
          <cell r="F3" t="str">
            <v>UNIT PRICE  (VND)</v>
          </cell>
        </row>
      </sheetData>
      <sheetData sheetId="727">
        <row r="3">
          <cell r="F3" t="str">
            <v>UNIT PRICE  (VND)</v>
          </cell>
        </row>
      </sheetData>
      <sheetData sheetId="728">
        <row r="3">
          <cell r="F3" t="str">
            <v>UNIT PRICE  (VND)</v>
          </cell>
        </row>
      </sheetData>
      <sheetData sheetId="729">
        <row r="3">
          <cell r="F3" t="str">
            <v>UNIT PRICE  (VND)</v>
          </cell>
        </row>
      </sheetData>
      <sheetData sheetId="730">
        <row r="3">
          <cell r="F3" t="str">
            <v>UNIT PRICE  (VND)</v>
          </cell>
        </row>
      </sheetData>
      <sheetData sheetId="731">
        <row r="3">
          <cell r="F3" t="str">
            <v>UNIT PRICE  (VND)</v>
          </cell>
        </row>
      </sheetData>
      <sheetData sheetId="732">
        <row r="3">
          <cell r="F3" t="str">
            <v>UNIT PRICE  (VND)</v>
          </cell>
        </row>
      </sheetData>
      <sheetData sheetId="733">
        <row r="3">
          <cell r="F3" t="str">
            <v>UNIT PRICE  (VND)</v>
          </cell>
        </row>
      </sheetData>
      <sheetData sheetId="734">
        <row r="3">
          <cell r="F3" t="str">
            <v>UNIT PRICE  (VND)</v>
          </cell>
        </row>
      </sheetData>
      <sheetData sheetId="735">
        <row r="3">
          <cell r="F3" t="str">
            <v>UNIT PRICE  (VND)</v>
          </cell>
        </row>
      </sheetData>
      <sheetData sheetId="736">
        <row r="3">
          <cell r="F3" t="str">
            <v>UNIT PRICE  (VND)</v>
          </cell>
        </row>
      </sheetData>
      <sheetData sheetId="737">
        <row r="3">
          <cell r="F3" t="str">
            <v>UNIT PRICE  (VND)</v>
          </cell>
        </row>
      </sheetData>
      <sheetData sheetId="738">
        <row r="3">
          <cell r="F3" t="str">
            <v>UNIT PRICE  (VND)</v>
          </cell>
        </row>
      </sheetData>
      <sheetData sheetId="739">
        <row r="3">
          <cell r="F3" t="str">
            <v>UNIT PRICE  (VND)</v>
          </cell>
        </row>
      </sheetData>
      <sheetData sheetId="740">
        <row r="3">
          <cell r="F3" t="str">
            <v>UNIT PRICE  (VND)</v>
          </cell>
        </row>
      </sheetData>
      <sheetData sheetId="741">
        <row r="3">
          <cell r="F3" t="str">
            <v>UNIT PRICE  (VND)</v>
          </cell>
        </row>
      </sheetData>
      <sheetData sheetId="742">
        <row r="3">
          <cell r="F3" t="str">
            <v>UNIT PRICE  (VND)</v>
          </cell>
        </row>
      </sheetData>
      <sheetData sheetId="743">
        <row r="3">
          <cell r="F3" t="str">
            <v>UNIT PRICE  (VND)</v>
          </cell>
        </row>
      </sheetData>
      <sheetData sheetId="744">
        <row r="3">
          <cell r="F3" t="str">
            <v>UNIT PRICE  (VND)</v>
          </cell>
        </row>
      </sheetData>
      <sheetData sheetId="745">
        <row r="3">
          <cell r="F3" t="str">
            <v>UNIT PRICE  (VND)</v>
          </cell>
        </row>
      </sheetData>
      <sheetData sheetId="746">
        <row r="3">
          <cell r="F3" t="str">
            <v>UNIT PRICE  (VND)</v>
          </cell>
        </row>
      </sheetData>
      <sheetData sheetId="747">
        <row r="3">
          <cell r="F3" t="str">
            <v>UNIT PRICE  (VND)</v>
          </cell>
        </row>
      </sheetData>
      <sheetData sheetId="748">
        <row r="3">
          <cell r="F3" t="str">
            <v>UNIT PRICE  (VND)</v>
          </cell>
        </row>
      </sheetData>
      <sheetData sheetId="749">
        <row r="3">
          <cell r="F3" t="str">
            <v>UNIT PRICE  (VND)</v>
          </cell>
        </row>
      </sheetData>
      <sheetData sheetId="750">
        <row r="3">
          <cell r="F3" t="str">
            <v>UNIT PRICE  (VND)</v>
          </cell>
        </row>
      </sheetData>
      <sheetData sheetId="751">
        <row r="3">
          <cell r="F3" t="str">
            <v>UNIT PRICE  (VND)</v>
          </cell>
        </row>
      </sheetData>
      <sheetData sheetId="752" refreshError="1"/>
      <sheetData sheetId="753">
        <row r="3">
          <cell r="F3" t="str">
            <v>UNIT PRICE  (VND)</v>
          </cell>
        </row>
      </sheetData>
      <sheetData sheetId="754">
        <row r="3">
          <cell r="F3" t="str">
            <v>UNIT PRICE  (VND)</v>
          </cell>
        </row>
      </sheetData>
      <sheetData sheetId="755">
        <row r="3">
          <cell r="F3" t="str">
            <v>UNIT PRICE  (VND)</v>
          </cell>
        </row>
      </sheetData>
      <sheetData sheetId="756">
        <row r="3">
          <cell r="F3" t="str">
            <v>UNIT PRICE  (VND)</v>
          </cell>
        </row>
      </sheetData>
      <sheetData sheetId="757">
        <row r="3">
          <cell r="F3" t="str">
            <v>UNIT PRICE  (VND)</v>
          </cell>
        </row>
      </sheetData>
      <sheetData sheetId="758">
        <row r="3">
          <cell r="F3" t="str">
            <v>UNIT PRICE  (VND)</v>
          </cell>
        </row>
      </sheetData>
      <sheetData sheetId="759">
        <row r="3">
          <cell r="F3" t="str">
            <v>UNIT PRICE  (VND)</v>
          </cell>
        </row>
      </sheetData>
      <sheetData sheetId="760">
        <row r="3">
          <cell r="F3" t="str">
            <v>UNIT PRICE  (VND)</v>
          </cell>
        </row>
      </sheetData>
      <sheetData sheetId="761">
        <row r="3">
          <cell r="F3" t="str">
            <v>UNIT PRICE  (VND)</v>
          </cell>
        </row>
      </sheetData>
      <sheetData sheetId="762">
        <row r="3">
          <cell r="F3" t="str">
            <v>UNIT PRICE  (VND)</v>
          </cell>
        </row>
      </sheetData>
      <sheetData sheetId="763">
        <row r="3">
          <cell r="F3" t="str">
            <v>UNIT PRICE  (VND)</v>
          </cell>
        </row>
      </sheetData>
      <sheetData sheetId="764">
        <row r="3">
          <cell r="F3" t="str">
            <v>UNIT PRICE  (VND)</v>
          </cell>
        </row>
      </sheetData>
      <sheetData sheetId="765">
        <row r="3">
          <cell r="F3" t="str">
            <v>UNIT PRICE  (VND)</v>
          </cell>
        </row>
      </sheetData>
      <sheetData sheetId="766">
        <row r="3">
          <cell r="F3" t="str">
            <v>UNIT PRICE  (VND)</v>
          </cell>
        </row>
      </sheetData>
      <sheetData sheetId="767">
        <row r="3">
          <cell r="F3" t="str">
            <v>UNIT PRICE  (VND)</v>
          </cell>
        </row>
      </sheetData>
      <sheetData sheetId="768">
        <row r="3">
          <cell r="F3" t="str">
            <v>UNIT PRICE  (VND)</v>
          </cell>
        </row>
      </sheetData>
      <sheetData sheetId="769">
        <row r="3">
          <cell r="F3" t="str">
            <v>UNIT PRICE  (VND)</v>
          </cell>
        </row>
      </sheetData>
      <sheetData sheetId="770">
        <row r="3">
          <cell r="F3" t="str">
            <v>UNIT PRICE  (VND)</v>
          </cell>
        </row>
      </sheetData>
      <sheetData sheetId="771">
        <row r="3">
          <cell r="F3" t="str">
            <v>UNIT PRICE  (VND)</v>
          </cell>
        </row>
      </sheetData>
      <sheetData sheetId="772">
        <row r="3">
          <cell r="F3" t="str">
            <v>UNIT PRICE  (VND)</v>
          </cell>
        </row>
      </sheetData>
      <sheetData sheetId="773">
        <row r="3">
          <cell r="F3" t="str">
            <v>UNIT PRICE  (VND)</v>
          </cell>
        </row>
      </sheetData>
      <sheetData sheetId="774">
        <row r="3">
          <cell r="F3" t="str">
            <v>UNIT PRICE  (VND)</v>
          </cell>
        </row>
      </sheetData>
      <sheetData sheetId="775">
        <row r="3">
          <cell r="F3" t="str">
            <v>UNIT PRICE  (VND)</v>
          </cell>
        </row>
      </sheetData>
      <sheetData sheetId="776">
        <row r="3">
          <cell r="F3" t="str">
            <v>UNIT PRICE  (VND)</v>
          </cell>
        </row>
      </sheetData>
      <sheetData sheetId="777">
        <row r="3">
          <cell r="F3" t="str">
            <v>UNIT PRICE  (VND)</v>
          </cell>
        </row>
      </sheetData>
      <sheetData sheetId="778">
        <row r="3">
          <cell r="F3" t="str">
            <v>UNIT PRICE  (VND)</v>
          </cell>
        </row>
      </sheetData>
      <sheetData sheetId="779">
        <row r="3">
          <cell r="F3" t="str">
            <v>UNIT PRICE  (VND)</v>
          </cell>
        </row>
      </sheetData>
      <sheetData sheetId="780">
        <row r="3">
          <cell r="F3" t="str">
            <v>UNIT PRICE  (VND)</v>
          </cell>
        </row>
      </sheetData>
      <sheetData sheetId="781">
        <row r="3">
          <cell r="F3" t="str">
            <v>UNIT PRICE  (VND)</v>
          </cell>
        </row>
      </sheetData>
      <sheetData sheetId="782">
        <row r="3">
          <cell r="F3" t="str">
            <v>UNIT PRICE  (VND)</v>
          </cell>
        </row>
      </sheetData>
      <sheetData sheetId="783">
        <row r="3">
          <cell r="F3" t="str">
            <v>UNIT PRICE  (VND)</v>
          </cell>
        </row>
      </sheetData>
      <sheetData sheetId="784">
        <row r="3">
          <cell r="F3" t="str">
            <v>UNIT PRICE  (VND)</v>
          </cell>
        </row>
      </sheetData>
      <sheetData sheetId="785">
        <row r="3">
          <cell r="F3" t="str">
            <v>UNIT PRICE  (VND)</v>
          </cell>
        </row>
      </sheetData>
      <sheetData sheetId="786">
        <row r="3">
          <cell r="F3" t="str">
            <v>UNIT PRICE  (VND)</v>
          </cell>
        </row>
      </sheetData>
      <sheetData sheetId="787">
        <row r="3">
          <cell r="F3" t="str">
            <v>UNIT PRICE  (VND)</v>
          </cell>
        </row>
      </sheetData>
      <sheetData sheetId="788">
        <row r="3">
          <cell r="F3" t="str">
            <v>UNIT PRICE  (VND)</v>
          </cell>
        </row>
      </sheetData>
      <sheetData sheetId="789">
        <row r="3">
          <cell r="F3" t="str">
            <v>UNIT PRICE  (VND)</v>
          </cell>
        </row>
      </sheetData>
      <sheetData sheetId="790">
        <row r="3">
          <cell r="F3" t="str">
            <v>UNIT PRICE  (VND)</v>
          </cell>
        </row>
      </sheetData>
      <sheetData sheetId="791">
        <row r="3">
          <cell r="F3" t="str">
            <v>UNIT PRICE  (VND)</v>
          </cell>
        </row>
      </sheetData>
      <sheetData sheetId="792">
        <row r="3">
          <cell r="F3" t="str">
            <v>UNIT PRICE  (VND)</v>
          </cell>
        </row>
      </sheetData>
      <sheetData sheetId="793">
        <row r="3">
          <cell r="F3" t="str">
            <v>UNIT PRICE  (VND)</v>
          </cell>
        </row>
      </sheetData>
      <sheetData sheetId="794">
        <row r="3">
          <cell r="F3" t="str">
            <v>UNIT PRICE  (VND)</v>
          </cell>
        </row>
      </sheetData>
      <sheetData sheetId="795">
        <row r="3">
          <cell r="F3" t="str">
            <v>UNIT PRICE  (VND)</v>
          </cell>
        </row>
      </sheetData>
      <sheetData sheetId="796">
        <row r="3">
          <cell r="F3" t="str">
            <v>UNIT PRICE  (VND)</v>
          </cell>
        </row>
      </sheetData>
      <sheetData sheetId="797">
        <row r="3">
          <cell r="F3" t="str">
            <v>UNIT PRICE  (VND)</v>
          </cell>
        </row>
      </sheetData>
      <sheetData sheetId="798">
        <row r="3">
          <cell r="F3" t="str">
            <v>UNIT PRICE  (VND)</v>
          </cell>
        </row>
      </sheetData>
      <sheetData sheetId="799">
        <row r="3">
          <cell r="F3" t="str">
            <v>UNIT PRICE  (VND)</v>
          </cell>
        </row>
      </sheetData>
      <sheetData sheetId="800">
        <row r="3">
          <cell r="F3" t="str">
            <v>UNIT PRICE  (VND)</v>
          </cell>
        </row>
      </sheetData>
      <sheetData sheetId="801">
        <row r="3">
          <cell r="F3" t="str">
            <v>UNIT PRICE  (VND)</v>
          </cell>
        </row>
      </sheetData>
      <sheetData sheetId="802">
        <row r="3">
          <cell r="F3" t="str">
            <v>UNIT PRICE  (VND)</v>
          </cell>
        </row>
      </sheetData>
      <sheetData sheetId="803">
        <row r="3">
          <cell r="F3" t="str">
            <v>UNIT PRICE  (VND)</v>
          </cell>
        </row>
      </sheetData>
      <sheetData sheetId="804">
        <row r="3">
          <cell r="F3" t="str">
            <v>UNIT PRICE  (VND)</v>
          </cell>
        </row>
      </sheetData>
      <sheetData sheetId="805">
        <row r="3">
          <cell r="F3" t="str">
            <v>UNIT PRICE  (VND)</v>
          </cell>
        </row>
      </sheetData>
      <sheetData sheetId="806">
        <row r="3">
          <cell r="F3" t="str">
            <v>UNIT PRICE  (VND)</v>
          </cell>
        </row>
      </sheetData>
      <sheetData sheetId="807">
        <row r="3">
          <cell r="F3" t="str">
            <v>UNIT PRICE  (VND)</v>
          </cell>
        </row>
      </sheetData>
      <sheetData sheetId="808">
        <row r="3">
          <cell r="F3" t="str">
            <v>UNIT PRICE  (VND)</v>
          </cell>
        </row>
      </sheetData>
      <sheetData sheetId="809">
        <row r="3">
          <cell r="F3" t="str">
            <v>UNIT PRICE  (VND)</v>
          </cell>
        </row>
      </sheetData>
      <sheetData sheetId="810">
        <row r="3">
          <cell r="F3" t="str">
            <v>UNIT PRICE  (VND)</v>
          </cell>
        </row>
      </sheetData>
      <sheetData sheetId="811">
        <row r="3">
          <cell r="F3" t="str">
            <v>UNIT PRICE  (VND)</v>
          </cell>
        </row>
      </sheetData>
      <sheetData sheetId="812">
        <row r="3">
          <cell r="F3" t="str">
            <v>UNIT PRICE  (VND)</v>
          </cell>
        </row>
      </sheetData>
      <sheetData sheetId="813">
        <row r="3">
          <cell r="F3" t="str">
            <v>UNIT PRICE  (VND)</v>
          </cell>
        </row>
      </sheetData>
      <sheetData sheetId="814">
        <row r="3">
          <cell r="F3" t="str">
            <v>UNIT PRICE  (VND)</v>
          </cell>
        </row>
      </sheetData>
      <sheetData sheetId="815">
        <row r="3">
          <cell r="F3" t="str">
            <v>UNIT PRICE  (VND)</v>
          </cell>
        </row>
      </sheetData>
      <sheetData sheetId="816">
        <row r="3">
          <cell r="F3" t="str">
            <v>UNIT PRICE  (VND)</v>
          </cell>
        </row>
      </sheetData>
      <sheetData sheetId="817">
        <row r="3">
          <cell r="F3" t="str">
            <v>UNIT PRICE  (VND)</v>
          </cell>
        </row>
      </sheetData>
      <sheetData sheetId="818">
        <row r="3">
          <cell r="F3" t="str">
            <v>UNIT PRICE  (VND)</v>
          </cell>
        </row>
      </sheetData>
      <sheetData sheetId="819">
        <row r="3">
          <cell r="F3" t="str">
            <v>UNIT PRICE  (VND)</v>
          </cell>
        </row>
      </sheetData>
      <sheetData sheetId="820">
        <row r="3">
          <cell r="F3" t="str">
            <v>UNIT PRICE  (VND)</v>
          </cell>
        </row>
      </sheetData>
      <sheetData sheetId="821">
        <row r="3">
          <cell r="F3" t="str">
            <v>UNIT PRICE  (VND)</v>
          </cell>
        </row>
      </sheetData>
      <sheetData sheetId="822">
        <row r="3">
          <cell r="F3" t="str">
            <v>UNIT PRICE  (VND)</v>
          </cell>
        </row>
      </sheetData>
      <sheetData sheetId="823">
        <row r="3">
          <cell r="F3" t="str">
            <v>UNIT PRICE  (VND)</v>
          </cell>
        </row>
      </sheetData>
      <sheetData sheetId="824">
        <row r="3">
          <cell r="F3" t="str">
            <v>UNIT PRICE  (VND)</v>
          </cell>
        </row>
      </sheetData>
      <sheetData sheetId="825">
        <row r="3">
          <cell r="F3" t="str">
            <v>UNIT PRICE  (VND)</v>
          </cell>
        </row>
      </sheetData>
      <sheetData sheetId="826">
        <row r="3">
          <cell r="F3" t="str">
            <v>UNIT PRICE  (VND)</v>
          </cell>
        </row>
      </sheetData>
      <sheetData sheetId="827">
        <row r="3">
          <cell r="F3" t="str">
            <v>UNIT PRICE  (VND)</v>
          </cell>
        </row>
      </sheetData>
      <sheetData sheetId="828">
        <row r="3">
          <cell r="F3" t="str">
            <v>UNIT PRICE  (VND)</v>
          </cell>
        </row>
      </sheetData>
      <sheetData sheetId="829">
        <row r="3">
          <cell r="F3" t="str">
            <v>UNIT PRICE  (VND)</v>
          </cell>
        </row>
      </sheetData>
      <sheetData sheetId="830">
        <row r="3">
          <cell r="F3" t="str">
            <v>UNIT PRICE  (VND)</v>
          </cell>
        </row>
      </sheetData>
      <sheetData sheetId="831">
        <row r="3">
          <cell r="F3" t="str">
            <v>UNIT PRICE  (VND)</v>
          </cell>
        </row>
      </sheetData>
      <sheetData sheetId="832">
        <row r="3">
          <cell r="F3" t="str">
            <v>UNIT PRICE  (VND)</v>
          </cell>
        </row>
      </sheetData>
      <sheetData sheetId="833">
        <row r="3">
          <cell r="F3" t="str">
            <v>UNIT PRICE  (VND)</v>
          </cell>
        </row>
      </sheetData>
      <sheetData sheetId="834">
        <row r="3">
          <cell r="F3" t="str">
            <v>UNIT PRICE  (VND)</v>
          </cell>
        </row>
      </sheetData>
      <sheetData sheetId="835">
        <row r="3">
          <cell r="F3" t="str">
            <v>UNIT PRICE  (VND)</v>
          </cell>
        </row>
      </sheetData>
      <sheetData sheetId="836">
        <row r="3">
          <cell r="F3" t="str">
            <v>UNIT PRICE  (VND)</v>
          </cell>
        </row>
      </sheetData>
      <sheetData sheetId="837">
        <row r="3">
          <cell r="F3" t="str">
            <v>UNIT PRICE  (VND)</v>
          </cell>
        </row>
      </sheetData>
      <sheetData sheetId="838">
        <row r="3">
          <cell r="F3" t="str">
            <v>UNIT PRICE  (VND)</v>
          </cell>
        </row>
      </sheetData>
      <sheetData sheetId="839">
        <row r="3">
          <cell r="F3" t="str">
            <v>UNIT PRICE  (VND)</v>
          </cell>
        </row>
      </sheetData>
      <sheetData sheetId="840">
        <row r="3">
          <cell r="F3" t="str">
            <v>UNIT PRICE  (VND)</v>
          </cell>
        </row>
      </sheetData>
      <sheetData sheetId="841">
        <row r="3">
          <cell r="F3" t="str">
            <v>UNIT PRICE  (VND)</v>
          </cell>
        </row>
      </sheetData>
      <sheetData sheetId="842">
        <row r="3">
          <cell r="F3" t="str">
            <v>UNIT PRICE  (VND)</v>
          </cell>
        </row>
      </sheetData>
      <sheetData sheetId="843">
        <row r="3">
          <cell r="F3" t="str">
            <v>UNIT PRICE  (VND)</v>
          </cell>
        </row>
      </sheetData>
      <sheetData sheetId="844">
        <row r="3">
          <cell r="F3" t="str">
            <v>UNIT PRICE  (VND)</v>
          </cell>
        </row>
      </sheetData>
      <sheetData sheetId="845">
        <row r="3">
          <cell r="F3" t="str">
            <v>UNIT PRICE  (VND)</v>
          </cell>
        </row>
      </sheetData>
      <sheetData sheetId="846">
        <row r="3">
          <cell r="F3" t="str">
            <v>UNIT PRICE  (VND)</v>
          </cell>
        </row>
      </sheetData>
      <sheetData sheetId="847">
        <row r="3">
          <cell r="F3" t="str">
            <v>UNIT PRICE  (VND)</v>
          </cell>
        </row>
      </sheetData>
      <sheetData sheetId="848">
        <row r="3">
          <cell r="F3" t="str">
            <v>UNIT PRICE  (VND)</v>
          </cell>
        </row>
      </sheetData>
      <sheetData sheetId="849">
        <row r="3">
          <cell r="F3" t="str">
            <v>UNIT PRICE  (VND)</v>
          </cell>
        </row>
      </sheetData>
      <sheetData sheetId="850">
        <row r="3">
          <cell r="F3" t="str">
            <v>UNIT PRICE  (VND)</v>
          </cell>
        </row>
      </sheetData>
      <sheetData sheetId="851">
        <row r="3">
          <cell r="F3" t="str">
            <v>UNIT PRICE  (VND)</v>
          </cell>
        </row>
      </sheetData>
      <sheetData sheetId="852">
        <row r="3">
          <cell r="F3" t="str">
            <v>UNIT PRICE  (VND)</v>
          </cell>
        </row>
      </sheetData>
      <sheetData sheetId="853">
        <row r="3">
          <cell r="F3" t="str">
            <v>UNIT PRICE  (VND)</v>
          </cell>
        </row>
      </sheetData>
      <sheetData sheetId="854">
        <row r="3">
          <cell r="F3" t="str">
            <v>UNIT PRICE  (VND)</v>
          </cell>
        </row>
      </sheetData>
      <sheetData sheetId="855">
        <row r="3">
          <cell r="F3" t="str">
            <v>UNIT PRICE  (VND)</v>
          </cell>
        </row>
      </sheetData>
      <sheetData sheetId="856">
        <row r="3">
          <cell r="F3" t="str">
            <v>UNIT PRICE  (VND)</v>
          </cell>
        </row>
      </sheetData>
      <sheetData sheetId="857">
        <row r="3">
          <cell r="F3" t="str">
            <v>UNIT PRICE  (VND)</v>
          </cell>
        </row>
      </sheetData>
      <sheetData sheetId="858">
        <row r="3">
          <cell r="F3" t="str">
            <v>UNIT PRICE  (VND)</v>
          </cell>
        </row>
      </sheetData>
      <sheetData sheetId="859">
        <row r="3">
          <cell r="F3" t="str">
            <v>UNIT PRICE  (VND)</v>
          </cell>
        </row>
      </sheetData>
      <sheetData sheetId="860">
        <row r="3">
          <cell r="F3" t="str">
            <v>UNIT PRICE  (VND)</v>
          </cell>
        </row>
      </sheetData>
      <sheetData sheetId="861">
        <row r="3">
          <cell r="F3" t="str">
            <v>UNIT PRICE  (VND)</v>
          </cell>
        </row>
      </sheetData>
      <sheetData sheetId="862">
        <row r="3">
          <cell r="F3" t="str">
            <v>UNIT PRICE  (VND)</v>
          </cell>
        </row>
      </sheetData>
      <sheetData sheetId="863">
        <row r="3">
          <cell r="F3" t="str">
            <v>UNIT PRICE  (VND)</v>
          </cell>
        </row>
      </sheetData>
      <sheetData sheetId="864">
        <row r="3">
          <cell r="F3" t="str">
            <v>UNIT PRICE  (VND)</v>
          </cell>
        </row>
      </sheetData>
      <sheetData sheetId="865">
        <row r="3">
          <cell r="F3" t="str">
            <v>UNIT PRICE  (VND)</v>
          </cell>
        </row>
      </sheetData>
      <sheetData sheetId="866">
        <row r="3">
          <cell r="F3" t="str">
            <v>UNIT PRICE  (VND)</v>
          </cell>
        </row>
      </sheetData>
      <sheetData sheetId="867">
        <row r="3">
          <cell r="F3" t="str">
            <v>UNIT PRICE  (VND)</v>
          </cell>
        </row>
      </sheetData>
      <sheetData sheetId="868">
        <row r="3">
          <cell r="F3" t="str">
            <v>UNIT PRICE  (VND)</v>
          </cell>
        </row>
      </sheetData>
      <sheetData sheetId="869">
        <row r="3">
          <cell r="F3" t="str">
            <v>UNIT PRICE  (VND)</v>
          </cell>
        </row>
      </sheetData>
      <sheetData sheetId="870">
        <row r="3">
          <cell r="F3" t="str">
            <v>UNIT PRICE  (VND)</v>
          </cell>
        </row>
      </sheetData>
      <sheetData sheetId="871">
        <row r="3">
          <cell r="F3" t="str">
            <v>UNIT PRICE  (VND)</v>
          </cell>
        </row>
      </sheetData>
      <sheetData sheetId="872">
        <row r="3">
          <cell r="F3" t="str">
            <v>UNIT PRICE  (VND)</v>
          </cell>
        </row>
      </sheetData>
      <sheetData sheetId="873">
        <row r="3">
          <cell r="F3" t="str">
            <v>UNIT PRICE  (VND)</v>
          </cell>
        </row>
      </sheetData>
      <sheetData sheetId="874">
        <row r="3">
          <cell r="F3" t="str">
            <v>UNIT PRICE  (VND)</v>
          </cell>
        </row>
      </sheetData>
      <sheetData sheetId="875">
        <row r="3">
          <cell r="F3" t="str">
            <v>UNIT PRICE  (VND)</v>
          </cell>
        </row>
      </sheetData>
      <sheetData sheetId="876">
        <row r="3">
          <cell r="F3" t="str">
            <v>UNIT PRICE  (VND)</v>
          </cell>
        </row>
      </sheetData>
      <sheetData sheetId="877">
        <row r="3">
          <cell r="F3" t="str">
            <v>UNIT PRICE  (VND)</v>
          </cell>
        </row>
      </sheetData>
      <sheetData sheetId="878">
        <row r="3">
          <cell r="F3" t="str">
            <v>UNIT PRICE  (VND)</v>
          </cell>
        </row>
      </sheetData>
      <sheetData sheetId="879">
        <row r="3">
          <cell r="F3" t="str">
            <v>UNIT PRICE  (VND)</v>
          </cell>
        </row>
      </sheetData>
      <sheetData sheetId="880">
        <row r="3">
          <cell r="F3" t="str">
            <v>UNIT PRICE  (VND)</v>
          </cell>
        </row>
      </sheetData>
      <sheetData sheetId="881">
        <row r="3">
          <cell r="F3" t="str">
            <v>UNIT PRICE  (VND)</v>
          </cell>
        </row>
      </sheetData>
      <sheetData sheetId="882">
        <row r="3">
          <cell r="F3" t="str">
            <v>UNIT PRICE  (VND)</v>
          </cell>
        </row>
      </sheetData>
      <sheetData sheetId="883">
        <row r="3">
          <cell r="F3" t="str">
            <v>UNIT PRICE  (VND)</v>
          </cell>
        </row>
      </sheetData>
      <sheetData sheetId="884">
        <row r="3">
          <cell r="F3" t="str">
            <v>UNIT PRICE  (VND)</v>
          </cell>
        </row>
      </sheetData>
      <sheetData sheetId="885">
        <row r="3">
          <cell r="F3" t="str">
            <v>UNIT PRICE  (VND)</v>
          </cell>
        </row>
      </sheetData>
      <sheetData sheetId="886">
        <row r="3">
          <cell r="F3" t="str">
            <v>UNIT PRICE  (VND)</v>
          </cell>
        </row>
      </sheetData>
      <sheetData sheetId="887">
        <row r="3">
          <cell r="F3" t="str">
            <v>UNIT PRICE  (VND)</v>
          </cell>
        </row>
      </sheetData>
      <sheetData sheetId="888">
        <row r="3">
          <cell r="F3" t="str">
            <v>UNIT PRICE  (VND)</v>
          </cell>
        </row>
      </sheetData>
      <sheetData sheetId="889">
        <row r="3">
          <cell r="F3" t="str">
            <v>UNIT PRICE  (VND)</v>
          </cell>
        </row>
      </sheetData>
      <sheetData sheetId="890">
        <row r="3">
          <cell r="F3" t="str">
            <v>UNIT PRICE  (VND)</v>
          </cell>
        </row>
      </sheetData>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ow r="3">
          <cell r="F3" t="str">
            <v>UNIT PRICE  (VND)</v>
          </cell>
        </row>
      </sheetData>
      <sheetData sheetId="913">
        <row r="3">
          <cell r="F3" t="str">
            <v>UNIT PRICE  (VND)</v>
          </cell>
        </row>
      </sheetData>
      <sheetData sheetId="914">
        <row r="3">
          <cell r="F3" t="str">
            <v>UNIT PRICE  (VND)</v>
          </cell>
        </row>
      </sheetData>
      <sheetData sheetId="915">
        <row r="3">
          <cell r="F3" t="str">
            <v>UNIT PRICE  (VND)</v>
          </cell>
        </row>
      </sheetData>
      <sheetData sheetId="916">
        <row r="3">
          <cell r="F3" t="str">
            <v>UNIT PRICE  (VND)</v>
          </cell>
        </row>
      </sheetData>
      <sheetData sheetId="917">
        <row r="3">
          <cell r="F3" t="str">
            <v>UNIT PRICE  (VND)</v>
          </cell>
        </row>
      </sheetData>
      <sheetData sheetId="918">
        <row r="3">
          <cell r="F3" t="str">
            <v>UNIT PRICE  (VND)</v>
          </cell>
        </row>
      </sheetData>
      <sheetData sheetId="919">
        <row r="3">
          <cell r="F3" t="str">
            <v>UNIT PRICE  (VND)</v>
          </cell>
        </row>
      </sheetData>
      <sheetData sheetId="920">
        <row r="3">
          <cell r="F3" t="str">
            <v>UNIT PRICE  (VND)</v>
          </cell>
        </row>
      </sheetData>
      <sheetData sheetId="921">
        <row r="3">
          <cell r="F3" t="str">
            <v>UNIT PRICE  (VND)</v>
          </cell>
        </row>
      </sheetData>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ow r="3">
          <cell r="F3" t="str">
            <v>UNIT PRICE  (VND)</v>
          </cell>
        </row>
      </sheetData>
      <sheetData sheetId="943">
        <row r="3">
          <cell r="F3" t="str">
            <v>UNIT PRICE  (VND)</v>
          </cell>
        </row>
      </sheetData>
      <sheetData sheetId="944">
        <row r="3">
          <cell r="F3" t="str">
            <v>UNIT PRICE  (VND)</v>
          </cell>
        </row>
      </sheetData>
      <sheetData sheetId="945">
        <row r="3">
          <cell r="F3" t="str">
            <v>UNIT PRICE  (VND)</v>
          </cell>
        </row>
      </sheetData>
      <sheetData sheetId="946">
        <row r="3">
          <cell r="F3" t="str">
            <v>UNIT PRICE  (VND)</v>
          </cell>
        </row>
      </sheetData>
      <sheetData sheetId="947">
        <row r="3">
          <cell r="F3" t="str">
            <v>UNIT PRICE  (VND)</v>
          </cell>
        </row>
      </sheetData>
      <sheetData sheetId="948">
        <row r="3">
          <cell r="F3" t="str">
            <v>UNIT PRICE  (VND)</v>
          </cell>
        </row>
      </sheetData>
      <sheetData sheetId="949">
        <row r="3">
          <cell r="F3" t="str">
            <v>UNIT PRICE  (VND)</v>
          </cell>
        </row>
      </sheetData>
      <sheetData sheetId="950">
        <row r="3">
          <cell r="F3" t="str">
            <v>UNIT PRICE  (VND)</v>
          </cell>
        </row>
      </sheetData>
      <sheetData sheetId="95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ow r="3">
          <cell r="F3" t="str">
            <v>UNIT PRICE  (VND)</v>
          </cell>
        </row>
      </sheetData>
      <sheetData sheetId="980" refreshError="1"/>
      <sheetData sheetId="981">
        <row r="3">
          <cell r="F3" t="str">
            <v>UNIT PRICE  (VND)</v>
          </cell>
        </row>
      </sheetData>
      <sheetData sheetId="982">
        <row r="3">
          <cell r="F3" t="str">
            <v>UNIT PRICE  (VND)</v>
          </cell>
        </row>
      </sheetData>
      <sheetData sheetId="983">
        <row r="3">
          <cell r="F3" t="str">
            <v>UNIT PRICE  (VND)</v>
          </cell>
        </row>
      </sheetData>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ow r="3">
          <cell r="F3" t="str">
            <v>UNIT PRICE  (VND)</v>
          </cell>
        </row>
      </sheetData>
      <sheetData sheetId="999" refreshError="1"/>
      <sheetData sheetId="1000" refreshError="1"/>
      <sheetData sheetId="1001">
        <row r="3">
          <cell r="F3" t="str">
            <v>UNIT PRICE  (VND)</v>
          </cell>
        </row>
      </sheetData>
      <sheetData sheetId="1002">
        <row r="3">
          <cell r="F3" t="str">
            <v>UNIT PRICE  (VND)</v>
          </cell>
        </row>
      </sheetData>
      <sheetData sheetId="1003" refreshError="1"/>
      <sheetData sheetId="1004" refreshError="1"/>
      <sheetData sheetId="1005" refreshError="1"/>
      <sheetData sheetId="1006" refreshError="1"/>
      <sheetData sheetId="1007">
        <row r="3">
          <cell r="F3" t="str">
            <v>UNIT PRICE  (VND)</v>
          </cell>
        </row>
      </sheetData>
      <sheetData sheetId="1008">
        <row r="3">
          <cell r="F3" t="str">
            <v>UNIT PRICE  (VND)</v>
          </cell>
        </row>
      </sheetData>
      <sheetData sheetId="1009" refreshError="1"/>
      <sheetData sheetId="1010" refreshError="1"/>
      <sheetData sheetId="1011">
        <row r="3">
          <cell r="F3" t="str">
            <v>UNIT PRICE  (VND)</v>
          </cell>
        </row>
      </sheetData>
      <sheetData sheetId="1012">
        <row r="3">
          <cell r="F3" t="str">
            <v>UNIT PRICE  (VND)</v>
          </cell>
        </row>
      </sheetData>
      <sheetData sheetId="1013">
        <row r="3">
          <cell r="F3" t="str">
            <v>UNIT PRICE  (VND)</v>
          </cell>
        </row>
      </sheetData>
      <sheetData sheetId="1014">
        <row r="3">
          <cell r="F3" t="str">
            <v>UNIT PRICE  (VND)</v>
          </cell>
        </row>
      </sheetData>
      <sheetData sheetId="1015">
        <row r="3">
          <cell r="F3" t="str">
            <v>UNIT PRICE  (VND)</v>
          </cell>
        </row>
      </sheetData>
      <sheetData sheetId="1016" refreshError="1"/>
      <sheetData sheetId="1017" refreshError="1"/>
      <sheetData sheetId="1018" refreshError="1"/>
      <sheetData sheetId="1019" refreshError="1"/>
      <sheetData sheetId="1020" refreshError="1"/>
      <sheetData sheetId="1021">
        <row r="3">
          <cell r="F3" t="str">
            <v>UNIT PRICE  (VND)</v>
          </cell>
        </row>
      </sheetData>
      <sheetData sheetId="1022">
        <row r="3">
          <cell r="F3" t="str">
            <v>UNIT PRICE  (VND)</v>
          </cell>
        </row>
      </sheetData>
      <sheetData sheetId="1023">
        <row r="3">
          <cell r="F3" t="str">
            <v>UNIT PRICE  (VND)</v>
          </cell>
        </row>
      </sheetData>
      <sheetData sheetId="1024">
        <row r="3">
          <cell r="F3" t="str">
            <v>UNIT PRICE  (VND)</v>
          </cell>
        </row>
      </sheetData>
      <sheetData sheetId="1025">
        <row r="3">
          <cell r="F3" t="str">
            <v>UNIT PRICE  (VND)</v>
          </cell>
        </row>
      </sheetData>
      <sheetData sheetId="1026">
        <row r="3">
          <cell r="F3" t="str">
            <v>UNIT PRICE  (VND)</v>
          </cell>
        </row>
      </sheetData>
      <sheetData sheetId="1027">
        <row r="3">
          <cell r="F3" t="str">
            <v>UNIT PRICE  (VND)</v>
          </cell>
        </row>
      </sheetData>
      <sheetData sheetId="1028">
        <row r="3">
          <cell r="F3" t="str">
            <v>UNIT PRICE  (VND)</v>
          </cell>
        </row>
      </sheetData>
      <sheetData sheetId="1029">
        <row r="3">
          <cell r="F3" t="str">
            <v>UNIT PRICE  (VND)</v>
          </cell>
        </row>
      </sheetData>
      <sheetData sheetId="1030" refreshError="1"/>
      <sheetData sheetId="1031" refreshError="1"/>
      <sheetData sheetId="1032" refreshError="1"/>
      <sheetData sheetId="1033" refreshError="1"/>
      <sheetData sheetId="1034">
        <row r="3">
          <cell r="F3" t="str">
            <v>UNIT PRICE  (VND)</v>
          </cell>
        </row>
      </sheetData>
      <sheetData sheetId="1035">
        <row r="3">
          <cell r="F3" t="str">
            <v>UNIT PRICE  (VND)</v>
          </cell>
        </row>
      </sheetData>
      <sheetData sheetId="1036">
        <row r="3">
          <cell r="F3" t="str">
            <v>UNIT PRICE  (VND)</v>
          </cell>
        </row>
      </sheetData>
      <sheetData sheetId="1037">
        <row r="3">
          <cell r="F3" t="str">
            <v>UNIT PRICE  (VND)</v>
          </cell>
        </row>
      </sheetData>
      <sheetData sheetId="1038">
        <row r="3">
          <cell r="F3" t="str">
            <v>UNIT PRICE  (VND)</v>
          </cell>
        </row>
      </sheetData>
      <sheetData sheetId="1039">
        <row r="3">
          <cell r="F3" t="str">
            <v>UNIT PRICE  (VND)</v>
          </cell>
        </row>
      </sheetData>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ow r="3">
          <cell r="F3" t="str">
            <v>UNIT PRICE  (VND)</v>
          </cell>
        </row>
      </sheetData>
      <sheetData sheetId="1054">
        <row r="3">
          <cell r="F3" t="str">
            <v>UNIT PRICE  (VND)</v>
          </cell>
        </row>
      </sheetData>
      <sheetData sheetId="1055">
        <row r="3">
          <cell r="F3" t="str">
            <v>UNIT PRICE  (VND)</v>
          </cell>
        </row>
      </sheetData>
      <sheetData sheetId="1056">
        <row r="3">
          <cell r="F3" t="str">
            <v>UNIT PRICE  (VND)</v>
          </cell>
        </row>
      </sheetData>
      <sheetData sheetId="1057">
        <row r="3">
          <cell r="F3" t="str">
            <v>UNIT PRICE  (VND)</v>
          </cell>
        </row>
      </sheetData>
      <sheetData sheetId="1058">
        <row r="3">
          <cell r="F3" t="str">
            <v>UNIT PRICE  (VND)</v>
          </cell>
        </row>
      </sheetData>
      <sheetData sheetId="1059">
        <row r="3">
          <cell r="F3" t="str">
            <v>UNIT PRICE  (VND)</v>
          </cell>
        </row>
      </sheetData>
      <sheetData sheetId="1060">
        <row r="3">
          <cell r="F3" t="str">
            <v>UNIT PRICE  (VND)</v>
          </cell>
        </row>
      </sheetData>
      <sheetData sheetId="1061">
        <row r="3">
          <cell r="F3" t="str">
            <v>UNIT PRICE  (VND)</v>
          </cell>
        </row>
      </sheetData>
      <sheetData sheetId="1062">
        <row r="3">
          <cell r="F3" t="str">
            <v>UNIT PRICE  (VND)</v>
          </cell>
        </row>
      </sheetData>
      <sheetData sheetId="1063">
        <row r="3">
          <cell r="F3" t="str">
            <v>UNIT PRICE  (VND)</v>
          </cell>
        </row>
      </sheetData>
      <sheetData sheetId="1064">
        <row r="3">
          <cell r="F3" t="str">
            <v>UNIT PRICE  (VND)</v>
          </cell>
        </row>
      </sheetData>
      <sheetData sheetId="1065">
        <row r="3">
          <cell r="F3" t="str">
            <v>UNIT PRICE  (VND)</v>
          </cell>
        </row>
      </sheetData>
      <sheetData sheetId="1066">
        <row r="3">
          <cell r="F3" t="str">
            <v>UNIT PRICE  (VND)</v>
          </cell>
        </row>
      </sheetData>
      <sheetData sheetId="1067">
        <row r="3">
          <cell r="F3" t="str">
            <v>UNIT PRICE  (VND)</v>
          </cell>
        </row>
      </sheetData>
      <sheetData sheetId="1068">
        <row r="3">
          <cell r="F3" t="str">
            <v>UNIT PRICE  (VND)</v>
          </cell>
        </row>
      </sheetData>
      <sheetData sheetId="1069">
        <row r="3">
          <cell r="F3" t="str">
            <v>UNIT PRICE  (VND)</v>
          </cell>
        </row>
      </sheetData>
      <sheetData sheetId="1070">
        <row r="3">
          <cell r="F3" t="str">
            <v>UNIT PRICE  (VND)</v>
          </cell>
        </row>
      </sheetData>
      <sheetData sheetId="1071">
        <row r="3">
          <cell r="F3" t="str">
            <v>UNIT PRICE  (VND)</v>
          </cell>
        </row>
      </sheetData>
      <sheetData sheetId="1072">
        <row r="3">
          <cell r="F3" t="str">
            <v>UNIT PRICE  (VND)</v>
          </cell>
        </row>
      </sheetData>
      <sheetData sheetId="1073">
        <row r="3">
          <cell r="F3" t="str">
            <v>UNIT PRICE  (VND)</v>
          </cell>
        </row>
      </sheetData>
      <sheetData sheetId="1074">
        <row r="3">
          <cell r="F3" t="str">
            <v>UNIT PRICE  (VND)</v>
          </cell>
        </row>
      </sheetData>
      <sheetData sheetId="1075">
        <row r="3">
          <cell r="F3" t="str">
            <v>UNIT PRICE  (VND)</v>
          </cell>
        </row>
      </sheetData>
      <sheetData sheetId="1076">
        <row r="3">
          <cell r="F3" t="str">
            <v>UNIT PRICE  (VND)</v>
          </cell>
        </row>
      </sheetData>
      <sheetData sheetId="1077">
        <row r="3">
          <cell r="F3" t="str">
            <v>UNIT PRICE  (VND)</v>
          </cell>
        </row>
      </sheetData>
      <sheetData sheetId="1078">
        <row r="3">
          <cell r="F3" t="str">
            <v>UNIT PRICE  (VND)</v>
          </cell>
        </row>
      </sheetData>
      <sheetData sheetId="1079">
        <row r="3">
          <cell r="F3" t="str">
            <v>UNIT PRICE  (VND)</v>
          </cell>
        </row>
      </sheetData>
      <sheetData sheetId="1080">
        <row r="3">
          <cell r="F3" t="str">
            <v>UNIT PRICE  (VND)</v>
          </cell>
        </row>
      </sheetData>
      <sheetData sheetId="1081">
        <row r="3">
          <cell r="F3" t="str">
            <v>UNIT PRICE  (VND)</v>
          </cell>
        </row>
      </sheetData>
      <sheetData sheetId="1082">
        <row r="3">
          <cell r="F3" t="str">
            <v>UNIT PRICE  (VND)</v>
          </cell>
        </row>
      </sheetData>
      <sheetData sheetId="1083">
        <row r="3">
          <cell r="F3" t="str">
            <v>UNIT PRICE  (VND)</v>
          </cell>
        </row>
      </sheetData>
      <sheetData sheetId="1084">
        <row r="3">
          <cell r="F3" t="str">
            <v>UNIT PRICE  (VND)</v>
          </cell>
        </row>
      </sheetData>
      <sheetData sheetId="1085">
        <row r="3">
          <cell r="F3" t="str">
            <v>UNIT PRICE  (VND)</v>
          </cell>
        </row>
      </sheetData>
      <sheetData sheetId="1086">
        <row r="3">
          <cell r="F3" t="str">
            <v>UNIT PRICE  (VND)</v>
          </cell>
        </row>
      </sheetData>
      <sheetData sheetId="1087">
        <row r="3">
          <cell r="F3" t="str">
            <v>UNIT PRICE  (VND)</v>
          </cell>
        </row>
      </sheetData>
      <sheetData sheetId="1088">
        <row r="3">
          <cell r="F3" t="str">
            <v>UNIT PRICE  (VND)</v>
          </cell>
        </row>
      </sheetData>
      <sheetData sheetId="1089">
        <row r="3">
          <cell r="F3" t="str">
            <v>UNIT PRICE  (VND)</v>
          </cell>
        </row>
      </sheetData>
      <sheetData sheetId="1090">
        <row r="3">
          <cell r="F3" t="str">
            <v>UNIT PRICE  (VND)</v>
          </cell>
        </row>
      </sheetData>
      <sheetData sheetId="1091">
        <row r="3">
          <cell r="F3" t="str">
            <v>UNIT PRICE  (VND)</v>
          </cell>
        </row>
      </sheetData>
      <sheetData sheetId="1092">
        <row r="3">
          <cell r="F3" t="str">
            <v>UNIT PRICE  (VND)</v>
          </cell>
        </row>
      </sheetData>
      <sheetData sheetId="1093">
        <row r="3">
          <cell r="F3" t="str">
            <v>UNIT PRICE  (VND)</v>
          </cell>
        </row>
      </sheetData>
      <sheetData sheetId="1094">
        <row r="3">
          <cell r="F3" t="str">
            <v>UNIT PRICE  (VND)</v>
          </cell>
        </row>
      </sheetData>
      <sheetData sheetId="1095">
        <row r="3">
          <cell r="F3" t="str">
            <v>UNIT PRICE  (VND)</v>
          </cell>
        </row>
      </sheetData>
      <sheetData sheetId="1096">
        <row r="3">
          <cell r="F3" t="str">
            <v>UNIT PRICE  (VND)</v>
          </cell>
        </row>
      </sheetData>
      <sheetData sheetId="1097">
        <row r="3">
          <cell r="F3" t="str">
            <v>UNIT PRICE  (VND)</v>
          </cell>
        </row>
      </sheetData>
      <sheetData sheetId="1098">
        <row r="3">
          <cell r="F3" t="str">
            <v>UNIT PRICE  (VND)</v>
          </cell>
        </row>
      </sheetData>
      <sheetData sheetId="1099">
        <row r="3">
          <cell r="F3" t="str">
            <v>UNIT PRICE  (VND)</v>
          </cell>
        </row>
      </sheetData>
      <sheetData sheetId="1100">
        <row r="3">
          <cell r="F3" t="str">
            <v>UNIT PRICE  (VND)</v>
          </cell>
        </row>
      </sheetData>
      <sheetData sheetId="1101">
        <row r="3">
          <cell r="F3" t="str">
            <v>UNIT PRICE  (VND)</v>
          </cell>
        </row>
      </sheetData>
      <sheetData sheetId="1102">
        <row r="3">
          <cell r="F3" t="str">
            <v>UNIT PRICE  (VND)</v>
          </cell>
        </row>
      </sheetData>
      <sheetData sheetId="1103">
        <row r="3">
          <cell r="F3" t="str">
            <v>UNIT PRICE  (VND)</v>
          </cell>
        </row>
      </sheetData>
      <sheetData sheetId="1104">
        <row r="3">
          <cell r="F3" t="str">
            <v>UNIT PRICE  (VND)</v>
          </cell>
        </row>
      </sheetData>
      <sheetData sheetId="1105">
        <row r="3">
          <cell r="F3" t="str">
            <v>UNIT PRICE  (VND)</v>
          </cell>
        </row>
      </sheetData>
      <sheetData sheetId="1106">
        <row r="3">
          <cell r="F3" t="str">
            <v>UNIT PRICE  (VND)</v>
          </cell>
        </row>
      </sheetData>
      <sheetData sheetId="1107">
        <row r="3">
          <cell r="F3" t="str">
            <v>UNIT PRICE  (VND)</v>
          </cell>
        </row>
      </sheetData>
      <sheetData sheetId="1108">
        <row r="3">
          <cell r="F3" t="str">
            <v>UNIT PRICE  (VND)</v>
          </cell>
        </row>
      </sheetData>
      <sheetData sheetId="1109">
        <row r="3">
          <cell r="F3" t="str">
            <v>UNIT PRICE  (VND)</v>
          </cell>
        </row>
      </sheetData>
      <sheetData sheetId="1110">
        <row r="3">
          <cell r="F3" t="str">
            <v>UNIT PRICE  (VND)</v>
          </cell>
        </row>
      </sheetData>
      <sheetData sheetId="1111">
        <row r="3">
          <cell r="F3" t="str">
            <v>UNIT PRICE  (VND)</v>
          </cell>
        </row>
      </sheetData>
      <sheetData sheetId="1112">
        <row r="3">
          <cell r="F3" t="str">
            <v>UNIT PRICE  (VND)</v>
          </cell>
        </row>
      </sheetData>
      <sheetData sheetId="1113">
        <row r="3">
          <cell r="F3" t="str">
            <v>UNIT PRICE  (VND)</v>
          </cell>
        </row>
      </sheetData>
      <sheetData sheetId="1114">
        <row r="3">
          <cell r="F3" t="str">
            <v>UNIT PRICE  (VND)</v>
          </cell>
        </row>
      </sheetData>
      <sheetData sheetId="1115">
        <row r="3">
          <cell r="F3" t="str">
            <v>UNIT PRICE  (VND)</v>
          </cell>
        </row>
      </sheetData>
      <sheetData sheetId="1116">
        <row r="3">
          <cell r="F3" t="str">
            <v>UNIT PRICE  (VND)</v>
          </cell>
        </row>
      </sheetData>
      <sheetData sheetId="1117">
        <row r="3">
          <cell r="F3" t="str">
            <v>UNIT PRICE  (VND)</v>
          </cell>
        </row>
      </sheetData>
      <sheetData sheetId="1118">
        <row r="3">
          <cell r="F3" t="str">
            <v>UNIT PRICE  (VND)</v>
          </cell>
        </row>
      </sheetData>
      <sheetData sheetId="1119">
        <row r="3">
          <cell r="F3" t="str">
            <v>UNIT PRICE  (VND)</v>
          </cell>
        </row>
      </sheetData>
      <sheetData sheetId="1120">
        <row r="3">
          <cell r="F3" t="str">
            <v>UNIT PRICE  (VND)</v>
          </cell>
        </row>
      </sheetData>
      <sheetData sheetId="1121">
        <row r="3">
          <cell r="F3" t="str">
            <v>UNIT PRICE  (VND)</v>
          </cell>
        </row>
      </sheetData>
      <sheetData sheetId="1122">
        <row r="3">
          <cell r="F3" t="str">
            <v>UNIT PRICE  (VND)</v>
          </cell>
        </row>
      </sheetData>
      <sheetData sheetId="1123">
        <row r="3">
          <cell r="F3" t="str">
            <v>UNIT PRICE  (VND)</v>
          </cell>
        </row>
      </sheetData>
      <sheetData sheetId="1124">
        <row r="3">
          <cell r="F3" t="str">
            <v>UNIT PRICE  (VND)</v>
          </cell>
        </row>
      </sheetData>
      <sheetData sheetId="1125">
        <row r="3">
          <cell r="F3" t="str">
            <v>UNIT PRICE  (VND)</v>
          </cell>
        </row>
      </sheetData>
      <sheetData sheetId="1126">
        <row r="3">
          <cell r="F3" t="str">
            <v>UNIT PRICE  (VND)</v>
          </cell>
        </row>
      </sheetData>
      <sheetData sheetId="1127">
        <row r="3">
          <cell r="F3" t="str">
            <v>UNIT PRICE  (VND)</v>
          </cell>
        </row>
      </sheetData>
      <sheetData sheetId="1128">
        <row r="3">
          <cell r="F3" t="str">
            <v>UNIT PRICE  (VND)</v>
          </cell>
        </row>
      </sheetData>
      <sheetData sheetId="1129">
        <row r="3">
          <cell r="F3" t="str">
            <v>UNIT PRICE  (VND)</v>
          </cell>
        </row>
      </sheetData>
      <sheetData sheetId="1130">
        <row r="3">
          <cell r="F3" t="str">
            <v>UNIT PRICE  (VND)</v>
          </cell>
        </row>
      </sheetData>
      <sheetData sheetId="1131">
        <row r="3">
          <cell r="F3" t="str">
            <v>UNIT PRICE  (VND)</v>
          </cell>
        </row>
      </sheetData>
      <sheetData sheetId="1132">
        <row r="3">
          <cell r="F3" t="str">
            <v>UNIT PRICE  (VND)</v>
          </cell>
        </row>
      </sheetData>
      <sheetData sheetId="1133">
        <row r="3">
          <cell r="F3" t="str">
            <v>UNIT PRICE  (VND)</v>
          </cell>
        </row>
      </sheetData>
      <sheetData sheetId="1134">
        <row r="3">
          <cell r="F3" t="str">
            <v>UNIT PRICE  (VND)</v>
          </cell>
        </row>
      </sheetData>
      <sheetData sheetId="1135">
        <row r="3">
          <cell r="F3" t="str">
            <v>UNIT PRICE  (VND)</v>
          </cell>
        </row>
      </sheetData>
      <sheetData sheetId="1136">
        <row r="3">
          <cell r="F3" t="str">
            <v>UNIT PRICE  (VND)</v>
          </cell>
        </row>
      </sheetData>
      <sheetData sheetId="1137">
        <row r="3">
          <cell r="F3" t="str">
            <v>UNIT PRICE  (VND)</v>
          </cell>
        </row>
      </sheetData>
      <sheetData sheetId="1138">
        <row r="3">
          <cell r="F3" t="str">
            <v>UNIT PRICE  (VND)</v>
          </cell>
        </row>
      </sheetData>
      <sheetData sheetId="1139">
        <row r="3">
          <cell r="F3" t="str">
            <v>UNIT PRICE  (VND)</v>
          </cell>
        </row>
      </sheetData>
      <sheetData sheetId="1140">
        <row r="3">
          <cell r="F3" t="str">
            <v>UNIT PRICE  (VND)</v>
          </cell>
        </row>
      </sheetData>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ow r="3">
          <cell r="F3" t="str">
            <v>UNIT PRICE  (VND)</v>
          </cell>
        </row>
      </sheetData>
      <sheetData sheetId="1240">
        <row r="3">
          <cell r="F3" t="str">
            <v>UNIT PRICE  (VND)</v>
          </cell>
        </row>
      </sheetData>
      <sheetData sheetId="1241">
        <row r="3">
          <cell r="F3" t="str">
            <v>UNIT PRICE  (VND)</v>
          </cell>
        </row>
      </sheetData>
      <sheetData sheetId="1242">
        <row r="3">
          <cell r="F3" t="str">
            <v>UNIT PRICE  (VND)</v>
          </cell>
        </row>
      </sheetData>
      <sheetData sheetId="1243">
        <row r="3">
          <cell r="F3" t="str">
            <v>UNIT PRICE  (VND)</v>
          </cell>
        </row>
      </sheetData>
      <sheetData sheetId="1244">
        <row r="3">
          <cell r="F3" t="str">
            <v>UNIT PRICE  (VND)</v>
          </cell>
        </row>
      </sheetData>
      <sheetData sheetId="1245">
        <row r="3">
          <cell r="F3" t="str">
            <v>UNIT PRICE  (VND)</v>
          </cell>
        </row>
      </sheetData>
      <sheetData sheetId="1246">
        <row r="3">
          <cell r="F3" t="str">
            <v>UNIT PRICE  (VND)</v>
          </cell>
        </row>
      </sheetData>
      <sheetData sheetId="1247">
        <row r="3">
          <cell r="F3" t="str">
            <v>UNIT PRICE  (VND)</v>
          </cell>
        </row>
      </sheetData>
      <sheetData sheetId="1248">
        <row r="3">
          <cell r="F3" t="str">
            <v>UNIT PRICE  (VND)</v>
          </cell>
        </row>
      </sheetData>
      <sheetData sheetId="1249">
        <row r="3">
          <cell r="F3" t="str">
            <v>UNIT PRICE  (VND)</v>
          </cell>
        </row>
      </sheetData>
      <sheetData sheetId="1250">
        <row r="3">
          <cell r="F3" t="str">
            <v>UNIT PRICE  (VND)</v>
          </cell>
        </row>
      </sheetData>
      <sheetData sheetId="1251">
        <row r="3">
          <cell r="F3" t="str">
            <v>UNIT PRICE  (VND)</v>
          </cell>
        </row>
      </sheetData>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ow r="3">
          <cell r="F3" t="str">
            <v>UNIT PRICE  (VND)</v>
          </cell>
        </row>
      </sheetData>
      <sheetData sheetId="1275">
        <row r="3">
          <cell r="F3" t="str">
            <v>UNIT PRICE  (VND)</v>
          </cell>
        </row>
      </sheetData>
      <sheetData sheetId="1276">
        <row r="3">
          <cell r="F3" t="str">
            <v>UNIT PRICE  (VND)</v>
          </cell>
        </row>
      </sheetData>
      <sheetData sheetId="1277">
        <row r="3">
          <cell r="F3" t="str">
            <v>UNIT PRICE  (VND)</v>
          </cell>
        </row>
      </sheetData>
      <sheetData sheetId="1278">
        <row r="3">
          <cell r="F3" t="str">
            <v>UNIT PRICE  (VND)</v>
          </cell>
        </row>
      </sheetData>
      <sheetData sheetId="1279">
        <row r="3">
          <cell r="F3" t="str">
            <v>UNIT PRICE  (VND)</v>
          </cell>
        </row>
      </sheetData>
      <sheetData sheetId="1280">
        <row r="3">
          <cell r="F3" t="str">
            <v>UNIT PRICE  (VND)</v>
          </cell>
        </row>
      </sheetData>
      <sheetData sheetId="1281">
        <row r="3">
          <cell r="F3" t="str">
            <v>UNIT PRICE  (VND)</v>
          </cell>
        </row>
      </sheetData>
      <sheetData sheetId="1282">
        <row r="3">
          <cell r="F3" t="str">
            <v>UNIT PRICE  (VND)</v>
          </cell>
        </row>
      </sheetData>
      <sheetData sheetId="1283">
        <row r="3">
          <cell r="F3" t="str">
            <v>UNIT PRICE  (VND)</v>
          </cell>
        </row>
      </sheetData>
      <sheetData sheetId="1284">
        <row r="3">
          <cell r="F3" t="str">
            <v>UNIT PRICE  (VND)</v>
          </cell>
        </row>
      </sheetData>
      <sheetData sheetId="1285">
        <row r="3">
          <cell r="F3" t="str">
            <v>UNIT PRICE  (VND)</v>
          </cell>
        </row>
      </sheetData>
      <sheetData sheetId="1286">
        <row r="3">
          <cell r="F3" t="str">
            <v>UNIT PRICE  (VND)</v>
          </cell>
        </row>
      </sheetData>
      <sheetData sheetId="1287">
        <row r="3">
          <cell r="F3" t="str">
            <v>UNIT PRICE  (VND)</v>
          </cell>
        </row>
      </sheetData>
      <sheetData sheetId="1288" refreshError="1"/>
      <sheetData sheetId="1289" refreshError="1"/>
      <sheetData sheetId="1290" refreshError="1"/>
      <sheetData sheetId="1291" refreshError="1"/>
      <sheetData sheetId="1292" refreshError="1"/>
      <sheetData sheetId="1293">
        <row r="3">
          <cell r="F3" t="str">
            <v>UNIT PRICE  (VND)</v>
          </cell>
        </row>
      </sheetData>
      <sheetData sheetId="1294">
        <row r="3">
          <cell r="F3" t="str">
            <v>UNIT PRICE  (VND)</v>
          </cell>
        </row>
      </sheetData>
      <sheetData sheetId="1295">
        <row r="3">
          <cell r="F3" t="str">
            <v>UNIT PRICE  (VND)</v>
          </cell>
        </row>
      </sheetData>
      <sheetData sheetId="1296">
        <row r="3">
          <cell r="F3" t="str">
            <v>UNIT PRICE  (VND)</v>
          </cell>
        </row>
      </sheetData>
      <sheetData sheetId="1297">
        <row r="3">
          <cell r="F3" t="str">
            <v>UNIT PRICE  (VND)</v>
          </cell>
        </row>
      </sheetData>
      <sheetData sheetId="1298">
        <row r="3">
          <cell r="F3" t="str">
            <v>UNIT PRICE  (VND)</v>
          </cell>
        </row>
      </sheetData>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ow r="3">
          <cell r="F3" t="str">
            <v>UNIT PRICE  (VND)</v>
          </cell>
        </row>
      </sheetData>
      <sheetData sheetId="1344" refreshError="1"/>
      <sheetData sheetId="1345" refreshError="1"/>
      <sheetData sheetId="1346">
        <row r="3">
          <cell r="F3" t="str">
            <v>UNIT PRICE  (VND)</v>
          </cell>
        </row>
      </sheetData>
      <sheetData sheetId="1347">
        <row r="3">
          <cell r="F3" t="str">
            <v>UNIT PRICE  (VND)</v>
          </cell>
        </row>
      </sheetData>
      <sheetData sheetId="1348">
        <row r="3">
          <cell r="F3" t="str">
            <v>UNIT PRICE  (VND)</v>
          </cell>
        </row>
      </sheetData>
      <sheetData sheetId="1349">
        <row r="3">
          <cell r="F3" t="str">
            <v>UNIT PRICE  (VND)</v>
          </cell>
        </row>
      </sheetData>
      <sheetData sheetId="1350">
        <row r="3">
          <cell r="F3" t="str">
            <v>UNIT PRICE  (VND)</v>
          </cell>
        </row>
      </sheetData>
      <sheetData sheetId="1351">
        <row r="3">
          <cell r="F3" t="str">
            <v>UNIT PRICE  (VND)</v>
          </cell>
        </row>
      </sheetData>
      <sheetData sheetId="1352">
        <row r="3">
          <cell r="F3" t="str">
            <v>UNIT PRICE  (VND)</v>
          </cell>
        </row>
      </sheetData>
      <sheetData sheetId="1353">
        <row r="3">
          <cell r="F3" t="str">
            <v>UNIT PRICE  (VND)</v>
          </cell>
        </row>
      </sheetData>
      <sheetData sheetId="1354">
        <row r="3">
          <cell r="F3" t="str">
            <v>UNIT PRICE  (VND)</v>
          </cell>
        </row>
      </sheetData>
      <sheetData sheetId="1355">
        <row r="3">
          <cell r="F3" t="str">
            <v>UNIT PRICE  (VND)</v>
          </cell>
        </row>
      </sheetData>
      <sheetData sheetId="1356">
        <row r="3">
          <cell r="F3" t="str">
            <v>UNIT PRICE  (VND)</v>
          </cell>
        </row>
      </sheetData>
      <sheetData sheetId="1357">
        <row r="3">
          <cell r="F3" t="str">
            <v>UNIT PRICE  (VND)</v>
          </cell>
        </row>
      </sheetData>
      <sheetData sheetId="1358">
        <row r="3">
          <cell r="F3" t="str">
            <v>UNIT PRICE  (VND)</v>
          </cell>
        </row>
      </sheetData>
      <sheetData sheetId="1359">
        <row r="3">
          <cell r="F3" t="str">
            <v>UNIT PRICE  (VND)</v>
          </cell>
        </row>
      </sheetData>
      <sheetData sheetId="1360">
        <row r="3">
          <cell r="F3" t="str">
            <v>UNIT PRICE  (VND)</v>
          </cell>
        </row>
      </sheetData>
      <sheetData sheetId="1361">
        <row r="3">
          <cell r="F3" t="str">
            <v>UNIT PRICE  (VND)</v>
          </cell>
        </row>
      </sheetData>
      <sheetData sheetId="1362">
        <row r="3">
          <cell r="F3" t="str">
            <v>UNIT PRICE  (VND)</v>
          </cell>
        </row>
      </sheetData>
      <sheetData sheetId="1363">
        <row r="3">
          <cell r="F3" t="str">
            <v>UNIT PRICE  (VND)</v>
          </cell>
        </row>
      </sheetData>
      <sheetData sheetId="1364">
        <row r="3">
          <cell r="F3" t="str">
            <v>UNIT PRICE  (VND)</v>
          </cell>
        </row>
      </sheetData>
      <sheetData sheetId="1365">
        <row r="3">
          <cell r="F3" t="str">
            <v>UNIT PRICE  (VND)</v>
          </cell>
        </row>
      </sheetData>
      <sheetData sheetId="1366">
        <row r="3">
          <cell r="F3" t="str">
            <v>UNIT PRICE  (VND)</v>
          </cell>
        </row>
      </sheetData>
      <sheetData sheetId="1367">
        <row r="3">
          <cell r="F3" t="str">
            <v>UNIT PRICE  (VND)</v>
          </cell>
        </row>
      </sheetData>
      <sheetData sheetId="1368">
        <row r="3">
          <cell r="F3" t="str">
            <v>UNIT PRICE  (VND)</v>
          </cell>
        </row>
      </sheetData>
      <sheetData sheetId="1369">
        <row r="3">
          <cell r="F3" t="str">
            <v>UNIT PRICE  (VND)</v>
          </cell>
        </row>
      </sheetData>
      <sheetData sheetId="1370">
        <row r="3">
          <cell r="F3" t="str">
            <v>UNIT PRICE  (VND)</v>
          </cell>
        </row>
      </sheetData>
      <sheetData sheetId="1371">
        <row r="3">
          <cell r="F3" t="str">
            <v>UNIT PRICE  (VND)</v>
          </cell>
        </row>
      </sheetData>
      <sheetData sheetId="1372">
        <row r="3">
          <cell r="F3" t="str">
            <v>UNIT PRICE  (VND)</v>
          </cell>
        </row>
      </sheetData>
      <sheetData sheetId="1373">
        <row r="3">
          <cell r="F3" t="str">
            <v>UNIT PRICE  (VND)</v>
          </cell>
        </row>
      </sheetData>
      <sheetData sheetId="1374">
        <row r="3">
          <cell r="F3" t="str">
            <v>UNIT PRICE  (VND)</v>
          </cell>
        </row>
      </sheetData>
      <sheetData sheetId="1375">
        <row r="3">
          <cell r="F3" t="str">
            <v>UNIT PRICE  (VND)</v>
          </cell>
        </row>
      </sheetData>
      <sheetData sheetId="1376">
        <row r="3">
          <cell r="F3" t="str">
            <v>UNIT PRICE  (VND)</v>
          </cell>
        </row>
      </sheetData>
      <sheetData sheetId="1377">
        <row r="3">
          <cell r="F3" t="str">
            <v>UNIT PRICE  (VND)</v>
          </cell>
        </row>
      </sheetData>
      <sheetData sheetId="1378">
        <row r="3">
          <cell r="F3" t="str">
            <v>UNIT PRICE  (VND)</v>
          </cell>
        </row>
      </sheetData>
      <sheetData sheetId="1379">
        <row r="3">
          <cell r="F3" t="str">
            <v>UNIT PRICE  (VND)</v>
          </cell>
        </row>
      </sheetData>
      <sheetData sheetId="1380">
        <row r="3">
          <cell r="F3" t="str">
            <v>UNIT PRICE  (VND)</v>
          </cell>
        </row>
      </sheetData>
      <sheetData sheetId="1381">
        <row r="3">
          <cell r="F3" t="str">
            <v>UNIT PRICE  (VND)</v>
          </cell>
        </row>
      </sheetData>
      <sheetData sheetId="1382">
        <row r="3">
          <cell r="F3" t="str">
            <v>UNIT PRICE  (VND)</v>
          </cell>
        </row>
      </sheetData>
      <sheetData sheetId="1383">
        <row r="3">
          <cell r="F3" t="str">
            <v>UNIT PRICE  (VND)</v>
          </cell>
        </row>
      </sheetData>
      <sheetData sheetId="1384">
        <row r="3">
          <cell r="F3" t="str">
            <v>UNIT PRICE  (VND)</v>
          </cell>
        </row>
      </sheetData>
      <sheetData sheetId="1385">
        <row r="3">
          <cell r="F3" t="str">
            <v>UNIT PRICE  (VND)</v>
          </cell>
        </row>
      </sheetData>
      <sheetData sheetId="1386">
        <row r="3">
          <cell r="F3" t="str">
            <v>UNIT PRICE  (VND)</v>
          </cell>
        </row>
      </sheetData>
      <sheetData sheetId="1387">
        <row r="3">
          <cell r="F3" t="str">
            <v>UNIT PRICE  (VND)</v>
          </cell>
        </row>
      </sheetData>
      <sheetData sheetId="1388">
        <row r="3">
          <cell r="F3" t="str">
            <v>UNIT PRICE  (VND)</v>
          </cell>
        </row>
      </sheetData>
      <sheetData sheetId="1389">
        <row r="3">
          <cell r="F3" t="str">
            <v>UNIT PRICE  (VND)</v>
          </cell>
        </row>
      </sheetData>
      <sheetData sheetId="1390">
        <row r="3">
          <cell r="F3" t="str">
            <v>UNIT PRICE  (VND)</v>
          </cell>
        </row>
      </sheetData>
      <sheetData sheetId="1391">
        <row r="3">
          <cell r="F3" t="str">
            <v>UNIT PRICE  (VND)</v>
          </cell>
        </row>
      </sheetData>
      <sheetData sheetId="1392">
        <row r="3">
          <cell r="F3" t="str">
            <v>UNIT PRICE  (VND)</v>
          </cell>
        </row>
      </sheetData>
      <sheetData sheetId="1393">
        <row r="3">
          <cell r="F3" t="str">
            <v>UNIT PRICE  (VND)</v>
          </cell>
        </row>
      </sheetData>
      <sheetData sheetId="1394">
        <row r="3">
          <cell r="F3" t="str">
            <v>UNIT PRICE  (VND)</v>
          </cell>
        </row>
      </sheetData>
      <sheetData sheetId="1395">
        <row r="3">
          <cell r="F3" t="str">
            <v>UNIT PRICE  (VND)</v>
          </cell>
        </row>
      </sheetData>
      <sheetData sheetId="1396">
        <row r="3">
          <cell r="F3" t="str">
            <v>UNIT PRICE  (VND)</v>
          </cell>
        </row>
      </sheetData>
      <sheetData sheetId="1397">
        <row r="3">
          <cell r="F3" t="str">
            <v>UNIT PRICE  (VND)</v>
          </cell>
        </row>
      </sheetData>
      <sheetData sheetId="1398">
        <row r="3">
          <cell r="F3" t="str">
            <v>UNIT PRICE  (VND)</v>
          </cell>
        </row>
      </sheetData>
      <sheetData sheetId="1399">
        <row r="3">
          <cell r="F3" t="str">
            <v>UNIT PRICE  (VND)</v>
          </cell>
        </row>
      </sheetData>
      <sheetData sheetId="1400">
        <row r="3">
          <cell r="F3" t="str">
            <v>UNIT PRICE  (VND)</v>
          </cell>
        </row>
      </sheetData>
      <sheetData sheetId="1401">
        <row r="3">
          <cell r="F3" t="str">
            <v>UNIT PRICE  (VND)</v>
          </cell>
        </row>
      </sheetData>
      <sheetData sheetId="1402">
        <row r="3">
          <cell r="F3" t="str">
            <v>UNIT PRICE  (VND)</v>
          </cell>
        </row>
      </sheetData>
      <sheetData sheetId="1403">
        <row r="3">
          <cell r="F3" t="str">
            <v>UNIT PRICE  (VND)</v>
          </cell>
        </row>
      </sheetData>
      <sheetData sheetId="1404">
        <row r="3">
          <cell r="F3" t="str">
            <v>UNIT PRICE  (VND)</v>
          </cell>
        </row>
      </sheetData>
      <sheetData sheetId="1405">
        <row r="3">
          <cell r="F3" t="str">
            <v>UNIT PRICE  (VND)</v>
          </cell>
        </row>
      </sheetData>
      <sheetData sheetId="1406">
        <row r="3">
          <cell r="F3" t="str">
            <v>UNIT PRICE  (VND)</v>
          </cell>
        </row>
      </sheetData>
      <sheetData sheetId="1407">
        <row r="3">
          <cell r="F3" t="str">
            <v>UNIT PRICE  (VND)</v>
          </cell>
        </row>
      </sheetData>
      <sheetData sheetId="1408">
        <row r="3">
          <cell r="F3" t="str">
            <v>UNIT PRICE  (VND)</v>
          </cell>
        </row>
      </sheetData>
      <sheetData sheetId="1409">
        <row r="3">
          <cell r="F3" t="str">
            <v>UNIT PRICE  (VND)</v>
          </cell>
        </row>
      </sheetData>
      <sheetData sheetId="1410">
        <row r="3">
          <cell r="F3" t="str">
            <v>UNIT PRICE  (VND)</v>
          </cell>
        </row>
      </sheetData>
      <sheetData sheetId="1411">
        <row r="3">
          <cell r="F3" t="str">
            <v>UNIT PRICE  (VND)</v>
          </cell>
        </row>
      </sheetData>
      <sheetData sheetId="1412">
        <row r="3">
          <cell r="F3" t="str">
            <v>UNIT PRICE  (VND)</v>
          </cell>
        </row>
      </sheetData>
      <sheetData sheetId="1413">
        <row r="3">
          <cell r="F3" t="str">
            <v>UNIT PRICE  (VND)</v>
          </cell>
        </row>
      </sheetData>
      <sheetData sheetId="1414">
        <row r="3">
          <cell r="F3" t="str">
            <v>UNIT PRICE  (VND)</v>
          </cell>
        </row>
      </sheetData>
      <sheetData sheetId="1415">
        <row r="3">
          <cell r="F3" t="str">
            <v>UNIT PRICE  (VND)</v>
          </cell>
        </row>
      </sheetData>
      <sheetData sheetId="1416">
        <row r="3">
          <cell r="F3" t="str">
            <v>UNIT PRICE  (VND)</v>
          </cell>
        </row>
      </sheetData>
      <sheetData sheetId="1417">
        <row r="3">
          <cell r="F3" t="str">
            <v>UNIT PRICE  (VND)</v>
          </cell>
        </row>
      </sheetData>
      <sheetData sheetId="1418">
        <row r="3">
          <cell r="F3" t="str">
            <v>UNIT PRICE  (VND)</v>
          </cell>
        </row>
      </sheetData>
      <sheetData sheetId="1419">
        <row r="3">
          <cell r="F3" t="str">
            <v>UNIT PRICE  (VND)</v>
          </cell>
        </row>
      </sheetData>
      <sheetData sheetId="1420">
        <row r="3">
          <cell r="F3" t="str">
            <v>UNIT PRICE  (VND)</v>
          </cell>
        </row>
      </sheetData>
      <sheetData sheetId="1421">
        <row r="3">
          <cell r="F3" t="str">
            <v>UNIT PRICE  (VND)</v>
          </cell>
        </row>
      </sheetData>
      <sheetData sheetId="1422">
        <row r="3">
          <cell r="F3" t="str">
            <v>UNIT PRICE  (VND)</v>
          </cell>
        </row>
      </sheetData>
      <sheetData sheetId="1423">
        <row r="3">
          <cell r="F3" t="str">
            <v>UNIT PRICE  (VND)</v>
          </cell>
        </row>
      </sheetData>
      <sheetData sheetId="1424">
        <row r="3">
          <cell r="F3" t="str">
            <v>UNIT PRICE  (VND)</v>
          </cell>
        </row>
      </sheetData>
      <sheetData sheetId="1425">
        <row r="3">
          <cell r="F3" t="str">
            <v>UNIT PRICE  (VND)</v>
          </cell>
        </row>
      </sheetData>
      <sheetData sheetId="1426">
        <row r="3">
          <cell r="F3" t="str">
            <v>UNIT PRICE  (VND)</v>
          </cell>
        </row>
      </sheetData>
      <sheetData sheetId="1427">
        <row r="3">
          <cell r="F3" t="str">
            <v>UNIT PRICE  (VND)</v>
          </cell>
        </row>
      </sheetData>
      <sheetData sheetId="1428">
        <row r="3">
          <cell r="F3" t="str">
            <v>UNIT PRICE  (VND)</v>
          </cell>
        </row>
      </sheetData>
      <sheetData sheetId="1429">
        <row r="3">
          <cell r="F3" t="str">
            <v>UNIT PRICE  (VND)</v>
          </cell>
        </row>
      </sheetData>
      <sheetData sheetId="1430">
        <row r="3">
          <cell r="F3" t="str">
            <v>UNIT PRICE  (VND)</v>
          </cell>
        </row>
      </sheetData>
      <sheetData sheetId="1431">
        <row r="3">
          <cell r="F3" t="str">
            <v>UNIT PRICE  (VND)</v>
          </cell>
        </row>
      </sheetData>
      <sheetData sheetId="1432">
        <row r="3">
          <cell r="F3" t="str">
            <v>UNIT PRICE  (VND)</v>
          </cell>
        </row>
      </sheetData>
      <sheetData sheetId="1433">
        <row r="3">
          <cell r="F3" t="str">
            <v>UNIT PRICE  (VND)</v>
          </cell>
        </row>
      </sheetData>
      <sheetData sheetId="1434">
        <row r="3">
          <cell r="F3" t="str">
            <v>UNIT PRICE  (VND)</v>
          </cell>
        </row>
      </sheetData>
      <sheetData sheetId="1435">
        <row r="3">
          <cell r="F3" t="str">
            <v>UNIT PRICE  (VND)</v>
          </cell>
        </row>
      </sheetData>
      <sheetData sheetId="1436">
        <row r="3">
          <cell r="F3" t="str">
            <v>UNIT PRICE  (VND)</v>
          </cell>
        </row>
      </sheetData>
      <sheetData sheetId="1437">
        <row r="3">
          <cell r="F3" t="str">
            <v>UNIT PRICE  (VND)</v>
          </cell>
        </row>
      </sheetData>
      <sheetData sheetId="1438">
        <row r="3">
          <cell r="F3" t="str">
            <v>UNIT PRICE  (VND)</v>
          </cell>
        </row>
      </sheetData>
      <sheetData sheetId="1439">
        <row r="3">
          <cell r="F3" t="str">
            <v>UNIT PRICE  (VND)</v>
          </cell>
        </row>
      </sheetData>
      <sheetData sheetId="1440">
        <row r="3">
          <cell r="F3" t="str">
            <v>UNIT PRICE  (VND)</v>
          </cell>
        </row>
      </sheetData>
      <sheetData sheetId="1441">
        <row r="3">
          <cell r="F3" t="str">
            <v>UNIT PRICE  (VND)</v>
          </cell>
        </row>
      </sheetData>
      <sheetData sheetId="1442">
        <row r="3">
          <cell r="F3" t="str">
            <v>UNIT PRICE  (VND)</v>
          </cell>
        </row>
      </sheetData>
      <sheetData sheetId="1443">
        <row r="3">
          <cell r="F3" t="str">
            <v>UNIT PRICE  (VND)</v>
          </cell>
        </row>
      </sheetData>
      <sheetData sheetId="1444">
        <row r="3">
          <cell r="F3" t="str">
            <v>UNIT PRICE  (VND)</v>
          </cell>
        </row>
      </sheetData>
      <sheetData sheetId="1445">
        <row r="3">
          <cell r="F3" t="str">
            <v>UNIT PRICE  (VND)</v>
          </cell>
        </row>
      </sheetData>
      <sheetData sheetId="1446">
        <row r="3">
          <cell r="F3" t="str">
            <v>UNIT PRICE  (VND)</v>
          </cell>
        </row>
      </sheetData>
      <sheetData sheetId="1447">
        <row r="3">
          <cell r="F3" t="str">
            <v>UNIT PRICE  (VND)</v>
          </cell>
        </row>
      </sheetData>
      <sheetData sheetId="1448">
        <row r="3">
          <cell r="F3" t="str">
            <v>UNIT PRICE  (VND)</v>
          </cell>
        </row>
      </sheetData>
      <sheetData sheetId="1449">
        <row r="3">
          <cell r="F3" t="str">
            <v>UNIT PRICE  (VND)</v>
          </cell>
        </row>
      </sheetData>
      <sheetData sheetId="1450">
        <row r="3">
          <cell r="F3" t="str">
            <v>UNIT PRICE  (VND)</v>
          </cell>
        </row>
      </sheetData>
      <sheetData sheetId="1451">
        <row r="3">
          <cell r="F3" t="str">
            <v>UNIT PRICE  (VND)</v>
          </cell>
        </row>
      </sheetData>
      <sheetData sheetId="1452">
        <row r="3">
          <cell r="F3" t="str">
            <v>UNIT PRICE  (VND)</v>
          </cell>
        </row>
      </sheetData>
      <sheetData sheetId="1453">
        <row r="3">
          <cell r="F3" t="str">
            <v>UNIT PRICE  (VND)</v>
          </cell>
        </row>
      </sheetData>
      <sheetData sheetId="1454">
        <row r="3">
          <cell r="F3" t="str">
            <v>UNIT PRICE  (VND)</v>
          </cell>
        </row>
      </sheetData>
      <sheetData sheetId="1455">
        <row r="3">
          <cell r="F3" t="str">
            <v>UNIT PRICE  (VND)</v>
          </cell>
        </row>
      </sheetData>
      <sheetData sheetId="1456">
        <row r="3">
          <cell r="F3" t="str">
            <v>UNIT PRICE  (VND)</v>
          </cell>
        </row>
      </sheetData>
      <sheetData sheetId="1457">
        <row r="3">
          <cell r="F3" t="str">
            <v>UNIT PRICE  (VND)</v>
          </cell>
        </row>
      </sheetData>
      <sheetData sheetId="1458">
        <row r="3">
          <cell r="F3" t="str">
            <v>UNIT PRICE  (VND)</v>
          </cell>
        </row>
      </sheetData>
      <sheetData sheetId="1459">
        <row r="3">
          <cell r="F3" t="str">
            <v>UNIT PRICE  (VND)</v>
          </cell>
        </row>
      </sheetData>
      <sheetData sheetId="1460">
        <row r="3">
          <cell r="F3" t="str">
            <v>UNIT PRICE  (VND)</v>
          </cell>
        </row>
      </sheetData>
      <sheetData sheetId="1461">
        <row r="3">
          <cell r="F3" t="str">
            <v>UNIT PRICE  (VND)</v>
          </cell>
        </row>
      </sheetData>
      <sheetData sheetId="1462">
        <row r="3">
          <cell r="F3" t="str">
            <v>UNIT PRICE  (VND)</v>
          </cell>
        </row>
      </sheetData>
      <sheetData sheetId="1463">
        <row r="3">
          <cell r="F3" t="str">
            <v>UNIT PRICE  (VND)</v>
          </cell>
        </row>
      </sheetData>
      <sheetData sheetId="1464">
        <row r="3">
          <cell r="F3" t="str">
            <v>UNIT PRICE  (VND)</v>
          </cell>
        </row>
      </sheetData>
      <sheetData sheetId="1465">
        <row r="3">
          <cell r="F3" t="str">
            <v>UNIT PRICE  (VND)</v>
          </cell>
        </row>
      </sheetData>
      <sheetData sheetId="1466">
        <row r="3">
          <cell r="F3" t="str">
            <v>UNIT PRICE  (VND)</v>
          </cell>
        </row>
      </sheetData>
      <sheetData sheetId="1467">
        <row r="3">
          <cell r="F3" t="str">
            <v>UNIT PRICE  (VND)</v>
          </cell>
        </row>
      </sheetData>
      <sheetData sheetId="1468">
        <row r="3">
          <cell r="F3" t="str">
            <v>UNIT PRICE  (VND)</v>
          </cell>
        </row>
      </sheetData>
      <sheetData sheetId="1469">
        <row r="3">
          <cell r="F3" t="str">
            <v>UNIT PRICE  (VND)</v>
          </cell>
        </row>
      </sheetData>
      <sheetData sheetId="1470">
        <row r="3">
          <cell r="F3" t="str">
            <v>UNIT PRICE  (VND)</v>
          </cell>
        </row>
      </sheetData>
      <sheetData sheetId="1471">
        <row r="3">
          <cell r="F3" t="str">
            <v>UNIT PRICE  (VND)</v>
          </cell>
        </row>
      </sheetData>
      <sheetData sheetId="1472">
        <row r="3">
          <cell r="F3" t="str">
            <v>UNIT PRICE  (VND)</v>
          </cell>
        </row>
      </sheetData>
      <sheetData sheetId="1473">
        <row r="3">
          <cell r="F3" t="str">
            <v>UNIT PRICE  (VND)</v>
          </cell>
        </row>
      </sheetData>
      <sheetData sheetId="1474">
        <row r="3">
          <cell r="F3" t="str">
            <v>UNIT PRICE  (VND)</v>
          </cell>
        </row>
      </sheetData>
      <sheetData sheetId="1475">
        <row r="3">
          <cell r="F3" t="str">
            <v>UNIT PRICE  (VND)</v>
          </cell>
        </row>
      </sheetData>
      <sheetData sheetId="1476">
        <row r="3">
          <cell r="F3" t="str">
            <v>UNIT PRICE  (VND)</v>
          </cell>
        </row>
      </sheetData>
      <sheetData sheetId="1477">
        <row r="3">
          <cell r="F3" t="str">
            <v>UNIT PRICE  (VND)</v>
          </cell>
        </row>
      </sheetData>
      <sheetData sheetId="1478">
        <row r="3">
          <cell r="F3" t="str">
            <v>UNIT PRICE  (VND)</v>
          </cell>
        </row>
      </sheetData>
      <sheetData sheetId="1479">
        <row r="3">
          <cell r="F3" t="str">
            <v>UNIT PRICE  (VND)</v>
          </cell>
        </row>
      </sheetData>
      <sheetData sheetId="1480">
        <row r="3">
          <cell r="F3" t="str">
            <v>UNIT PRICE  (VND)</v>
          </cell>
        </row>
      </sheetData>
      <sheetData sheetId="1481">
        <row r="3">
          <cell r="F3" t="str">
            <v>UNIT PRICE  (VND)</v>
          </cell>
        </row>
      </sheetData>
      <sheetData sheetId="1482">
        <row r="3">
          <cell r="F3" t="str">
            <v>UNIT PRICE  (VND)</v>
          </cell>
        </row>
      </sheetData>
      <sheetData sheetId="1483">
        <row r="3">
          <cell r="F3" t="str">
            <v>UNIT PRICE  (VND)</v>
          </cell>
        </row>
      </sheetData>
      <sheetData sheetId="1484">
        <row r="3">
          <cell r="F3" t="str">
            <v>UNIT PRICE  (VND)</v>
          </cell>
        </row>
      </sheetData>
      <sheetData sheetId="1485">
        <row r="3">
          <cell r="F3" t="str">
            <v>UNIT PRICE  (VND)</v>
          </cell>
        </row>
      </sheetData>
      <sheetData sheetId="1486">
        <row r="3">
          <cell r="F3" t="str">
            <v>UNIT PRICE  (VND)</v>
          </cell>
        </row>
      </sheetData>
      <sheetData sheetId="1487">
        <row r="3">
          <cell r="F3" t="str">
            <v>UNIT PRICE  (VND)</v>
          </cell>
        </row>
      </sheetData>
      <sheetData sheetId="1488">
        <row r="3">
          <cell r="F3" t="str">
            <v>UNIT PRICE  (VND)</v>
          </cell>
        </row>
      </sheetData>
      <sheetData sheetId="1489">
        <row r="3">
          <cell r="F3" t="str">
            <v>UNIT PRICE  (VND)</v>
          </cell>
        </row>
      </sheetData>
      <sheetData sheetId="1490">
        <row r="3">
          <cell r="F3" t="str">
            <v>UNIT PRICE  (VND)</v>
          </cell>
        </row>
      </sheetData>
      <sheetData sheetId="1491">
        <row r="3">
          <cell r="F3" t="str">
            <v>UNIT PRICE  (VND)</v>
          </cell>
        </row>
      </sheetData>
      <sheetData sheetId="1492">
        <row r="3">
          <cell r="F3" t="str">
            <v>UNIT PRICE  (VND)</v>
          </cell>
        </row>
      </sheetData>
      <sheetData sheetId="1493">
        <row r="3">
          <cell r="F3" t="str">
            <v>UNIT PRICE  (VND)</v>
          </cell>
        </row>
      </sheetData>
      <sheetData sheetId="1494">
        <row r="3">
          <cell r="F3" t="str">
            <v>UNIT PRICE  (VND)</v>
          </cell>
        </row>
      </sheetData>
      <sheetData sheetId="1495">
        <row r="3">
          <cell r="F3" t="str">
            <v>UNIT PRICE  (VND)</v>
          </cell>
        </row>
      </sheetData>
      <sheetData sheetId="1496">
        <row r="3">
          <cell r="F3" t="str">
            <v>UNIT PRICE  (VND)</v>
          </cell>
        </row>
      </sheetData>
      <sheetData sheetId="1497">
        <row r="3">
          <cell r="F3" t="str">
            <v>UNIT PRICE  (VND)</v>
          </cell>
        </row>
      </sheetData>
      <sheetData sheetId="1498">
        <row r="3">
          <cell r="F3" t="str">
            <v>UNIT PRICE  (VND)</v>
          </cell>
        </row>
      </sheetData>
      <sheetData sheetId="1499">
        <row r="3">
          <cell r="F3" t="str">
            <v>UNIT PRICE  (VND)</v>
          </cell>
        </row>
      </sheetData>
      <sheetData sheetId="1500">
        <row r="3">
          <cell r="F3" t="str">
            <v>UNIT PRICE  (VND)</v>
          </cell>
        </row>
      </sheetData>
      <sheetData sheetId="1501">
        <row r="3">
          <cell r="F3" t="str">
            <v>UNIT PRICE  (VND)</v>
          </cell>
        </row>
      </sheetData>
      <sheetData sheetId="1502">
        <row r="3">
          <cell r="F3" t="str">
            <v>UNIT PRICE  (VND)</v>
          </cell>
        </row>
      </sheetData>
      <sheetData sheetId="1503">
        <row r="3">
          <cell r="F3" t="str">
            <v>UNIT PRICE  (VND)</v>
          </cell>
        </row>
      </sheetData>
      <sheetData sheetId="1504">
        <row r="3">
          <cell r="F3" t="str">
            <v>UNIT PRICE  (VND)</v>
          </cell>
        </row>
      </sheetData>
      <sheetData sheetId="1505">
        <row r="3">
          <cell r="F3" t="str">
            <v>UNIT PRICE  (VND)</v>
          </cell>
        </row>
      </sheetData>
      <sheetData sheetId="1506">
        <row r="3">
          <cell r="F3" t="str">
            <v>UNIT PRICE  (VND)</v>
          </cell>
        </row>
      </sheetData>
      <sheetData sheetId="1507">
        <row r="3">
          <cell r="F3" t="str">
            <v>UNIT PRICE  (VND)</v>
          </cell>
        </row>
      </sheetData>
      <sheetData sheetId="1508">
        <row r="3">
          <cell r="F3" t="str">
            <v>UNIT PRICE  (VND)</v>
          </cell>
        </row>
      </sheetData>
      <sheetData sheetId="1509">
        <row r="3">
          <cell r="F3" t="str">
            <v>UNIT PRICE  (VND)</v>
          </cell>
        </row>
      </sheetData>
      <sheetData sheetId="1510">
        <row r="3">
          <cell r="F3" t="str">
            <v>UNIT PRICE  (VND)</v>
          </cell>
        </row>
      </sheetData>
      <sheetData sheetId="1511">
        <row r="3">
          <cell r="F3" t="str">
            <v>UNIT PRICE  (VND)</v>
          </cell>
        </row>
      </sheetData>
      <sheetData sheetId="1512">
        <row r="3">
          <cell r="F3" t="str">
            <v>UNIT PRICE  (VND)</v>
          </cell>
        </row>
      </sheetData>
      <sheetData sheetId="1513">
        <row r="3">
          <cell r="F3" t="str">
            <v>UNIT PRICE  (VND)</v>
          </cell>
        </row>
      </sheetData>
      <sheetData sheetId="1514">
        <row r="3">
          <cell r="F3" t="str">
            <v>UNIT PRICE  (VND)</v>
          </cell>
        </row>
      </sheetData>
      <sheetData sheetId="1515">
        <row r="3">
          <cell r="F3" t="str">
            <v>UNIT PRICE  (VND)</v>
          </cell>
        </row>
      </sheetData>
      <sheetData sheetId="1516">
        <row r="3">
          <cell r="F3" t="str">
            <v>UNIT PRICE  (VND)</v>
          </cell>
        </row>
      </sheetData>
      <sheetData sheetId="1517">
        <row r="3">
          <cell r="F3" t="str">
            <v>UNIT PRICE  (VND)</v>
          </cell>
        </row>
      </sheetData>
      <sheetData sheetId="1518">
        <row r="3">
          <cell r="F3" t="str">
            <v>UNIT PRICE  (VND)</v>
          </cell>
        </row>
      </sheetData>
      <sheetData sheetId="1519">
        <row r="3">
          <cell r="F3" t="str">
            <v>UNIT PRICE  (VND)</v>
          </cell>
        </row>
      </sheetData>
      <sheetData sheetId="1520">
        <row r="3">
          <cell r="F3" t="str">
            <v>UNIT PRICE  (VND)</v>
          </cell>
        </row>
      </sheetData>
      <sheetData sheetId="1521">
        <row r="3">
          <cell r="F3" t="str">
            <v>UNIT PRICE  (VND)</v>
          </cell>
        </row>
      </sheetData>
      <sheetData sheetId="1522">
        <row r="3">
          <cell r="F3" t="str">
            <v>UNIT PRICE  (VND)</v>
          </cell>
        </row>
      </sheetData>
      <sheetData sheetId="1523">
        <row r="3">
          <cell r="F3" t="str">
            <v>UNIT PRICE  (VND)</v>
          </cell>
        </row>
      </sheetData>
      <sheetData sheetId="1524">
        <row r="3">
          <cell r="F3" t="str">
            <v>UNIT PRICE  (VND)</v>
          </cell>
        </row>
      </sheetData>
      <sheetData sheetId="1525">
        <row r="3">
          <cell r="F3" t="str">
            <v>UNIT PRICE  (VND)</v>
          </cell>
        </row>
      </sheetData>
      <sheetData sheetId="1526">
        <row r="3">
          <cell r="F3" t="str">
            <v>UNIT PRICE  (VND)</v>
          </cell>
        </row>
      </sheetData>
      <sheetData sheetId="1527">
        <row r="3">
          <cell r="F3" t="str">
            <v>UNIT PRICE  (VND)</v>
          </cell>
        </row>
      </sheetData>
      <sheetData sheetId="1528">
        <row r="3">
          <cell r="F3" t="str">
            <v>UNIT PRICE  (VND)</v>
          </cell>
        </row>
      </sheetData>
      <sheetData sheetId="1529">
        <row r="3">
          <cell r="F3" t="str">
            <v>UNIT PRICE  (VND)</v>
          </cell>
        </row>
      </sheetData>
      <sheetData sheetId="1530">
        <row r="3">
          <cell r="F3" t="str">
            <v>UNIT PRICE  (VND)</v>
          </cell>
        </row>
      </sheetData>
      <sheetData sheetId="1531">
        <row r="3">
          <cell r="F3" t="str">
            <v>UNIT PRICE  (VND)</v>
          </cell>
        </row>
      </sheetData>
      <sheetData sheetId="1532">
        <row r="3">
          <cell r="F3" t="str">
            <v>UNIT PRICE  (VND)</v>
          </cell>
        </row>
      </sheetData>
      <sheetData sheetId="1533">
        <row r="3">
          <cell r="F3" t="str">
            <v>UNIT PRICE  (VND)</v>
          </cell>
        </row>
      </sheetData>
      <sheetData sheetId="1534">
        <row r="3">
          <cell r="F3" t="str">
            <v>UNIT PRICE  (VND)</v>
          </cell>
        </row>
      </sheetData>
      <sheetData sheetId="1535">
        <row r="3">
          <cell r="F3" t="str">
            <v>UNIT PRICE  (VND)</v>
          </cell>
        </row>
      </sheetData>
      <sheetData sheetId="1536">
        <row r="3">
          <cell r="F3" t="str">
            <v>UNIT PRICE  (VND)</v>
          </cell>
        </row>
      </sheetData>
      <sheetData sheetId="1537">
        <row r="3">
          <cell r="F3" t="str">
            <v>UNIT PRICE  (VND)</v>
          </cell>
        </row>
      </sheetData>
      <sheetData sheetId="1538">
        <row r="3">
          <cell r="F3" t="str">
            <v>UNIT PRICE  (VND)</v>
          </cell>
        </row>
      </sheetData>
      <sheetData sheetId="1539">
        <row r="3">
          <cell r="F3" t="str">
            <v>UNIT PRICE  (VND)</v>
          </cell>
        </row>
      </sheetData>
      <sheetData sheetId="1540">
        <row r="3">
          <cell r="F3" t="str">
            <v>UNIT PRICE  (VND)</v>
          </cell>
        </row>
      </sheetData>
      <sheetData sheetId="1541">
        <row r="3">
          <cell r="F3" t="str">
            <v>UNIT PRICE  (VND)</v>
          </cell>
        </row>
      </sheetData>
      <sheetData sheetId="1542">
        <row r="3">
          <cell r="F3" t="str">
            <v>UNIT PRICE  (VND)</v>
          </cell>
        </row>
      </sheetData>
      <sheetData sheetId="1543">
        <row r="3">
          <cell r="F3" t="str">
            <v>UNIT PRICE  (VND)</v>
          </cell>
        </row>
      </sheetData>
      <sheetData sheetId="1544">
        <row r="3">
          <cell r="F3" t="str">
            <v>UNIT PRICE  (VND)</v>
          </cell>
        </row>
      </sheetData>
      <sheetData sheetId="1545">
        <row r="3">
          <cell r="F3" t="str">
            <v>UNIT PRICE  (VND)</v>
          </cell>
        </row>
      </sheetData>
      <sheetData sheetId="1546">
        <row r="3">
          <cell r="F3" t="str">
            <v>UNIT PRICE  (VND)</v>
          </cell>
        </row>
      </sheetData>
      <sheetData sheetId="1547">
        <row r="3">
          <cell r="F3" t="str">
            <v>UNIT PRICE  (VND)</v>
          </cell>
        </row>
      </sheetData>
      <sheetData sheetId="1548">
        <row r="3">
          <cell r="F3" t="str">
            <v>UNIT PRICE  (VND)</v>
          </cell>
        </row>
      </sheetData>
      <sheetData sheetId="1549">
        <row r="3">
          <cell r="F3" t="str">
            <v>UNIT PRICE  (VND)</v>
          </cell>
        </row>
      </sheetData>
      <sheetData sheetId="1550">
        <row r="3">
          <cell r="F3" t="str">
            <v>UNIT PRICE  (VND)</v>
          </cell>
        </row>
      </sheetData>
      <sheetData sheetId="1551">
        <row r="3">
          <cell r="F3" t="str">
            <v>UNIT PRICE  (VND)</v>
          </cell>
        </row>
      </sheetData>
      <sheetData sheetId="1552">
        <row r="3">
          <cell r="F3" t="str">
            <v>UNIT PRICE  (VND)</v>
          </cell>
        </row>
      </sheetData>
      <sheetData sheetId="1553">
        <row r="3">
          <cell r="F3" t="str">
            <v>UNIT PRICE  (VND)</v>
          </cell>
        </row>
      </sheetData>
      <sheetData sheetId="1554">
        <row r="3">
          <cell r="F3" t="str">
            <v>UNIT PRICE  (VND)</v>
          </cell>
        </row>
      </sheetData>
      <sheetData sheetId="1555">
        <row r="3">
          <cell r="F3" t="str">
            <v>UNIT PRICE  (VND)</v>
          </cell>
        </row>
      </sheetData>
      <sheetData sheetId="1556">
        <row r="3">
          <cell r="F3" t="str">
            <v>UNIT PRICE  (VND)</v>
          </cell>
        </row>
      </sheetData>
      <sheetData sheetId="1557">
        <row r="3">
          <cell r="F3" t="str">
            <v>UNIT PRICE  (VND)</v>
          </cell>
        </row>
      </sheetData>
      <sheetData sheetId="1558">
        <row r="3">
          <cell r="F3" t="str">
            <v>UNIT PRICE  (VND)</v>
          </cell>
        </row>
      </sheetData>
      <sheetData sheetId="1559">
        <row r="3">
          <cell r="F3" t="str">
            <v>UNIT PRICE  (VND)</v>
          </cell>
        </row>
      </sheetData>
      <sheetData sheetId="1560">
        <row r="3">
          <cell r="F3" t="str">
            <v>UNIT PRICE  (VND)</v>
          </cell>
        </row>
      </sheetData>
      <sheetData sheetId="1561">
        <row r="3">
          <cell r="F3" t="str">
            <v>UNIT PRICE  (VND)</v>
          </cell>
        </row>
      </sheetData>
      <sheetData sheetId="1562">
        <row r="3">
          <cell r="F3" t="str">
            <v>UNIT PRICE  (VND)</v>
          </cell>
        </row>
      </sheetData>
      <sheetData sheetId="1563">
        <row r="3">
          <cell r="F3" t="str">
            <v>UNIT PRICE  (VND)</v>
          </cell>
        </row>
      </sheetData>
      <sheetData sheetId="1564">
        <row r="3">
          <cell r="F3" t="str">
            <v>UNIT PRICE  (VND)</v>
          </cell>
        </row>
      </sheetData>
      <sheetData sheetId="1565">
        <row r="3">
          <cell r="F3" t="str">
            <v>UNIT PRICE  (VND)</v>
          </cell>
        </row>
      </sheetData>
      <sheetData sheetId="1566">
        <row r="3">
          <cell r="F3" t="str">
            <v>UNIT PRICE  (VND)</v>
          </cell>
        </row>
      </sheetData>
      <sheetData sheetId="1567">
        <row r="3">
          <cell r="F3" t="str">
            <v>UNIT PRICE  (VND)</v>
          </cell>
        </row>
      </sheetData>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ow r="3">
          <cell r="F3" t="str">
            <v>UNIT PRICE  (VND)</v>
          </cell>
        </row>
      </sheetData>
      <sheetData sheetId="1585">
        <row r="3">
          <cell r="F3" t="str">
            <v>UNIT PRICE  (VND)</v>
          </cell>
        </row>
      </sheetData>
      <sheetData sheetId="1586">
        <row r="3">
          <cell r="F3" t="str">
            <v>UNIT PRICE  (VND)</v>
          </cell>
        </row>
      </sheetData>
      <sheetData sheetId="1587">
        <row r="3">
          <cell r="F3" t="str">
            <v>UNIT PRICE  (VND)</v>
          </cell>
        </row>
      </sheetData>
      <sheetData sheetId="1588">
        <row r="3">
          <cell r="F3" t="str">
            <v>UNIT PRICE  (VND)</v>
          </cell>
        </row>
      </sheetData>
      <sheetData sheetId="1589">
        <row r="3">
          <cell r="F3" t="str">
            <v>UNIT PRICE  (VND)</v>
          </cell>
        </row>
      </sheetData>
      <sheetData sheetId="1590">
        <row r="3">
          <cell r="F3" t="str">
            <v>UNIT PRICE  (VND)</v>
          </cell>
        </row>
      </sheetData>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ow r="3">
          <cell r="F3" t="str">
            <v>UNIT PRICE  (VND)</v>
          </cell>
        </row>
      </sheetData>
      <sheetData sheetId="1630">
        <row r="3">
          <cell r="F3" t="str">
            <v>UNIT PRICE  (VND)</v>
          </cell>
        </row>
      </sheetData>
      <sheetData sheetId="1631">
        <row r="3">
          <cell r="F3" t="str">
            <v>UNIT PRICE  (VND)</v>
          </cell>
        </row>
      </sheetData>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ow r="3">
          <cell r="F3" t="str">
            <v>UNIT PRICE  (VND)</v>
          </cell>
        </row>
      </sheetData>
      <sheetData sheetId="1656">
        <row r="3">
          <cell r="F3" t="str">
            <v>UNIT PRICE  (VND)</v>
          </cell>
        </row>
      </sheetData>
      <sheetData sheetId="1657">
        <row r="3">
          <cell r="F3" t="str">
            <v>UNIT PRICE  (VND)</v>
          </cell>
        </row>
      </sheetData>
      <sheetData sheetId="1658"/>
      <sheetData sheetId="1659"/>
      <sheetData sheetId="1660"/>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ow r="3">
          <cell r="F3" t="str">
            <v>UNIT PRICE  (VND)</v>
          </cell>
        </row>
      </sheetData>
      <sheetData sheetId="1727">
        <row r="3">
          <cell r="F3" t="str">
            <v>UNIT PRICE  (VND)</v>
          </cell>
        </row>
      </sheetData>
      <sheetData sheetId="1728">
        <row r="3">
          <cell r="F3" t="str">
            <v>UNIT PRICE  (VND)</v>
          </cell>
        </row>
      </sheetData>
      <sheetData sheetId="1729">
        <row r="3">
          <cell r="F3" t="str">
            <v>UNIT PRICE  (VND)</v>
          </cell>
        </row>
      </sheetData>
      <sheetData sheetId="1730">
        <row r="3">
          <cell r="F3" t="str">
            <v>UNIT PRICE  (VND)</v>
          </cell>
        </row>
      </sheetData>
      <sheetData sheetId="1731">
        <row r="3">
          <cell r="F3" t="str">
            <v>UNIT PRICE  (VND)</v>
          </cell>
        </row>
      </sheetData>
      <sheetData sheetId="1732">
        <row r="3">
          <cell r="F3" t="str">
            <v>UNIT PRICE  (VND)</v>
          </cell>
        </row>
      </sheetData>
      <sheetData sheetId="1733">
        <row r="3">
          <cell r="F3" t="str">
            <v>UNIT PRICE  (VND)</v>
          </cell>
        </row>
      </sheetData>
      <sheetData sheetId="1734">
        <row r="3">
          <cell r="F3" t="str">
            <v>UNIT PRICE  (VND)</v>
          </cell>
        </row>
      </sheetData>
      <sheetData sheetId="1735">
        <row r="3">
          <cell r="F3" t="str">
            <v>UNIT PRICE  (VND)</v>
          </cell>
        </row>
      </sheetData>
      <sheetData sheetId="1736">
        <row r="3">
          <cell r="F3" t="str">
            <v>UNIT PRICE  (VND)</v>
          </cell>
        </row>
      </sheetData>
      <sheetData sheetId="1737">
        <row r="3">
          <cell r="F3" t="str">
            <v>UNIT PRICE  (VND)</v>
          </cell>
        </row>
      </sheetData>
      <sheetData sheetId="1738">
        <row r="3">
          <cell r="F3" t="str">
            <v>UNIT PRICE  (VND)</v>
          </cell>
        </row>
      </sheetData>
      <sheetData sheetId="1739">
        <row r="3">
          <cell r="F3" t="str">
            <v>UNIT PRICE  (VND)</v>
          </cell>
        </row>
      </sheetData>
      <sheetData sheetId="1740">
        <row r="3">
          <cell r="F3" t="str">
            <v>UNIT PRICE  (VND)</v>
          </cell>
        </row>
      </sheetData>
      <sheetData sheetId="1741">
        <row r="3">
          <cell r="F3" t="str">
            <v>UNIT PRICE  (VND)</v>
          </cell>
        </row>
      </sheetData>
      <sheetData sheetId="1742">
        <row r="3">
          <cell r="F3" t="str">
            <v>UNIT PRICE  (VND)</v>
          </cell>
        </row>
      </sheetData>
      <sheetData sheetId="1743">
        <row r="3">
          <cell r="F3" t="str">
            <v>UNIT PRICE  (VND)</v>
          </cell>
        </row>
      </sheetData>
      <sheetData sheetId="1744">
        <row r="3">
          <cell r="F3" t="str">
            <v>UNIT PRICE  (VND)</v>
          </cell>
        </row>
      </sheetData>
      <sheetData sheetId="1745">
        <row r="3">
          <cell r="F3" t="str">
            <v>UNIT PRICE  (VND)</v>
          </cell>
        </row>
      </sheetData>
      <sheetData sheetId="1746">
        <row r="3">
          <cell r="F3" t="str">
            <v>UNIT PRICE  (VND)</v>
          </cell>
        </row>
      </sheetData>
      <sheetData sheetId="1747">
        <row r="3">
          <cell r="F3" t="str">
            <v>UNIT PRICE  (VND)</v>
          </cell>
        </row>
      </sheetData>
      <sheetData sheetId="1748">
        <row r="3">
          <cell r="F3" t="str">
            <v>UNIT PRICE  (VND)</v>
          </cell>
        </row>
      </sheetData>
      <sheetData sheetId="1749">
        <row r="3">
          <cell r="F3" t="str">
            <v>UNIT PRICE  (VND)</v>
          </cell>
        </row>
      </sheetData>
      <sheetData sheetId="1750">
        <row r="3">
          <cell r="F3" t="str">
            <v>UNIT PRICE  (VND)</v>
          </cell>
        </row>
      </sheetData>
      <sheetData sheetId="1751">
        <row r="3">
          <cell r="F3" t="str">
            <v>UNIT PRICE  (VND)</v>
          </cell>
        </row>
      </sheetData>
      <sheetData sheetId="1752">
        <row r="3">
          <cell r="F3" t="str">
            <v>UNIT PRICE  (VND)</v>
          </cell>
        </row>
      </sheetData>
      <sheetData sheetId="1753">
        <row r="3">
          <cell r="F3" t="str">
            <v>UNIT PRICE  (VND)</v>
          </cell>
        </row>
      </sheetData>
      <sheetData sheetId="1754">
        <row r="3">
          <cell r="F3" t="str">
            <v>UNIT PRICE  (VND)</v>
          </cell>
        </row>
      </sheetData>
      <sheetData sheetId="1755">
        <row r="3">
          <cell r="F3" t="str">
            <v>UNIT PRICE  (VND)</v>
          </cell>
        </row>
      </sheetData>
      <sheetData sheetId="1756">
        <row r="3">
          <cell r="F3" t="str">
            <v>UNIT PRICE  (VND)</v>
          </cell>
        </row>
      </sheetData>
      <sheetData sheetId="1757">
        <row r="3">
          <cell r="F3" t="str">
            <v>UNIT PRICE  (VND)</v>
          </cell>
        </row>
      </sheetData>
      <sheetData sheetId="1758">
        <row r="3">
          <cell r="F3" t="str">
            <v>UNIT PRICE  (VND)</v>
          </cell>
        </row>
      </sheetData>
      <sheetData sheetId="1759">
        <row r="3">
          <cell r="F3" t="str">
            <v>UNIT PRICE  (VND)</v>
          </cell>
        </row>
      </sheetData>
      <sheetData sheetId="1760">
        <row r="3">
          <cell r="F3" t="str">
            <v>UNIT PRICE  (VND)</v>
          </cell>
        </row>
      </sheetData>
      <sheetData sheetId="1761">
        <row r="3">
          <cell r="F3" t="str">
            <v>UNIT PRICE  (VND)</v>
          </cell>
        </row>
      </sheetData>
      <sheetData sheetId="1762">
        <row r="3">
          <cell r="F3" t="str">
            <v>UNIT PRICE  (VND)</v>
          </cell>
        </row>
      </sheetData>
      <sheetData sheetId="1763">
        <row r="3">
          <cell r="F3" t="str">
            <v>UNIT PRICE  (VND)</v>
          </cell>
        </row>
      </sheetData>
      <sheetData sheetId="1764">
        <row r="3">
          <cell r="F3" t="str">
            <v>UNIT PRICE  (VND)</v>
          </cell>
        </row>
      </sheetData>
      <sheetData sheetId="1765">
        <row r="3">
          <cell r="F3" t="str">
            <v>UNIT PRICE  (VND)</v>
          </cell>
        </row>
      </sheetData>
      <sheetData sheetId="1766">
        <row r="3">
          <cell r="F3" t="str">
            <v>UNIT PRICE  (VND)</v>
          </cell>
        </row>
      </sheetData>
      <sheetData sheetId="1767">
        <row r="3">
          <cell r="F3" t="str">
            <v>UNIT PRICE  (VND)</v>
          </cell>
        </row>
      </sheetData>
      <sheetData sheetId="1768">
        <row r="3">
          <cell r="F3" t="str">
            <v>UNIT PRICE  (VND)</v>
          </cell>
        </row>
      </sheetData>
      <sheetData sheetId="1769">
        <row r="3">
          <cell r="F3" t="str">
            <v>UNIT PRICE  (VND)</v>
          </cell>
        </row>
      </sheetData>
      <sheetData sheetId="1770"/>
      <sheetData sheetId="1771"/>
      <sheetData sheetId="1772"/>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sheetData sheetId="1786"/>
      <sheetData sheetId="1787" refreshError="1"/>
      <sheetData sheetId="1788">
        <row r="3">
          <cell r="F3" t="str">
            <v>UNIT PRICE  (VND)</v>
          </cell>
        </row>
      </sheetData>
      <sheetData sheetId="1789">
        <row r="3">
          <cell r="F3" t="str">
            <v>UNIT PRICE  (VND)</v>
          </cell>
        </row>
      </sheetData>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sheetData sheetId="1805"/>
      <sheetData sheetId="1806"/>
      <sheetData sheetId="1807"/>
      <sheetData sheetId="1808"/>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arthwork"/>
      <sheetName val="TenderAnaly"/>
      <sheetName val="AppendixA"/>
      <sheetName val="BQ"/>
      <sheetName val="GrossBQ"/>
      <sheetName val="GrossBQ (2)"/>
      <sheetName val="BQ(2)"/>
      <sheetName val="BQ(3)"/>
      <sheetName val="Summary"/>
      <sheetName val="G1"/>
      <sheetName val="FlrArea"/>
      <sheetName val="Analysis"/>
      <sheetName val="Notes"/>
      <sheetName val="Prelims"/>
      <sheetName val="Site Expense"/>
      <sheetName val="Steelwork"/>
      <sheetName val="ExtWalls"/>
      <sheetName val="Founds"/>
      <sheetName val="Slab"/>
      <sheetName val="Retaining Wall"/>
      <sheetName val="Summary Final"/>
      <sheetName val="G1 Final"/>
      <sheetName val="Thiet bi"/>
      <sheetName val="Nhan cong"/>
      <sheetName val="GrossBQ_(2)"/>
      <sheetName val="負荷集計（断熱不燃）"/>
      <sheetName val="공업용수관로"/>
      <sheetName val="BOURJBQ1"/>
      <sheetName val="Project Execution Report"/>
      <sheetName val="MTP"/>
      <sheetName val="PNT-QUOT-#3"/>
      <sheetName val="COAT&amp;WRAP-QIOT-#3"/>
      <sheetName val="general notes   "/>
      <sheetName val="escon"/>
      <sheetName val="Config"/>
      <sheetName val="D_MUC"/>
      <sheetName val="FitOutConfCentre"/>
      <sheetName val=" Net Break Down"/>
      <sheetName val="G1(09Dec改訂)"/>
      <sheetName val="DL1"/>
      <sheetName val="토공"/>
      <sheetName val="CP THEO 957"/>
      <sheetName val="GrossBQ_(2)1"/>
      <sheetName val="Site_Expense"/>
      <sheetName val="Retaining_Wall"/>
      <sheetName val="Summary_Final"/>
      <sheetName val="G1_Final"/>
      <sheetName val="Thiet_bi"/>
      <sheetName val="Nhan_cong"/>
      <sheetName val="Project_Execution_Report"/>
      <sheetName val="Chiet tinh dz35"/>
      <sheetName val="Sheet1"/>
      <sheetName val="DGchitiet "/>
      <sheetName val="Du toan"/>
      <sheetName val="DATA"/>
      <sheetName val="INFOR-ST"/>
      <sheetName val=""/>
      <sheetName val="CT Thang Mo"/>
      <sheetName val="CT  PL"/>
      <sheetName val="집계표"/>
      <sheetName val="Tongke"/>
      <sheetName val="GLV-TB"/>
      <sheetName val="tifico"/>
      <sheetName val="TONG HOP KHOI LUONG"/>
      <sheetName val="Input"/>
      <sheetName val="E-POD WD"/>
      <sheetName val="E-T1 WD"/>
      <sheetName val="E-T2 WD"/>
      <sheetName val="E-T3 WD"/>
      <sheetName val="E-T4 WD"/>
      <sheetName val="E-T5 WD"/>
      <sheetName val="PS-POD WD"/>
      <sheetName val="PS-T1 WD"/>
      <sheetName val="PS-T2 WD"/>
      <sheetName val="PS-T3 WD"/>
      <sheetName val="PS-T4 WD"/>
      <sheetName val="PS-T5 WD"/>
      <sheetName val="ACMV-POD WD"/>
      <sheetName val="ACMV-T1 WD"/>
      <sheetName val="ACMV-T2 WD"/>
      <sheetName val="ACMV-T3 WD"/>
      <sheetName val="ACMV-T4 WD"/>
      <sheetName val="ACMV-T5 WD"/>
      <sheetName val="FP-POD WD"/>
      <sheetName val="FP-T1 WD"/>
      <sheetName val="FP-T2 WD"/>
      <sheetName val="FP-T3 WD"/>
      <sheetName val="FP-T4 WD"/>
      <sheetName val="FP-T5 WD"/>
      <sheetName val="LIFT WD"/>
      <sheetName val="AC.T5"/>
      <sheetName val="MFĐ TT"/>
      <sheetName val="CAR PARKING TT"/>
      <sheetName val="VTTB"/>
      <sheetName val="Landscape"/>
      <sheetName val="Cash2"/>
      <sheetName val="Z"/>
      <sheetName val="GIAVLIEU"/>
      <sheetName val="ma HD AB"/>
      <sheetName val="dropdown"/>
      <sheetName val="gVL"/>
      <sheetName val="Project Data"/>
      <sheetName val="chitimc"/>
      <sheetName val="dongia (2)"/>
      <sheetName val="giathanh1"/>
      <sheetName val="THPDMoi  (2)"/>
      <sheetName val="gtrinh"/>
      <sheetName val="phuluc1"/>
      <sheetName val="lam-moi"/>
      <sheetName val="DONGIA"/>
      <sheetName val="thao-go"/>
      <sheetName val="DON GIA"/>
      <sheetName val="TONGKE-HT"/>
      <sheetName val="DG"/>
      <sheetName val="#REF"/>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NOTE"/>
      <sheetName val="code HTT THap"/>
      <sheetName val="Tong hop vat tu"/>
      <sheetName val="Phan tich ca may"/>
      <sheetName val="Chenh lech ca may"/>
      <sheetName val="Chenh lech vat tu"/>
      <sheetName val="Chiet tinh don gia CM"/>
      <sheetName val="TLg CN&amp;Laixe"/>
      <sheetName val="TLg CN&amp;Laixe (2)"/>
      <sheetName val="TLg Laitau"/>
      <sheetName val="TLg Laitau (2)"/>
      <sheetName val="Bill 2.1 Villa Outside"/>
      <sheetName val="Analisa"/>
      <sheetName val="Main_Mech"/>
      <sheetName val="Sub_Mech"/>
      <sheetName val="Tong du toan"/>
      <sheetName val=" "/>
      <sheetName val="Slim 2 cánh &amp; 2 vách"/>
      <sheetName val="QL Dự án"/>
      <sheetName val="금융비용"/>
      <sheetName val="6MONTHS"/>
      <sheetName val="3.thể hiện"/>
      <sheetName val="05. Data_Cash Flow"/>
      <sheetName val="XL4Poppy"/>
      <sheetName val="GrossBQ_(2)2"/>
      <sheetName val="Site_Expense1"/>
      <sheetName val="Retaining_Wall1"/>
      <sheetName val="Summary_Final1"/>
      <sheetName val="G1_Final1"/>
      <sheetName val="Thiet_bi1"/>
      <sheetName val="Nhan_cong1"/>
      <sheetName val="Project_Execution_Report1"/>
      <sheetName val="general_notes___"/>
      <sheetName val="Chiet_tinh_dz35"/>
      <sheetName val="CP_THEO_957"/>
      <sheetName val="DGchitiet_"/>
      <sheetName val="Du_toan"/>
      <sheetName val="CT_Thang_Mo"/>
      <sheetName val="CT__PL"/>
      <sheetName val="E-POD_WD"/>
      <sheetName val="E-T1_WD"/>
      <sheetName val="E-T2_WD"/>
      <sheetName val="E-T3_WD"/>
      <sheetName val="E-T4_WD"/>
      <sheetName val="E-T5_WD"/>
      <sheetName val="PS-POD_WD"/>
      <sheetName val="PS-T1_WD"/>
      <sheetName val="PS-T2_WD"/>
      <sheetName val="PS-T3_WD"/>
      <sheetName val="PS-T4_WD"/>
      <sheetName val="PS-T5_WD"/>
      <sheetName val="ACMV-POD_WD"/>
      <sheetName val="ACMV-T1_WD"/>
      <sheetName val="ACMV-T2_WD"/>
      <sheetName val="ACMV-T3_WD"/>
      <sheetName val="ACMV-T4_WD"/>
      <sheetName val="ACMV-T5_WD"/>
      <sheetName val="FP-POD_WD"/>
      <sheetName val="FP-T1_WD"/>
      <sheetName val="FP-T2_WD"/>
      <sheetName val="FP-T3_WD"/>
      <sheetName val="FP-T4_WD"/>
      <sheetName val="FP-T5_WD"/>
      <sheetName val="LIFT_WD"/>
      <sheetName val="AC_T5"/>
      <sheetName val="MFĐ_TT"/>
      <sheetName val="CAR_PARKING_TT"/>
      <sheetName val="TONG_HOP_KHOI_LUONG"/>
      <sheetName val="ma_HD_AB"/>
      <sheetName val="_Net_Break_Down"/>
      <sheetName val="dongia_(2)"/>
      <sheetName val="THPDMoi__(2)"/>
      <sheetName val="DON_GIA"/>
      <sheetName val="t-h_HA_THE"/>
      <sheetName val="CHITIET_VL-NC-TT_-1p"/>
      <sheetName val="TONG_HOP_VL-NC_TT"/>
      <sheetName val="TH_XL"/>
      <sheetName val="CHITIET_VL-NC-TT-3p"/>
      <sheetName val="KPVC-BD_"/>
      <sheetName val="CHITIET_VL-NC"/>
      <sheetName val="Project_Data"/>
      <sheetName val="Tong_hop_vat_tu"/>
      <sheetName val="Phan_tich_ca_may"/>
      <sheetName val="Chenh_lech_ca_may"/>
      <sheetName val="Chenh_lech_vat_tu"/>
      <sheetName val="Chiet_tinh_don_gia_CM"/>
      <sheetName val="TLg_CN&amp;Laixe"/>
      <sheetName val="TLg_CN&amp;Laixe_(2)"/>
      <sheetName val="TLg_Laitau"/>
      <sheetName val="TLg_Laitau_(2)"/>
      <sheetName val="TH_VLXD"/>
      <sheetName val="RAB AR&amp;STR"/>
      <sheetName val="Khoan LSP (2)"/>
      <sheetName val="XLR_NoRangeSheet"/>
      <sheetName val="내역"/>
      <sheetName val="Sheet2"/>
      <sheetName val="Electrical Breakdown"/>
      <sheetName val="Rebar"/>
      <sheetName val="Data Validation"/>
      <sheetName val="Vat Tu"/>
      <sheetName val="Open Drain Caisson Pump"/>
      <sheetName val="Cover "/>
      <sheetName val="Plastering &amp; tiling works "/>
      <sheetName val="Detail"/>
      <sheetName val="Dien giai "/>
      <sheetName val="detail phat sinh can thay doi "/>
      <sheetName val="Bang tinh Cost Cao do khoi A"/>
      <sheetName val="Bang tinh cost cao do khoi B"/>
      <sheetName val="TinhGiaNC"/>
      <sheetName val="Div26 - Elect"/>
      <sheetName val="노임단가"/>
      <sheetName val="Bill 03 - ACMV"/>
      <sheetName val="KL thanh toan-Xuan Dao"/>
      <sheetName val="vlieu"/>
      <sheetName val="Code"/>
      <sheetName val="Quantity"/>
      <sheetName val="F4-F7"/>
      <sheetName val="실행"/>
      <sheetName val="Doi so"/>
      <sheetName val="TT04"/>
      <sheetName val="$TEXT1$"/>
      <sheetName val="DuToan"/>
      <sheetName val="GrossBQ_(2)3"/>
      <sheetName val="Site_Expense2"/>
      <sheetName val="Retaining_Wall2"/>
      <sheetName val="Summary_Final2"/>
      <sheetName val="G1_Final2"/>
      <sheetName val="Thiet_bi2"/>
      <sheetName val="Nhan_cong2"/>
      <sheetName val="Project_Execution_Report2"/>
      <sheetName val="general_notes___1"/>
      <sheetName val="Chiet_tinh_dz351"/>
      <sheetName val="CP_THEO_9571"/>
      <sheetName val="DGchitiet_1"/>
      <sheetName val="Du_toan1"/>
      <sheetName val="CT_Thang_Mo1"/>
      <sheetName val="CT__PL1"/>
      <sheetName val="TONG_HOP_KHOI_LUONG1"/>
      <sheetName val="E-POD_WD1"/>
      <sheetName val="E-T1_WD1"/>
      <sheetName val="E-T2_WD1"/>
      <sheetName val="E-T3_WD1"/>
      <sheetName val="E-T4_WD1"/>
      <sheetName val="E-T5_WD1"/>
      <sheetName val="PS-POD_WD1"/>
      <sheetName val="PS-T1_WD1"/>
      <sheetName val="PS-T2_WD1"/>
      <sheetName val="PS-T3_WD1"/>
      <sheetName val="PS-T4_WD1"/>
      <sheetName val="PS-T5_WD1"/>
      <sheetName val="ACMV-POD_WD1"/>
      <sheetName val="ACMV-T1_WD1"/>
      <sheetName val="ACMV-T2_WD1"/>
      <sheetName val="ACMV-T3_WD1"/>
      <sheetName val="ACMV-T4_WD1"/>
      <sheetName val="ACMV-T5_WD1"/>
      <sheetName val="FP-POD_WD1"/>
      <sheetName val="FP-T1_WD1"/>
      <sheetName val="FP-T2_WD1"/>
      <sheetName val="FP-T3_WD1"/>
      <sheetName val="FP-T4_WD1"/>
      <sheetName val="FP-T5_WD1"/>
      <sheetName val="LIFT_WD1"/>
      <sheetName val="AC_T51"/>
      <sheetName val="MFĐ_TT1"/>
      <sheetName val="CAR_PARKING_TT1"/>
      <sheetName val="ma_HD_AB1"/>
      <sheetName val="dongia_(2)1"/>
      <sheetName val="THPDMoi__(2)1"/>
      <sheetName val="DON_GIA1"/>
      <sheetName val="t-h_HA_THE1"/>
      <sheetName val="CHITIET_VL-NC-TT_-1p1"/>
      <sheetName val="TONG_HOP_VL-NC_TT1"/>
      <sheetName val="TH_XL1"/>
      <sheetName val="CHITIET_VL-NC-TT-3p1"/>
      <sheetName val="KPVC-BD_1"/>
      <sheetName val="CHITIET_VL-NC1"/>
      <sheetName val="_Net_Break_Down1"/>
      <sheetName val="Project_Data1"/>
      <sheetName val="Tong_hop_vat_tu1"/>
      <sheetName val="Phan_tich_ca_may1"/>
      <sheetName val="Chenh_lech_ca_may1"/>
      <sheetName val="Chenh_lech_vat_tu1"/>
      <sheetName val="Chiet_tinh_don_gia_CM1"/>
      <sheetName val="TLg_CN&amp;Laixe1"/>
      <sheetName val="TLg_CN&amp;Laixe_(2)1"/>
      <sheetName val="TLg_Laitau1"/>
      <sheetName val="TLg_Laitau_(2)1"/>
      <sheetName val="Bill_2_1_Villa_Outside"/>
      <sheetName val="Tong_du_toan"/>
      <sheetName val="_"/>
      <sheetName val="code_HTT_THap"/>
      <sheetName val="Slim_2_cánh_&amp;_2_vách"/>
      <sheetName val="QL_Dự_án"/>
      <sheetName val="RAB_AR&amp;STR"/>
      <sheetName val="Khoan_LSP_(2)"/>
      <sheetName val="3_thể_hiện"/>
      <sheetName val="05__Data_Cash_Flow"/>
      <sheetName val="Bang tra sd"/>
      <sheetName val="CỘT+VÁCH CHỜ L1"/>
      <sheetName val="01. DATA"/>
      <sheetName val="CFS3"/>
      <sheetName val="TTL"/>
      <sheetName val="CHÀO GIÁ KL CÁC TUYẾN CÒN LẠI"/>
      <sheetName val=" TNT K.Lượng các tuyến còn lại"/>
      <sheetName val="KL TNT Khu thấp tầng"/>
      <sheetName val="KL. HG ĐIỆN còn lại"/>
      <sheetName val="KHỐI LƯỢNG HỐ VAN"/>
      <sheetName val="GrossBQ_(2)4"/>
      <sheetName val="Site_Expense3"/>
      <sheetName val="Retaining_Wall3"/>
      <sheetName val="Summary_Final3"/>
      <sheetName val="G1_Final3"/>
      <sheetName val="Thiet_bi3"/>
      <sheetName val="Nhan_cong3"/>
      <sheetName val="Project_Execution_Report3"/>
      <sheetName val="general_notes___2"/>
      <sheetName val="Chiet_tinh_dz352"/>
      <sheetName val="CP_THEO_9572"/>
      <sheetName val="DGchitiet_2"/>
      <sheetName val="Du_toan2"/>
      <sheetName val="CT_Thang_Mo2"/>
      <sheetName val="CT__PL2"/>
      <sheetName val="E-POD_WD2"/>
      <sheetName val="E-T1_WD2"/>
      <sheetName val="E-T2_WD2"/>
      <sheetName val="E-T3_WD2"/>
      <sheetName val="E-T4_WD2"/>
      <sheetName val="E-T5_WD2"/>
      <sheetName val="PS-POD_WD2"/>
      <sheetName val="PS-T1_WD2"/>
      <sheetName val="PS-T2_WD2"/>
      <sheetName val="PS-T3_WD2"/>
      <sheetName val="PS-T4_WD2"/>
      <sheetName val="PS-T5_WD2"/>
      <sheetName val="ACMV-POD_WD2"/>
      <sheetName val="ACMV-T1_WD2"/>
      <sheetName val="ACMV-T2_WD2"/>
      <sheetName val="ACMV-T3_WD2"/>
      <sheetName val="ACMV-T4_WD2"/>
      <sheetName val="ACMV-T5_WD2"/>
      <sheetName val="FP-POD_WD2"/>
      <sheetName val="FP-T1_WD2"/>
      <sheetName val="FP-T2_WD2"/>
      <sheetName val="FP-T3_WD2"/>
      <sheetName val="FP-T4_WD2"/>
      <sheetName val="FP-T5_WD2"/>
      <sheetName val="LIFT_WD2"/>
      <sheetName val="AC_T52"/>
      <sheetName val="MFĐ_TT2"/>
      <sheetName val="CAR_PARKING_TT2"/>
      <sheetName val="TONG_HOP_KHOI_LUONG2"/>
      <sheetName val="ma_HD_AB2"/>
      <sheetName val="_Net_Break_Down2"/>
      <sheetName val="_1"/>
      <sheetName val="dongia_(2)2"/>
      <sheetName val="THPDMoi__(2)2"/>
      <sheetName val="DON_GIA2"/>
      <sheetName val="t-h_HA_THE2"/>
      <sheetName val="CHITIET_VL-NC-TT_-1p2"/>
      <sheetName val="TONG_HOP_VL-NC_TT2"/>
      <sheetName val="TH_XL2"/>
      <sheetName val="CHITIET_VL-NC-TT-3p2"/>
      <sheetName val="KPVC-BD_2"/>
      <sheetName val="CHITIET_VL-NC2"/>
      <sheetName val="Project_Data2"/>
      <sheetName val="code_HTT_THap1"/>
      <sheetName val="Tong_hop_vat_tu2"/>
      <sheetName val="Phan_tich_ca_may2"/>
      <sheetName val="Chenh_lech_ca_may2"/>
      <sheetName val="Chenh_lech_vat_tu2"/>
      <sheetName val="Chiet_tinh_don_gia_CM2"/>
      <sheetName val="TLg_CN&amp;Laixe2"/>
      <sheetName val="TLg_CN&amp;Laixe_(2)2"/>
      <sheetName val="TLg_Laitau2"/>
      <sheetName val="TLg_Laitau_(2)2"/>
      <sheetName val="Tong_du_toan1"/>
      <sheetName val="Bill_2_1_Villa_Outside1"/>
      <sheetName val="Slim_2_cánh_&amp;_2_vách1"/>
      <sheetName val="QL_Dự_án1"/>
      <sheetName val="3_thể_hiện1"/>
      <sheetName val="05__Data_Cash_Flow1"/>
      <sheetName val="RAB_AR&amp;STR1"/>
      <sheetName val="Khoan_LSP_(2)1"/>
      <sheetName val="Data_Validation"/>
      <sheetName val="Vat_Tu"/>
      <sheetName val="Div26_-_Elect"/>
      <sheetName val="Electrical_Breakdown"/>
      <sheetName val="Open_Drain_Caisson_Pump"/>
      <sheetName val="Bill_03_-_ACMV"/>
      <sheetName val="KL_thanh_toan-Xuan_Dao"/>
      <sheetName val="Doi_so"/>
      <sheetName val="CỘT+VÁCH_CHỜ_L1"/>
      <sheetName val="01__DATA"/>
      <sheetName val="Bang_tra_sd"/>
      <sheetName val="Cover_"/>
      <sheetName val="Plastering_&amp;_tiling_works_"/>
      <sheetName val="Dien_giai_"/>
      <sheetName val="detail_phat_sinh_can_thay_doi_"/>
      <sheetName val="Bang_tinh_Cost_Cao_do_khoi_A"/>
      <sheetName val="Bang_tinh_cost_cao_do_khoi_B"/>
      <sheetName val="GrossBQ_(2)5"/>
      <sheetName val="Site_Expense4"/>
      <sheetName val="Retaining_Wall4"/>
      <sheetName val="Summary_Final4"/>
      <sheetName val="G1_Final4"/>
      <sheetName val="Thiet_bi4"/>
      <sheetName val="Nhan_cong4"/>
      <sheetName val="Project_Execution_Report4"/>
      <sheetName val="general_notes___3"/>
      <sheetName val="Chiet_tinh_dz353"/>
      <sheetName val="CP_THEO_9573"/>
      <sheetName val="DGchitiet_3"/>
      <sheetName val="Du_toan3"/>
      <sheetName val="CT_Thang_Mo3"/>
      <sheetName val="CT__PL3"/>
      <sheetName val="E-POD_WD3"/>
      <sheetName val="E-T1_WD3"/>
      <sheetName val="E-T2_WD3"/>
      <sheetName val="E-T3_WD3"/>
      <sheetName val="E-T4_WD3"/>
      <sheetName val="E-T5_WD3"/>
      <sheetName val="PS-POD_WD3"/>
      <sheetName val="PS-T1_WD3"/>
      <sheetName val="PS-T2_WD3"/>
      <sheetName val="PS-T3_WD3"/>
      <sheetName val="PS-T4_WD3"/>
      <sheetName val="PS-T5_WD3"/>
      <sheetName val="ACMV-POD_WD3"/>
      <sheetName val="ACMV-T1_WD3"/>
      <sheetName val="ACMV-T2_WD3"/>
      <sheetName val="ACMV-T3_WD3"/>
      <sheetName val="ACMV-T4_WD3"/>
      <sheetName val="ACMV-T5_WD3"/>
      <sheetName val="FP-POD_WD3"/>
      <sheetName val="FP-T1_WD3"/>
      <sheetName val="FP-T2_WD3"/>
      <sheetName val="FP-T3_WD3"/>
      <sheetName val="FP-T4_WD3"/>
      <sheetName val="FP-T5_WD3"/>
      <sheetName val="LIFT_WD3"/>
      <sheetName val="AC_T53"/>
      <sheetName val="MFĐ_TT3"/>
      <sheetName val="CAR_PARKING_TT3"/>
      <sheetName val="TONG_HOP_KHOI_LUONG3"/>
      <sheetName val="ma_HD_AB3"/>
      <sheetName val="_2"/>
      <sheetName val="_Net_Break_Down3"/>
      <sheetName val="dongia_(2)3"/>
      <sheetName val="THPDMoi__(2)3"/>
      <sheetName val="DON_GIA3"/>
      <sheetName val="t-h_HA_THE3"/>
      <sheetName val="CHITIET_VL-NC-TT_-1p3"/>
      <sheetName val="TONG_HOP_VL-NC_TT3"/>
      <sheetName val="TH_XL3"/>
      <sheetName val="CHITIET_VL-NC-TT-3p3"/>
      <sheetName val="KPVC-BD_3"/>
      <sheetName val="CHITIET_VL-NC3"/>
      <sheetName val="Project_Data3"/>
      <sheetName val="code_HTT_THap2"/>
      <sheetName val="Tong_hop_vat_tu3"/>
      <sheetName val="Phan_tich_ca_may3"/>
      <sheetName val="Chenh_lech_ca_may3"/>
      <sheetName val="Chenh_lech_vat_tu3"/>
      <sheetName val="Chiet_tinh_don_gia_CM3"/>
      <sheetName val="TLg_CN&amp;Laixe3"/>
      <sheetName val="TLg_CN&amp;Laixe_(2)3"/>
      <sheetName val="TLg_Laitau3"/>
      <sheetName val="TLg_Laitau_(2)3"/>
      <sheetName val="Tong_du_toan2"/>
      <sheetName val="Bill_2_1_Villa_Outside2"/>
      <sheetName val="Slim_2_cánh_&amp;_2_vách2"/>
      <sheetName val="QL_Dự_án2"/>
      <sheetName val="RAB_AR&amp;STR2"/>
      <sheetName val="Khoan_LSP_(2)2"/>
      <sheetName val="3_thể_hiện2"/>
      <sheetName val="05__Data_Cash_Flow2"/>
      <sheetName val="Data_Validation1"/>
      <sheetName val="Vat_Tu1"/>
      <sheetName val="Electrical_Breakdown1"/>
      <sheetName val="Div26_-_Elect1"/>
      <sheetName val="Open_Drain_Caisson_Pump1"/>
      <sheetName val="Bill_03_-_ACMV1"/>
      <sheetName val="KL_thanh_toan-Xuan_Dao1"/>
      <sheetName val="Doi_so1"/>
      <sheetName val="CỘT+VÁCH_CHỜ_L11"/>
      <sheetName val="01__DATA1"/>
      <sheetName val="Bang_tra_sd1"/>
      <sheetName val="Cover_1"/>
      <sheetName val="Plastering_&amp;_tiling_works_1"/>
      <sheetName val="Dien_giai_1"/>
      <sheetName val="detail_phat_sinh_can_thay_doi_1"/>
      <sheetName val="Bang_tinh_Cost_Cao_do_khoi_A1"/>
      <sheetName val="Bang_tinh_cost_cao_do_khoi_B1"/>
      <sheetName val="source"/>
      <sheetName val="Cover DD"/>
      <sheetName val="Rate "/>
      <sheetName val="B3A-MU4"/>
      <sheetName val="BG"/>
      <sheetName val="CV FOA"/>
      <sheetName val="CV BEAMS"/>
      <sheetName val="CV C"/>
      <sheetName val="CV SÀn"/>
      <sheetName val="CV CT"/>
      <sheetName val="CV KH"/>
      <sheetName val="Sheet10"/>
      <sheetName val="Sheet9"/>
      <sheetName val="Hoan thien"/>
      <sheetName val="MEP"/>
      <sheetName val="CR-COL"/>
      <sheetName val="CR FODA"/>
      <sheetName val="CR-BEAMS"/>
      <sheetName val="CR-SLAB"/>
      <sheetName val="CR-STAR"/>
      <sheetName val="CR-CORE W"/>
      <sheetName val="ĐÀO ĐẤT"/>
      <sheetName val="Sheet3"/>
      <sheetName val="4-CỘT-VÁCH (2)"/>
      <sheetName val="2-DẦM"/>
      <sheetName val="3-SÀN"/>
      <sheetName val="5-LÕI THANG"/>
      <sheetName val="6-THANG BỘ"/>
      <sheetName val="7-BỂ NƯỚC"/>
      <sheetName val="THÉP HÌNH"/>
      <sheetName val="LƯỚI THÉP HÀN"/>
      <sheetName val="THKL-Đ1"/>
      <sheetName val="Nhôm"/>
      <sheetName val="VTP"/>
      <sheetName val="Sheet48"/>
      <sheetName val="__-BLDG"/>
      <sheetName val="BÌA"/>
      <sheetName val="KL LĐ- CÁP ĐIỆN"/>
      <sheetName val="KL LĐ-BUSWAY"/>
      <sheetName val="KL LĐ-TỦ ĐIỆN"/>
      <sheetName val="Data-Lắp đèn, ổ cắm căn hộ"/>
      <sheetName val="DNTT"/>
      <sheetName val="THKT"/>
      <sheetName val="GTTT"/>
      <sheetName val="GTTT PL 02"/>
      <sheetName val="GTTT PL2"/>
      <sheetName val="Hệ số"/>
      <sheetName val="KL LĐ CS SỰ CỐ (k in)"/>
      <sheetName val="KL LĐ TỦ ĐIỆN (k in)"/>
      <sheetName val="KL TỦ ĐIỆN MSB"/>
      <sheetName val="KL LĐ CÁP ĐIỆN"/>
      <sheetName val="KL LĐ- BUSWAY"/>
      <sheetName val="KL LĐ- PHẦN HẦM, KHỐI ĐẾ, HL"/>
      <sheetName val="KL-HÀNH LANG"/>
      <sheetName val="KL-Lap dat-M (k in)"/>
      <sheetName val="KL-TEST-M (k in)"/>
      <sheetName val="KL-Lap dat-D"/>
      <sheetName val="KL-TEST-D"/>
      <sheetName val="Check list tháp D (k in)"/>
      <sheetName val="Check list tháp M(k in)"/>
      <sheetName val="đối soát vật tư"/>
      <sheetName val="Main Cable "/>
      <sheetName val="PNTEXT"/>
      <sheetName val="Rate"/>
      <sheetName val="0-Bia"/>
      <sheetName val="Danh muc"/>
      <sheetName val="1-BANG TONG HOP TT"/>
      <sheetName val=" 1A mới"/>
      <sheetName val="2-Mau 2A BANG GTTT PL05"/>
      <sheetName val="2-Mau 2B BANG GTTT PL06"/>
      <sheetName val="2-Mau 2C BANG GTTT PL09"/>
      <sheetName val="2-Mau BANG GTTT PL12"/>
      <sheetName val="3-Mau 3A-THKL PL05"/>
      <sheetName val="3-Mau 3A-THKL PL06"/>
      <sheetName val="3-Mau 3A-THKL PL09"/>
      <sheetName val="3-Mau 3A-THKL PL12"/>
      <sheetName val="DGKL PL 05"/>
      <sheetName val="DGKL PL 06"/>
      <sheetName val="DGKL PL 09"/>
      <sheetName val="DGKL PL 12"/>
      <sheetName val="5-Khau tru Tien ich"/>
      <sheetName val="6-Phat"/>
      <sheetName val="đọc số"/>
      <sheetName val="BL"/>
      <sheetName val="Bảng Giá"/>
      <sheetName val="KL-MEZZ+Cranes"/>
      <sheetName val="NET-OP1"/>
      <sheetName val="BOQ-Form"/>
      <sheetName val="BOQ"/>
      <sheetName val="Kien Truc"/>
      <sheetName val="TK cua"/>
      <sheetName val="TCQ"/>
      <sheetName val="Bill ACMV"/>
      <sheetName val="Unit arte ACMV"/>
      <sheetName val="UnitRate E"/>
      <sheetName val="Lighting rate"/>
      <sheetName val="Cable Rate"/>
      <sheetName val="CFA-M2"/>
      <sheetName val="Tóm tắt giảm giá"/>
      <sheetName val="Yêu cầu báo giá"/>
      <sheetName val="SUM"/>
      <sheetName val="A-Preliminary-r1"/>
      <sheetName val="B. Pile works"/>
      <sheetName val="C. Building Works"/>
      <sheetName val="D. M.E.P Works"/>
      <sheetName val="E. LEED requirements"/>
      <sheetName val="F. External works"/>
      <sheetName val="C1.1 Factory 1"/>
      <sheetName val="C1.2 Factory 1"/>
      <sheetName val="C5.1 Office"/>
      <sheetName val="C6.1 Canteen"/>
      <sheetName val="C6.2 Canteen"/>
      <sheetName val="C7.1 Bike parking"/>
      <sheetName val="C7.2 Bike parking"/>
      <sheetName val="C8.1 Car parking"/>
      <sheetName val="C8.2 Car parking"/>
      <sheetName val="C9.1 WWTP"/>
      <sheetName val="C10.1 Water tank + pump room"/>
      <sheetName val="C11.1 Electric house"/>
      <sheetName val="C12.1 Air compressor house"/>
      <sheetName val="C12.1 Garbage house"/>
      <sheetName val="C13.1 Utility house"/>
      <sheetName val="C14.1 Guardhouse 1"/>
      <sheetName val="C15.1 Guardhouse 2"/>
      <sheetName val="C16.1 Guardhouse 3"/>
      <sheetName val="C17.1 Toilet"/>
      <sheetName val="F1 Sand leveling"/>
      <sheetName val="F2. Flag pole"/>
      <sheetName val="F3. Fence &amp; sign board"/>
      <sheetName val="F4. Civil work"/>
      <sheetName val="22.Landscape"/>
      <sheetName val="BANG TRA"/>
      <sheetName val="chiet tinh"/>
      <sheetName val="입찰내역 발주처 양식"/>
      <sheetName val="GrossBQ_(2)6"/>
      <sheetName val="Site_Expense5"/>
      <sheetName val="Retaining_Wall5"/>
      <sheetName val="Summary_Final5"/>
      <sheetName val="G1_Final5"/>
      <sheetName val="Thiet_bi5"/>
      <sheetName val="Nhan_cong5"/>
      <sheetName val="Project_Execution_Report5"/>
      <sheetName val="general_notes___4"/>
      <sheetName val="Chiet_tinh_dz354"/>
      <sheetName val="CP_THEO_9574"/>
      <sheetName val="DGchitiet_4"/>
      <sheetName val="Du_toan4"/>
      <sheetName val="CT_Thang_Mo4"/>
      <sheetName val="CT__PL4"/>
      <sheetName val="E-POD_WD4"/>
      <sheetName val="E-T1_WD4"/>
      <sheetName val="E-T2_WD4"/>
      <sheetName val="E-T3_WD4"/>
      <sheetName val="E-T4_WD4"/>
      <sheetName val="E-T5_WD4"/>
      <sheetName val="PS-POD_WD4"/>
      <sheetName val="PS-T1_WD4"/>
      <sheetName val="PS-T2_WD4"/>
      <sheetName val="PS-T3_WD4"/>
      <sheetName val="PS-T4_WD4"/>
      <sheetName val="1. HT Điện - R1"/>
      <sheetName val="2. HT Máy Phát Điện - R1"/>
      <sheetName val="3.HT ĐHKK - R2"/>
      <sheetName val="4.HT Cấp Thoát Nước"/>
      <sheetName val="5.HT PCCC"/>
      <sheetName val="6. Thiết bị chính"/>
      <sheetName val="Các Hạng mục Thay đổi"/>
      <sheetName val="KL THÉP MÓNG,DẦM, SÀN, CỘT B2"/>
      <sheetName val="THKLTT THÉP B2"/>
      <sheetName val="Cash flow"/>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工事概要(Project Outline)・G1記入欄"/>
      <sheetName val="PNT_QUOT__3"/>
      <sheetName val="COAT_WRAP_QIOT__3"/>
      <sheetName val="CF_DT"/>
      <sheetName val="BẢNG TỔNG HỢP"/>
      <sheetName val="HÀNG RÀO"/>
      <sheetName val="NHÀ XƯỞNG"/>
      <sheetName val="NHÀ VĂN PHÒNG"/>
      <sheetName val="NHÀ BẾP"/>
      <sheetName val="NHÀ XE Ô TÔ"/>
      <sheetName val="BỂ NƯỚC NGẦM"/>
      <sheetName val="NHÀ BẢO VỆ"/>
      <sheetName val="CỘT CỜ"/>
      <sheetName val="TRẠM ĐIỆN"/>
      <sheetName val="KHO HOÁ CHẤT"/>
      <sheetName val="NHÀ RÁC"/>
      <sheetName val="KHU HÚT THUỐC"/>
      <sheetName val="MÁI NỐI VP+ BẾP"/>
      <sheetName val="BỂ TỰ HOẠI"/>
      <sheetName val="THƯ VIỆN MẪU"/>
      <sheetName val="1.LIST NTCV"/>
      <sheetName val="2.BB LÂY MẪU"/>
      <sheetName val="3. YCNT CV"/>
      <sheetName val="4. BBNT VLĐV"/>
      <sheetName val="Muc luc"/>
      <sheetName val="61 .Lan can an toàn NB"/>
      <sheetName val="62 .Lan can an toan"/>
      <sheetName val="Nhat ky thi cong chong tham"/>
      <sheetName val="56.3 BBNTNB MÓNG CT"/>
      <sheetName val="56.4 BBNT MÓNG CT"/>
      <sheetName val="TONG HOP"/>
      <sheetName val="Hệ số và tỷ giá"/>
      <sheetName val="BAO GIA"/>
      <sheetName val="CPC (phuc vu tinh cost)"/>
      <sheetName val="Chi phi gian tiep"/>
      <sheetName val="07_Themal"/>
      <sheetName val="대비표"/>
      <sheetName val="4. NSC Summary"/>
      <sheetName val="1.Certificate"/>
      <sheetName val="LKVL-CK-HT-GD1"/>
      <sheetName val="TBVL"/>
      <sheetName val="Priced BOQ"/>
      <sheetName val="Dinh muc CP KTCB khac"/>
      <sheetName val="TH May TC"/>
      <sheetName val="KLDT DIEN"/>
      <sheetName val="PTVT DIEN"/>
      <sheetName val="TH kinh phi"/>
      <sheetName val="Thong ke thiet bi"/>
      <sheetName val="TH vat tu"/>
      <sheetName val="Kiem tra"/>
      <sheetName val="CLVT"/>
      <sheetName val="THCP (2)"/>
      <sheetName val="THCP"/>
      <sheetName val="TKC U5- SH"/>
      <sheetName val="TKC U5- BH"/>
      <sheetName val="U1-SH"/>
      <sheetName val="U3,7,15(1A)-SH"/>
      <sheetName val="U5,11,13 (1B)-SH"/>
      <sheetName val="U8,U9-SH"/>
      <sheetName val="U16-SH"/>
      <sheetName val="U.17-BH"/>
      <sheetName val="U-ĐHBH"/>
      <sheetName val="U.24, U.25-BH"/>
      <sheetName val="U.32-BH"/>
      <sheetName val="chỉ"/>
      <sheetName val="tk thep"/>
      <sheetName val="DANH MỤC"/>
      <sheetName val="GrossBQ_(2)7"/>
      <sheetName val="Site_Expense6"/>
      <sheetName val="Retaining_Wall6"/>
      <sheetName val="Summary_Final6"/>
      <sheetName val="G1_Final6"/>
      <sheetName val="Thiet_bi6"/>
      <sheetName val="Nhan_cong6"/>
      <sheetName val="Project_Execution_Report6"/>
      <sheetName val="general_notes___5"/>
      <sheetName val="Chiet_tinh_dz355"/>
      <sheetName val="CP_THEO_9575"/>
      <sheetName val="Du_toan5"/>
      <sheetName val="DGchitiet_5"/>
      <sheetName val="CT_Thang_Mo5"/>
      <sheetName val="CT__PL5"/>
      <sheetName val="E-POD_WD5"/>
      <sheetName val="E-T1_WD5"/>
      <sheetName val="E-T2_WD5"/>
      <sheetName val="E-T3_WD5"/>
      <sheetName val="E-T4_WD5"/>
      <sheetName val="E-T5_WD5"/>
      <sheetName val="PS-POD_WD5"/>
      <sheetName val="PS-T1_WD5"/>
      <sheetName val="PS-T2_WD5"/>
      <sheetName val="PS-T3_WD5"/>
      <sheetName val="PS-T4_WD5"/>
      <sheetName val="PS-T5_WD4"/>
      <sheetName val="ACMV-POD_WD4"/>
      <sheetName val="ACMV-T1_WD4"/>
      <sheetName val="ACMV-T2_WD4"/>
      <sheetName val="ACMV-T3_WD4"/>
      <sheetName val="ACMV-T4_WD4"/>
      <sheetName val="ACMV-T5_WD4"/>
      <sheetName val="FP-POD_WD4"/>
      <sheetName val="FP-T1_WD4"/>
      <sheetName val="FP-T2_WD4"/>
      <sheetName val="FP-T3_WD4"/>
      <sheetName val="FP-T4_WD4"/>
      <sheetName val="FP-T5_WD4"/>
      <sheetName val="LIFT_WD4"/>
      <sheetName val="AC_T54"/>
      <sheetName val="MFĐ_TT4"/>
      <sheetName val="CAR_PARKING_TT4"/>
      <sheetName val="TONG_HOP_KHOI_LUONG4"/>
      <sheetName val="ma_HD_AB4"/>
      <sheetName val="_Net_Break_Down4"/>
      <sheetName val="Project_Data4"/>
      <sheetName val="dongia_(2)4"/>
      <sheetName val="THPDMoi__(2)4"/>
      <sheetName val="DON_GIA4"/>
      <sheetName val="t-h_HA_THE4"/>
      <sheetName val="CHITIET_VL-NC-TT_-1p4"/>
      <sheetName val="TONG_HOP_VL-NC_TT4"/>
      <sheetName val="TH_XL4"/>
      <sheetName val="CHITIET_VL-NC-TT-3p4"/>
      <sheetName val="KPVC-BD_4"/>
      <sheetName val="CHITIET_VL-NC4"/>
      <sheetName val="_3"/>
      <sheetName val="code_HTT_THap3"/>
      <sheetName val="Tong_hop_vat_tu4"/>
      <sheetName val="Phan_tich_ca_may4"/>
      <sheetName val="Chenh_lech_ca_may4"/>
      <sheetName val="Chenh_lech_vat_tu4"/>
      <sheetName val="Chiet_tinh_don_gia_CM4"/>
      <sheetName val="TLg_CN&amp;Laixe4"/>
      <sheetName val="TLg_CN&amp;Laixe_(2)4"/>
      <sheetName val="TLg_Laitau4"/>
      <sheetName val="TLg_Laitau_(2)4"/>
      <sheetName val="Tong_du_toan3"/>
      <sheetName val="Bill_2_1_Villa_Outside3"/>
      <sheetName val="Slim_2_cánh_&amp;_2_vách3"/>
      <sheetName val="QL_Dự_án3"/>
      <sheetName val="3_thể_hiện3"/>
      <sheetName val="05__Data_Cash_Flow3"/>
      <sheetName val="RAB_AR&amp;STR3"/>
      <sheetName val="Khoan_LSP_(2)3"/>
      <sheetName val="Data_Validation2"/>
      <sheetName val="Vat_Tu2"/>
      <sheetName val="Open_Drain_Caisson_Pump2"/>
      <sheetName val="Electrical_Breakdown2"/>
      <sheetName val="Div26_-_Elect2"/>
      <sheetName val="Bill_03_-_ACMV2"/>
      <sheetName val="KL_thanh_toan-Xuan_Dao2"/>
      <sheetName val="Doi_so2"/>
      <sheetName val="01__DATA2"/>
      <sheetName val="CỘT+VÁCH_CHỜ_L12"/>
      <sheetName val="Bang_tra_sd2"/>
      <sheetName val="Cover_2"/>
      <sheetName val="Plastering_&amp;_tiling_works_2"/>
      <sheetName val="Dien_giai_2"/>
      <sheetName val="detail_phat_sinh_can_thay_doi_2"/>
      <sheetName val="Bang_tinh_Cost_Cao_do_khoi_A2"/>
      <sheetName val="Bang_tinh_cost_cao_do_khoi_B2"/>
      <sheetName val="Cover_DD"/>
      <sheetName val="Rate_"/>
      <sheetName val="CV_FOA"/>
      <sheetName val="CV_BEAMS"/>
      <sheetName val="CV_C"/>
      <sheetName val="CV_SÀn"/>
      <sheetName val="CV_CT"/>
      <sheetName val="CV_KH"/>
      <sheetName val="Hoan_thien"/>
      <sheetName val="CR_FODA"/>
      <sheetName val="CR-CORE_W"/>
      <sheetName val="ĐÀO_ĐẤT"/>
      <sheetName val="4-CỘT-VÁCH_(2)"/>
      <sheetName val="5-LÕI_THANG"/>
      <sheetName val="6-THANG_BỘ"/>
      <sheetName val="7-BỂ_NƯỚC"/>
      <sheetName val="CHÀO_GIÁ_KL_CÁC_TUYẾN_CÒN_LẠI"/>
      <sheetName val="_TNT_K_Lượng_các_tuyến_còn_lại"/>
      <sheetName val="KL_TNT_Khu_thấp_tầng"/>
      <sheetName val="KL__HG_ĐIỆN_còn_lại"/>
      <sheetName val="KHỐI_LƯỢNG_HỐ_VAN"/>
      <sheetName val="KL_LĐ-_CÁP_ĐIỆN"/>
      <sheetName val="KL_LĐ-BUSWAY"/>
      <sheetName val="KL_LĐ-TỦ_ĐIỆN"/>
      <sheetName val="Data-Lắp_đèn,_ổ_cắm_căn_hộ"/>
      <sheetName val="GTTT_PL_02"/>
      <sheetName val="GTTT_PL2"/>
      <sheetName val="Hệ_số"/>
      <sheetName val="KL_LĐ_CS_SỰ_CỐ_(k_in)"/>
      <sheetName val="KL_LĐ_TỦ_ĐIỆN_(k_in)"/>
      <sheetName val="KL_TỦ_ĐIỆN_MSB"/>
      <sheetName val="KL_LĐ_CÁP_ĐIỆN"/>
      <sheetName val="KL_LĐ-_BUSWAY"/>
      <sheetName val="KL_LĐ-_PHẦN_HẦM,_KHỐI_ĐẾ,_HL"/>
      <sheetName val="KL-HÀNH_LANG"/>
      <sheetName val="KL-Lap_dat-M_(k_in)"/>
      <sheetName val="KL-TEST-M_(k_in)"/>
      <sheetName val="KL-Lap_dat-D"/>
      <sheetName val="Check_list_tháp_D_(k_in)"/>
      <sheetName val="Check_list_tháp_M(k_in)"/>
      <sheetName val="đối_soát_vật_tư"/>
      <sheetName val="Main_Cable_"/>
      <sheetName val="THÉP_HÌNH"/>
      <sheetName val="LƯỚI_THÉP_HÀN"/>
      <sheetName val="Danh_muc"/>
      <sheetName val="1-BANG_TONG_HOP_TT"/>
      <sheetName val="_1A_mới"/>
      <sheetName val="2-Mau_2A_BANG_GTTT_PL05"/>
      <sheetName val="2-Mau_2B_BANG_GTTT_PL06"/>
      <sheetName val="2-Mau_2C_BANG_GTTT_PL09"/>
      <sheetName val="2-Mau_BANG_GTTT_PL12"/>
      <sheetName val="3-Mau_3A-THKL_PL05"/>
      <sheetName val="3-Mau_3A-THKL_PL06"/>
      <sheetName val="3-Mau_3A-THKL_PL09"/>
      <sheetName val="3-Mau_3A-THKL_PL12"/>
      <sheetName val="DGKL_PL_05"/>
      <sheetName val="DGKL_PL_06"/>
      <sheetName val="DGKL_PL_09"/>
      <sheetName val="DGKL_PL_12"/>
      <sheetName val="5-Khau_tru_Tien_ich"/>
      <sheetName val="đọc_số"/>
      <sheetName val="Bảng_Giá"/>
      <sheetName val="Kien_Truc"/>
      <sheetName val="TK_cua"/>
      <sheetName val="Bill_ACMV"/>
      <sheetName val="Unit_arte_ACMV"/>
      <sheetName val="UnitRate_E"/>
      <sheetName val="Lighting_rate"/>
      <sheetName val="Cable_Rate"/>
      <sheetName val="BANG_TRA"/>
      <sheetName val="chiet_tinh"/>
      <sheetName val="입찰내역_발주처_양식"/>
      <sheetName val="Tóm_tắt_giảm_giá"/>
      <sheetName val="Yêu_cầu_báo_giá"/>
      <sheetName val="B__Pile_works"/>
      <sheetName val="C__Building_Works"/>
      <sheetName val="D__M_E_P_Works"/>
      <sheetName val="E__LEED_requirements"/>
      <sheetName val="F__External_works"/>
      <sheetName val="C1_1_Factory_1"/>
      <sheetName val="C1_2_Factory_1"/>
      <sheetName val="C5_1_Office"/>
      <sheetName val="C6_1_Canteen"/>
      <sheetName val="C6_2_Canteen"/>
      <sheetName val="C7_1_Bike_parking"/>
      <sheetName val="C7_2_Bike_parking"/>
      <sheetName val="C8_1_Car_parking"/>
      <sheetName val="C8_2_Car_parking"/>
      <sheetName val="C9_1_WWTP"/>
      <sheetName val="C10_1_Water_tank_+_pump_room"/>
      <sheetName val="C11_1_Electric_house"/>
      <sheetName val="C12_1_Air_compressor_house"/>
      <sheetName val="C12_1_Garbage_house"/>
      <sheetName val="C13_1_Utility_house"/>
      <sheetName val="C14_1_Guardhouse_1"/>
      <sheetName val="C15_1_Guardhouse_2"/>
      <sheetName val="C16_1_Guardhouse_3"/>
      <sheetName val="C17_1_Toilet"/>
      <sheetName val="F1_Sand_leveling"/>
      <sheetName val="F2__Flag_pole"/>
      <sheetName val="F3__Fence_&amp;_sign_board"/>
      <sheetName val="F4__Civil_work"/>
      <sheetName val="22_Landscape"/>
      <sheetName val="1__HT_Điện_-_R1"/>
      <sheetName val="2__HT_Máy_Phát_Điện_-_R1"/>
      <sheetName val="3_HT_ĐHKK_-_R2"/>
      <sheetName val="4_HT_Cấp_Thoát_Nước"/>
      <sheetName val="5_HT_PCCC"/>
      <sheetName val="6__Thiết_bị_chính"/>
      <sheetName val="Các_Hạng_mục_Thay_đổi"/>
      <sheetName val="KL_THÉP_MÓNG,DẦM,_SÀN,_CỘT_B2"/>
      <sheetName val="THKLTT_THÉP_B2"/>
      <sheetName val="Bóc KL"/>
      <sheetName val="VL"/>
      <sheetName val="TN"/>
      <sheetName val="ND"/>
      <sheetName val="Const"/>
      <sheetName val="BANRA"/>
      <sheetName val="MUAVAO"/>
      <sheetName val="XNT"/>
      <sheetName val="MA K HANG"/>
      <sheetName val="VPCT-F20102a.00"/>
      <sheetName val="CPQLDA"/>
      <sheetName val="Workdone_MFI"/>
      <sheetName val="BXNTT -02"/>
      <sheetName val="BXNTT -03"/>
      <sheetName val="조명시설"/>
      <sheetName val="細目"/>
      <sheetName val="BẢNG ÁP GIÁ (in)"/>
      <sheetName val="NT (KL) IN"/>
      <sheetName val="DOM D2"/>
      <sheetName val="nhà ăn"/>
      <sheetName val="Công nhật"/>
      <sheetName val="btkt cột"/>
      <sheetName val="THÉP"/>
      <sheetName val="F&amp;S"/>
      <sheetName val="門窗表"/>
      <sheetName val="D &amp; W sizes"/>
      <sheetName val="Breadown"/>
      <sheetName val="name"/>
      <sheetName val="banilad"/>
      <sheetName val="Mactan"/>
      <sheetName val="Mandaue"/>
      <sheetName val="入力"/>
      <sheetName val="upa"/>
      <sheetName val="Currency Rate"/>
      <sheetName val="CASHFLOWS"/>
      <sheetName val="GR.slab-reinft"/>
      <sheetName val="SPT vs PHI"/>
      <sheetName val="NET表"/>
      <sheetName val="BQ表"/>
      <sheetName val="CT -THVLNC"/>
      <sheetName val="TH thiet bi"/>
      <sheetName val="DM Chi phi"/>
      <sheetName val="Bang khoi luong"/>
      <sheetName val="4__NSC_Summary"/>
      <sheetName val="1_Certificate"/>
      <sheetName val="Cash_flow"/>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Priced_BOQ"/>
      <sheetName val="Dinh_muc_CP_KTCB_khac"/>
      <sheetName val="TH_May_TC"/>
      <sheetName val="KLDT_DIEN"/>
      <sheetName val="PTVT_DIEN"/>
      <sheetName val="TH_kinh_phi"/>
      <sheetName val="Thong_ke_thiet_bi"/>
      <sheetName val="TH_vat_tu"/>
      <sheetName val="TONG_HOP"/>
      <sheetName val="Hệ_số_và_tỷ_giá"/>
      <sheetName val="BAO_GIA"/>
      <sheetName val="CPC_(phuc_vu_tinh_cost)"/>
      <sheetName val="Chi_phi_gian_tiep"/>
      <sheetName val="CPBTXM-THUONG"/>
      <sheetName val="Ts"/>
      <sheetName val="Tien do TV"/>
      <sheetName val="CP Du phong"/>
      <sheetName val="THCP Lap dat"/>
      <sheetName val="THCP xay dung"/>
      <sheetName val="Tong hop kinh phi"/>
      <sheetName val="THDT goi thau TB"/>
      <sheetName val="QD79"/>
      <sheetName val="8-31-98"/>
      <sheetName val="worksheet inchican"/>
      <sheetName val="combined 9-30"/>
      <sheetName val="M-Price-Electrical"/>
      <sheetName val="Electrical"/>
      <sheetName val="ttin"/>
      <sheetName val="GOC-KO IN"/>
      <sheetName val="Tro giup"/>
      <sheetName val="入力作成表"/>
      <sheetName val="Temp&amp;Site"/>
      <sheetName val="計算条件"/>
      <sheetName val="HRG BHN"/>
      <sheetName val="HD HS NGHIỆM THU"/>
      <sheetName val="CONTENT"/>
      <sheetName val="LIST NT CV"/>
      <sheetName val="LIST NT CV (2)"/>
      <sheetName val="LIST NT CV (3)"/>
      <sheetName val="LIST BT"/>
      <sheetName val="LIST CAP DUL"/>
      <sheetName val="LIST BT (2)"/>
      <sheetName val="2. YCNT CV"/>
      <sheetName val="5. LAY MAU VL"/>
      <sheetName val="6. BBNTNB VLĐV"/>
      <sheetName val="7. BBNT VLĐV"/>
      <sheetName val="52. BBNTNB LD GIAO BC"/>
      <sheetName val="53. BBNT LD GIAO BC"/>
      <sheetName val="8. BBNTNB TRAC DAC"/>
      <sheetName val="9. BBNT TRAC DAC"/>
      <sheetName val="10. BBNTNB DAO DAT"/>
      <sheetName val="11. BBNT DAO DAT"/>
      <sheetName val="12.BBNTNB LAP DAT"/>
      <sheetName val="13. BBNT LAP DAT"/>
      <sheetName val="14. BBNTNB ÉP CỪ"/>
      <sheetName val="15. BBNT ÉP CỪ"/>
      <sheetName val="16. BBNTNB COT THEP"/>
      <sheetName val="17. BBNT COT THEP"/>
      <sheetName val="18. BBNTNB VÁN KHUÔN"/>
      <sheetName val="19. BBNT VÁN KHUÔN"/>
      <sheetName val="20. BBNTNB ĐỔ BT"/>
      <sheetName val="21. BBNT ĐỔ BT"/>
      <sheetName val="24. BBNTNB CKBT"/>
      <sheetName val="25. BBNT CKBT"/>
      <sheetName val="26.BBNTNB BT lót"/>
      <sheetName val="27. BBNT BT lót"/>
      <sheetName val="28. BBNTNB KHOAN CẤY THÉP"/>
      <sheetName val="29. BBNT KHOAN CẤY THÉP"/>
      <sheetName val="29.1 BBNTNB BULONG HC"/>
      <sheetName val="29.2 BBNT BULONG HC"/>
      <sheetName val="30. BBNTNB GIA CONG KCT"/>
      <sheetName val="31. BBNT GIA CONG KCT"/>
      <sheetName val="31.1. BBNTNB CK KCT"/>
      <sheetName val="31.2. BBNT CK KCT"/>
      <sheetName val="32. BBNTNB LẮP DỰNG KCT"/>
      <sheetName val="33. BBNT LẮP DỰNG KCT"/>
      <sheetName val="34. BBNTNB THAO DO KCT"/>
      <sheetName val="35. BBNT THAO DO KCT"/>
      <sheetName val="36. BBNTNB SƠN KCT"/>
      <sheetName val="37. BBNT SƠN KCT"/>
      <sheetName val="38. BBNTNB ĐỤC BT"/>
      <sheetName val="39. BBNT ĐỤC BT"/>
      <sheetName val="40. BBNTNB CT XÂY"/>
      <sheetName val="41. BBNT CT XÂY"/>
      <sheetName val="41.1. BBLM VUA XAY"/>
      <sheetName val="42. BBNTNB CT TRÁT"/>
      <sheetName val="43. BBNT CT TRÁT"/>
      <sheetName val="42.1. BBLM VUA TRAT"/>
      <sheetName val="44. BBNTNB CT CHỐNG THẤM"/>
      <sheetName val="45. BBNT CT CHỐNG THẤM"/>
      <sheetName val="46.BBNTNB phá dỡ"/>
      <sheetName val="47. BBNT phá dỡ"/>
      <sheetName val="48.BBNTNB LD hàng rào"/>
      <sheetName val="49. BBNT LD hang rao"/>
      <sheetName val="50. BBNTNB ĐMHT"/>
      <sheetName val="51. BBNT ĐMHT"/>
      <sheetName val="54. BBNTNB LD GIAO CHONG"/>
      <sheetName val="55. BBNT LD GIAO CHONG"/>
      <sheetName val="56.1 BBNTNB MM,TB"/>
      <sheetName val="56.2 BBNT MM,TB"/>
      <sheetName val="56.3 BBNTNB LD CT"/>
      <sheetName val="56.4 BBNT LD CT"/>
      <sheetName val="57. BBNTNB TD CT THÁP"/>
      <sheetName val="58. BBNT TD CT THÁP"/>
      <sheetName val="59. BBNTNB LD VT"/>
      <sheetName val="60. BBNT LD VT"/>
      <sheetName val="61. BBNTNB DAM DAT"/>
      <sheetName val="62. BBNT DAM DAT"/>
      <sheetName val="63. BBNTNB VS DINH COT"/>
      <sheetName val="64. BBNT VS DINH COT"/>
      <sheetName val="65.BBNTNB LAP CAP"/>
      <sheetName val="66.BBNT LAP CAP "/>
      <sheetName val="66.1BBNTNB KEO CAP"/>
      <sheetName val="66.2BBNT KEO CAP"/>
      <sheetName val="67.TH KQ CANG KEO"/>
      <sheetName val="67.1.BAO CAO CANG KEO"/>
      <sheetName val="67.2.THEO DOI CANG CAP"/>
      <sheetName val="68.1BBNTNB BOM VUA"/>
      <sheetName val="68.2BBNT BOM VUA"/>
      <sheetName val="69.BOM VUA"/>
      <sheetName val="70. BBNTNB VACH TC"/>
      <sheetName val="71. BBNT VACH TC"/>
      <sheetName val="72. BBNTNB VC VL"/>
      <sheetName val="73. BBNT VC VL"/>
      <sheetName val="74. BBNTNB VC PT"/>
      <sheetName val="75. BBNT VC PT"/>
      <sheetName val="75.1 BBNTNB LUOI CHONG BUI"/>
      <sheetName val="75.2 BBNT LUOI CHONG BUI"/>
      <sheetName val="75.3 BBNTNB LUOI CHONG VAT ROI"/>
      <sheetName val="75.4 BBNT LUOI CHONG VAT ROI"/>
      <sheetName val="75.5 BBNTNB LAN CAN"/>
      <sheetName val="75.6 BBNT LAN CAN AT"/>
      <sheetName val="75.7 BBNTNB CT TAM"/>
      <sheetName val="75.8 BBNT CT TAM"/>
      <sheetName val="76.1 BBNTNB LD SLEEVES"/>
      <sheetName val="76.2 BBNT LD SLEEVES"/>
      <sheetName val="1. LỊCH NTHN"/>
      <sheetName val="LIST BT lót"/>
      <sheetName val="3.PHÊ DUYÊT THAU PHỤ"/>
      <sheetName val="4.PHÊ DUYÊT VẬT LIỆU"/>
      <sheetName val="6. BBNT VLĐV"/>
      <sheetName val="7. BBNT TRAC DAC"/>
      <sheetName val="1.LIST NGHIỆM THU"/>
      <sheetName val="1.1.LIST BT"/>
      <sheetName val="2. YCNT LIST "/>
      <sheetName val="3. BBNT ĐÀO ĐẤT"/>
      <sheetName val="4. BBNT ĐỔ BT LÓT"/>
      <sheetName val="4.1. BBNT CẮT CỌC"/>
      <sheetName val="4.2. BBNT ĐỔ BT ĐẦU CỌC"/>
      <sheetName val="5. BBNT ĐẮP ĐÁT,CÁT,ĐÁ,BASE"/>
      <sheetName val="6. BBNT TRAI PVC"/>
      <sheetName val="7. BBNT CỐT THÉP"/>
      <sheetName val="8. BBNT VÁN KHUÔN"/>
      <sheetName val="9. BBNT ĐỔ BT"/>
      <sheetName val="10. BBNT KHOAN CẤY THÉP"/>
      <sheetName val="11. BBNT chống thấm"/>
      <sheetName val="12. BBNT CKBT"/>
      <sheetName val="13. BBNT GIA CÔNG KCT"/>
      <sheetName val="14. BBNT SƠN KCT"/>
      <sheetName val="15. BBNT LẮP DỰNG KCT"/>
      <sheetName val="16. BBNT CT XÂY"/>
      <sheetName val="17. BBNT CT TRÁT"/>
      <sheetName val="18. BBNT ĐMHT"/>
      <sheetName val="11. BBNT ÉP CỌC TRE(LIST 4)"/>
      <sheetName val="12.Theo doi do BT LÓT"/>
      <sheetName val="18. BBNT CKBT"/>
      <sheetName val="16.Theo doi do BT"/>
      <sheetName val="17. BBLM BT "/>
      <sheetName val="20. BBNT CT XÂY"/>
      <sheetName val="21. BBNT CT TRÁT"/>
      <sheetName val="22.BBNT BPCT"/>
      <sheetName val="23.BBNT HT BG"/>
      <sheetName val="4. BBNT ÉP CỌC TRE"/>
      <sheetName val="5. BBNT GIA CỐ,SAN LẤP"/>
      <sheetName val="6. BBNT ĐỔ BT LÓT"/>
      <sheetName val="10. BBNT CT XÂY"/>
      <sheetName val="11. BBNT CT TRÁT"/>
      <sheetName val="Worksheet"/>
      <sheetName val="GrossBQ_(2)8"/>
      <sheetName val="Site_Expense7"/>
      <sheetName val="Retaining_Wall7"/>
      <sheetName val="Summary_Final7"/>
      <sheetName val="G1_Final7"/>
      <sheetName val="Thiet_bi7"/>
      <sheetName val="Nhan_cong7"/>
      <sheetName val="Project_Execution_Report7"/>
      <sheetName val="general_notes___6"/>
      <sheetName val="Chiet_tinh_dz356"/>
      <sheetName val="CP_THEO_9576"/>
      <sheetName val="DGchitiet_6"/>
      <sheetName val="Du_toan6"/>
      <sheetName val="CT_Thang_Mo6"/>
      <sheetName val="CT__PL6"/>
      <sheetName val="E-POD_WD6"/>
      <sheetName val="E-T1_WD6"/>
      <sheetName val="E-T2_WD6"/>
      <sheetName val="E-T3_WD6"/>
      <sheetName val="E-T4_WD6"/>
      <sheetName val="E-T5_WD6"/>
      <sheetName val="PS-POD_WD6"/>
      <sheetName val="PS-T1_WD6"/>
      <sheetName val="PS-T2_WD6"/>
      <sheetName val="PS-T3_WD6"/>
      <sheetName val="PS-T4_WD6"/>
      <sheetName val="PS-T5_WD5"/>
      <sheetName val="ACMV-POD_WD5"/>
      <sheetName val="ACMV-T1_WD5"/>
      <sheetName val="ACMV-T2_WD5"/>
      <sheetName val="ACMV-T3_WD5"/>
      <sheetName val="ACMV-T4_WD5"/>
      <sheetName val="ACMV-T5_WD5"/>
      <sheetName val="FP-POD_WD5"/>
      <sheetName val="FP-T1_WD5"/>
      <sheetName val="FP-T2_WD5"/>
      <sheetName val="FP-T3_WD5"/>
      <sheetName val="FP-T4_WD5"/>
      <sheetName val="FP-T5_WD5"/>
      <sheetName val="LIFT_WD5"/>
      <sheetName val="AC_T55"/>
      <sheetName val="MFĐ_TT5"/>
      <sheetName val="CAR_PARKING_TT5"/>
      <sheetName val="TONG_HOP_KHOI_LUONG5"/>
      <sheetName val="_4"/>
      <sheetName val="ma_HD_AB5"/>
      <sheetName val="dongia_(2)5"/>
      <sheetName val="THPDMoi__(2)5"/>
      <sheetName val="DON_GIA5"/>
      <sheetName val="t-h_HA_THE5"/>
      <sheetName val="CHITIET_VL-NC-TT_-1p5"/>
      <sheetName val="TONG_HOP_VL-NC_TT5"/>
      <sheetName val="TH_XL5"/>
      <sheetName val="CHITIET_VL-NC-TT-3p5"/>
      <sheetName val="KPVC-BD_5"/>
      <sheetName val="CHITIET_VL-NC5"/>
      <sheetName val="_Net_Break_Down5"/>
      <sheetName val="Project_Data5"/>
      <sheetName val="code_HTT_THap4"/>
      <sheetName val="Tong_hop_vat_tu5"/>
      <sheetName val="Phan_tich_ca_may5"/>
      <sheetName val="Chenh_lech_ca_may5"/>
      <sheetName val="Chenh_lech_vat_tu5"/>
      <sheetName val="Chiet_tinh_don_gia_CM5"/>
      <sheetName val="TLg_CN&amp;Laixe5"/>
      <sheetName val="TLg_CN&amp;Laixe_(2)5"/>
      <sheetName val="TLg_Laitau5"/>
      <sheetName val="TLg_Laitau_(2)5"/>
      <sheetName val="Tong_du_toan4"/>
      <sheetName val="Bill_2_1_Villa_Outside4"/>
      <sheetName val="Slim_2_cánh_&amp;_2_vách4"/>
      <sheetName val="QL_Dự_án4"/>
      <sheetName val="3_thể_hiện4"/>
      <sheetName val="05__Data_Cash_Flow4"/>
      <sheetName val="RAB_AR&amp;STR4"/>
      <sheetName val="Khoan_LSP_(2)4"/>
      <sheetName val="Data_Validation3"/>
      <sheetName val="Vat_Tu3"/>
      <sheetName val="Div26_-_Elect3"/>
      <sheetName val="Electrical_Breakdown3"/>
      <sheetName val="Open_Drain_Caisson_Pump3"/>
      <sheetName val="Bill_03_-_ACMV3"/>
      <sheetName val="KL_thanh_toan-Xuan_Dao3"/>
      <sheetName val="Doi_so3"/>
      <sheetName val="CỘT+VÁCH_CHỜ_L13"/>
      <sheetName val="01__DATA3"/>
      <sheetName val="Bang_tra_sd3"/>
      <sheetName val="Cover_3"/>
      <sheetName val="Plastering_&amp;_tiling_works_3"/>
      <sheetName val="Dien_giai_3"/>
      <sheetName val="detail_phat_sinh_can_thay_doi_3"/>
      <sheetName val="Bang_tinh_Cost_Cao_do_khoi_A3"/>
      <sheetName val="Bang_tinh_cost_cao_do_khoi_B3"/>
      <sheetName val="Cover_DD1"/>
      <sheetName val="Rate_1"/>
      <sheetName val="CV_FOA1"/>
      <sheetName val="CV_BEAMS1"/>
      <sheetName val="CV_C1"/>
      <sheetName val="CV_SÀn1"/>
      <sheetName val="CV_CT1"/>
      <sheetName val="CV_KH1"/>
      <sheetName val="Hoan_thien1"/>
      <sheetName val="CR_FODA1"/>
      <sheetName val="CR-CORE_W1"/>
      <sheetName val="ĐÀO_ĐẤT1"/>
      <sheetName val="4-CỘT-VÁCH_(2)1"/>
      <sheetName val="5-LÕI_THANG1"/>
      <sheetName val="6-THANG_BỘ1"/>
      <sheetName val="7-BỂ_NƯỚC1"/>
      <sheetName val="CHÀO_GIÁ_KL_CÁC_TUYẾN_CÒN_LẠI1"/>
      <sheetName val="_TNT_K_Lượng_các_tuyến_còn_lại1"/>
      <sheetName val="KL_TNT_Khu_thấp_tầng1"/>
      <sheetName val="KL__HG_ĐIỆN_còn_lại1"/>
      <sheetName val="KHỐI_LƯỢNG_HỐ_VAN1"/>
      <sheetName val="THÉP_HÌNH1"/>
      <sheetName val="LƯỚI_THÉP_HÀN1"/>
      <sheetName val="Kien_Truc1"/>
      <sheetName val="TK_cua1"/>
      <sheetName val="Bill_ACMV1"/>
      <sheetName val="Unit_arte_ACMV1"/>
      <sheetName val="UnitRate_E1"/>
      <sheetName val="Lighting_rate1"/>
      <sheetName val="Cable_Rate1"/>
      <sheetName val="Tóm_tắt_giảm_giá1"/>
      <sheetName val="Yêu_cầu_báo_giá1"/>
      <sheetName val="B__Pile_works1"/>
      <sheetName val="C__Building_Works1"/>
      <sheetName val="D__M_E_P_Works1"/>
      <sheetName val="E__LEED_requirements1"/>
      <sheetName val="F__External_works1"/>
      <sheetName val="C1_1_Factory_11"/>
      <sheetName val="C1_2_Factory_11"/>
      <sheetName val="C5_1_Office1"/>
      <sheetName val="C6_1_Canteen1"/>
      <sheetName val="C6_2_Canteen1"/>
      <sheetName val="C7_1_Bike_parking1"/>
      <sheetName val="C7_2_Bike_parking1"/>
      <sheetName val="C8_1_Car_parking1"/>
      <sheetName val="C8_2_Car_parking1"/>
      <sheetName val="C9_1_WWTP1"/>
      <sheetName val="C10_1_Water_tank_+_pump_room1"/>
      <sheetName val="C11_1_Electric_house1"/>
      <sheetName val="C12_1_Air_compressor_house1"/>
      <sheetName val="C12_1_Garbage_house1"/>
      <sheetName val="C13_1_Utility_house1"/>
      <sheetName val="C14_1_Guardhouse_11"/>
      <sheetName val="C15_1_Guardhouse_21"/>
      <sheetName val="C16_1_Guardhouse_31"/>
      <sheetName val="C17_1_Toilet1"/>
      <sheetName val="F1_Sand_leveling1"/>
      <sheetName val="F2__Flag_pole1"/>
      <sheetName val="F3__Fence_&amp;_sign_board1"/>
      <sheetName val="F4__Civil_work1"/>
      <sheetName val="22_Landscape1"/>
      <sheetName val="BANG_TRA1"/>
      <sheetName val="KL_LĐ-_CÁP_ĐIỆN1"/>
      <sheetName val="KL_LĐ-BUSWAY1"/>
      <sheetName val="KL_LĐ-TỦ_ĐIỆN1"/>
      <sheetName val="Data-Lắp_đèn,_ổ_cắm_căn_hộ1"/>
      <sheetName val="GTTT_PL_021"/>
      <sheetName val="GTTT_PL21"/>
      <sheetName val="Hệ_số1"/>
      <sheetName val="KL_LĐ_CS_SỰ_CỐ_(k_in)1"/>
      <sheetName val="KL_LĐ_TỦ_ĐIỆN_(k_in)1"/>
      <sheetName val="KL_TỦ_ĐIỆN_MSB1"/>
      <sheetName val="KL_LĐ_CÁP_ĐIỆN1"/>
      <sheetName val="KL_LĐ-_BUSWAY1"/>
      <sheetName val="KL_LĐ-_PHẦN_HẦM,_KHỐI_ĐẾ,_HL1"/>
      <sheetName val="KL-HÀNH_LANG1"/>
      <sheetName val="KL-Lap_dat-M_(k_in)1"/>
      <sheetName val="KL-TEST-M_(k_in)1"/>
      <sheetName val="KL-Lap_dat-D1"/>
      <sheetName val="Check_list_tháp_D_(k_in)1"/>
      <sheetName val="Check_list_tháp_M(k_in)1"/>
      <sheetName val="đối_soát_vật_tư1"/>
      <sheetName val="Main_Cable_1"/>
      <sheetName val="đọc_số1"/>
      <sheetName val="Danh_muc1"/>
      <sheetName val="1-BANG_TONG_HOP_TT1"/>
      <sheetName val="_1A_mới1"/>
      <sheetName val="2-Mau_2A_BANG_GTTT_PL051"/>
      <sheetName val="2-Mau_2B_BANG_GTTT_PL061"/>
      <sheetName val="2-Mau_2C_BANG_GTTT_PL091"/>
      <sheetName val="2-Mau_BANG_GTTT_PL121"/>
      <sheetName val="3-Mau_3A-THKL_PL051"/>
      <sheetName val="3-Mau_3A-THKL_PL061"/>
      <sheetName val="3-Mau_3A-THKL_PL091"/>
      <sheetName val="3-Mau_3A-THKL_PL121"/>
      <sheetName val="DGKL_PL_051"/>
      <sheetName val="DGKL_PL_061"/>
      <sheetName val="DGKL_PL_091"/>
      <sheetName val="DGKL_PL_121"/>
      <sheetName val="5-Khau_tru_Tien_ich1"/>
      <sheetName val="1__HT_Điện_-_R11"/>
      <sheetName val="2__HT_Máy_Phát_Điện_-_R11"/>
      <sheetName val="3_HT_ĐHKK_-_R21"/>
      <sheetName val="4_HT_Cấp_Thoát_Nước1"/>
      <sheetName val="5_HT_PCCC1"/>
      <sheetName val="6__Thiết_bị_chính1"/>
      <sheetName val="Các_Hạng_mục_Thay_đổi1"/>
      <sheetName val="Bảng_Giá1"/>
      <sheetName val="chiet_tinh1"/>
      <sheetName val="입찰내역_발주처_양식1"/>
      <sheetName val="KL_THÉP_MÓNG,DẦM,_SÀN,_CỘT_B21"/>
      <sheetName val="THKLTT_THÉP_B21"/>
      <sheetName val="Priced_BOQ1"/>
      <sheetName val="Dinh_muc_CP_KTCB_khac1"/>
      <sheetName val="TH_May_TC1"/>
      <sheetName val="KLDT_DIEN1"/>
      <sheetName val="PTVT_DIEN1"/>
      <sheetName val="TH_kinh_phi1"/>
      <sheetName val="Thong_ke_thiet_bi1"/>
      <sheetName val="TH_vat_tu1"/>
      <sheetName val="TONG_HOP1"/>
      <sheetName val="Hệ_số_và_tỷ_giá1"/>
      <sheetName val="BAO_GIA1"/>
      <sheetName val="CPC_(phuc_vu_tinh_cost)1"/>
      <sheetName val="Chi_phi_gian_tiep1"/>
      <sheetName val="Cash_flow1"/>
      <sheetName val="1_Quotation(見積決裁書）_1"/>
      <sheetName val="2_Operation(実施計画書）1"/>
      <sheetName val="3_Summary_of_Cost_1"/>
      <sheetName val="4_Ｓｐｅｃｉａｌ_Material1"/>
      <sheetName val="6_Ｃｏｍｍｏｎ_Material1"/>
      <sheetName val="9_Indirect_budget1"/>
      <sheetName val="TOP_1"/>
      <sheetName val="Detail_E1"/>
      <sheetName val="4__NSC_Summary1"/>
      <sheetName val="1_Certificate1"/>
      <sheetName val="Kiem_tra"/>
      <sheetName val="THCP_(2)"/>
      <sheetName val="TKC_U5-_SH"/>
      <sheetName val="TKC_U5-_BH"/>
      <sheetName val="U5,11,13_(1B)-SH"/>
      <sheetName val="U_17-BH"/>
      <sheetName val="U_24,_U_25-BH"/>
      <sheetName val="U_32-BH"/>
      <sheetName val="tk_thep"/>
      <sheetName val="BẢNG_TỔNG_HỢP"/>
      <sheetName val="HÀNG_RÀO"/>
      <sheetName val="NHÀ_XƯỞNG"/>
      <sheetName val="NHÀ_VĂN_PHÒNG"/>
      <sheetName val="NHÀ_BẾP"/>
      <sheetName val="NHÀ_XE_Ô_TÔ"/>
      <sheetName val="BỂ_NƯỚC_NGẦM"/>
      <sheetName val="NHÀ_BẢO_VỆ"/>
      <sheetName val="CỘT_CỜ"/>
      <sheetName val="TRẠM_ĐIỆN"/>
      <sheetName val="KHO_HOÁ_CHẤT"/>
      <sheetName val="NHÀ_RÁC"/>
      <sheetName val="KHU_HÚT_THUỐC"/>
      <sheetName val="MÁI_NỐI_VP+_BẾP"/>
      <sheetName val="BỂ_TỰ_HOẠI"/>
      <sheetName val="THƯ_VIỆN_MẪU"/>
      <sheetName val="1_LIST_NTCV"/>
      <sheetName val="2_BB_LÂY_MẪU"/>
      <sheetName val="3__YCNT_CV"/>
      <sheetName val="4__BBNT_VLĐV"/>
      <sheetName val="Muc_luc"/>
      <sheetName val="61__Lan_can_an_toàn_NB"/>
      <sheetName val="62__Lan_can_an_toan"/>
      <sheetName val="Nhat_ky_thi_cong_chong_tham"/>
      <sheetName val="56_3_BBNTNB_MÓNG_CT"/>
      <sheetName val="56_4_BBNT_MÓNG_CT"/>
      <sheetName val="DANH_MỤC"/>
      <sheetName val="工事概要(Project_Outline)・G1記入欄"/>
      <sheetName val="BẢNG_ÁP_GIÁ_(in)"/>
      <sheetName val="NT_(KL)_IN"/>
      <sheetName val="DOM_D2"/>
      <sheetName val="nhà_ăn"/>
      <sheetName val="Công_nhật"/>
      <sheetName val="btkt_cột"/>
      <sheetName val="Bóc_KL"/>
      <sheetName val="MA_K_HANG"/>
      <sheetName val="VPCT-F20102a_00"/>
      <sheetName val="BXNTT_-02"/>
      <sheetName val="BXNTT_-03"/>
      <sheetName val="Standardwerte"/>
      <sheetName val="D_&amp;_W_sizes"/>
      <sheetName val="Currency_Rate"/>
      <sheetName val="GR_slab-reinft"/>
      <sheetName val="SPT_vs_PHI"/>
      <sheetName val="CT_-THVLNC"/>
      <sheetName val="Tien_do_TV"/>
      <sheetName val="CP_Du_phong"/>
      <sheetName val="THCP_Lap_dat"/>
      <sheetName val="THCP_xay_dung"/>
      <sheetName val="Tong_hop_kinh_phi"/>
      <sheetName val="THDT_goi_thau_TB"/>
      <sheetName val="worksheet_inchican"/>
      <sheetName val="combined_9-30"/>
      <sheetName val="TH_thiet_bi"/>
      <sheetName val="DM_Chi_phi"/>
      <sheetName val="Bang_khoi_luong"/>
      <sheetName val="Summary VE-PTA 006"/>
      <sheetName val="宏1"/>
      <sheetName val="villa"/>
      <sheetName val="KL san lap"/>
      <sheetName val="Rebar_Ramp"/>
      <sheetName val="Neo"/>
      <sheetName val="PHU LUC 01"/>
      <sheetName val="Đầu vào"/>
      <sheetName val="Markup"/>
      <sheetName val="E. Factory"/>
      <sheetName val="DGG"/>
      <sheetName val="INDEX"/>
      <sheetName val="DMCP"/>
      <sheetName val="VT NC M"/>
      <sheetName val="Thông số DT khu B"/>
      <sheetName val="000000"/>
      <sheetName val="Building Summary"/>
      <sheetName val="　×22_ELECTRICAL"/>
      <sheetName val="×23_MECHANICAL"/>
      <sheetName val="AHSB Assessment"/>
      <sheetName val="Main"/>
      <sheetName val="304-06"/>
      <sheetName val="NEW"/>
      <sheetName val="Kl trát tang 12"/>
      <sheetName val="LEGEND"/>
      <sheetName val="Ｎｏ.13"/>
      <sheetName val="경비2내역"/>
      <sheetName val="CE(E)"/>
      <sheetName val="基本"/>
      <sheetName val="GiaVL"/>
      <sheetName val="SORT"/>
      <sheetName val="Direct Labor Cost"/>
      <sheetName val="FA-LISTING"/>
      <sheetName val="2g TinhGiaNC"/>
      <sheetName val="2d TH Vat tu"/>
      <sheetName val="BocXep"/>
      <sheetName val="2h TinhGiaMTC"/>
      <sheetName val="2f TH MTC"/>
      <sheetName val="2e TH N.Cong"/>
      <sheetName val="VCBo"/>
      <sheetName val="VCThuy"/>
      <sheetName val="2a TH Kinh phi"/>
      <sheetName val="2b Bang KL"/>
      <sheetName val="2c Phan tich"/>
      <sheetName val="THÉP ĐÀI THANG MÁY"/>
      <sheetName val="Bill 1_Prelim"/>
      <sheetName val="Bill 2_Bored Pile"/>
      <sheetName val="BXLDL"/>
      <sheetName val="BAG-2"/>
      <sheetName val="So sanh"/>
      <sheetName val="Phuong an mong be"/>
      <sheetName val="KLCT"/>
      <sheetName val="KLCT xay to"/>
      <sheetName val="thep"/>
      <sheetName val="Phuong an mong coc"/>
      <sheetName val="ABB_Trans"/>
      <sheetName val="Main Feeder"/>
      <sheetName val="Capacitor"/>
      <sheetName val="Input_Data-1"/>
      <sheetName val="PE Wire"/>
      <sheetName val="XLPE_Cable"/>
      <sheetName val="SL"/>
      <sheetName val="SEX"/>
      <sheetName val="FAB별"/>
      <sheetName val="American"/>
      <sheetName val="BinhMinh"/>
      <sheetName val="Bom"/>
      <sheetName val="BonNuoc"/>
      <sheetName val="Caesar"/>
      <sheetName val="DongHo"/>
      <sheetName val="Inax"/>
      <sheetName val="Malloca"/>
      <sheetName val="Mnn"/>
      <sheetName val="OngBtct"/>
      <sheetName val="OngStk"/>
      <sheetName val="PheuThu"/>
      <sheetName val="Van"/>
      <sheetName val="Viwapico"/>
      <sheetName val="5i Summary"/>
      <sheetName val="5ii B1-Prelims"/>
      <sheetName val="5iii SOP"/>
      <sheetName val="5iii B2 Ext-BOQ"/>
      <sheetName val="5iii B3 Int-SOP"/>
      <sheetName val="GrossBQ_(2)9"/>
      <sheetName val="Site_Expense8"/>
      <sheetName val="Retaining_Wall8"/>
      <sheetName val="Summary_Final8"/>
      <sheetName val="G1_Final8"/>
      <sheetName val="Thiet_bi8"/>
      <sheetName val="Nhan_cong8"/>
      <sheetName val="Project_Execution_Report8"/>
      <sheetName val="general_notes___7"/>
      <sheetName val="Chiet_tinh_dz357"/>
      <sheetName val="CP_THEO_9577"/>
      <sheetName val="DGchitiet_7"/>
      <sheetName val="Du_toan7"/>
      <sheetName val="CT_Thang_Mo7"/>
      <sheetName val="CT__PL7"/>
      <sheetName val="E-POD_WD7"/>
      <sheetName val="E-T1_WD7"/>
      <sheetName val="E-T2_WD7"/>
      <sheetName val="E-T3_WD7"/>
      <sheetName val="E-T4_WD7"/>
      <sheetName val="E-T5_WD7"/>
      <sheetName val="PS-POD_WD7"/>
      <sheetName val="PS-T1_WD7"/>
      <sheetName val="PS-T2_WD7"/>
      <sheetName val="PS-T3_WD7"/>
      <sheetName val="PS-T4_WD7"/>
      <sheetName val="PS-T5_WD6"/>
      <sheetName val="ACMV-POD_WD6"/>
      <sheetName val="ACMV-T1_WD6"/>
      <sheetName val="ACMV-T2_WD6"/>
      <sheetName val="ACMV-T3_WD6"/>
      <sheetName val="ACMV-T4_WD6"/>
      <sheetName val="ACMV-T5_WD6"/>
      <sheetName val="FP-POD_WD6"/>
      <sheetName val="FP-T1_WD6"/>
      <sheetName val="FP-T2_WD6"/>
      <sheetName val="FP-T3_WD6"/>
      <sheetName val="FP-T4_WD6"/>
      <sheetName val="FP-T5_WD6"/>
      <sheetName val="LIFT_WD6"/>
      <sheetName val="AC_T56"/>
      <sheetName val="MFĐ_TT6"/>
      <sheetName val="CAR_PARKING_TT6"/>
      <sheetName val="TONG_HOP_KHOI_LUONG6"/>
      <sheetName val="ma_HD_AB6"/>
      <sheetName val="_5"/>
      <sheetName val="_Net_Break_Down6"/>
      <sheetName val="dongia_(2)6"/>
      <sheetName val="THPDMoi__(2)6"/>
      <sheetName val="DON_GIA6"/>
      <sheetName val="t-h_HA_THE6"/>
      <sheetName val="CHITIET_VL-NC-TT_-1p6"/>
      <sheetName val="TONG_HOP_VL-NC_TT6"/>
      <sheetName val="TH_XL6"/>
      <sheetName val="CHITIET_VL-NC-TT-3p6"/>
      <sheetName val="KPVC-BD_6"/>
      <sheetName val="CHITIET_VL-NC6"/>
      <sheetName val="Project_Data6"/>
      <sheetName val="code_HTT_THap5"/>
      <sheetName val="Tong_hop_vat_tu6"/>
      <sheetName val="Phan_tich_ca_may6"/>
      <sheetName val="Chenh_lech_ca_may6"/>
      <sheetName val="Chenh_lech_vat_tu6"/>
      <sheetName val="Chiet_tinh_don_gia_CM6"/>
      <sheetName val="TLg_CN&amp;Laixe6"/>
      <sheetName val="TLg_CN&amp;Laixe_(2)6"/>
      <sheetName val="TLg_Laitau6"/>
      <sheetName val="TLg_Laitau_(2)6"/>
      <sheetName val="Tong_du_toan5"/>
      <sheetName val="Bill_2_1_Villa_Outside5"/>
      <sheetName val="Slim_2_cánh_&amp;_2_vách5"/>
      <sheetName val="QL_Dự_án5"/>
      <sheetName val="3_thể_hiện5"/>
      <sheetName val="05__Data_Cash_Flow5"/>
      <sheetName val="RAB_AR&amp;STR5"/>
      <sheetName val="Khoan_LSP_(2)5"/>
      <sheetName val="Data_Validation4"/>
      <sheetName val="Vat_Tu4"/>
      <sheetName val="Div26_-_Elect4"/>
      <sheetName val="Electrical_Breakdown4"/>
      <sheetName val="Open_Drain_Caisson_Pump4"/>
      <sheetName val="Bill_03_-_ACMV4"/>
      <sheetName val="KL_thanh_toan-Xuan_Dao4"/>
      <sheetName val="Doi_so4"/>
      <sheetName val="01__DATA4"/>
      <sheetName val="CỘT+VÁCH_CHỜ_L14"/>
      <sheetName val="Bang_tra_sd4"/>
      <sheetName val="Cover_4"/>
      <sheetName val="Plastering_&amp;_tiling_works_4"/>
      <sheetName val="Dien_giai_4"/>
      <sheetName val="detail_phat_sinh_can_thay_doi_4"/>
      <sheetName val="Bang_tinh_Cost_Cao_do_khoi_A4"/>
      <sheetName val="Bang_tinh_cost_cao_do_khoi_B4"/>
      <sheetName val="CHÀO_GIÁ_KL_CÁC_TUYẾN_CÒN_LẠI2"/>
      <sheetName val="_TNT_K_Lượng_các_tuyến_còn_lại2"/>
      <sheetName val="KL_TNT_Khu_thấp_tầng2"/>
      <sheetName val="KL__HG_ĐIỆN_còn_lại2"/>
      <sheetName val="KHỐI_LƯỢNG_HỐ_VAN2"/>
      <sheetName val="Cover_DD2"/>
      <sheetName val="Rate_2"/>
      <sheetName val="CV_FOA2"/>
      <sheetName val="CV_BEAMS2"/>
      <sheetName val="CV_C2"/>
      <sheetName val="CV_SÀn2"/>
      <sheetName val="CV_CT2"/>
      <sheetName val="CV_KH2"/>
      <sheetName val="Hoan_thien2"/>
      <sheetName val="CR_FODA2"/>
      <sheetName val="CR-CORE_W2"/>
      <sheetName val="ĐÀO_ĐẤT2"/>
      <sheetName val="4-CỘT-VÁCH_(2)2"/>
      <sheetName val="5-LÕI_THANG2"/>
      <sheetName val="6-THANG_BỘ2"/>
      <sheetName val="7-BỂ_NƯỚC2"/>
      <sheetName val="THÉP_HÌNH2"/>
      <sheetName val="LƯỚI_THÉP_HÀN2"/>
      <sheetName val="Kien_Truc2"/>
      <sheetName val="TK_cua2"/>
      <sheetName val="Bill_ACMV2"/>
      <sheetName val="Unit_arte_ACMV2"/>
      <sheetName val="UnitRate_E2"/>
      <sheetName val="Lighting_rate2"/>
      <sheetName val="Cable_Rate2"/>
      <sheetName val="đọc_số2"/>
      <sheetName val="Tóm_tắt_giảm_giá2"/>
      <sheetName val="Yêu_cầu_báo_giá2"/>
      <sheetName val="B__Pile_works2"/>
      <sheetName val="C__Building_Works2"/>
      <sheetName val="D__M_E_P_Works2"/>
      <sheetName val="E__LEED_requirements2"/>
      <sheetName val="F__External_works2"/>
      <sheetName val="C1_1_Factory_12"/>
      <sheetName val="C1_2_Factory_12"/>
      <sheetName val="C5_1_Office2"/>
      <sheetName val="C6_1_Canteen2"/>
      <sheetName val="C6_2_Canteen2"/>
      <sheetName val="C7_1_Bike_parking2"/>
      <sheetName val="C7_2_Bike_parking2"/>
      <sheetName val="C8_1_Car_parking2"/>
      <sheetName val="C8_2_Car_parking2"/>
      <sheetName val="C9_1_WWTP2"/>
      <sheetName val="C10_1_Water_tank_+_pump_room2"/>
      <sheetName val="C11_1_Electric_house2"/>
      <sheetName val="C12_1_Air_compressor_house2"/>
      <sheetName val="C12_1_Garbage_house2"/>
      <sheetName val="C13_1_Utility_house2"/>
      <sheetName val="C14_1_Guardhouse_12"/>
      <sheetName val="C15_1_Guardhouse_22"/>
      <sheetName val="C16_1_Guardhouse_32"/>
      <sheetName val="C17_1_Toilet2"/>
      <sheetName val="F1_Sand_leveling2"/>
      <sheetName val="F2__Flag_pole2"/>
      <sheetName val="F3__Fence_&amp;_sign_board2"/>
      <sheetName val="F4__Civil_work2"/>
      <sheetName val="22_Landscape2"/>
      <sheetName val="KL_LĐ-_CÁP_ĐIỆN2"/>
      <sheetName val="KL_LĐ-BUSWAY2"/>
      <sheetName val="KL_LĐ-TỦ_ĐIỆN2"/>
      <sheetName val="Data-Lắp_đèn,_ổ_cắm_căn_hộ2"/>
      <sheetName val="GTTT_PL_022"/>
      <sheetName val="GTTT_PL22"/>
      <sheetName val="Hệ_số2"/>
      <sheetName val="KL_LĐ_CS_SỰ_CỐ_(k_in)2"/>
      <sheetName val="KL_LĐ_TỦ_ĐIỆN_(k_in)2"/>
      <sheetName val="KL_TỦ_ĐIỆN_MSB2"/>
      <sheetName val="KL_LĐ_CÁP_ĐIỆN2"/>
      <sheetName val="KL_LĐ-_BUSWAY2"/>
      <sheetName val="KL_LĐ-_PHẦN_HẦM,_KHỐI_ĐẾ,_HL2"/>
      <sheetName val="KL-HÀNH_LANG2"/>
      <sheetName val="KL-Lap_dat-M_(k_in)2"/>
      <sheetName val="KL-TEST-M_(k_in)2"/>
      <sheetName val="KL-Lap_dat-D2"/>
      <sheetName val="Check_list_tháp_D_(k_in)2"/>
      <sheetName val="Check_list_tháp_M(k_in)2"/>
      <sheetName val="đối_soát_vật_tư2"/>
      <sheetName val="Main_Cable_2"/>
      <sheetName val="BANG_TRA2"/>
      <sheetName val="chiet_tinh2"/>
      <sheetName val="입찰내역_발주처_양식2"/>
      <sheetName val="Danh_muc2"/>
      <sheetName val="1-BANG_TONG_HOP_TT2"/>
      <sheetName val="_1A_mới2"/>
      <sheetName val="2-Mau_2A_BANG_GTTT_PL052"/>
      <sheetName val="2-Mau_2B_BANG_GTTT_PL062"/>
      <sheetName val="2-Mau_2C_BANG_GTTT_PL092"/>
      <sheetName val="2-Mau_BANG_GTTT_PL122"/>
      <sheetName val="3-Mau_3A-THKL_PL052"/>
      <sheetName val="3-Mau_3A-THKL_PL062"/>
      <sheetName val="3-Mau_3A-THKL_PL092"/>
      <sheetName val="3-Mau_3A-THKL_PL122"/>
      <sheetName val="DGKL_PL_052"/>
      <sheetName val="DGKL_PL_062"/>
      <sheetName val="DGKL_PL_092"/>
      <sheetName val="DGKL_PL_122"/>
      <sheetName val="5-Khau_tru_Tien_ich2"/>
      <sheetName val="Bảng_Giá2"/>
      <sheetName val="1__HT_Điện_-_R12"/>
      <sheetName val="2__HT_Máy_Phát_Điện_-_R12"/>
      <sheetName val="3_HT_ĐHKK_-_R22"/>
      <sheetName val="4_HT_Cấp_Thoát_Nước2"/>
      <sheetName val="5_HT_PCCC2"/>
      <sheetName val="6__Thiết_bị_chính2"/>
      <sheetName val="Các_Hạng_mục_Thay_đổi2"/>
      <sheetName val="KL_THÉP_MÓNG,DẦM,_SÀN,_CỘT_B22"/>
      <sheetName val="THKLTT_THÉP_B22"/>
      <sheetName val="Cash_flow2"/>
      <sheetName val="1_Quotation(見積決裁書）_2"/>
      <sheetName val="2_Operation(実施計画書）2"/>
      <sheetName val="3_Summary_of_Cost_2"/>
      <sheetName val="4_Ｓｐｅｃｉａｌ_Material2"/>
      <sheetName val="6_Ｃｏｍｍｏｎ_Material2"/>
      <sheetName val="9_Indirect_budget2"/>
      <sheetName val="TOP_2"/>
      <sheetName val="Detail_E2"/>
      <sheetName val="4__NSC_Summary2"/>
      <sheetName val="1_Certificate2"/>
      <sheetName val="DANH_MỤC1"/>
      <sheetName val="Priced_BOQ2"/>
      <sheetName val="TONG_HOP2"/>
      <sheetName val="Hệ_số_và_tỷ_giá2"/>
      <sheetName val="BAO_GIA2"/>
      <sheetName val="CPC_(phuc_vu_tinh_cost)2"/>
      <sheetName val="Chi_phi_gian_tiep2"/>
      <sheetName val="Dinh_muc_CP_KTCB_khac2"/>
      <sheetName val="TH_May_TC2"/>
      <sheetName val="KLDT_DIEN2"/>
      <sheetName val="PTVT_DIEN2"/>
      <sheetName val="TH_kinh_phi2"/>
      <sheetName val="Thong_ke_thiet_bi2"/>
      <sheetName val="TH_vat_tu2"/>
      <sheetName val="VPCT-F20102a_001"/>
      <sheetName val="Kiem_tra1"/>
      <sheetName val="THCP_(2)1"/>
      <sheetName val="TKC_U5-_SH1"/>
      <sheetName val="TKC_U5-_BH1"/>
      <sheetName val="U5,11,13_(1B)-SH1"/>
      <sheetName val="U_17-BH1"/>
      <sheetName val="U_24,_U_25-BH1"/>
      <sheetName val="U_32-BH1"/>
      <sheetName val="tk_thep1"/>
      <sheetName val="BẢNG_TỔNG_HỢP1"/>
      <sheetName val="HÀNG_RÀO1"/>
      <sheetName val="NHÀ_XƯỞNG1"/>
      <sheetName val="NHÀ_VĂN_PHÒNG1"/>
      <sheetName val="NHÀ_BẾP1"/>
      <sheetName val="NHÀ_XE_Ô_TÔ1"/>
      <sheetName val="BỂ_NƯỚC_NGẦM1"/>
      <sheetName val="NHÀ_BẢO_VỆ1"/>
      <sheetName val="CỘT_CỜ1"/>
      <sheetName val="TRẠM_ĐIỆN1"/>
      <sheetName val="KHO_HOÁ_CHẤT1"/>
      <sheetName val="NHÀ_RÁC1"/>
      <sheetName val="KHU_HÚT_THUỐC1"/>
      <sheetName val="MÁI_NỐI_VP+_BẾP1"/>
      <sheetName val="BỂ_TỰ_HOẠI1"/>
      <sheetName val="THƯ_VIỆN_MẪU1"/>
      <sheetName val="1_LIST_NTCV1"/>
      <sheetName val="2_BB_LÂY_MẪU1"/>
      <sheetName val="3__YCNT_CV1"/>
      <sheetName val="4__BBNT_VLĐV1"/>
      <sheetName val="Muc_luc1"/>
      <sheetName val="61__Lan_can_an_toàn_NB1"/>
      <sheetName val="62__Lan_can_an_toan1"/>
      <sheetName val="Nhat_ky_thi_cong_chong_tham1"/>
      <sheetName val="56_3_BBNTNB_MÓNG_CT1"/>
      <sheetName val="56_4_BBNT_MÓNG_CT1"/>
      <sheetName val="工事概要(Project_Outline)・G1記入欄1"/>
      <sheetName val="Bóc_KL1"/>
      <sheetName val="MA_K_HANG1"/>
      <sheetName val="BXNTT_-021"/>
      <sheetName val="BXNTT_-031"/>
      <sheetName val="BẢNG_ÁP_GIÁ_(in)1"/>
      <sheetName val="NT_(KL)_IN1"/>
      <sheetName val="DOM_D21"/>
      <sheetName val="nhà_ăn1"/>
      <sheetName val="Công_nhật1"/>
      <sheetName val="btkt_cột1"/>
      <sheetName val="D_&amp;_W_sizes1"/>
      <sheetName val="Currency_Rate1"/>
      <sheetName val="GR_slab-reinft1"/>
      <sheetName val="SPT_vs_PHI1"/>
      <sheetName val="TH_thiet_bi1"/>
      <sheetName val="DM_Chi_phi1"/>
      <sheetName val="Bang_khoi_luong1"/>
      <sheetName val="CT_-THVLNC1"/>
      <sheetName val="worksheet_inchican1"/>
      <sheetName val="combined_9-301"/>
      <sheetName val="Tien_do_TV1"/>
      <sheetName val="CP_Du_phong1"/>
      <sheetName val="THCP_Lap_dat1"/>
      <sheetName val="THCP_xay_dung1"/>
      <sheetName val="Tong_hop_kinh_phi1"/>
      <sheetName val="THDT_goi_thau_TB1"/>
      <sheetName val="Summary_VE-PTA_006"/>
      <sheetName val="HD_HS_NGHIỆM_THU"/>
      <sheetName val="LIST_NT_CV"/>
      <sheetName val="LIST_NT_CV_(2)"/>
      <sheetName val="LIST_NT_CV_(3)"/>
      <sheetName val="LIST_BT"/>
      <sheetName val="LIST_CAP_DUL"/>
      <sheetName val="LIST_BT_(2)"/>
      <sheetName val="2__YCNT_CV"/>
      <sheetName val="5__LAY_MAU_VL"/>
      <sheetName val="6__BBNTNB_VLĐV"/>
      <sheetName val="7__BBNT_VLĐV"/>
      <sheetName val="52__BBNTNB_LD_GIAO_BC"/>
      <sheetName val="53__BBNT_LD_GIAO_BC"/>
      <sheetName val="8__BBNTNB_TRAC_DAC"/>
      <sheetName val="9__BBNT_TRAC_DAC"/>
      <sheetName val="10__BBNTNB_DAO_DAT"/>
      <sheetName val="11__BBNT_DAO_DAT"/>
      <sheetName val="12_BBNTNB_LAP_DAT"/>
      <sheetName val="13__BBNT_LAP_DAT"/>
      <sheetName val="14__BBNTNB_ÉP_CỪ"/>
      <sheetName val="15__BBNT_ÉP_CỪ"/>
      <sheetName val="16__BBNTNB_COT_THEP"/>
      <sheetName val="17__BBNT_COT_THEP"/>
      <sheetName val="18__BBNTNB_VÁN_KHUÔN"/>
      <sheetName val="19__BBNT_VÁN_KHUÔN"/>
      <sheetName val="20__BBNTNB_ĐỔ_BT"/>
      <sheetName val="21__BBNT_ĐỔ_BT"/>
      <sheetName val="24__BBNTNB_CKBT"/>
      <sheetName val="25__BBNT_CKBT"/>
      <sheetName val="26_BBNTNB_BT_lót"/>
      <sheetName val="27__BBNT_BT_lót"/>
      <sheetName val="28__BBNTNB_KHOAN_CẤY_THÉP"/>
      <sheetName val="29__BBNT_KHOAN_CẤY_THÉP"/>
      <sheetName val="29_1_BBNTNB_BULONG_HC"/>
      <sheetName val="29_2_BBNT_BULONG_HC"/>
      <sheetName val="30__BBNTNB_GIA_CONG_KCT"/>
      <sheetName val="31__BBNT_GIA_CONG_KCT"/>
      <sheetName val="31_1__BBNTNB_CK_KCT"/>
      <sheetName val="31_2__BBNT_CK_KCT"/>
      <sheetName val="32__BBNTNB_LẮP_DỰNG_KCT"/>
      <sheetName val="33__BBNT_LẮP_DỰNG_KCT"/>
      <sheetName val="34__BBNTNB_THAO_DO_KCT"/>
      <sheetName val="35__BBNT_THAO_DO_KCT"/>
      <sheetName val="36__BBNTNB_SƠN_KCT"/>
      <sheetName val="37__BBNT_SƠN_KCT"/>
      <sheetName val="38__BBNTNB_ĐỤC_BT"/>
      <sheetName val="39__BBNT_ĐỤC_BT"/>
      <sheetName val="40__BBNTNB_CT_XÂY"/>
      <sheetName val="41__BBNT_CT_XÂY"/>
      <sheetName val="41_1__BBLM_VUA_XAY"/>
      <sheetName val="42__BBNTNB_CT_TRÁT"/>
      <sheetName val="43__BBNT_CT_TRÁT"/>
      <sheetName val="42_1__BBLM_VUA_TRAT"/>
      <sheetName val="44__BBNTNB_CT_CHỐNG_THẤM"/>
      <sheetName val="45__BBNT_CT_CHỐNG_THẤM"/>
      <sheetName val="46_BBNTNB_phá_dỡ"/>
      <sheetName val="47__BBNT_phá_dỡ"/>
      <sheetName val="48_BBNTNB_LD_hàng_rào"/>
      <sheetName val="49__BBNT_LD_hang_rao"/>
      <sheetName val="50__BBNTNB_ĐMHT"/>
      <sheetName val="51__BBNT_ĐMHT"/>
      <sheetName val="54__BBNTNB_LD_GIAO_CHONG"/>
      <sheetName val="55__BBNT_LD_GIAO_CHONG"/>
      <sheetName val="56_1_BBNTNB_MM,TB"/>
      <sheetName val="56_2_BBNT_MM,TB"/>
      <sheetName val="56_3_BBNTNB_LD_CT"/>
      <sheetName val="56_4_BBNT_LD_CT"/>
      <sheetName val="57__BBNTNB_TD_CT_THÁP"/>
      <sheetName val="58__BBNT_TD_CT_THÁP"/>
      <sheetName val="59__BBNTNB_LD_VT"/>
      <sheetName val="60__BBNT_LD_VT"/>
      <sheetName val="61__BBNTNB_DAM_DAT"/>
      <sheetName val="62__BBNT_DAM_DAT"/>
      <sheetName val="63__BBNTNB_VS_DINH_COT"/>
      <sheetName val="64__BBNT_VS_DINH_COT"/>
      <sheetName val="65_BBNTNB_LAP_CAP"/>
      <sheetName val="66_BBNT_LAP_CAP_"/>
      <sheetName val="66_1BBNTNB_KEO_CAP"/>
      <sheetName val="66_2BBNT_KEO_CAP"/>
      <sheetName val="67_TH_KQ_CANG_KEO"/>
      <sheetName val="67_1_BAO_CAO_CANG_KEO"/>
      <sheetName val="67_2_THEO_DOI_CANG_CAP"/>
      <sheetName val="68_1BBNTNB_BOM_VUA"/>
      <sheetName val="68_2BBNT_BOM_VUA"/>
      <sheetName val="69_BOM_VUA"/>
      <sheetName val="70__BBNTNB_VACH_TC"/>
      <sheetName val="71__BBNT_VACH_TC"/>
      <sheetName val="72__BBNTNB_VC_VL"/>
      <sheetName val="73__BBNT_VC_VL"/>
      <sheetName val="74__BBNTNB_VC_PT"/>
      <sheetName val="75__BBNT_VC_PT"/>
      <sheetName val="75_1_BBNTNB_LUOI_CHONG_BUI"/>
      <sheetName val="75_2_BBNT_LUOI_CHONG_BUI"/>
      <sheetName val="75_3_BBNTNB_LUOI_CHONG_VAT_ROI"/>
      <sheetName val="75_4_BBNT_LUOI_CHONG_VAT_ROI"/>
      <sheetName val="75_5_BBNTNB_LAN_CAN"/>
      <sheetName val="75_6_BBNT_LAN_CAN_AT"/>
      <sheetName val="75_7_BBNTNB_CT_TAM"/>
      <sheetName val="75_8_BBNT_CT_TAM"/>
      <sheetName val="76_1_BBNTNB_LD_SLEEVES"/>
      <sheetName val="76_2_BBNT_LD_SLEEVES"/>
      <sheetName val="1__LỊCH_NTHN"/>
      <sheetName val="LIST_BT_lót"/>
      <sheetName val="3_PHÊ_DUYÊT_THAU_PHỤ"/>
      <sheetName val="4_PHÊ_DUYÊT_VẬT_LIỆU"/>
      <sheetName val="6__BBNT_VLĐV"/>
      <sheetName val="7__BBNT_TRAC_DAC"/>
      <sheetName val="1_LIST_NGHIỆM_THU"/>
      <sheetName val="1_1_LIST_BT"/>
      <sheetName val="2__YCNT_LIST_"/>
      <sheetName val="3__BBNT_ĐÀO_ĐẤT"/>
      <sheetName val="4__BBNT_ĐỔ_BT_LÓT"/>
      <sheetName val="4_1__BBNT_CẮT_CỌC"/>
      <sheetName val="4_2__BBNT_ĐỔ_BT_ĐẦU_CỌC"/>
      <sheetName val="5__BBNT_ĐẮP_ĐÁT,CÁT,ĐÁ,BASE"/>
      <sheetName val="6__BBNT_TRAI_PVC"/>
      <sheetName val="7__BBNT_CỐT_THÉP"/>
      <sheetName val="8__BBNT_VÁN_KHUÔN"/>
      <sheetName val="9__BBNT_ĐỔ_BT"/>
      <sheetName val="10__BBNT_KHOAN_CẤY_THÉP"/>
      <sheetName val="11__BBNT_chống_thấm"/>
      <sheetName val="12__BBNT_CKBT"/>
      <sheetName val="13__BBNT_GIA_CÔNG_KCT"/>
      <sheetName val="14__BBNT_SƠN_KCT"/>
      <sheetName val="15__BBNT_LẮP_DỰNG_KCT"/>
      <sheetName val="16__BBNT_CT_XÂY"/>
      <sheetName val="17__BBNT_CT_TRÁT"/>
      <sheetName val="18__BBNT_ĐMHT"/>
      <sheetName val="11__BBNT_ÉP_CỌC_TRE(LIST_4)"/>
      <sheetName val="12_Theo_doi_do_BT_LÓT"/>
      <sheetName val="18__BBNT_CKBT"/>
      <sheetName val="16_Theo_doi_do_BT"/>
      <sheetName val="17__BBLM_BT_"/>
      <sheetName val="20__BBNT_CT_XÂY"/>
      <sheetName val="21__BBNT_CT_TRÁT"/>
      <sheetName val="22_BBNT_BPCT"/>
      <sheetName val="23_BBNT_HT_BG"/>
      <sheetName val="4__BBNT_ÉP_CỌC_TRE"/>
      <sheetName val="5__BBNT_GIA_CỐ,SAN_LẤP"/>
      <sheetName val="6__BBNT_ĐỔ_BT_LÓT"/>
      <sheetName val="10__BBNT_CT_XÂY"/>
      <sheetName val="11__BBNT_CT_TRÁT"/>
      <sheetName val="KL_san_lap"/>
      <sheetName val="GOC-KO_IN"/>
      <sheetName val="Tro_giup"/>
      <sheetName val="HRG_BHN"/>
      <sheetName val="PHU_LUC_01"/>
      <sheetName val="Đầu_vào"/>
      <sheetName val="VT_NC_M"/>
      <sheetName val="Thông_số_DT_khu_B"/>
      <sheetName val="E__Factory"/>
      <sheetName val="Kl_trát_tang_12"/>
      <sheetName val="Bill_1_Prelim"/>
      <sheetName val="Bill_2_Bored_Pile"/>
      <sheetName val="2g_TinhGiaNC"/>
      <sheetName val="2d_TH_Vat_tu"/>
      <sheetName val="2h_TinhGiaMTC"/>
      <sheetName val="2f_TH_MTC"/>
      <sheetName val="2e_TH_N_Cong"/>
      <sheetName val="2a_TH_Kinh_phi"/>
      <sheetName val="2b_Bang_KL"/>
      <sheetName val="2c_Phan_tich"/>
      <sheetName val="AHSB_Assessment"/>
      <sheetName val="Ｎｏ_13"/>
      <sheetName val="Q'ty thép dầm (Mr Hanht2)"/>
      <sheetName val="Tổng hợp GTHT"/>
      <sheetName val="B Giá trị HT Dome-G"/>
      <sheetName val="C Giá trị HT Dome-H"/>
      <sheetName val="BOQ DOME G"/>
      <sheetName val="Phòng 4 SV"/>
      <sheetName val="Phòng 2 SV"/>
      <sheetName val="Phòng bảo vệ"/>
      <sheetName val="Hành lang, cầu thang, phòng đện"/>
      <sheetName val="Thang máng và cáp điện tủ tầng"/>
      <sheetName val="Thiết bị"/>
      <sheetName val="Chống sét và tiếp địa"/>
      <sheetName val="Đặt chờ báo cháy"/>
      <sheetName val="Đặt chờ mạng"/>
      <sheetName val="成本分析"/>
      <sheetName val="CT1+2"/>
      <sheetName val="CTT"/>
      <sheetName val="coc"/>
      <sheetName val="co cot"/>
      <sheetName val="cot lau 1"/>
      <sheetName val="cot L2"/>
      <sheetName val="cot L3"/>
      <sheetName val="cot tret"/>
      <sheetName val="DK"/>
      <sheetName val="dam L1"/>
      <sheetName val="dam L2"/>
      <sheetName val="dam l 3"/>
      <sheetName val="DM"/>
      <sheetName val="LTL2"/>
      <sheetName val="LTL3"/>
      <sheetName val="LTT+1"/>
      <sheetName val="MONG"/>
      <sheetName val="RD"/>
      <sheetName val="SANl1"/>
      <sheetName val="SAN2+3"/>
      <sheetName val="san mai"/>
      <sheetName val="san tret"/>
      <sheetName val="차액보증"/>
      <sheetName val="FERTIL"/>
      <sheetName val="집계표(OPTION)"/>
      <sheetName val="Buy vs. Lease Car"/>
      <sheetName val="입찰안"/>
      <sheetName val="Barrem"/>
      <sheetName val="tra-vat-lieu"/>
      <sheetName val="PS-Labour_M"/>
      <sheetName val="Elemental Breakdown+20%"/>
      <sheetName val="Readme"/>
      <sheetName val="MCH 092020"/>
      <sheetName val="HR06"/>
      <sheetName val="A"/>
      <sheetName val="Phan tich DG"/>
      <sheetName val="HS cam sua"/>
      <sheetName val="PTdam"/>
      <sheetName val="ThongtinDN"/>
      <sheetName val="DM DU AN"/>
      <sheetName val="DM TP."/>
      <sheetName val="File Chi tiet"/>
      <sheetName val="進捗見込"/>
      <sheetName val="OVERALL SUMMARY "/>
      <sheetName val="293506"/>
      <sheetName val="NET Sum"/>
      <sheetName val="Staff Acco."/>
      <sheetName val="DL2"/>
      <sheetName val="Info"/>
      <sheetName val="Takeoff"/>
      <sheetName val="CTG"/>
      <sheetName val="TT35"/>
      <sheetName val="TT DZ35"/>
      <sheetName val="실행철강하도"/>
      <sheetName val="GrossBQ_(2)10"/>
      <sheetName val="Site_Expense9"/>
      <sheetName val="Retaining_Wall9"/>
      <sheetName val="Summary_Final9"/>
      <sheetName val="G1_Final9"/>
      <sheetName val="Thiet_bi9"/>
      <sheetName val="Nhan_cong9"/>
      <sheetName val="Project_Execution_Report9"/>
      <sheetName val="general_notes___8"/>
      <sheetName val="Chiet_tinh_dz358"/>
      <sheetName val="CP_THEO_9578"/>
      <sheetName val="DGchitiet_8"/>
      <sheetName val="Du_toan8"/>
      <sheetName val="TONG_HOP_KHOI_LUONG7"/>
      <sheetName val="CT_Thang_Mo8"/>
      <sheetName val="CT__PL8"/>
      <sheetName val="E-POD_WD8"/>
      <sheetName val="E-T1_WD8"/>
      <sheetName val="E-T2_WD8"/>
      <sheetName val="E-T3_WD8"/>
      <sheetName val="E-T4_WD8"/>
      <sheetName val="E-T5_WD8"/>
      <sheetName val="PS-POD_WD8"/>
      <sheetName val="PS-T1_WD8"/>
      <sheetName val="PS-T2_WD8"/>
      <sheetName val="PS-T3_WD8"/>
      <sheetName val="PS-T4_WD8"/>
      <sheetName val="PS-T5_WD7"/>
      <sheetName val="ACMV-POD_WD7"/>
      <sheetName val="ACMV-T1_WD7"/>
      <sheetName val="ACMV-T2_WD7"/>
      <sheetName val="ACMV-T3_WD7"/>
      <sheetName val="ACMV-T4_WD7"/>
      <sheetName val="ACMV-T5_WD7"/>
      <sheetName val="FP-POD_WD7"/>
      <sheetName val="FP-T1_WD7"/>
      <sheetName val="FP-T2_WD7"/>
      <sheetName val="FP-T3_WD7"/>
      <sheetName val="FP-T4_WD7"/>
      <sheetName val="FP-T5_WD7"/>
      <sheetName val="LIFT_WD7"/>
      <sheetName val="AC_T57"/>
      <sheetName val="MFĐ_TT7"/>
      <sheetName val="CAR_PARKING_TT7"/>
      <sheetName val="dongia_(2)7"/>
      <sheetName val="THPDMoi__(2)7"/>
      <sheetName val="DON_GIA7"/>
      <sheetName val="t-h_HA_THE7"/>
      <sheetName val="CHITIET_VL-NC-TT_-1p7"/>
      <sheetName val="TONG_HOP_VL-NC_TT7"/>
      <sheetName val="TH_XL7"/>
      <sheetName val="CHITIET_VL-NC-TT-3p7"/>
      <sheetName val="KPVC-BD_7"/>
      <sheetName val="CHITIET_VL-NC7"/>
      <sheetName val="ma_HD_AB7"/>
      <sheetName val="Project_Data7"/>
      <sheetName val="_Net_Break_Down7"/>
      <sheetName val="Tong_du_toan6"/>
      <sheetName val="Tong_hop_vat_tu7"/>
      <sheetName val="Phan_tich_ca_may7"/>
      <sheetName val="Chenh_lech_ca_may7"/>
      <sheetName val="Chenh_lech_vat_tu7"/>
      <sheetName val="Chiet_tinh_don_gia_CM7"/>
      <sheetName val="TLg_CN&amp;Laixe7"/>
      <sheetName val="TLg_CN&amp;Laixe_(2)7"/>
      <sheetName val="TLg_Laitau7"/>
      <sheetName val="TLg_Laitau_(2)7"/>
      <sheetName val="code_HTT_THap6"/>
      <sheetName val="_6"/>
      <sheetName val="Bill_2_1_Villa_Outside6"/>
      <sheetName val="Slim_2_cánh_&amp;_2_vách6"/>
      <sheetName val="3_thể_hiện6"/>
      <sheetName val="05__Data_Cash_Flow6"/>
      <sheetName val="QL_Dự_án6"/>
      <sheetName val="RAB_AR&amp;STR6"/>
      <sheetName val="Khoan_LSP_(2)6"/>
      <sheetName val="Data_Validation5"/>
      <sheetName val="Vat_Tu5"/>
      <sheetName val="Div26_-_Elect5"/>
      <sheetName val="Bill_03_-_ACMV5"/>
      <sheetName val="KL_thanh_toan-Xuan_Dao5"/>
      <sheetName val="Open_Drain_Caisson_Pump5"/>
      <sheetName val="Electrical_Breakdown5"/>
      <sheetName val="Doi_so5"/>
      <sheetName val="CỘT+VÁCH_CHỜ_L15"/>
      <sheetName val="01__DATA5"/>
      <sheetName val="Bang_tra_sd5"/>
      <sheetName val="Cover_5"/>
      <sheetName val="Plastering_&amp;_tiling_works_5"/>
      <sheetName val="Dien_giai_5"/>
      <sheetName val="detail_phat_sinh_can_thay_doi_5"/>
      <sheetName val="Bang_tinh_Cost_Cao_do_khoi_A5"/>
      <sheetName val="Bang_tinh_cost_cao_do_khoi_B5"/>
      <sheetName val="CHÀO_GIÁ_KL_CÁC_TUYẾN_CÒN_LẠI3"/>
      <sheetName val="_TNT_K_Lượng_các_tuyến_còn_lại3"/>
      <sheetName val="KL_TNT_Khu_thấp_tầng3"/>
      <sheetName val="KL__HG_ĐIỆN_còn_lại3"/>
      <sheetName val="KHỐI_LƯỢNG_HỐ_VAN3"/>
      <sheetName val="BANG_TRA3"/>
      <sheetName val="chiet_tinh3"/>
      <sheetName val="입찰내역_발주처_양식3"/>
      <sheetName val="đọc_số3"/>
      <sheetName val="Cover_DD3"/>
      <sheetName val="Rate_3"/>
      <sheetName val="CV_FOA3"/>
      <sheetName val="CV_BEAMS3"/>
      <sheetName val="CV_C3"/>
      <sheetName val="CV_SÀn3"/>
      <sheetName val="CV_CT3"/>
      <sheetName val="CV_KH3"/>
      <sheetName val="Hoan_thien3"/>
      <sheetName val="CR_FODA3"/>
      <sheetName val="CR-CORE_W3"/>
      <sheetName val="ĐÀO_ĐẤT3"/>
      <sheetName val="4-CỘT-VÁCH_(2)3"/>
      <sheetName val="5-LÕI_THANG3"/>
      <sheetName val="6-THANG_BỘ3"/>
      <sheetName val="7-BỂ_NƯỚC3"/>
      <sheetName val="THÉP_HÌNH3"/>
      <sheetName val="LƯỚI_THÉP_HÀN3"/>
      <sheetName val="1__HT_Điện_-_R13"/>
      <sheetName val="2__HT_Máy_Phát_Điện_-_R13"/>
      <sheetName val="3_HT_ĐHKK_-_R23"/>
      <sheetName val="4_HT_Cấp_Thoát_Nước3"/>
      <sheetName val="5_HT_PCCC3"/>
      <sheetName val="6__Thiết_bị_chính3"/>
      <sheetName val="Các_Hạng_mục_Thay_đổi3"/>
      <sheetName val="KL_LĐ-_CÁP_ĐIỆN3"/>
      <sheetName val="KL_LĐ-BUSWAY3"/>
      <sheetName val="KL_LĐ-TỦ_ĐIỆN3"/>
      <sheetName val="Data-Lắp_đèn,_ổ_cắm_căn_hộ3"/>
      <sheetName val="GTTT_PL_023"/>
      <sheetName val="GTTT_PL23"/>
      <sheetName val="Hệ_số3"/>
      <sheetName val="KL_LĐ_CS_SỰ_CỐ_(k_in)3"/>
      <sheetName val="KL_LĐ_TỦ_ĐIỆN_(k_in)3"/>
      <sheetName val="KL_TỦ_ĐIỆN_MSB3"/>
      <sheetName val="KL_LĐ_CÁP_ĐIỆN3"/>
      <sheetName val="KL_LĐ-_BUSWAY3"/>
      <sheetName val="KL_LĐ-_PHẦN_HẦM,_KHỐI_ĐẾ,_HL3"/>
      <sheetName val="KL-HÀNH_LANG3"/>
      <sheetName val="KL-Lap_dat-M_(k_in)3"/>
      <sheetName val="KL-TEST-M_(k_in)3"/>
      <sheetName val="KL-Lap_dat-D3"/>
      <sheetName val="Check_list_tháp_D_(k_in)3"/>
      <sheetName val="Check_list_tháp_M(k_in)3"/>
      <sheetName val="đối_soát_vật_tư3"/>
      <sheetName val="Main_Cable_3"/>
      <sheetName val="Danh_muc3"/>
      <sheetName val="1-BANG_TONG_HOP_TT3"/>
      <sheetName val="_1A_mới3"/>
      <sheetName val="2-Mau_2A_BANG_GTTT_PL053"/>
      <sheetName val="2-Mau_2B_BANG_GTTT_PL063"/>
      <sheetName val="2-Mau_2C_BANG_GTTT_PL093"/>
      <sheetName val="2-Mau_BANG_GTTT_PL123"/>
      <sheetName val="3-Mau_3A-THKL_PL053"/>
      <sheetName val="3-Mau_3A-THKL_PL063"/>
      <sheetName val="3-Mau_3A-THKL_PL093"/>
      <sheetName val="3-Mau_3A-THKL_PL123"/>
      <sheetName val="DGKL_PL_053"/>
      <sheetName val="DGKL_PL_063"/>
      <sheetName val="DGKL_PL_093"/>
      <sheetName val="DGKL_PL_123"/>
      <sheetName val="5-Khau_tru_Tien_ich3"/>
      <sheetName val="Kien_Truc3"/>
      <sheetName val="TK_cua3"/>
      <sheetName val="Bill_ACMV3"/>
      <sheetName val="Unit_arte_ACMV3"/>
      <sheetName val="UnitRate_E3"/>
      <sheetName val="Lighting_rate3"/>
      <sheetName val="Cable_Rate3"/>
      <sheetName val="Tóm_tắt_giảm_giá3"/>
      <sheetName val="Yêu_cầu_báo_giá3"/>
      <sheetName val="B__Pile_works3"/>
      <sheetName val="C__Building_Works3"/>
      <sheetName val="D__M_E_P_Works3"/>
      <sheetName val="E__LEED_requirements3"/>
      <sheetName val="F__External_works3"/>
      <sheetName val="C1_1_Factory_13"/>
      <sheetName val="C1_2_Factory_13"/>
      <sheetName val="C5_1_Office3"/>
      <sheetName val="C6_1_Canteen3"/>
      <sheetName val="C6_2_Canteen3"/>
      <sheetName val="C7_1_Bike_parking3"/>
      <sheetName val="C7_2_Bike_parking3"/>
      <sheetName val="C8_1_Car_parking3"/>
      <sheetName val="C8_2_Car_parking3"/>
      <sheetName val="C9_1_WWTP3"/>
      <sheetName val="C10_1_Water_tank_+_pump_room3"/>
      <sheetName val="C11_1_Electric_house3"/>
      <sheetName val="C12_1_Air_compressor_house3"/>
      <sheetName val="C12_1_Garbage_house3"/>
      <sheetName val="C13_1_Utility_house3"/>
      <sheetName val="C14_1_Guardhouse_13"/>
      <sheetName val="C15_1_Guardhouse_23"/>
      <sheetName val="C16_1_Guardhouse_33"/>
      <sheetName val="C17_1_Toilet3"/>
      <sheetName val="F1_Sand_leveling3"/>
      <sheetName val="F2__Flag_pole3"/>
      <sheetName val="F3__Fence_&amp;_sign_board3"/>
      <sheetName val="F4__Civil_work3"/>
      <sheetName val="22_Landscape3"/>
      <sheetName val="Bảng_Giá3"/>
      <sheetName val="Priced_BOQ3"/>
      <sheetName val="TONG_HOP3"/>
      <sheetName val="Hệ_số_và_tỷ_giá3"/>
      <sheetName val="BAO_GIA3"/>
      <sheetName val="CPC_(phuc_vu_tinh_cost)3"/>
      <sheetName val="Chi_phi_gian_tiep3"/>
      <sheetName val="KL_THÉP_MÓNG,DẦM,_SÀN,_CỘT_B23"/>
      <sheetName val="THKLTT_THÉP_B23"/>
      <sheetName val="Dinh_muc_CP_KTCB_khac3"/>
      <sheetName val="TH_May_TC3"/>
      <sheetName val="KLDT_DIEN3"/>
      <sheetName val="PTVT_DIEN3"/>
      <sheetName val="TH_kinh_phi3"/>
      <sheetName val="Thong_ke_thiet_bi3"/>
      <sheetName val="TH_vat_tu3"/>
      <sheetName val="Cash_flow3"/>
      <sheetName val="1_Quotation(見積決裁書）_3"/>
      <sheetName val="2_Operation(実施計画書）3"/>
      <sheetName val="3_Summary_of_Cost_3"/>
      <sheetName val="4_Ｓｐｅｃｉａｌ_Material3"/>
      <sheetName val="6_Ｃｏｍｍｏｎ_Material3"/>
      <sheetName val="9_Indirect_budget3"/>
      <sheetName val="TOP_3"/>
      <sheetName val="Detail_E3"/>
      <sheetName val="4__NSC_Summary3"/>
      <sheetName val="1_Certificate3"/>
      <sheetName val="VPCT-F20102a_002"/>
      <sheetName val="Kiem_tra2"/>
      <sheetName val="THCP_(2)2"/>
      <sheetName val="TKC_U5-_SH2"/>
      <sheetName val="TKC_U5-_BH2"/>
      <sheetName val="U5,11,13_(1B)-SH2"/>
      <sheetName val="U_17-BH2"/>
      <sheetName val="U_24,_U_25-BH2"/>
      <sheetName val="U_32-BH2"/>
      <sheetName val="tk_thep2"/>
      <sheetName val="DANH_MỤC2"/>
      <sheetName val="BẢNG_TỔNG_HỢP2"/>
      <sheetName val="HÀNG_RÀO2"/>
      <sheetName val="NHÀ_XƯỞNG2"/>
      <sheetName val="NHÀ_VĂN_PHÒNG2"/>
      <sheetName val="NHÀ_BẾP2"/>
      <sheetName val="NHÀ_XE_Ô_TÔ2"/>
      <sheetName val="BỂ_NƯỚC_NGẦM2"/>
      <sheetName val="NHÀ_BẢO_VỆ2"/>
      <sheetName val="CỘT_CỜ2"/>
      <sheetName val="TRẠM_ĐIỆN2"/>
      <sheetName val="KHO_HOÁ_CHẤT2"/>
      <sheetName val="NHÀ_RÁC2"/>
      <sheetName val="KHU_HÚT_THUỐC2"/>
      <sheetName val="MÁI_NỐI_VP+_BẾP2"/>
      <sheetName val="BỂ_TỰ_HOẠI2"/>
      <sheetName val="THƯ_VIỆN_MẪU2"/>
      <sheetName val="1_LIST_NTCV2"/>
      <sheetName val="2_BB_LÂY_MẪU2"/>
      <sheetName val="3__YCNT_CV2"/>
      <sheetName val="4__BBNT_VLĐV2"/>
      <sheetName val="Muc_luc2"/>
      <sheetName val="61__Lan_can_an_toàn_NB2"/>
      <sheetName val="62__Lan_can_an_toan2"/>
      <sheetName val="Nhat_ky_thi_cong_chong_tham2"/>
      <sheetName val="56_3_BBNTNB_MÓNG_CT2"/>
      <sheetName val="56_4_BBNT_MÓNG_CT2"/>
      <sheetName val="工事概要(Project_Outline)・G1記入欄2"/>
      <sheetName val="BẢNG_ÁP_GIÁ_(in)2"/>
      <sheetName val="NT_(KL)_IN2"/>
      <sheetName val="DOM_D22"/>
      <sheetName val="nhà_ăn2"/>
      <sheetName val="Công_nhật2"/>
      <sheetName val="btkt_cột2"/>
      <sheetName val="Bóc_KL2"/>
      <sheetName val="MA_K_HANG2"/>
      <sheetName val="BXNTT_-022"/>
      <sheetName val="BXNTT_-032"/>
      <sheetName val="CT_-THVLNC2"/>
      <sheetName val="D_&amp;_W_sizes2"/>
      <sheetName val="Currency_Rate2"/>
      <sheetName val="GR_slab-reinft2"/>
      <sheetName val="SPT_vs_PHI2"/>
      <sheetName val="TH_thiet_bi2"/>
      <sheetName val="DM_Chi_phi2"/>
      <sheetName val="Bang_khoi_luong2"/>
      <sheetName val="worksheet_inchican2"/>
      <sheetName val="combined_9-302"/>
      <sheetName val="Tien_do_TV2"/>
      <sheetName val="CP_Du_phong2"/>
      <sheetName val="THCP_Lap_dat2"/>
      <sheetName val="THCP_xay_dung2"/>
      <sheetName val="Tong_hop_kinh_phi2"/>
      <sheetName val="THDT_goi_thau_TB2"/>
      <sheetName val="Summary_VE-PTA_0061"/>
      <sheetName val="HD_HS_NGHIỆM_THU1"/>
      <sheetName val="LIST_NT_CV1"/>
      <sheetName val="LIST_NT_CV_(2)1"/>
      <sheetName val="LIST_NT_CV_(3)1"/>
      <sheetName val="LIST_BT1"/>
      <sheetName val="LIST_CAP_DUL1"/>
      <sheetName val="LIST_BT_(2)1"/>
      <sheetName val="2__YCNT_CV1"/>
      <sheetName val="5__LAY_MAU_VL1"/>
      <sheetName val="6__BBNTNB_VLĐV1"/>
      <sheetName val="7__BBNT_VLĐV1"/>
      <sheetName val="52__BBNTNB_LD_GIAO_BC1"/>
      <sheetName val="53__BBNT_LD_GIAO_BC1"/>
      <sheetName val="8__BBNTNB_TRAC_DAC1"/>
      <sheetName val="9__BBNT_TRAC_DAC1"/>
      <sheetName val="10__BBNTNB_DAO_DAT1"/>
      <sheetName val="11__BBNT_DAO_DAT1"/>
      <sheetName val="12_BBNTNB_LAP_DAT1"/>
      <sheetName val="13__BBNT_LAP_DAT1"/>
      <sheetName val="14__BBNTNB_ÉP_CỪ1"/>
      <sheetName val="15__BBNT_ÉP_CỪ1"/>
      <sheetName val="16__BBNTNB_COT_THEP1"/>
      <sheetName val="17__BBNT_COT_THEP1"/>
      <sheetName val="18__BBNTNB_VÁN_KHUÔN1"/>
      <sheetName val="19__BBNT_VÁN_KHUÔN1"/>
      <sheetName val="20__BBNTNB_ĐỔ_BT1"/>
      <sheetName val="21__BBNT_ĐỔ_BT1"/>
      <sheetName val="24__BBNTNB_CKBT1"/>
      <sheetName val="25__BBNT_CKBT1"/>
      <sheetName val="26_BBNTNB_BT_lót1"/>
      <sheetName val="27__BBNT_BT_lót1"/>
      <sheetName val="28__BBNTNB_KHOAN_CẤY_THÉP1"/>
      <sheetName val="29__BBNT_KHOAN_CẤY_THÉP1"/>
      <sheetName val="29_1_BBNTNB_BULONG_HC1"/>
      <sheetName val="29_2_BBNT_BULONG_HC1"/>
      <sheetName val="30__BBNTNB_GIA_CONG_KCT1"/>
      <sheetName val="31__BBNT_GIA_CONG_KCT1"/>
      <sheetName val="31_1__BBNTNB_CK_KCT1"/>
      <sheetName val="31_2__BBNT_CK_KCT1"/>
      <sheetName val="32__BBNTNB_LẮP_DỰNG_KCT1"/>
      <sheetName val="33__BBNT_LẮP_DỰNG_KCT1"/>
      <sheetName val="34__BBNTNB_THAO_DO_KCT1"/>
      <sheetName val="35__BBNT_THAO_DO_KCT1"/>
      <sheetName val="36__BBNTNB_SƠN_KCT1"/>
      <sheetName val="37__BBNT_SƠN_KCT1"/>
      <sheetName val="38__BBNTNB_ĐỤC_BT1"/>
      <sheetName val="39__BBNT_ĐỤC_BT1"/>
      <sheetName val="40__BBNTNB_CT_XÂY1"/>
      <sheetName val="41__BBNT_CT_XÂY1"/>
      <sheetName val="41_1__BBLM_VUA_XAY1"/>
      <sheetName val="42__BBNTNB_CT_TRÁT1"/>
      <sheetName val="43__BBNT_CT_TRÁT1"/>
      <sheetName val="42_1__BBLM_VUA_TRAT1"/>
      <sheetName val="44__BBNTNB_CT_CHỐNG_THẤM1"/>
      <sheetName val="45__BBNT_CT_CHỐNG_THẤM1"/>
      <sheetName val="46_BBNTNB_phá_dỡ1"/>
      <sheetName val="47__BBNT_phá_dỡ1"/>
      <sheetName val="48_BBNTNB_LD_hàng_rào1"/>
      <sheetName val="49__BBNT_LD_hang_rao1"/>
      <sheetName val="50__BBNTNB_ĐMHT1"/>
      <sheetName val="51__BBNT_ĐMHT1"/>
      <sheetName val="54__BBNTNB_LD_GIAO_CHONG1"/>
      <sheetName val="55__BBNT_LD_GIAO_CHONG1"/>
      <sheetName val="56_1_BBNTNB_MM,TB1"/>
      <sheetName val="56_2_BBNT_MM,TB1"/>
      <sheetName val="56_3_BBNTNB_LD_CT1"/>
      <sheetName val="56_4_BBNT_LD_CT1"/>
      <sheetName val="57__BBNTNB_TD_CT_THÁP1"/>
      <sheetName val="58__BBNT_TD_CT_THÁP1"/>
      <sheetName val="59__BBNTNB_LD_VT1"/>
      <sheetName val="60__BBNT_LD_VT1"/>
      <sheetName val="61__BBNTNB_DAM_DAT1"/>
      <sheetName val="62__BBNT_DAM_DAT1"/>
      <sheetName val="63__BBNTNB_VS_DINH_COT1"/>
      <sheetName val="64__BBNT_VS_DINH_COT1"/>
      <sheetName val="65_BBNTNB_LAP_CAP1"/>
      <sheetName val="66_BBNT_LAP_CAP_1"/>
      <sheetName val="66_1BBNTNB_KEO_CAP1"/>
      <sheetName val="66_2BBNT_KEO_CAP1"/>
      <sheetName val="67_TH_KQ_CANG_KEO1"/>
      <sheetName val="67_1_BAO_CAO_CANG_KEO1"/>
      <sheetName val="67_2_THEO_DOI_CANG_CAP1"/>
      <sheetName val="68_1BBNTNB_BOM_VUA1"/>
      <sheetName val="68_2BBNT_BOM_VUA1"/>
      <sheetName val="69_BOM_VUA1"/>
      <sheetName val="70__BBNTNB_VACH_TC1"/>
      <sheetName val="71__BBNT_VACH_TC1"/>
      <sheetName val="72__BBNTNB_VC_VL1"/>
      <sheetName val="73__BBNT_VC_VL1"/>
      <sheetName val="74__BBNTNB_VC_PT1"/>
      <sheetName val="75__BBNT_VC_PT1"/>
      <sheetName val="75_1_BBNTNB_LUOI_CHONG_BUI1"/>
      <sheetName val="75_2_BBNT_LUOI_CHONG_BUI1"/>
      <sheetName val="75_3_BBNTNB_LUOI_CHONG_VAT_ROI1"/>
      <sheetName val="75_4_BBNT_LUOI_CHONG_VAT_ROI1"/>
      <sheetName val="75_5_BBNTNB_LAN_CAN1"/>
      <sheetName val="75_6_BBNT_LAN_CAN_AT1"/>
      <sheetName val="75_7_BBNTNB_CT_TAM1"/>
      <sheetName val="75_8_BBNT_CT_TAM1"/>
      <sheetName val="76_1_BBNTNB_LD_SLEEVES1"/>
      <sheetName val="76_2_BBNT_LD_SLEEVES1"/>
      <sheetName val="1__LỊCH_NTHN1"/>
      <sheetName val="LIST_BT_lót1"/>
      <sheetName val="3_PHÊ_DUYÊT_THAU_PHỤ1"/>
      <sheetName val="4_PHÊ_DUYÊT_VẬT_LIỆU1"/>
      <sheetName val="6__BBNT_VLĐV1"/>
      <sheetName val="7__BBNT_TRAC_DAC1"/>
      <sheetName val="1_LIST_NGHIỆM_THU1"/>
      <sheetName val="1_1_LIST_BT1"/>
      <sheetName val="2__YCNT_LIST_1"/>
      <sheetName val="3__BBNT_ĐÀO_ĐẤT1"/>
      <sheetName val="4__BBNT_ĐỔ_BT_LÓT1"/>
      <sheetName val="4_1__BBNT_CẮT_CỌC1"/>
      <sheetName val="4_2__BBNT_ĐỔ_BT_ĐẦU_CỌC1"/>
      <sheetName val="5__BBNT_ĐẮP_ĐÁT,CÁT,ĐÁ,BASE1"/>
      <sheetName val="6__BBNT_TRAI_PVC1"/>
      <sheetName val="7__BBNT_CỐT_THÉP1"/>
      <sheetName val="8__BBNT_VÁN_KHUÔN1"/>
      <sheetName val="9__BBNT_ĐỔ_BT1"/>
      <sheetName val="10__BBNT_KHOAN_CẤY_THÉP1"/>
      <sheetName val="11__BBNT_chống_thấm1"/>
      <sheetName val="12__BBNT_CKBT1"/>
      <sheetName val="13__BBNT_GIA_CÔNG_KCT1"/>
      <sheetName val="14__BBNT_SƠN_KCT1"/>
      <sheetName val="15__BBNT_LẮP_DỰNG_KCT1"/>
      <sheetName val="16__BBNT_CT_XÂY1"/>
      <sheetName val="17__BBNT_CT_TRÁT1"/>
      <sheetName val="18__BBNT_ĐMHT1"/>
      <sheetName val="11__BBNT_ÉP_CỌC_TRE(LIST_4)1"/>
      <sheetName val="12_Theo_doi_do_BT_LÓT1"/>
      <sheetName val="18__BBNT_CKBT1"/>
      <sheetName val="16_Theo_doi_do_BT1"/>
      <sheetName val="17__BBLM_BT_1"/>
      <sheetName val="20__BBNT_CT_XÂY1"/>
      <sheetName val="21__BBNT_CT_TRÁT1"/>
      <sheetName val="22_BBNT_BPCT1"/>
      <sheetName val="23_BBNT_HT_BG1"/>
      <sheetName val="4__BBNT_ÉP_CỌC_TRE1"/>
      <sheetName val="5__BBNT_GIA_CỐ,SAN_LẤP1"/>
      <sheetName val="6__BBNT_ĐỔ_BT_LÓT1"/>
      <sheetName val="10__BBNT_CT_XÂY1"/>
      <sheetName val="11__BBNT_CT_TRÁT1"/>
      <sheetName val="GOC-KO_IN1"/>
      <sheetName val="Tro_giup1"/>
      <sheetName val="HRG_BHN1"/>
      <sheetName val="PHU_LUC_011"/>
      <sheetName val="Đầu_vào1"/>
      <sheetName val="VT_NC_M1"/>
      <sheetName val="KL_san_lap1"/>
      <sheetName val="E__Factory1"/>
      <sheetName val="Thông_số_DT_khu_B1"/>
      <sheetName val="Kl_trát_tang_121"/>
      <sheetName val="2g_TinhGiaNC1"/>
      <sheetName val="2d_TH_Vat_tu1"/>
      <sheetName val="2h_TinhGiaMTC1"/>
      <sheetName val="2f_TH_MTC1"/>
      <sheetName val="2e_TH_N_Cong1"/>
      <sheetName val="2a_TH_Kinh_phi1"/>
      <sheetName val="2b_Bang_KL1"/>
      <sheetName val="2c_Phan_tich1"/>
      <sheetName val="Bill_1_Prelim1"/>
      <sheetName val="Bill_2_Bored_Pile1"/>
      <sheetName val="AHSB_Assessment1"/>
      <sheetName val="Ｎｏ_131"/>
      <sheetName val="So_sanh"/>
      <sheetName val="Phuong_an_mong_be"/>
      <sheetName val="KLCT_xay_to"/>
      <sheetName val="Phuong_an_mong_coc"/>
      <sheetName val="Building_Summary"/>
      <sheetName val="Direct_Labor_Cost"/>
      <sheetName val="THÉP_ĐÀI_THANG_MÁY"/>
      <sheetName val="Q'ty_thép_dầm_(Mr_Hanht2)"/>
      <sheetName val="5i_Summary"/>
      <sheetName val="5ii_B1-Prelims"/>
      <sheetName val="5iii_SOP"/>
      <sheetName val="5iii_B2_Ext-BOQ"/>
      <sheetName val="5iii_B3_Int-SOP"/>
      <sheetName val="co_cot"/>
      <sheetName val="cot_lau_1"/>
      <sheetName val="cot_L2"/>
      <sheetName val="cot_L3"/>
      <sheetName val="cot_tret"/>
      <sheetName val="dam_L1"/>
      <sheetName val="dam_L2"/>
      <sheetName val="dam_l_3"/>
      <sheetName val="san_mai"/>
      <sheetName val="san_tret"/>
      <sheetName val="Main_Feeder"/>
      <sheetName val="PE_Wire"/>
      <sheetName val="Tổng_hợp_GTHT"/>
      <sheetName val="B_Giá_trị_HT_Dome-G"/>
      <sheetName val="C_Giá_trị_HT_Dome-H"/>
      <sheetName val="BOQ_DOME_G"/>
      <sheetName val="Phòng_4_SV"/>
      <sheetName val="Phòng_2_SV"/>
      <sheetName val="Phòng_bảo_vệ"/>
      <sheetName val="Hành_lang,_cầu_thang,_phòng_đện"/>
      <sheetName val="Thang_máng_và_cáp_điện_tủ_tầng"/>
      <sheetName val="Thiết_bị"/>
      <sheetName val="Chống_sét_và_tiếp_địa"/>
      <sheetName val="Đặt_chờ_báo_cháy"/>
      <sheetName val="Đặt_chờ_mạng"/>
      <sheetName val="THEO DÕI BT"/>
      <sheetName val="Don gia chi tiet"/>
      <sheetName val="Chi tiet gia DT"/>
      <sheetName val="Gia DT bo Sung"/>
      <sheetName val="PT gia DT"/>
      <sheetName val="Phan tich vat tu"/>
      <sheetName val="PTgia DT BS"/>
      <sheetName val="NCR"/>
      <sheetName val="Biện pháp thi công"/>
      <sheetName val="GOC"/>
      <sheetName val="QC"/>
      <sheetName val="CO"/>
      <sheetName val="MTO REV_2_ARMOR_"/>
      <sheetName val="Cst Pkg-Eden"/>
      <sheetName val="CP &amp; BT"/>
      <sheetName val="기안"/>
      <sheetName val="Tổng_hợp_GTHT1"/>
      <sheetName val="B_Giá_trị_HT_Dome-G1"/>
      <sheetName val="C_Giá_trị_HT_Dome-H1"/>
      <sheetName val="BOQ_DOME_G1"/>
      <sheetName val="Phòng_4_SV1"/>
      <sheetName val="Phòng_2_SV1"/>
      <sheetName val="Phòng_bảo_vệ1"/>
      <sheetName val="Hành_lang,_cầu_thang,_phòng_đệ1"/>
      <sheetName val="Thang_máng_và_cáp_điện_tủ_tầng1"/>
      <sheetName val="Thiết_bị1"/>
      <sheetName val="Chống_sét_và_tiếp_địa1"/>
      <sheetName val="Đặt_chờ_báo_cháy1"/>
      <sheetName val="Đặt_chờ_mạng1"/>
      <sheetName val="Kiem-Toan"/>
      <sheetName val="Du Thau"/>
      <sheetName val="DGKL"/>
      <sheetName val="Sat tron"/>
      <sheetName val="Summarry_HDPE"/>
      <sheetName val="BOQ Piling"/>
      <sheetName val="Detail Piling"/>
      <sheetName val="Kangatang"/>
      <sheetName val="Kangatang_2"/>
      <sheetName val="Kangatang_3"/>
      <sheetName val="Kangatang_4"/>
      <sheetName val="Kangatang_5"/>
      <sheetName val="Kangatang_6"/>
      <sheetName val="Kangatang_7"/>
      <sheetName val="Kangatang_8"/>
      <sheetName val="Kangatang_9"/>
      <sheetName val="Kangatang_10"/>
      <sheetName val="Kangatang_11"/>
      <sheetName val="Kangatang_12"/>
      <sheetName val="Kangatang_13"/>
      <sheetName val="Summary_HD003 "/>
      <sheetName val="Summary Pilling"/>
      <sheetName val="Quantity - Pile"/>
      <sheetName val="Summary Civiling"/>
      <sheetName val="Quantity - Civil"/>
      <sheetName val="Detail Civiling-rev01"/>
      <sheetName val="Rebar-civil"/>
      <sheetName val="Summary Civiling add "/>
      <sheetName val="Quantity - Civil add "/>
      <sheetName val="Detail Civil add "/>
      <sheetName val="Rebar-civil add"/>
      <sheetName val="Summary Building "/>
      <sheetName val="Quantity - Building "/>
      <sheetName val="Detail Building  "/>
      <sheetName val="Summary-WO "/>
      <sheetName val="Quantity-WO29"/>
      <sheetName val="Quantity-WO"/>
      <sheetName val="Summary Building"/>
      <sheetName val="BOQ Building"/>
      <sheetName val="Detail Building"/>
      <sheetName val="Summary_PP"/>
      <sheetName val="PKG C_PP"/>
      <sheetName val="Cost Definition"/>
      <sheetName val="Detail Rebar (Building)"/>
      <sheetName val="Biet thu Miền Bắc"/>
      <sheetName val="MTL$-INTER"/>
      <sheetName val="Bahan"/>
      <sheetName val="Bill No.1.10"/>
      <sheetName val="Bill No.1.12"/>
      <sheetName val="Bill No.1.4"/>
      <sheetName val="Bill No.1.5"/>
      <sheetName val="Bill No.1.7"/>
      <sheetName val="Bill No.1.8"/>
      <sheetName val="Bill No.1.9"/>
      <sheetName val="Bill No.1.3"/>
      <sheetName val="Bill No.1.6"/>
      <sheetName val="Bill No.3.1"/>
      <sheetName val="Bill No.3.2"/>
      <sheetName val="Bill No.3.3"/>
      <sheetName val="Savings"/>
      <sheetName val="Summary Bill No. 1"/>
      <sheetName val="Summary Bill No. 3"/>
      <sheetName val="May TC"/>
      <sheetName val="Phan tich"/>
      <sheetName val="DM.ChiPhi"/>
      <sheetName val="골조시행"/>
      <sheetName val="Fitout"/>
      <sheetName val="대비"/>
      <sheetName val="TOWER 10TON"/>
      <sheetName val="TOWER 12TON"/>
      <sheetName val="04 PLUMBING"/>
      <sheetName val="현장관리비"/>
      <sheetName val="실행내역"/>
      <sheetName val="TONG HOP VL-NC"/>
      <sheetName val="TONGKE3p "/>
      <sheetName val="TH VL, NC, DDHT Thanhphuoc"/>
      <sheetName val="TNHCHINH"/>
      <sheetName val="VCV-BE-TONG"/>
      <sheetName val="DFA"/>
      <sheetName val="BREAKDOWN-PRICE"/>
      <sheetName val="A.SIS"/>
      <sheetName val="MAT"/>
      <sheetName val="UNIT PRICE"/>
      <sheetName val="191014 LOA Nov.End REV (3)"/>
      <sheetName val="Số biên bản"/>
      <sheetName val="cov-estimate"/>
      <sheetName val="MTO REV.2(ARMOR)"/>
      <sheetName val="PTDG"/>
      <sheetName val="MMTBCT"/>
      <sheetName val="LIST"/>
      <sheetName val="SITE-E"/>
      <sheetName val="부산제일극장"/>
      <sheetName val="Cước VC + ĐM CP Tư vấn"/>
      <sheetName val="Giá hiện trường"/>
      <sheetName val="Đơn Giá TH"/>
      <sheetName val="Hao phí"/>
      <sheetName val="Phân tích"/>
      <sheetName val="C.P Thiết bị"/>
      <sheetName val="T.H Kinh phí"/>
      <sheetName val="Vật tư"/>
      <sheetName val="Trang bìa"/>
      <sheetName val="Dự toán"/>
      <sheetName val="NKchung-T7"/>
      <sheetName val="DTCT"/>
      <sheetName val="NKchung-T9"/>
      <sheetName val="MARK UP"/>
      <sheetName val="BQ-E20-02(Rp)"/>
      <sheetName val="Form 6"/>
      <sheetName val="3.ĐVT"/>
      <sheetName val="Validation"/>
      <sheetName val="KLT"/>
      <sheetName val="keo"/>
      <sheetName val="Re-bar"/>
      <sheetName val="6PILE  (돌출)"/>
      <sheetName val="공사개요-C"/>
      <sheetName val="침하계"/>
      <sheetName val="TEN CONG TRINH"/>
      <sheetName val="125x125"/>
      <sheetName val="GrossBQ_(2)11"/>
      <sheetName val="Site_Expense10"/>
      <sheetName val="Retaining_Wall10"/>
      <sheetName val="Summary_Final10"/>
      <sheetName val="G1_Final10"/>
      <sheetName val="Thiet_bi10"/>
      <sheetName val="Nhan_cong10"/>
      <sheetName val="Project_Execution_Report10"/>
      <sheetName val="general_notes___9"/>
      <sheetName val="CP_THEO_9579"/>
      <sheetName val="Chiet_tinh_dz359"/>
      <sheetName val="DGchitiet_9"/>
      <sheetName val="Du_toan9"/>
      <sheetName val="E-POD_WD9"/>
      <sheetName val="E-T1_WD9"/>
      <sheetName val="E-T2_WD9"/>
      <sheetName val="E-T3_WD9"/>
      <sheetName val="E-T4_WD9"/>
      <sheetName val="E-T5_WD9"/>
      <sheetName val="PS-POD_WD9"/>
      <sheetName val="PS-T1_WD9"/>
      <sheetName val="PS-T2_WD9"/>
      <sheetName val="PS-T3_WD9"/>
      <sheetName val="PS-T4_WD9"/>
      <sheetName val="PS-T5_WD8"/>
      <sheetName val="ACMV-POD_WD8"/>
      <sheetName val="ACMV-T1_WD8"/>
      <sheetName val="ACMV-T2_WD8"/>
      <sheetName val="ACMV-T3_WD8"/>
      <sheetName val="ACMV-T4_WD8"/>
      <sheetName val="ACMV-T5_WD8"/>
      <sheetName val="FP-POD_WD8"/>
      <sheetName val="FP-T1_WD8"/>
      <sheetName val="FP-T2_WD8"/>
      <sheetName val="FP-T3_WD8"/>
      <sheetName val="FP-T4_WD8"/>
      <sheetName val="FP-T5_WD8"/>
      <sheetName val="LIFT_WD8"/>
      <sheetName val="AC_T58"/>
      <sheetName val="MFĐ_TT8"/>
      <sheetName val="CAR_PARKING_TT8"/>
      <sheetName val="CT_Thang_Mo9"/>
      <sheetName val="CT__PL9"/>
      <sheetName val="TONG_HOP_KHOI_LUONG8"/>
      <sheetName val="ma_HD_AB8"/>
      <sheetName val="Project_Data8"/>
      <sheetName val="dongia_(2)8"/>
      <sheetName val="THPDMoi__(2)8"/>
      <sheetName val="DON_GIA8"/>
      <sheetName val="t-h_HA_THE8"/>
      <sheetName val="CHITIET_VL-NC-TT_-1p8"/>
      <sheetName val="TONG_HOP_VL-NC_TT8"/>
      <sheetName val="TH_XL8"/>
      <sheetName val="CHITIET_VL-NC-TT-3p8"/>
      <sheetName val="KPVC-BD_8"/>
      <sheetName val="CHITIET_VL-NC8"/>
      <sheetName val="_Net_Break_Down8"/>
      <sheetName val="Bill_2_1_Villa_Outside7"/>
      <sheetName val="code_HTT_THap7"/>
      <sheetName val="Tong_hop_vat_tu8"/>
      <sheetName val="Phan_tich_ca_may8"/>
      <sheetName val="Chenh_lech_ca_may8"/>
      <sheetName val="Chenh_lech_vat_tu8"/>
      <sheetName val="Chiet_tinh_don_gia_CM8"/>
      <sheetName val="TLg_CN&amp;Laixe8"/>
      <sheetName val="TLg_CN&amp;Laixe_(2)8"/>
      <sheetName val="TLg_Laitau8"/>
      <sheetName val="TLg_Laitau_(2)8"/>
      <sheetName val="Tong_du_toan7"/>
      <sheetName val="_7"/>
      <sheetName val="Slim_2_cánh_&amp;_2_vách7"/>
      <sheetName val="QL_Dự_án7"/>
      <sheetName val="3_thể_hiện7"/>
      <sheetName val="05__Data_Cash_Flow7"/>
      <sheetName val="RAB_AR&amp;STR7"/>
      <sheetName val="Khoan_LSP_(2)7"/>
      <sheetName val="Data_Validation6"/>
      <sheetName val="Vat_Tu6"/>
      <sheetName val="Electrical_Breakdown6"/>
      <sheetName val="Div26_-_Elect6"/>
      <sheetName val="Bill_03_-_ACMV6"/>
      <sheetName val="Open_Drain_Caisson_Pump6"/>
      <sheetName val="KL_thanh_toan-Xuan_Dao6"/>
      <sheetName val="Cover_6"/>
      <sheetName val="Plastering_&amp;_tiling_works_6"/>
      <sheetName val="Dien_giai_6"/>
      <sheetName val="detail_phat_sinh_can_thay_doi_6"/>
      <sheetName val="Bang_tinh_Cost_Cao_do_khoi_A6"/>
      <sheetName val="Bang_tinh_cost_cao_do_khoi_B6"/>
      <sheetName val="CỘT+VÁCH_CHỜ_L16"/>
      <sheetName val="Doi_so6"/>
      <sheetName val="01__DATA6"/>
      <sheetName val="Bang_tra_sd6"/>
      <sheetName val="Cover_DD4"/>
      <sheetName val="Rate_4"/>
      <sheetName val="CV_FOA4"/>
      <sheetName val="CV_BEAMS4"/>
      <sheetName val="CV_C4"/>
      <sheetName val="CV_SÀn4"/>
      <sheetName val="CV_CT4"/>
      <sheetName val="CV_KH4"/>
      <sheetName val="Hoan_thien4"/>
      <sheetName val="CR_FODA4"/>
      <sheetName val="CR-CORE_W4"/>
      <sheetName val="ĐÀO_ĐẤT4"/>
      <sheetName val="4-CỘT-VÁCH_(2)4"/>
      <sheetName val="5-LÕI_THANG4"/>
      <sheetName val="6-THANG_BỘ4"/>
      <sheetName val="7-BỂ_NƯỚC4"/>
      <sheetName val="THÉP_HÌNH4"/>
      <sheetName val="LƯỚI_THÉP_HÀN4"/>
      <sheetName val="CHÀO_GIÁ_KL_CÁC_TUYẾN_CÒN_LẠI4"/>
      <sheetName val="_TNT_K_Lượng_các_tuyến_còn_lại4"/>
      <sheetName val="KL_TNT_Khu_thấp_tầng4"/>
      <sheetName val="KL__HG_ĐIỆN_còn_lại4"/>
      <sheetName val="KHỐI_LƯỢNG_HỐ_VAN4"/>
      <sheetName val="KL_LĐ-_CÁP_ĐIỆN4"/>
      <sheetName val="KL_LĐ-BUSWAY4"/>
      <sheetName val="KL_LĐ-TỦ_ĐIỆN4"/>
      <sheetName val="Data-Lắp_đèn,_ổ_cắm_căn_hộ4"/>
      <sheetName val="GTTT_PL_024"/>
      <sheetName val="GTTT_PL24"/>
      <sheetName val="Hệ_số4"/>
      <sheetName val="KL_LĐ_CS_SỰ_CỐ_(k_in)4"/>
      <sheetName val="KL_LĐ_TỦ_ĐIỆN_(k_in)4"/>
      <sheetName val="KL_TỦ_ĐIỆN_MSB4"/>
      <sheetName val="KL_LĐ_CÁP_ĐIỆN4"/>
      <sheetName val="KL_LĐ-_BUSWAY4"/>
      <sheetName val="KL_LĐ-_PHẦN_HẦM,_KHỐI_ĐẾ,_HL4"/>
      <sheetName val="KL-HÀNH_LANG4"/>
      <sheetName val="KL-Lap_dat-M_(k_in)4"/>
      <sheetName val="KL-TEST-M_(k_in)4"/>
      <sheetName val="KL-Lap_dat-D4"/>
      <sheetName val="Check_list_tháp_D_(k_in)4"/>
      <sheetName val="Check_list_tháp_M(k_in)4"/>
      <sheetName val="đối_soát_vật_tư4"/>
      <sheetName val="Main_Cable_4"/>
      <sheetName val="Danh_muc4"/>
      <sheetName val="1-BANG_TONG_HOP_TT4"/>
      <sheetName val="_1A_mới4"/>
      <sheetName val="2-Mau_2A_BANG_GTTT_PL054"/>
      <sheetName val="2-Mau_2B_BANG_GTTT_PL064"/>
      <sheetName val="2-Mau_2C_BANG_GTTT_PL094"/>
      <sheetName val="2-Mau_BANG_GTTT_PL124"/>
      <sheetName val="3-Mau_3A-THKL_PL054"/>
      <sheetName val="3-Mau_3A-THKL_PL064"/>
      <sheetName val="3-Mau_3A-THKL_PL094"/>
      <sheetName val="3-Mau_3A-THKL_PL124"/>
      <sheetName val="DGKL_PL_054"/>
      <sheetName val="DGKL_PL_064"/>
      <sheetName val="DGKL_PL_094"/>
      <sheetName val="DGKL_PL_124"/>
      <sheetName val="5-Khau_tru_Tien_ich4"/>
      <sheetName val="đọc_số4"/>
      <sheetName val="Bảng_Giá4"/>
      <sheetName val="Kien_Truc4"/>
      <sheetName val="TK_cua4"/>
      <sheetName val="Bill_ACMV4"/>
      <sheetName val="Unit_arte_ACMV4"/>
      <sheetName val="UnitRate_E4"/>
      <sheetName val="Lighting_rate4"/>
      <sheetName val="Cable_Rate4"/>
      <sheetName val="Tóm_tắt_giảm_giá4"/>
      <sheetName val="Yêu_cầu_báo_giá4"/>
      <sheetName val="B__Pile_works4"/>
      <sheetName val="C__Building_Works4"/>
      <sheetName val="D__M_E_P_Works4"/>
      <sheetName val="E__LEED_requirements4"/>
      <sheetName val="F__External_works4"/>
      <sheetName val="C1_1_Factory_14"/>
      <sheetName val="C1_2_Factory_14"/>
      <sheetName val="C5_1_Office4"/>
      <sheetName val="C6_1_Canteen4"/>
      <sheetName val="C6_2_Canteen4"/>
      <sheetName val="C7_1_Bike_parking4"/>
      <sheetName val="C7_2_Bike_parking4"/>
      <sheetName val="C8_1_Car_parking4"/>
      <sheetName val="C8_2_Car_parking4"/>
      <sheetName val="C9_1_WWTP4"/>
      <sheetName val="C10_1_Water_tank_+_pump_room4"/>
      <sheetName val="C11_1_Electric_house4"/>
      <sheetName val="C12_1_Air_compressor_house4"/>
      <sheetName val="C12_1_Garbage_house4"/>
      <sheetName val="C13_1_Utility_house4"/>
      <sheetName val="C14_1_Guardhouse_14"/>
      <sheetName val="C15_1_Guardhouse_24"/>
      <sheetName val="C16_1_Guardhouse_34"/>
      <sheetName val="C17_1_Toilet4"/>
      <sheetName val="F1_Sand_leveling4"/>
      <sheetName val="F2__Flag_pole4"/>
      <sheetName val="F3__Fence_&amp;_sign_board4"/>
      <sheetName val="F4__Civil_work4"/>
      <sheetName val="22_Landscape4"/>
      <sheetName val="BANG_TRA4"/>
      <sheetName val="chiet_tinh4"/>
      <sheetName val="입찰내역_발주처_양식4"/>
      <sheetName val="1__HT_Điện_-_R14"/>
      <sheetName val="2__HT_Máy_Phát_Điện_-_R14"/>
      <sheetName val="3_HT_ĐHKK_-_R24"/>
      <sheetName val="4_HT_Cấp_Thoát_Nước4"/>
      <sheetName val="5_HT_PCCC4"/>
      <sheetName val="6__Thiết_bị_chính4"/>
      <sheetName val="Các_Hạng_mục_Thay_đổi4"/>
      <sheetName val="KL_THÉP_MÓNG,DẦM,_SÀN,_CỘT_B24"/>
      <sheetName val="THKLTT_THÉP_B24"/>
      <sheetName val="Cash_flow4"/>
      <sheetName val="1_Quotation(見積決裁書）_4"/>
      <sheetName val="2_Operation(実施計画書）4"/>
      <sheetName val="3_Summary_of_Cost_4"/>
      <sheetName val="4_Ｓｐｅｃｉａｌ_Material4"/>
      <sheetName val="6_Ｃｏｍｍｏｎ_Material4"/>
      <sheetName val="9_Indirect_budget4"/>
      <sheetName val="TOP_4"/>
      <sheetName val="Detail_E4"/>
      <sheetName val="Priced_BOQ4"/>
      <sheetName val="TONG_HOP4"/>
      <sheetName val="Hệ_số_và_tỷ_giá4"/>
      <sheetName val="BAO_GIA4"/>
      <sheetName val="CPC_(phuc_vu_tinh_cost)4"/>
      <sheetName val="Chi_phi_gian_tiep4"/>
      <sheetName val="Dinh_muc_CP_KTCB_khac4"/>
      <sheetName val="TH_May_TC4"/>
      <sheetName val="KLDT_DIEN4"/>
      <sheetName val="PTVT_DIEN4"/>
      <sheetName val="TH_kinh_phi4"/>
      <sheetName val="Thong_ke_thiet_bi4"/>
      <sheetName val="TH_vat_tu4"/>
      <sheetName val="4__NSC_Summary4"/>
      <sheetName val="1_Certificate4"/>
      <sheetName val="BẢNG_TỔNG_HỢP3"/>
      <sheetName val="HÀNG_RÀO3"/>
      <sheetName val="NHÀ_XƯỞNG3"/>
      <sheetName val="NHÀ_VĂN_PHÒNG3"/>
      <sheetName val="NHÀ_BẾP3"/>
      <sheetName val="NHÀ_XE_Ô_TÔ3"/>
      <sheetName val="BỂ_NƯỚC_NGẦM3"/>
      <sheetName val="NHÀ_BẢO_VỆ3"/>
      <sheetName val="CỘT_CỜ3"/>
      <sheetName val="TRẠM_ĐIỆN3"/>
      <sheetName val="KHO_HOÁ_CHẤT3"/>
      <sheetName val="NHÀ_RÁC3"/>
      <sheetName val="KHU_HÚT_THUỐC3"/>
      <sheetName val="MÁI_NỐI_VP+_BẾP3"/>
      <sheetName val="BỂ_TỰ_HOẠI3"/>
      <sheetName val="THƯ_VIỆN_MẪU3"/>
      <sheetName val="1_LIST_NTCV3"/>
      <sheetName val="2_BB_LÂY_MẪU3"/>
      <sheetName val="3__YCNT_CV3"/>
      <sheetName val="4__BBNT_VLĐV3"/>
      <sheetName val="Muc_luc3"/>
      <sheetName val="61__Lan_can_an_toàn_NB3"/>
      <sheetName val="62__Lan_can_an_toan3"/>
      <sheetName val="Nhat_ky_thi_cong_chong_tham3"/>
      <sheetName val="56_3_BBNTNB_MÓNG_CT3"/>
      <sheetName val="56_4_BBNT_MÓNG_CT3"/>
      <sheetName val="工事概要(Project_Outline)・G1記入欄3"/>
      <sheetName val="Bóc_KL3"/>
      <sheetName val="Kiem_tra3"/>
      <sheetName val="THCP_(2)3"/>
      <sheetName val="TKC_U5-_SH3"/>
      <sheetName val="TKC_U5-_BH3"/>
      <sheetName val="U5,11,13_(1B)-SH3"/>
      <sheetName val="U_17-BH3"/>
      <sheetName val="U_24,_U_25-BH3"/>
      <sheetName val="U_32-BH3"/>
      <sheetName val="tk_thep3"/>
      <sheetName val="VPCT-F20102a_003"/>
      <sheetName val="DANH_MỤC3"/>
      <sheetName val="MA_K_HANG3"/>
      <sheetName val="BẢNG_ÁP_GIÁ_(in)3"/>
      <sheetName val="NT_(KL)_IN3"/>
      <sheetName val="DOM_D23"/>
      <sheetName val="nhà_ăn3"/>
      <sheetName val="Công_nhật3"/>
      <sheetName val="btkt_cột3"/>
      <sheetName val="D_&amp;_W_sizes3"/>
      <sheetName val="Currency_Rate3"/>
      <sheetName val="GR_slab-reinft3"/>
      <sheetName val="SPT_vs_PHI3"/>
      <sheetName val="BXNTT_-023"/>
      <sheetName val="BXNTT_-033"/>
      <sheetName val="CT_-THVLNC3"/>
      <sheetName val="Tien_do_TV3"/>
      <sheetName val="CP_Du_phong3"/>
      <sheetName val="THCP_Lap_dat3"/>
      <sheetName val="THCP_xay_dung3"/>
      <sheetName val="Tong_hop_kinh_phi3"/>
      <sheetName val="THDT_goi_thau_TB3"/>
      <sheetName val="worksheet_inchican3"/>
      <sheetName val="combined_9-303"/>
      <sheetName val="TH_thiet_bi3"/>
      <sheetName val="DM_Chi_phi3"/>
      <sheetName val="Bang_khoi_luong3"/>
      <sheetName val="Summary_VE-PTA_0062"/>
      <sheetName val="HD_HS_NGHIỆM_THU2"/>
      <sheetName val="LIST_NT_CV2"/>
      <sheetName val="LIST_NT_CV_(2)2"/>
      <sheetName val="LIST_NT_CV_(3)2"/>
      <sheetName val="LIST_BT2"/>
      <sheetName val="LIST_CAP_DUL2"/>
      <sheetName val="LIST_BT_(2)2"/>
      <sheetName val="2__YCNT_CV2"/>
      <sheetName val="5__LAY_MAU_VL2"/>
      <sheetName val="6__BBNTNB_VLĐV2"/>
      <sheetName val="7__BBNT_VLĐV2"/>
      <sheetName val="52__BBNTNB_LD_GIAO_BC2"/>
      <sheetName val="53__BBNT_LD_GIAO_BC2"/>
      <sheetName val="8__BBNTNB_TRAC_DAC2"/>
      <sheetName val="9__BBNT_TRAC_DAC2"/>
      <sheetName val="10__BBNTNB_DAO_DAT2"/>
      <sheetName val="11__BBNT_DAO_DAT2"/>
      <sheetName val="12_BBNTNB_LAP_DAT2"/>
      <sheetName val="13__BBNT_LAP_DAT2"/>
      <sheetName val="14__BBNTNB_ÉP_CỪ2"/>
      <sheetName val="15__BBNT_ÉP_CỪ2"/>
      <sheetName val="16__BBNTNB_COT_THEP2"/>
      <sheetName val="17__BBNT_COT_THEP2"/>
      <sheetName val="18__BBNTNB_VÁN_KHUÔN2"/>
      <sheetName val="19__BBNT_VÁN_KHUÔN2"/>
      <sheetName val="20__BBNTNB_ĐỔ_BT2"/>
      <sheetName val="21__BBNT_ĐỔ_BT2"/>
      <sheetName val="24__BBNTNB_CKBT2"/>
      <sheetName val="25__BBNT_CKBT2"/>
      <sheetName val="26_BBNTNB_BT_lót2"/>
      <sheetName val="27__BBNT_BT_lót2"/>
      <sheetName val="28__BBNTNB_KHOAN_CẤY_THÉP2"/>
      <sheetName val="29__BBNT_KHOAN_CẤY_THÉP2"/>
      <sheetName val="29_1_BBNTNB_BULONG_HC2"/>
      <sheetName val="29_2_BBNT_BULONG_HC2"/>
      <sheetName val="30__BBNTNB_GIA_CONG_KCT2"/>
      <sheetName val="31__BBNT_GIA_CONG_KCT2"/>
      <sheetName val="31_1__BBNTNB_CK_KCT2"/>
      <sheetName val="31_2__BBNT_CK_KCT2"/>
      <sheetName val="32__BBNTNB_LẮP_DỰNG_KCT2"/>
      <sheetName val="33__BBNT_LẮP_DỰNG_KCT2"/>
      <sheetName val="34__BBNTNB_THAO_DO_KCT2"/>
      <sheetName val="35__BBNT_THAO_DO_KCT2"/>
      <sheetName val="36__BBNTNB_SƠN_KCT2"/>
      <sheetName val="37__BBNT_SƠN_KCT2"/>
      <sheetName val="38__BBNTNB_ĐỤC_BT2"/>
      <sheetName val="39__BBNT_ĐỤC_BT2"/>
      <sheetName val="40__BBNTNB_CT_XÂY2"/>
      <sheetName val="41__BBNT_CT_XÂY2"/>
      <sheetName val="41_1__BBLM_VUA_XAY2"/>
      <sheetName val="42__BBNTNB_CT_TRÁT2"/>
      <sheetName val="43__BBNT_CT_TRÁT2"/>
      <sheetName val="42_1__BBLM_VUA_TRAT2"/>
      <sheetName val="44__BBNTNB_CT_CHỐNG_THẤM2"/>
      <sheetName val="45__BBNT_CT_CHỐNG_THẤM2"/>
      <sheetName val="46_BBNTNB_phá_dỡ2"/>
      <sheetName val="47__BBNT_phá_dỡ2"/>
      <sheetName val="48_BBNTNB_LD_hàng_rào2"/>
      <sheetName val="49__BBNT_LD_hang_rao2"/>
      <sheetName val="50__BBNTNB_ĐMHT2"/>
      <sheetName val="51__BBNT_ĐMHT2"/>
      <sheetName val="54__BBNTNB_LD_GIAO_CHONG2"/>
      <sheetName val="55__BBNT_LD_GIAO_CHONG2"/>
      <sheetName val="56_1_BBNTNB_MM,TB2"/>
      <sheetName val="56_2_BBNT_MM,TB2"/>
      <sheetName val="56_3_BBNTNB_LD_CT2"/>
      <sheetName val="56_4_BBNT_LD_CT2"/>
      <sheetName val="57__BBNTNB_TD_CT_THÁP2"/>
      <sheetName val="58__BBNT_TD_CT_THÁP2"/>
      <sheetName val="59__BBNTNB_LD_VT2"/>
      <sheetName val="60__BBNT_LD_VT2"/>
      <sheetName val="61__BBNTNB_DAM_DAT2"/>
      <sheetName val="62__BBNT_DAM_DAT2"/>
      <sheetName val="63__BBNTNB_VS_DINH_COT2"/>
      <sheetName val="64__BBNT_VS_DINH_COT2"/>
      <sheetName val="65_BBNTNB_LAP_CAP2"/>
      <sheetName val="66_BBNT_LAP_CAP_2"/>
      <sheetName val="66_1BBNTNB_KEO_CAP2"/>
      <sheetName val="66_2BBNT_KEO_CAP2"/>
      <sheetName val="67_TH_KQ_CANG_KEO2"/>
      <sheetName val="67_1_BAO_CAO_CANG_KEO2"/>
      <sheetName val="67_2_THEO_DOI_CANG_CAP2"/>
      <sheetName val="68_1BBNTNB_BOM_VUA2"/>
      <sheetName val="68_2BBNT_BOM_VUA2"/>
      <sheetName val="69_BOM_VUA2"/>
      <sheetName val="70__BBNTNB_VACH_TC2"/>
      <sheetName val="71__BBNT_VACH_TC2"/>
      <sheetName val="72__BBNTNB_VC_VL2"/>
      <sheetName val="73__BBNT_VC_VL2"/>
      <sheetName val="74__BBNTNB_VC_PT2"/>
      <sheetName val="75__BBNT_VC_PT2"/>
      <sheetName val="75_1_BBNTNB_LUOI_CHONG_BUI2"/>
      <sheetName val="75_2_BBNT_LUOI_CHONG_BUI2"/>
      <sheetName val="75_3_BBNTNB_LUOI_CHONG_VAT_ROI2"/>
      <sheetName val="75_4_BBNT_LUOI_CHONG_VAT_ROI2"/>
      <sheetName val="75_5_BBNTNB_LAN_CAN2"/>
      <sheetName val="75_6_BBNT_LAN_CAN_AT2"/>
      <sheetName val="75_7_BBNTNB_CT_TAM2"/>
      <sheetName val="75_8_BBNT_CT_TAM2"/>
      <sheetName val="76_1_BBNTNB_LD_SLEEVES2"/>
      <sheetName val="76_2_BBNT_LD_SLEEVES2"/>
      <sheetName val="1__LỊCH_NTHN2"/>
      <sheetName val="LIST_BT_lót2"/>
      <sheetName val="3_PHÊ_DUYÊT_THAU_PHỤ2"/>
      <sheetName val="4_PHÊ_DUYÊT_VẬT_LIỆU2"/>
      <sheetName val="6__BBNT_VLĐV2"/>
      <sheetName val="7__BBNT_TRAC_DAC2"/>
      <sheetName val="1_LIST_NGHIỆM_THU2"/>
      <sheetName val="1_1_LIST_BT2"/>
      <sheetName val="2__YCNT_LIST_2"/>
      <sheetName val="3__BBNT_ĐÀO_ĐẤT2"/>
      <sheetName val="4__BBNT_ĐỔ_BT_LÓT2"/>
      <sheetName val="4_1__BBNT_CẮT_CỌC2"/>
      <sheetName val="4_2__BBNT_ĐỔ_BT_ĐẦU_CỌC2"/>
      <sheetName val="5__BBNT_ĐẮP_ĐÁT,CÁT,ĐÁ,BASE2"/>
      <sheetName val="6__BBNT_TRAI_PVC2"/>
      <sheetName val="7__BBNT_CỐT_THÉP2"/>
      <sheetName val="8__BBNT_VÁN_KHUÔN2"/>
      <sheetName val="9__BBNT_ĐỔ_BT2"/>
      <sheetName val="10__BBNT_KHOAN_CẤY_THÉP2"/>
      <sheetName val="11__BBNT_chống_thấm2"/>
      <sheetName val="12__BBNT_CKBT2"/>
      <sheetName val="13__BBNT_GIA_CÔNG_KCT2"/>
      <sheetName val="14__BBNT_SƠN_KCT2"/>
      <sheetName val="15__BBNT_LẮP_DỰNG_KCT2"/>
      <sheetName val="16__BBNT_CT_XÂY2"/>
      <sheetName val="17__BBNT_CT_TRÁT2"/>
      <sheetName val="18__BBNT_ĐMHT2"/>
      <sheetName val="11__BBNT_ÉP_CỌC_TRE(LIST_4)2"/>
      <sheetName val="12_Theo_doi_do_BT_LÓT2"/>
      <sheetName val="18__BBNT_CKBT2"/>
      <sheetName val="16_Theo_doi_do_BT2"/>
      <sheetName val="17__BBLM_BT_2"/>
      <sheetName val="20__BBNT_CT_XÂY2"/>
      <sheetName val="21__BBNT_CT_TRÁT2"/>
      <sheetName val="22_BBNT_BPCT2"/>
      <sheetName val="23_BBNT_HT_BG2"/>
      <sheetName val="4__BBNT_ÉP_CỌC_TRE2"/>
      <sheetName val="5__BBNT_GIA_CỐ,SAN_LẤP2"/>
      <sheetName val="6__BBNT_ĐỔ_BT_LÓT2"/>
      <sheetName val="10__BBNT_CT_XÂY2"/>
      <sheetName val="11__BBNT_CT_TRÁT2"/>
      <sheetName val="KL_san_lap2"/>
      <sheetName val="GOC-KO_IN2"/>
      <sheetName val="Tro_giup2"/>
      <sheetName val="HRG_BHN2"/>
      <sheetName val="PHU_LUC_012"/>
      <sheetName val="Đầu_vào2"/>
      <sheetName val="Thông_số_DT_khu_B2"/>
      <sheetName val="VT_NC_M2"/>
      <sheetName val="E__Factory2"/>
      <sheetName val="Kl_trát_tang_122"/>
      <sheetName val="2g_TinhGiaNC2"/>
      <sheetName val="2d_TH_Vat_tu2"/>
      <sheetName val="2h_TinhGiaMTC2"/>
      <sheetName val="2f_TH_MTC2"/>
      <sheetName val="2e_TH_N_Cong2"/>
      <sheetName val="2a_TH_Kinh_phi2"/>
      <sheetName val="2b_Bang_KL2"/>
      <sheetName val="2c_Phan_tich2"/>
      <sheetName val="Bill_1_Prelim2"/>
      <sheetName val="Bill_2_Bored_Pile2"/>
      <sheetName val="AHSB_Assessment2"/>
      <sheetName val="Building_Summary1"/>
      <sheetName val="Ｎｏ_132"/>
      <sheetName val="Direct_Labor_Cost1"/>
      <sheetName val="5i_Summary1"/>
      <sheetName val="5ii_B1-Prelims1"/>
      <sheetName val="5iii_SOP1"/>
      <sheetName val="5iii_B2_Ext-BOQ1"/>
      <sheetName val="5iii_B3_Int-SOP1"/>
      <sheetName val="So_sanh1"/>
      <sheetName val="Phuong_an_mong_be1"/>
      <sheetName val="KLCT_xay_to1"/>
      <sheetName val="Phuong_an_mong_coc1"/>
      <sheetName val="Q'ty_thép_dầm_(Mr_Hanht2)1"/>
      <sheetName val="THÉP_ĐÀI_THANG_MÁY1"/>
      <sheetName val="co_cot1"/>
      <sheetName val="cot_lau_11"/>
      <sheetName val="cot_L21"/>
      <sheetName val="cot_L31"/>
      <sheetName val="cot_tret1"/>
      <sheetName val="dam_L11"/>
      <sheetName val="dam_L21"/>
      <sheetName val="dam_l_31"/>
      <sheetName val="san_mai1"/>
      <sheetName val="san_tret1"/>
      <sheetName val="Tổng_hợp_GTHT2"/>
      <sheetName val="B_Giá_trị_HT_Dome-G2"/>
      <sheetName val="C_Giá_trị_HT_Dome-H2"/>
      <sheetName val="BOQ_DOME_G2"/>
      <sheetName val="Phòng_4_SV2"/>
      <sheetName val="Phòng_2_SV2"/>
      <sheetName val="Phòng_bảo_vệ2"/>
      <sheetName val="Hành_lang,_cầu_thang,_phòng_đệ2"/>
      <sheetName val="Thang_máng_và_cáp_điện_tủ_tầng2"/>
      <sheetName val="Thiết_bị2"/>
      <sheetName val="Chống_sét_và_tiếp_địa2"/>
      <sheetName val="Đặt_chờ_báo_cháy2"/>
      <sheetName val="Đặt_chờ_mạng2"/>
      <sheetName val="Main_Feeder1"/>
      <sheetName val="PE_Wire1"/>
      <sheetName val="Elemental_Breakdown+20%"/>
      <sheetName val="HS_cam_sua"/>
      <sheetName val="MCH_092020"/>
      <sheetName val="Phan_tich_DG"/>
      <sheetName val="TT_DZ35"/>
      <sheetName val="DM_DU_AN"/>
      <sheetName val="DM_TP_"/>
      <sheetName val="File_Chi_tiet"/>
      <sheetName val="Buy_vs__Lease_Car"/>
      <sheetName val="THEO_DÕI_BT"/>
      <sheetName val="Don_gia_chi_tiet"/>
      <sheetName val="Chi_tiet_gia_DT"/>
      <sheetName val="Gia_DT_bo_Sung"/>
      <sheetName val="PT_gia_DT"/>
      <sheetName val="Phan_tich_vat_tu"/>
      <sheetName val="PTgia_DT_BS"/>
      <sheetName val="OVERALL_SUMMARY_"/>
      <sheetName val="NET_Sum"/>
      <sheetName val="Staff_Acco_"/>
      <sheetName val="Biện_pháp_thi_công"/>
      <sheetName val="Du_Thau"/>
      <sheetName val="Sat_tron"/>
      <sheetName val="BOQ_Piling"/>
      <sheetName val="Detail_Piling"/>
      <sheetName val="Summary_HD003_"/>
      <sheetName val="Summary_Pilling"/>
      <sheetName val="Quantity_-_Pile"/>
      <sheetName val="Summary_Civiling"/>
      <sheetName val="Quantity_-_Civil"/>
      <sheetName val="Detail_Civiling-rev01"/>
      <sheetName val="Summary_Civiling_add_"/>
      <sheetName val="Quantity_-_Civil_add_"/>
      <sheetName val="Detail_Civil_add_"/>
      <sheetName val="Rebar-civil_add"/>
      <sheetName val="Summary_Building_"/>
      <sheetName val="Quantity_-_Building_"/>
      <sheetName val="Detail_Building__"/>
      <sheetName val="Summary-WO_"/>
      <sheetName val="Summary_Building"/>
      <sheetName val="BOQ_Building"/>
      <sheetName val="Detail_Building"/>
      <sheetName val="PKG_C_PP"/>
      <sheetName val="Cost_Definition"/>
      <sheetName val="Detail_Rebar_(Building)"/>
      <sheetName val="Biet_thu_Miền_Bắc"/>
      <sheetName val="CP_&amp;_BT"/>
      <sheetName val="Bill_No_1_10"/>
      <sheetName val="Bill_No_1_12"/>
      <sheetName val="Bill_No_1_4"/>
      <sheetName val="Bill_No_1_5"/>
      <sheetName val="Bill_No_1_7"/>
      <sheetName val="Bill_No_1_8"/>
      <sheetName val="Bill_No_1_9"/>
      <sheetName val="Bill_No_1_3"/>
      <sheetName val="Bill_No_1_6"/>
      <sheetName val="Bill_No_3_1"/>
      <sheetName val="Bill_No_3_2"/>
      <sheetName val="Bill_No_3_3"/>
      <sheetName val="Summary_Bill_No__1"/>
      <sheetName val="Summary_Bill_No__3"/>
      <sheetName val="MTO_REV_2_ARMOR_"/>
      <sheetName val="Cst_Pkg-Eden"/>
      <sheetName val="May_TC"/>
      <sheetName val="Phan_tich"/>
      <sheetName val="DM_ChiPhi"/>
      <sheetName val="Số_biên_bản"/>
      <sheetName val="NPC POWER PLANT"/>
      <sheetName val="VL - Xây "/>
      <sheetName val="????"/>
      <sheetName val="13.BANG CT"/>
      <sheetName val="14.MMUS GIUA NHIP"/>
      <sheetName val="4.HSPBngang"/>
      <sheetName val="6.Tinh tai"/>
      <sheetName val="2 NSl"/>
      <sheetName val="17.US CHU tho a_b"/>
      <sheetName val="15.MMUS GOI"/>
      <sheetName val="5.BANG I"/>
      <sheetName val="HDKT"/>
      <sheetName val="TOWER_10TON"/>
      <sheetName val="TOWER_12TON"/>
      <sheetName val="04_PLUMBING"/>
      <sheetName val="GrossBQ_(2)12"/>
      <sheetName val="Site_Expense11"/>
      <sheetName val="Retaining_Wall11"/>
      <sheetName val="Summary_Final11"/>
      <sheetName val="G1_Final11"/>
      <sheetName val="Thiet_bi11"/>
      <sheetName val="Nhan_cong11"/>
      <sheetName val="Project_Execution_Report11"/>
      <sheetName val="general_notes___10"/>
      <sheetName val="Chiet_tinh_dz3510"/>
      <sheetName val="CP_THEO_95710"/>
      <sheetName val="Du_toan10"/>
      <sheetName val="DGchitiet_10"/>
      <sheetName val="CT_Thang_Mo10"/>
      <sheetName val="CT__PL10"/>
      <sheetName val="TONG_HOP_KHOI_LUONG9"/>
      <sheetName val="E-POD_WD10"/>
      <sheetName val="E-T1_WD10"/>
      <sheetName val="E-T2_WD10"/>
      <sheetName val="E-T3_WD10"/>
      <sheetName val="E-T4_WD10"/>
      <sheetName val="E-T5_WD10"/>
      <sheetName val="PS-POD_WD10"/>
      <sheetName val="PS-T1_WD10"/>
      <sheetName val="PS-T2_WD10"/>
      <sheetName val="PS-T3_WD10"/>
      <sheetName val="PS-T4_WD10"/>
      <sheetName val="PS-T5_WD9"/>
      <sheetName val="ACMV-POD_WD9"/>
      <sheetName val="ACMV-T1_WD9"/>
      <sheetName val="ACMV-T2_WD9"/>
      <sheetName val="ACMV-T3_WD9"/>
      <sheetName val="ACMV-T4_WD9"/>
      <sheetName val="ACMV-T5_WD9"/>
      <sheetName val="FP-POD_WD9"/>
      <sheetName val="FP-T1_WD9"/>
      <sheetName val="FP-T2_WD9"/>
      <sheetName val="FP-T3_WD9"/>
      <sheetName val="FP-T4_WD9"/>
      <sheetName val="FP-T5_WD9"/>
      <sheetName val="LIFT_WD9"/>
      <sheetName val="AC_T59"/>
      <sheetName val="MFĐ_TT9"/>
      <sheetName val="CAR_PARKING_TT9"/>
      <sheetName val="ma_HD_AB9"/>
      <sheetName val="_Net_Break_Down9"/>
      <sheetName val="Project_Data9"/>
      <sheetName val="dongia_(2)9"/>
      <sheetName val="THPDMoi__(2)9"/>
      <sheetName val="DON_GIA9"/>
      <sheetName val="t-h_HA_THE9"/>
      <sheetName val="CHITIET_VL-NC-TT_-1p9"/>
      <sheetName val="TONG_HOP_VL-NC_TT9"/>
      <sheetName val="TH_XL9"/>
      <sheetName val="CHITIET_VL-NC-TT-3p9"/>
      <sheetName val="KPVC-BD_9"/>
      <sheetName val="CHITIET_VL-NC9"/>
      <sheetName val="code_HTT_THap8"/>
      <sheetName val="Tong_hop_vat_tu9"/>
      <sheetName val="Phan_tich_ca_may9"/>
      <sheetName val="Chenh_lech_ca_may9"/>
      <sheetName val="Chenh_lech_vat_tu9"/>
      <sheetName val="Chiet_tinh_don_gia_CM9"/>
      <sheetName val="TLg_CN&amp;Laixe9"/>
      <sheetName val="TLg_CN&amp;Laixe_(2)9"/>
      <sheetName val="TLg_Laitau9"/>
      <sheetName val="TLg_Laitau_(2)9"/>
      <sheetName val="Bill_2_1_Villa_Outside8"/>
      <sheetName val="Tong_du_toan8"/>
      <sheetName val="Electrical_Breakdown7"/>
      <sheetName val="_8"/>
      <sheetName val="Slim_2_cánh_&amp;_2_vách8"/>
      <sheetName val="QL_Dự_án8"/>
      <sheetName val="3_thể_hiện8"/>
      <sheetName val="05__Data_Cash_Flow8"/>
      <sheetName val="RAB_AR&amp;STR8"/>
      <sheetName val="Khoan_LSP_(2)8"/>
      <sheetName val="Data_Validation7"/>
      <sheetName val="Vat_Tu7"/>
      <sheetName val="Open_Drain_Caisson_Pump7"/>
      <sheetName val="Div26_-_Elect7"/>
      <sheetName val="Bill_03_-_ACMV7"/>
      <sheetName val="KL_thanh_toan-Xuan_Dao7"/>
      <sheetName val="Doi_so7"/>
      <sheetName val="CỘT+VÁCH_CHỜ_L17"/>
      <sheetName val="01__DATA7"/>
      <sheetName val="Bang_tra_sd7"/>
      <sheetName val="Cover_7"/>
      <sheetName val="Plastering_&amp;_tiling_works_7"/>
      <sheetName val="Dien_giai_7"/>
      <sheetName val="detail_phat_sinh_can_thay_doi_7"/>
      <sheetName val="Bang_tinh_Cost_Cao_do_khoi_A7"/>
      <sheetName val="Bang_tinh_cost_cao_do_khoi_B7"/>
      <sheetName val="CHÀO_GIÁ_KL_CÁC_TUYẾN_CÒN_LẠI5"/>
      <sheetName val="_TNT_K_Lượng_các_tuyến_còn_lại5"/>
      <sheetName val="KL_TNT_Khu_thấp_tầng5"/>
      <sheetName val="KL__HG_ĐIỆN_còn_lại5"/>
      <sheetName val="KHỐI_LƯỢNG_HỐ_VAN5"/>
      <sheetName val="BANG_TRA5"/>
      <sheetName val="KL_LĐ-_CÁP_ĐIỆN5"/>
      <sheetName val="KL_LĐ-BUSWAY5"/>
      <sheetName val="KL_LĐ-TỦ_ĐIỆN5"/>
      <sheetName val="Data-Lắp_đèn,_ổ_cắm_căn_hộ5"/>
      <sheetName val="GTTT_PL_025"/>
      <sheetName val="GTTT_PL25"/>
      <sheetName val="Hệ_số5"/>
      <sheetName val="KL_LĐ_CS_SỰ_CỐ_(k_in)5"/>
      <sheetName val="KL_LĐ_TỦ_ĐIỆN_(k_in)5"/>
      <sheetName val="KL_TỦ_ĐIỆN_MSB5"/>
      <sheetName val="KL_LĐ_CÁP_ĐIỆN5"/>
      <sheetName val="KL_LĐ-_BUSWAY5"/>
      <sheetName val="KL_LĐ-_PHẦN_HẦM,_KHỐI_ĐẾ,_HL5"/>
      <sheetName val="KL-HÀNH_LANG5"/>
      <sheetName val="KL-Lap_dat-M_(k_in)5"/>
      <sheetName val="KL-TEST-M_(k_in)5"/>
      <sheetName val="KL-Lap_dat-D5"/>
      <sheetName val="Check_list_tháp_D_(k_in)5"/>
      <sheetName val="Check_list_tháp_M(k_in)5"/>
      <sheetName val="đối_soát_vật_tư5"/>
      <sheetName val="Main_Cable_5"/>
      <sheetName val="chiet_tinh5"/>
      <sheetName val="입찰내역_발주처_양식5"/>
      <sheetName val="đọc_số5"/>
      <sheetName val="Cover_DD5"/>
      <sheetName val="Rate_5"/>
      <sheetName val="CV_FOA5"/>
      <sheetName val="CV_BEAMS5"/>
      <sheetName val="CV_C5"/>
      <sheetName val="CV_SÀn5"/>
      <sheetName val="CV_CT5"/>
      <sheetName val="CV_KH5"/>
      <sheetName val="Cash_flow5"/>
      <sheetName val="1_Quotation(見積決裁書）_5"/>
      <sheetName val="2_Operation(実施計画書）5"/>
      <sheetName val="3_Summary_of_Cost_5"/>
      <sheetName val="4_Ｓｐｅｃｉａｌ_Material5"/>
      <sheetName val="6_Ｃｏｍｍｏｎ_Material5"/>
      <sheetName val="9_Indirect_budget5"/>
      <sheetName val="TOP_5"/>
      <sheetName val="Detail_E5"/>
      <sheetName val="Hoan_thien5"/>
      <sheetName val="CR_FODA5"/>
      <sheetName val="CR-CORE_W5"/>
      <sheetName val="ĐÀO_ĐẤT5"/>
      <sheetName val="4-CỘT-VÁCH_(2)5"/>
      <sheetName val="5-LÕI_THANG5"/>
      <sheetName val="6-THANG_BỘ5"/>
      <sheetName val="7-BỂ_NƯỚC5"/>
      <sheetName val="THÉP_HÌNH5"/>
      <sheetName val="LƯỚI_THÉP_HÀN5"/>
      <sheetName val="Danh_muc5"/>
      <sheetName val="1-BANG_TONG_HOP_TT5"/>
      <sheetName val="_1A_mới5"/>
      <sheetName val="2-Mau_2A_BANG_GTTT_PL055"/>
      <sheetName val="2-Mau_2B_BANG_GTTT_PL065"/>
      <sheetName val="2-Mau_2C_BANG_GTTT_PL095"/>
      <sheetName val="2-Mau_BANG_GTTT_PL125"/>
      <sheetName val="3-Mau_3A-THKL_PL055"/>
      <sheetName val="3-Mau_3A-THKL_PL065"/>
      <sheetName val="3-Mau_3A-THKL_PL095"/>
      <sheetName val="3-Mau_3A-THKL_PL125"/>
      <sheetName val="DGKL_PL_055"/>
      <sheetName val="DGKL_PL_065"/>
      <sheetName val="DGKL_PL_095"/>
      <sheetName val="DGKL_PL_125"/>
      <sheetName val="5-Khau_tru_Tien_ich5"/>
      <sheetName val="Kien_Truc5"/>
      <sheetName val="TK_cua5"/>
      <sheetName val="Bill_ACMV5"/>
      <sheetName val="Unit_arte_ACMV5"/>
      <sheetName val="UnitRate_E5"/>
      <sheetName val="Lighting_rate5"/>
      <sheetName val="Cable_Rate5"/>
      <sheetName val="1__HT_Điện_-_R15"/>
      <sheetName val="2__HT_Máy_Phát_Điện_-_R15"/>
      <sheetName val="3_HT_ĐHKK_-_R25"/>
      <sheetName val="4_HT_Cấp_Thoát_Nước5"/>
      <sheetName val="5_HT_PCCC5"/>
      <sheetName val="6__Thiết_bị_chính5"/>
      <sheetName val="Các_Hạng_mục_Thay_đổi5"/>
      <sheetName val="Bảng_Giá5"/>
      <sheetName val="Tóm_tắt_giảm_giá5"/>
      <sheetName val="Yêu_cầu_báo_giá5"/>
      <sheetName val="B__Pile_works5"/>
      <sheetName val="C__Building_Works5"/>
      <sheetName val="D__M_E_P_Works5"/>
      <sheetName val="E__LEED_requirements5"/>
      <sheetName val="F__External_works5"/>
      <sheetName val="C1_1_Factory_15"/>
      <sheetName val="C1_2_Factory_15"/>
      <sheetName val="C5_1_Office5"/>
      <sheetName val="C6_1_Canteen5"/>
      <sheetName val="C6_2_Canteen5"/>
      <sheetName val="C7_1_Bike_parking5"/>
      <sheetName val="C7_2_Bike_parking5"/>
      <sheetName val="C8_1_Car_parking5"/>
      <sheetName val="C8_2_Car_parking5"/>
      <sheetName val="C9_1_WWTP5"/>
      <sheetName val="C10_1_Water_tank_+_pump_room5"/>
      <sheetName val="C11_1_Electric_house5"/>
      <sheetName val="C12_1_Air_compressor_house5"/>
      <sheetName val="C12_1_Garbage_house5"/>
      <sheetName val="C13_1_Utility_house5"/>
      <sheetName val="C14_1_Guardhouse_15"/>
      <sheetName val="C15_1_Guardhouse_25"/>
      <sheetName val="C16_1_Guardhouse_35"/>
      <sheetName val="C17_1_Toilet5"/>
      <sheetName val="F1_Sand_leveling5"/>
      <sheetName val="F2__Flag_pole5"/>
      <sheetName val="F3__Fence_&amp;_sign_board5"/>
      <sheetName val="F4__Civil_work5"/>
      <sheetName val="22_Landscape5"/>
      <sheetName val="KL_THÉP_MÓNG,DẦM,_SÀN,_CỘT_B25"/>
      <sheetName val="THKLTT_THÉP_B25"/>
      <sheetName val="BẢNG_TỔNG_HỢP4"/>
      <sheetName val="HÀNG_RÀO4"/>
      <sheetName val="NHÀ_XƯỞNG4"/>
      <sheetName val="NHÀ_VĂN_PHÒNG4"/>
      <sheetName val="NHÀ_BẾP4"/>
      <sheetName val="NHÀ_XE_Ô_TÔ4"/>
      <sheetName val="BỂ_NƯỚC_NGẦM4"/>
      <sheetName val="NHÀ_BẢO_VỆ4"/>
      <sheetName val="CỘT_CỜ4"/>
      <sheetName val="TRẠM_ĐIỆN4"/>
      <sheetName val="KHO_HOÁ_CHẤT4"/>
      <sheetName val="NHÀ_RÁC4"/>
      <sheetName val="KHU_HÚT_THUỐC4"/>
      <sheetName val="MÁI_NỐI_VP+_BẾP4"/>
      <sheetName val="BỂ_TỰ_HOẠI4"/>
      <sheetName val="THƯ_VIỆN_MẪU4"/>
      <sheetName val="1_LIST_NTCV4"/>
      <sheetName val="2_BB_LÂY_MẪU4"/>
      <sheetName val="3__YCNT_CV4"/>
      <sheetName val="4__BBNT_VLĐV4"/>
      <sheetName val="Muc_luc4"/>
      <sheetName val="61__Lan_can_an_toàn_NB4"/>
      <sheetName val="62__Lan_can_an_toan4"/>
      <sheetName val="Nhat_ky_thi_cong_chong_tham4"/>
      <sheetName val="56_3_BBNTNB_MÓNG_CT4"/>
      <sheetName val="56_4_BBNT_MÓNG_CT4"/>
      <sheetName val="4__NSC_Summary5"/>
      <sheetName val="1_Certificate5"/>
      <sheetName val="Priced_BOQ5"/>
      <sheetName val="Dinh_muc_CP_KTCB_khac5"/>
      <sheetName val="TH_May_TC5"/>
      <sheetName val="KLDT_DIEN5"/>
      <sheetName val="PTVT_DIEN5"/>
      <sheetName val="TH_kinh_phi5"/>
      <sheetName val="Thong_ke_thiet_bi5"/>
      <sheetName val="TH_vat_tu5"/>
      <sheetName val="工事概要(Project_Outline)・G1記入欄4"/>
      <sheetName val="TONG_HOP5"/>
      <sheetName val="Hệ_số_và_tỷ_giá5"/>
      <sheetName val="BAO_GIA5"/>
      <sheetName val="CPC_(phuc_vu_tinh_cost)5"/>
      <sheetName val="Chi_phi_gian_tiep5"/>
      <sheetName val="HD_HS_NGHIỆM_THU3"/>
      <sheetName val="LIST_NT_CV3"/>
      <sheetName val="LIST_NT_CV_(2)3"/>
      <sheetName val="LIST_NT_CV_(3)3"/>
      <sheetName val="LIST_BT3"/>
      <sheetName val="LIST_CAP_DUL3"/>
      <sheetName val="LIST_BT_(2)3"/>
      <sheetName val="2__YCNT_CV3"/>
      <sheetName val="5__LAY_MAU_VL3"/>
      <sheetName val="6__BBNTNB_VLĐV3"/>
      <sheetName val="7__BBNT_VLĐV3"/>
      <sheetName val="52__BBNTNB_LD_GIAO_BC3"/>
      <sheetName val="53__BBNT_LD_GIAO_BC3"/>
      <sheetName val="8__BBNTNB_TRAC_DAC3"/>
      <sheetName val="9__BBNT_TRAC_DAC3"/>
      <sheetName val="10__BBNTNB_DAO_DAT3"/>
      <sheetName val="11__BBNT_DAO_DAT3"/>
      <sheetName val="12_BBNTNB_LAP_DAT3"/>
      <sheetName val="13__BBNT_LAP_DAT3"/>
      <sheetName val="14__BBNTNB_ÉP_CỪ3"/>
      <sheetName val="15__BBNT_ÉP_CỪ3"/>
      <sheetName val="16__BBNTNB_COT_THEP3"/>
      <sheetName val="17__BBNT_COT_THEP3"/>
      <sheetName val="18__BBNTNB_VÁN_KHUÔN3"/>
      <sheetName val="19__BBNT_VÁN_KHUÔN3"/>
      <sheetName val="20__BBNTNB_ĐỔ_BT3"/>
      <sheetName val="21__BBNT_ĐỔ_BT3"/>
      <sheetName val="24__BBNTNB_CKBT3"/>
      <sheetName val="25__BBNT_CKBT3"/>
      <sheetName val="26_BBNTNB_BT_lót3"/>
      <sheetName val="27__BBNT_BT_lót3"/>
      <sheetName val="28__BBNTNB_KHOAN_CẤY_THÉP3"/>
      <sheetName val="29__BBNT_KHOAN_CẤY_THÉP3"/>
      <sheetName val="29_1_BBNTNB_BULONG_HC3"/>
      <sheetName val="29_2_BBNT_BULONG_HC3"/>
      <sheetName val="30__BBNTNB_GIA_CONG_KCT3"/>
      <sheetName val="31__BBNT_GIA_CONG_KCT3"/>
      <sheetName val="31_1__BBNTNB_CK_KCT3"/>
      <sheetName val="31_2__BBNT_CK_KCT3"/>
      <sheetName val="32__BBNTNB_LẮP_DỰNG_KCT3"/>
      <sheetName val="33__BBNT_LẮP_DỰNG_KCT3"/>
      <sheetName val="34__BBNTNB_THAO_DO_KCT3"/>
      <sheetName val="35__BBNT_THAO_DO_KCT3"/>
      <sheetName val="36__BBNTNB_SƠN_KCT3"/>
      <sheetName val="37__BBNT_SƠN_KCT3"/>
      <sheetName val="38__BBNTNB_ĐỤC_BT3"/>
      <sheetName val="39__BBNT_ĐỤC_BT3"/>
      <sheetName val="40__BBNTNB_CT_XÂY3"/>
      <sheetName val="41__BBNT_CT_XÂY3"/>
      <sheetName val="41_1__BBLM_VUA_XAY3"/>
      <sheetName val="42__BBNTNB_CT_TRÁT3"/>
      <sheetName val="43__BBNT_CT_TRÁT3"/>
      <sheetName val="42_1__BBLM_VUA_TRAT3"/>
      <sheetName val="44__BBNTNB_CT_CHỐNG_THẤM3"/>
      <sheetName val="45__BBNT_CT_CHỐNG_THẤM3"/>
      <sheetName val="46_BBNTNB_phá_dỡ3"/>
      <sheetName val="47__BBNT_phá_dỡ3"/>
      <sheetName val="48_BBNTNB_LD_hàng_rào3"/>
      <sheetName val="49__BBNT_LD_hang_rao3"/>
      <sheetName val="50__BBNTNB_ĐMHT3"/>
      <sheetName val="51__BBNT_ĐMHT3"/>
      <sheetName val="54__BBNTNB_LD_GIAO_CHONG3"/>
      <sheetName val="55__BBNT_LD_GIAO_CHONG3"/>
      <sheetName val="56_1_BBNTNB_MM,TB3"/>
      <sheetName val="56_2_BBNT_MM,TB3"/>
      <sheetName val="56_3_BBNTNB_LD_CT3"/>
      <sheetName val="56_4_BBNT_LD_CT3"/>
      <sheetName val="57__BBNTNB_TD_CT_THÁP3"/>
      <sheetName val="58__BBNT_TD_CT_THÁP3"/>
      <sheetName val="59__BBNTNB_LD_VT3"/>
      <sheetName val="60__BBNT_LD_VT3"/>
      <sheetName val="61__BBNTNB_DAM_DAT3"/>
      <sheetName val="62__BBNT_DAM_DAT3"/>
      <sheetName val="63__BBNTNB_VS_DINH_COT3"/>
      <sheetName val="64__BBNT_VS_DINH_COT3"/>
      <sheetName val="65_BBNTNB_LAP_CAP3"/>
      <sheetName val="66_BBNT_LAP_CAP_3"/>
      <sheetName val="66_1BBNTNB_KEO_CAP3"/>
      <sheetName val="66_2BBNT_KEO_CAP3"/>
      <sheetName val="67_TH_KQ_CANG_KEO3"/>
      <sheetName val="67_1_BAO_CAO_CANG_KEO3"/>
      <sheetName val="67_2_THEO_DOI_CANG_CAP3"/>
      <sheetName val="68_1BBNTNB_BOM_VUA3"/>
      <sheetName val="68_2BBNT_BOM_VUA3"/>
      <sheetName val="69_BOM_VUA3"/>
      <sheetName val="70__BBNTNB_VACH_TC3"/>
      <sheetName val="71__BBNT_VACH_TC3"/>
      <sheetName val="72__BBNTNB_VC_VL3"/>
      <sheetName val="73__BBNT_VC_VL3"/>
      <sheetName val="74__BBNTNB_VC_PT3"/>
      <sheetName val="75__BBNT_VC_PT3"/>
      <sheetName val="75_1_BBNTNB_LUOI_CHONG_BUI3"/>
      <sheetName val="75_2_BBNT_LUOI_CHONG_BUI3"/>
      <sheetName val="75_3_BBNTNB_LUOI_CHONG_VAT_ROI3"/>
      <sheetName val="75_4_BBNT_LUOI_CHONG_VAT_ROI3"/>
      <sheetName val="75_5_BBNTNB_LAN_CAN3"/>
      <sheetName val="75_6_BBNT_LAN_CAN_AT3"/>
      <sheetName val="75_7_BBNTNB_CT_TAM3"/>
      <sheetName val="75_8_BBNT_CT_TAM3"/>
      <sheetName val="76_1_BBNTNB_LD_SLEEVES3"/>
      <sheetName val="76_2_BBNT_LD_SLEEVES3"/>
      <sheetName val="1__LỊCH_NTHN3"/>
      <sheetName val="LIST_BT_lót3"/>
      <sheetName val="3_PHÊ_DUYÊT_THAU_PHỤ3"/>
      <sheetName val="4_PHÊ_DUYÊT_VẬT_LIỆU3"/>
      <sheetName val="6__BBNT_VLĐV3"/>
      <sheetName val="7__BBNT_TRAC_DAC3"/>
      <sheetName val="1_LIST_NGHIỆM_THU3"/>
      <sheetName val="1_1_LIST_BT3"/>
      <sheetName val="2__YCNT_LIST_3"/>
      <sheetName val="3__BBNT_ĐÀO_ĐẤT3"/>
      <sheetName val="4__BBNT_ĐỔ_BT_LÓT3"/>
      <sheetName val="4_1__BBNT_CẮT_CỌC3"/>
      <sheetName val="4_2__BBNT_ĐỔ_BT_ĐẦU_CỌC3"/>
      <sheetName val="5__BBNT_ĐẮP_ĐÁT,CÁT,ĐÁ,BASE3"/>
      <sheetName val="6__BBNT_TRAI_PVC3"/>
      <sheetName val="7__BBNT_CỐT_THÉP3"/>
      <sheetName val="8__BBNT_VÁN_KHUÔN3"/>
      <sheetName val="9__BBNT_ĐỔ_BT3"/>
      <sheetName val="10__BBNT_KHOAN_CẤY_THÉP3"/>
      <sheetName val="11__BBNT_chống_thấm3"/>
      <sheetName val="12__BBNT_CKBT3"/>
      <sheetName val="13__BBNT_GIA_CÔNG_KCT3"/>
      <sheetName val="14__BBNT_SƠN_KCT3"/>
      <sheetName val="15__BBNT_LẮP_DỰNG_KCT3"/>
      <sheetName val="16__BBNT_CT_XÂY3"/>
      <sheetName val="17__BBNT_CT_TRÁT3"/>
      <sheetName val="18__BBNT_ĐMHT3"/>
      <sheetName val="11__BBNT_ÉP_CỌC_TRE(LIST_4)3"/>
      <sheetName val="12_Theo_doi_do_BT_LÓT3"/>
      <sheetName val="18__BBNT_CKBT3"/>
      <sheetName val="16_Theo_doi_do_BT3"/>
      <sheetName val="17__BBLM_BT_3"/>
      <sheetName val="20__BBNT_CT_XÂY3"/>
      <sheetName val="21__BBNT_CT_TRÁT3"/>
      <sheetName val="22_BBNT_BPCT3"/>
      <sheetName val="23_BBNT_HT_BG3"/>
      <sheetName val="4__BBNT_ÉP_CỌC_TRE3"/>
      <sheetName val="5__BBNT_GIA_CỐ,SAN_LẤP3"/>
      <sheetName val="6__BBNT_ĐỔ_BT_LÓT3"/>
      <sheetName val="10__BBNT_CT_XÂY3"/>
      <sheetName val="11__BBNT_CT_TRÁT3"/>
      <sheetName val="Bóc_KL4"/>
      <sheetName val="D_&amp;_W_sizes4"/>
      <sheetName val="Currency_Rate4"/>
      <sheetName val="GR_slab-reinft4"/>
      <sheetName val="SPT_vs_PHI4"/>
      <sheetName val="Kiem_tra4"/>
      <sheetName val="THCP_(2)4"/>
      <sheetName val="TKC_U5-_SH4"/>
      <sheetName val="TKC_U5-_BH4"/>
      <sheetName val="U5,11,13_(1B)-SH4"/>
      <sheetName val="U_17-BH4"/>
      <sheetName val="U_24,_U_25-BH4"/>
      <sheetName val="U_32-BH4"/>
      <sheetName val="tk_thep4"/>
      <sheetName val="DANH_MỤC4"/>
      <sheetName val="VPCT-F20102a_004"/>
      <sheetName val="BXNTT_-024"/>
      <sheetName val="BXNTT_-034"/>
      <sheetName val="MA_K_HANG4"/>
      <sheetName val="BẢNG_ÁP_GIÁ_(in)4"/>
      <sheetName val="NT_(KL)_IN4"/>
      <sheetName val="DOM_D24"/>
      <sheetName val="nhà_ăn4"/>
      <sheetName val="Công_nhật4"/>
      <sheetName val="btkt_cột4"/>
      <sheetName val="CT_-THVLNC4"/>
      <sheetName val="Tien_do_TV4"/>
      <sheetName val="CP_Du_phong4"/>
      <sheetName val="THCP_Lap_dat4"/>
      <sheetName val="THCP_xay_dung4"/>
      <sheetName val="Tong_hop_kinh_phi4"/>
      <sheetName val="THDT_goi_thau_TB4"/>
      <sheetName val="TH_thiet_bi4"/>
      <sheetName val="DM_Chi_phi4"/>
      <sheetName val="Bang_khoi_luong4"/>
      <sheetName val="worksheet_inchican4"/>
      <sheetName val="combined_9-304"/>
      <sheetName val="Tro_giup3"/>
      <sheetName val="GOC-KO_IN3"/>
      <sheetName val="HRG_BHN3"/>
      <sheetName val="KL_san_lap3"/>
      <sheetName val="Summary_VE-PTA_0063"/>
      <sheetName val="PHU_LUC_013"/>
      <sheetName val="Đầu_vào3"/>
      <sheetName val="E__Factory3"/>
      <sheetName val="VT_NC_M3"/>
      <sheetName val="Thông_số_DT_khu_B3"/>
      <sheetName val="Building_Summary2"/>
      <sheetName val="Kl_trát_tang_123"/>
      <sheetName val="Bill_1_Prelim3"/>
      <sheetName val="Bill_2_Bored_Pile3"/>
      <sheetName val="2g_TinhGiaNC3"/>
      <sheetName val="2d_TH_Vat_tu3"/>
      <sheetName val="2h_TinhGiaMTC3"/>
      <sheetName val="2f_TH_MTC3"/>
      <sheetName val="2e_TH_N_Cong3"/>
      <sheetName val="2a_TH_Kinh_phi3"/>
      <sheetName val="2b_Bang_KL3"/>
      <sheetName val="2c_Phan_tich3"/>
      <sheetName val="Ｎｏ_133"/>
      <sheetName val="AHSB_Assessment3"/>
      <sheetName val="Q'ty_thép_dầm_(Mr_Hanht2)2"/>
      <sheetName val="Direct_Labor_Cost2"/>
      <sheetName val="THÉP_ĐÀI_THANG_MÁY2"/>
      <sheetName val="So_sanh2"/>
      <sheetName val="Phuong_an_mong_be2"/>
      <sheetName val="KLCT_xay_to2"/>
      <sheetName val="Phuong_an_mong_coc2"/>
      <sheetName val="Tổng_hợp_GTHT3"/>
      <sheetName val="B_Giá_trị_HT_Dome-G3"/>
      <sheetName val="C_Giá_trị_HT_Dome-H3"/>
      <sheetName val="BOQ_DOME_G3"/>
      <sheetName val="Phòng_4_SV3"/>
      <sheetName val="Phòng_2_SV3"/>
      <sheetName val="Phòng_bảo_vệ3"/>
      <sheetName val="Hành_lang,_cầu_thang,_phòng_đệ3"/>
      <sheetName val="Thang_máng_và_cáp_điện_tủ_tầng3"/>
      <sheetName val="Thiết_bị3"/>
      <sheetName val="Chống_sét_và_tiếp_địa3"/>
      <sheetName val="Đặt_chờ_báo_cháy3"/>
      <sheetName val="Đặt_chờ_mạng3"/>
      <sheetName val="5i_Summary2"/>
      <sheetName val="5ii_B1-Prelims2"/>
      <sheetName val="5iii_SOP2"/>
      <sheetName val="5iii_B2_Ext-BOQ2"/>
      <sheetName val="5iii_B3_Int-SOP2"/>
      <sheetName val="Main_Feeder2"/>
      <sheetName val="PE_Wire2"/>
      <sheetName val="co_cot2"/>
      <sheetName val="cot_lau_12"/>
      <sheetName val="cot_L22"/>
      <sheetName val="cot_L32"/>
      <sheetName val="cot_tret2"/>
      <sheetName val="dam_L12"/>
      <sheetName val="dam_L22"/>
      <sheetName val="dam_l_32"/>
      <sheetName val="san_mai2"/>
      <sheetName val="san_tret2"/>
      <sheetName val="Elemental_Breakdown+20%1"/>
      <sheetName val="Phan_tich_DG1"/>
      <sheetName val="HS_cam_sua1"/>
      <sheetName val="MCH_0920201"/>
      <sheetName val="TT_DZ351"/>
      <sheetName val="DM_DU_AN1"/>
      <sheetName val="DM_TP_1"/>
      <sheetName val="File_Chi_tiet1"/>
      <sheetName val="Buy_vs__Lease_Car1"/>
      <sheetName val="THEO_DÕI_BT1"/>
      <sheetName val="Don_gia_chi_tiet1"/>
      <sheetName val="Chi_tiet_gia_DT1"/>
      <sheetName val="Gia_DT_bo_Sung1"/>
      <sheetName val="PT_gia_DT1"/>
      <sheetName val="Phan_tich_vat_tu1"/>
      <sheetName val="PTgia_DT_BS1"/>
      <sheetName val="Biện_pháp_thi_công1"/>
      <sheetName val="Du_Thau1"/>
      <sheetName val="Sat_tron1"/>
      <sheetName val="BOQ_Piling1"/>
      <sheetName val="Detail_Piling1"/>
      <sheetName val="Summary_HD003_1"/>
      <sheetName val="Summary_Pilling1"/>
      <sheetName val="Quantity_-_Pile1"/>
      <sheetName val="Summary_Civiling1"/>
      <sheetName val="Quantity_-_Civil1"/>
      <sheetName val="Detail_Civiling-rev011"/>
      <sheetName val="Summary_Civiling_add_1"/>
      <sheetName val="Quantity_-_Civil_add_1"/>
      <sheetName val="Detail_Civil_add_1"/>
      <sheetName val="Rebar-civil_add1"/>
      <sheetName val="Summary_Building_1"/>
      <sheetName val="Quantity_-_Building_1"/>
      <sheetName val="Detail_Building__1"/>
      <sheetName val="Summary-WO_1"/>
      <sheetName val="Summary_Building1"/>
      <sheetName val="BOQ_Building1"/>
      <sheetName val="Detail_Building1"/>
      <sheetName val="PKG_C_PP1"/>
      <sheetName val="Cost_Definition1"/>
      <sheetName val="Detail_Rebar_(Building)1"/>
      <sheetName val="Biet_thu_Miền_Bắc1"/>
      <sheetName val="OVERALL_SUMMARY_1"/>
      <sheetName val="NET_Sum1"/>
      <sheetName val="Staff_Acco_1"/>
      <sheetName val="CP_&amp;_BT1"/>
      <sheetName val="MTO_REV_2_ARMOR_1"/>
      <sheetName val="Cst_Pkg-Eden1"/>
      <sheetName val="Bill_No_1_101"/>
      <sheetName val="Bill_No_1_121"/>
      <sheetName val="Bill_No_1_41"/>
      <sheetName val="Bill_No_1_51"/>
      <sheetName val="Bill_No_1_71"/>
      <sheetName val="Bill_No_1_81"/>
      <sheetName val="Bill_No_1_91"/>
      <sheetName val="Bill_No_1_31"/>
      <sheetName val="Bill_No_1_61"/>
      <sheetName val="Bill_No_3_11"/>
      <sheetName val="Bill_No_3_21"/>
      <sheetName val="Bill_No_3_31"/>
      <sheetName val="Summary_Bill_No__11"/>
      <sheetName val="Summary_Bill_No__31"/>
      <sheetName val="May_TC1"/>
      <sheetName val="Phan_tich1"/>
      <sheetName val="DM_ChiPhi1"/>
      <sheetName val="TOWER_10TON1"/>
      <sheetName val="TOWER_12TON1"/>
      <sheetName val="04_PLUMBING1"/>
      <sheetName val="2 Bang tong hop gia tri"/>
      <sheetName val="NVL"/>
      <sheetName val="DENSITY"/>
      <sheetName val="Sàn tầng 01 ( old )"/>
      <sheetName val="Lỗ thông gió"/>
      <sheetName val="Thoat nuoc"/>
      <sheetName val="Block A-FlrBm(Conc&amp;Fwk)"/>
      <sheetName val="mw"/>
      <sheetName val="Quo. 1"/>
      <sheetName val="ChiTietThepNhapVeCT"/>
      <sheetName val="hinhhoc"/>
      <sheetName val="MTP1"/>
      <sheetName val="B.Tinh CPVC"/>
      <sheetName val="B4. Bang CUOCVC QD 29-2006"/>
      <sheetName val="B. Chon cu ly"/>
      <sheetName val="Bia du toan"/>
      <sheetName val="thong so"/>
      <sheetName val="Bieu TH"/>
      <sheetName val="264"/>
      <sheetName val="STR"/>
      <sheetName val="_______-BLDG"/>
      <sheetName val="BOQ KL"/>
      <sheetName val="Bech_Lab"/>
      <sheetName val="Master"/>
      <sheetName val="HS"/>
      <sheetName val="ironmongery"/>
      <sheetName val="4)유동표"/>
      <sheetName val="Analisa &amp; Upah"/>
      <sheetName val="BTCT"/>
      <sheetName val="Material HT"/>
      <sheetName val="Material KC"/>
      <sheetName val="Cam xoa"/>
      <sheetName val="Gia"/>
      <sheetName val="CTKL"/>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refreshError="1"/>
      <sheetData sheetId="219" refreshError="1"/>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refreshError="1"/>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refreshError="1"/>
      <sheetData sheetId="585" refreshError="1"/>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refreshError="1"/>
      <sheetData sheetId="605"/>
      <sheetData sheetId="606"/>
      <sheetData sheetId="607"/>
      <sheetData sheetId="608"/>
      <sheetData sheetId="609"/>
      <sheetData sheetId="610"/>
      <sheetData sheetId="611"/>
      <sheetData sheetId="612"/>
      <sheetData sheetId="613"/>
      <sheetData sheetId="614"/>
      <sheetData sheetId="615"/>
      <sheetData sheetId="616"/>
      <sheetData sheetId="617" refreshError="1"/>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refreshError="1"/>
      <sheetData sheetId="704" refreshError="1"/>
      <sheetData sheetId="705" refreshError="1"/>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refreshError="1"/>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sheetData sheetId="1187"/>
      <sheetData sheetId="1188"/>
      <sheetData sheetId="1189"/>
      <sheetData sheetId="1190"/>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refreshError="1"/>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sheetData sheetId="1546"/>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sheetData sheetId="2099"/>
      <sheetData sheetId="2100"/>
      <sheetData sheetId="2101" refreshError="1"/>
      <sheetData sheetId="2102" refreshError="1"/>
      <sheetData sheetId="2103" refreshError="1"/>
      <sheetData sheetId="2104"/>
      <sheetData sheetId="2105" refreshError="1"/>
      <sheetData sheetId="2106" refreshError="1"/>
      <sheetData sheetId="2107" refreshError="1"/>
      <sheetData sheetId="2108" refreshError="1"/>
      <sheetData sheetId="2109" refreshError="1"/>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refreshError="1"/>
      <sheetData sheetId="2607" refreshError="1"/>
      <sheetData sheetId="2608" refreshError="1"/>
      <sheetData sheetId="2609" refreshError="1"/>
      <sheetData sheetId="2610" refreshError="1"/>
      <sheetData sheetId="2611" refreshError="1"/>
      <sheetData sheetId="2612" refreshError="1"/>
      <sheetData sheetId="2613"/>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refreshError="1"/>
      <sheetData sheetId="2636" refreshError="1"/>
      <sheetData sheetId="2637" refreshError="1"/>
      <sheetData sheetId="2638" refreshError="1"/>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T"/>
      <sheetName val="BQ-MEC"/>
      <sheetName val="pr"/>
      <sheetName val="profit.Const"/>
      <sheetName val="SITE-E"/>
      <sheetName val="Sheet1"/>
      <sheetName val="MAKER"/>
      <sheetName val="SITE_E"/>
      <sheetName val="FORM X COST"/>
      <sheetName val="DAF-2"/>
      <sheetName val="H.Satuan"/>
      <sheetName val="EST. SERVICEHEATEXCHANGER-ATD"/>
      <sheetName val="Cover Daf-2"/>
      <sheetName val="Analisa"/>
      <sheetName val="Civil Costs"/>
      <sheetName val="Piperate"/>
      <sheetName val="LOADDAT"/>
      <sheetName val="Fill this out first..."/>
      <sheetName val="Clm"/>
      <sheetName val="Balok Slab"/>
      <sheetName val="ESCON"/>
      <sheetName val="Pas. Bata"/>
      <sheetName val="flafond"/>
      <sheetName val="kusen lt2-3"/>
      <sheetName val="kusen"/>
      <sheetName val="ukuran kusen"/>
      <sheetName val="lantai"/>
      <sheetName val="FABCOST"/>
      <sheetName val="OVERHEAD"/>
      <sheetName val="ERCN"/>
      <sheetName val="DATA HARGA"/>
      <sheetName val="AHSAT"/>
      <sheetName val="AHSATBAJA"/>
      <sheetName val="AHSATATAP"/>
      <sheetName val="ERCN ATAP COST"/>
      <sheetName val="PAINT"/>
      <sheetName val="Policy"/>
      <sheetName val="TENDERBOND"/>
      <sheetName val="SUB-KONT"/>
      <sheetName val="SPH"/>
      <sheetName val="Rekap boq"/>
      <sheetName val="I.Persiapan"/>
      <sheetName val="3.1 STR BETON GD UTAMA"/>
      <sheetName val="3.2 STR BETON PH"/>
      <sheetName val="3.3 STR BAJA"/>
      <sheetName val="TAM-KUR STR"/>
      <sheetName val="4.1. DINDING"/>
      <sheetName val="4.2.PINTU &amp; Jendela"/>
      <sheetName val="4.3. Lantai"/>
      <sheetName val="4.4. Plapond"/>
      <sheetName val="4.5. SANITAIR"/>
      <sheetName val="4.6. lain-lain"/>
      <sheetName val="4.7 ARSITEKTUR (POWER HOUSE)"/>
      <sheetName val="7.3. tam-Kur ARS"/>
      <sheetName val="catatan"/>
      <sheetName val="Cover ME"/>
      <sheetName val="5.1.ELEKTRIKAL-ELEKTRONIK"/>
      <sheetName val="COV-Plumbing"/>
      <sheetName val="Plumbing"/>
      <sheetName val="Cover"/>
      <sheetName val="PEMADAM KEBAKARAN"/>
      <sheetName val="UNIT AC"/>
      <sheetName val="UNIT FAN"/>
      <sheetName val="INSTALASI (2)"/>
      <sheetName val="PENJUMLAHAN TATA UDARA"/>
      <sheetName val="5.5 - ELEKTRONIK"/>
      <sheetName val="6-Pek. Luar"/>
      <sheetName val="HIT AREA LUAR"/>
      <sheetName val="Luas Bangunan"/>
      <sheetName val="Fill this out first___"/>
      <sheetName val="profit_Const"/>
      <sheetName val="FORM_X_COST"/>
      <sheetName val="H_Satuan"/>
      <sheetName val="EST__SERVICEHEATEXCHANGER-ATD"/>
      <sheetName val="Cover_Daf-2"/>
      <sheetName val="Fill_this_out_first___"/>
      <sheetName val="Civil_Costs"/>
      <sheetName val="ﾃｨｰﾁﾝｸﾞ"/>
      <sheetName val="profit_Const1"/>
      <sheetName val="FORM_X_COST1"/>
      <sheetName val="H_Satuan1"/>
      <sheetName val="Fill_this_out_first___1"/>
      <sheetName val="EST__SERVICEHEATEXCHANGER-ATD1"/>
      <sheetName val="Cover_Daf-21"/>
      <sheetName val="Civil_Costs1"/>
      <sheetName val="equipment"/>
      <sheetName val="BAHAN"/>
      <sheetName val="Foundation"/>
      <sheetName val="Pile"/>
      <sheetName val="TB"/>
      <sheetName val="Breakdown Architecture"/>
      <sheetName val="Breakdown Structure"/>
      <sheetName val="GB"/>
      <sheetName val="Ring Balok"/>
      <sheetName val="Slab"/>
      <sheetName val="BAG_III"/>
      <sheetName val="Harga ME "/>
      <sheetName val="FINISHING"/>
      <sheetName val="STRUKTUR"/>
      <sheetName val="co2_data"/>
      <sheetName val="ac_data"/>
      <sheetName val="I-KAMAR"/>
      <sheetName val="villa"/>
      <sheetName val="harsat"/>
      <sheetName val="Hardas"/>
      <sheetName val="MAPDC"/>
      <sheetName val="Teq.an"/>
      <sheetName val="Teq.an.ccrt"/>
      <sheetName val="Teq.an.Stone"/>
      <sheetName val="BOQ"/>
      <sheetName val="An.Earth"/>
      <sheetName val="An.Ls "/>
      <sheetName val="Data"/>
      <sheetName val="New MADC"/>
      <sheetName val="struktur tdk dipakai"/>
      <sheetName val="Pipe"/>
      <sheetName val="Rekap"/>
      <sheetName val="Sag1"/>
      <sheetName val="Analisa &amp; Upah"/>
      <sheetName val="Elektrikal"/>
      <sheetName val="SEX"/>
      <sheetName val="CONSUMABLE"/>
      <sheetName val="Daftar berat"/>
      <sheetName val="Analisa _ Upah"/>
      <sheetName val="RAP"/>
      <sheetName val="Bhn"/>
      <sheetName val="HRG BHN"/>
      <sheetName val="ch"/>
      <sheetName val="BQ"/>
      <sheetName val="Arc Analysis"/>
      <sheetName val="An Str"/>
      <sheetName val="DAFTAR HARGA"/>
      <sheetName val="harsat_str"/>
      <sheetName val="Koef"/>
      <sheetName val="ALEK"/>
      <sheetName val="daf_3_OK_"/>
      <sheetName val="daf_7_OK_"/>
      <sheetName val="BQ-IABK"/>
      <sheetName val="Fins-Beng&amp;Fas"/>
      <sheetName val="JAN2002"/>
      <sheetName val="Bill sipil"/>
      <sheetName val="A"/>
      <sheetName val="Analisa _Baku"/>
      <sheetName val="BQNSC"/>
      <sheetName val="Rekap Direct Cost"/>
      <sheetName val="price"/>
      <sheetName val="ARSITEKTUR"/>
      <sheetName val="Material&amp;Alat"/>
      <sheetName val="DB"/>
      <sheetName val="REF.ONLY"/>
      <sheetName val="Penunjang"/>
      <sheetName val="BAG-III"/>
      <sheetName val="AN-ME"/>
      <sheetName val="BQ ME"/>
      <sheetName val="data RSUD KIS"/>
      <sheetName val="Bahan-Upah"/>
      <sheetName val="BAU"/>
      <sheetName val="HSD"/>
      <sheetName val="SCHEDULE"/>
      <sheetName val="Database"/>
      <sheetName val="BQ Stdr"/>
      <sheetName val="inp.data"/>
      <sheetName val="AP-2_Ars"/>
      <sheetName val="MPH_Ars"/>
      <sheetName val="PKP_Ars"/>
      <sheetName val="PLN_Ars"/>
      <sheetName val="Tower_Ars"/>
      <sheetName val="Str-AP2"/>
      <sheetName val="Str-MPH"/>
      <sheetName val="Str-PKP"/>
      <sheetName val="Str-PLN"/>
      <sheetName val="Str-TWR"/>
      <sheetName val="ANALIS"/>
      <sheetName val="Pendahuluan"/>
      <sheetName val="BILL"/>
      <sheetName val="Unit Rate"/>
      <sheetName val="부하계산서"/>
      <sheetName val="Sheet"/>
      <sheetName val="Piping"/>
      <sheetName val="div7"/>
      <sheetName val="rab"/>
      <sheetName val="div2"/>
      <sheetName val="analisa Str"/>
      <sheetName val="Material"/>
      <sheetName val="Daftar Upah"/>
      <sheetName val="Steel Pipe"/>
      <sheetName val="External PVC, PPR, HDPE"/>
      <sheetName val="Internal PVC, PPR, HDPE"/>
      <sheetName val="GI Sheet"/>
      <sheetName val="satuan_pek_ars"/>
      <sheetName val="Harga Satuan"/>
      <sheetName val="Daf 1"/>
      <sheetName val="Total Load List"/>
      <sheetName val="Currency Rate"/>
      <sheetName val="4"/>
      <sheetName val="An-Alat"/>
      <sheetName val="BAG-2"/>
      <sheetName val="Summary Sheets"/>
      <sheetName val="RFP007"/>
      <sheetName val="RFP006"/>
      <sheetName val="RFP002"/>
      <sheetName val="RFP009"/>
      <sheetName val="BQ-E20-02(Rp)"/>
      <sheetName val="Index"/>
      <sheetName val="E_TRIKAL"/>
      <sheetName val="E_TRONIK"/>
      <sheetName val="MEK"/>
      <sheetName val="ANAL_HPS"/>
      <sheetName val="Rekap1"/>
      <sheetName val="ARSITEK"/>
      <sheetName val="ARS ADM"/>
      <sheetName val="csdim"/>
      <sheetName val="cdsload"/>
      <sheetName val="chsload"/>
      <sheetName val="Code 02"/>
      <sheetName val="Code 03"/>
      <sheetName val="Code 04"/>
      <sheetName val="Code 05"/>
      <sheetName val="Code 06"/>
      <sheetName val="Code 07"/>
      <sheetName val="Code 09"/>
      <sheetName val="CLAMP"/>
      <sheetName val="cvsload"/>
      <sheetName val="RAB-ARS"/>
      <sheetName val="PileCap "/>
      <sheetName val="Tie Beam"/>
      <sheetName val="RAB Str "/>
      <sheetName val="Daf-III.1 Dinding-TA"/>
      <sheetName val="Daf-III.2 Pintu Jendela TA"/>
      <sheetName val="REKAPITULASI AKHIR"/>
      <sheetName val="Daf-III.6 Lain-lain TA"/>
      <sheetName val="Daf-VA ( TAMBAH KURANG TA)"/>
      <sheetName val="Daf-II.2 (Beton) TA"/>
      <sheetName val="ES_aLL"/>
      <sheetName val="tifico"/>
      <sheetName val="Bill 5 Summary"/>
      <sheetName val="PNT-QUOT-#3"/>
      <sheetName val="COAT&amp;WRAP-QIOT-#3"/>
      <sheetName val="Upah"/>
      <sheetName val="Bill 3"/>
      <sheetName val="ANALISA SNI'13 "/>
      <sheetName val="Harga"/>
      <sheetName val="RkpTotal"/>
      <sheetName val="dATA pc"/>
      <sheetName val="Kolom TG 2"/>
      <sheetName val="DETAIL BALOK"/>
      <sheetName val="DETAIL KOLOM"/>
      <sheetName val="2. MVAC R1"/>
      <sheetName val="BQ F"/>
      <sheetName val="Harga Bahan &amp; Upah "/>
      <sheetName val="AC"/>
      <sheetName val="Rekapitulasi"/>
      <sheetName val="hbaup"/>
      <sheetName val="Budget Code"/>
      <sheetName val="Quantity"/>
      <sheetName val="analisa SNI"/>
      <sheetName val="kin_OLP_xxx"/>
      <sheetName val="BQ-ME"/>
      <sheetName val="MUA"/>
      <sheetName val="analisa prelim"/>
      <sheetName val="AHS"/>
      <sheetName val="D&amp;W"/>
      <sheetName val="Lantai Semibasement"/>
      <sheetName val="Lantai 1"/>
      <sheetName val="Lantai 1A"/>
      <sheetName val="Lantai 2"/>
      <sheetName val="Lantai 3"/>
      <sheetName val="Lantai 4"/>
      <sheetName val="Lantai 5"/>
      <sheetName val="Lantai 6"/>
      <sheetName val="Lantai 7"/>
      <sheetName val="Lantai 8"/>
      <sheetName val="Lantai 9"/>
      <sheetName val="Lantai 10"/>
      <sheetName val="Lantai 11"/>
      <sheetName val="Lantai 12"/>
      <sheetName val="Lantai 13"/>
      <sheetName val="Lantai 14"/>
      <sheetName val="Lantai 15"/>
      <sheetName val="Lantai Mesin"/>
      <sheetName val="Facade"/>
      <sheetName val="External"/>
      <sheetName val="Prov. Sum"/>
      <sheetName val="material "/>
      <sheetName val="Cover CKE"/>
      <sheetName val="Summary Mech."/>
      <sheetName val="Mech. BQ"/>
      <sheetName val="A_2"/>
      <sheetName val="P_APRIL 2016"/>
      <sheetName val="A_3"/>
      <sheetName val="Qttn.Report"/>
      <sheetName val="CODE"/>
      <sheetName val="B_2"/>
      <sheetName val="FACTOR"/>
      <sheetName val="CONDITION"/>
      <sheetName val="MENU_LIST"/>
      <sheetName val="COMPANY"/>
      <sheetName val="MTO REV.0"/>
      <sheetName val="351BQMCN"/>
      <sheetName val="profit_Const2"/>
      <sheetName val="H_Satuan2"/>
      <sheetName val="Fill_this_out_first___2"/>
      <sheetName val="Civil_Costs2"/>
      <sheetName val="Fill_this_out_first___3"/>
      <sheetName val="Pas__Bata"/>
      <sheetName val="kusen_lt2-3"/>
      <sheetName val="ukuran_kusen"/>
      <sheetName val="DATA_HARGA"/>
      <sheetName val="ERCN_ATAP_COST"/>
      <sheetName val="Rekap_boq"/>
      <sheetName val="I_Persiapan"/>
      <sheetName val="3_1_STR_BETON_GD_UTAMA"/>
      <sheetName val="3_2_STR_BETON_PH"/>
      <sheetName val="3_3_STR_BAJA"/>
      <sheetName val="TAM-KUR_STR"/>
      <sheetName val="4_1__DINDING"/>
      <sheetName val="4_2_PINTU_&amp;_Jendela"/>
      <sheetName val="4_3__Lantai"/>
      <sheetName val="4_4__Plapond"/>
      <sheetName val="4_5__SANITAIR"/>
      <sheetName val="4_6__lain-lain"/>
      <sheetName val="4_7_ARSITEKTUR_(POWER_HOUSE)"/>
      <sheetName val="7_3__tam-Kur_ARS"/>
      <sheetName val="Cover_ME"/>
      <sheetName val="5_1_ELEKTRIKAL-ELEKTRONIK"/>
      <sheetName val="PEMADAM_KEBAKARAN"/>
      <sheetName val="UNIT_AC"/>
      <sheetName val="UNIT_FAN"/>
      <sheetName val="INSTALASI_(2)"/>
      <sheetName val="PENJUMLAHAN_TATA_UDARA"/>
      <sheetName val="5_5_-_ELEKTRONIK"/>
      <sheetName val="6-Pek__Luar"/>
      <sheetName val="HIT_AREA_LUAR"/>
      <sheetName val="Luas_Bangunan"/>
      <sheetName val="FORM_X_COST2"/>
      <sheetName val="EST__SERVICEHEATEXCHANGER-ATD2"/>
      <sheetName val="Cover_Daf-22"/>
      <sheetName val="Daftar_berat"/>
      <sheetName val="Analisa___Upah"/>
      <sheetName val="Balok_Slab"/>
      <sheetName val="Breakdown_Architecture"/>
      <sheetName val="Breakdown_Structure"/>
      <sheetName val="Harga_ME_"/>
      <sheetName val="Arc_Analysis"/>
      <sheetName val="An_Str"/>
      <sheetName val="Ring_Balok"/>
      <sheetName val="DAFTAR_HARGA"/>
      <sheetName val="REF_ONLY"/>
      <sheetName val="Teq_an"/>
      <sheetName val="Teq_an_ccrt"/>
      <sheetName val="Teq_an_Stone"/>
      <sheetName val="An_Earth"/>
      <sheetName val="An_Ls_"/>
      <sheetName val="Bill_sipil"/>
      <sheetName val="Analisa__Baku"/>
      <sheetName val="Rekap_Direct_Cost"/>
      <sheetName val="Harga_Bahan_&amp;_Upah_"/>
      <sheetName val="ANALISA PEK.UMUM"/>
      <sheetName val="I_KAMAR"/>
      <sheetName val="daftar material"/>
      <sheetName val="SD"/>
      <sheetName val="ANEX1"/>
      <sheetName val="Klm Base"/>
      <sheetName val="B Lt.1a"/>
      <sheetName val="dftr upah"/>
      <sheetName val="Deep Well"/>
      <sheetName val="Pek Luar"/>
      <sheetName val="Mall"/>
      <sheetName val="Parkir"/>
      <sheetName val="an.el"/>
      <sheetName val="An.AC &amp; Plb"/>
      <sheetName val="an. struktur"/>
      <sheetName val="Dashboard"/>
      <sheetName val="BasicPrice"/>
      <sheetName val="concept cost code"/>
      <sheetName val="summary cost code"/>
      <sheetName val="SPK"/>
      <sheetName val="kas proyek"/>
      <sheetName val="lain lain"/>
      <sheetName val="D2.4"/>
      <sheetName val="D3-3"/>
      <sheetName val="D4.3 (TE)"/>
      <sheetName val="D5.3 (TF) "/>
      <sheetName val="D8.3 (TJ)"/>
      <sheetName val="작성기준"/>
      <sheetName val="JADWAL"/>
      <sheetName val="SUMMARY"/>
      <sheetName val="Analisa RAP"/>
      <sheetName val="CekList"/>
      <sheetName val="Sch Tender"/>
      <sheetName val="Analisa RAB"/>
      <sheetName val="Alat"/>
      <sheetName val="Telusur"/>
      <sheetName val="Rekap RAP"/>
      <sheetName val="TOWN"/>
      <sheetName val="Tong hop"/>
      <sheetName val="Input"/>
      <sheetName val="DAF_2"/>
      <sheetName val="hg sat 2"/>
      <sheetName val="hg sat BM"/>
      <sheetName val="DATA WP"/>
      <sheetName val="Lt. 1 (A)"/>
      <sheetName val="analisa_gedung"/>
      <sheetName val="Lab A (FKU)"/>
      <sheetName val="TE TS FA LAN MATV"/>
      <sheetName val="gvl"/>
      <sheetName val="CTG"/>
      <sheetName val="TH kinh phi"/>
      <sheetName val="KLDT DIEN"/>
      <sheetName val="Dinh muc CP KTCB khac"/>
      <sheetName val="VT190111"/>
      <sheetName val="1_MV"/>
      <sheetName val="負荷集計（断熱不燃）"/>
      <sheetName val="CSA Works"/>
      <sheetName val="TKCK"/>
      <sheetName val="갑지"/>
      <sheetName val="Pre."/>
      <sheetName val="RAB AR&amp;STR"/>
      <sheetName val="Cover (x)"/>
      <sheetName val="Cor Apt"/>
      <sheetName val="ThongSo"/>
      <sheetName val="Don gia chi tiet"/>
      <sheetName val="外気負荷"/>
      <sheetName val="B7.ALU.GLASS D&amp;W"/>
      <sheetName val="B3.CONCRETE WORKS"/>
      <sheetName val="B8.FINISHING WORKS"/>
      <sheetName val="B4.MASONRY WORKS"/>
      <sheetName val="B5.METAL WORKS"/>
      <sheetName val="List of Houses"/>
      <sheetName val="B2.SITE WORKS"/>
      <sheetName val="B6.THERMAL&amp;MOITURE"/>
      <sheetName val="Du thau"/>
      <sheetName val="LEGEND"/>
      <sheetName val="入力作成表"/>
      <sheetName val="침하계"/>
      <sheetName val="Unt rate"/>
      <sheetName val="Draft"/>
      <sheetName val="Elemental Breakdown+20%"/>
      <sheetName val="CERT"/>
      <sheetName val="Smry Wk (P I)"/>
      <sheetName val="갑지1"/>
      <sheetName val="GAEYO"/>
      <sheetName val="SUM"/>
      <sheetName val="harga bahan M&amp;E"/>
      <sheetName val="SAT EL"/>
      <sheetName val="BREAKER"/>
      <sheetName val="TOEVOER"/>
      <sheetName val="DETAIL"/>
      <sheetName val="BOW"/>
      <sheetName val="DAF-1"/>
      <sheetName val="KET"/>
      <sheetName val="Mat"/>
      <sheetName val="MATE"/>
      <sheetName val="#REF"/>
      <sheetName val="BASEMENT"/>
      <sheetName val="bahan SNI"/>
      <sheetName val="Bahan "/>
      <sheetName val="Penwrn"/>
      <sheetName val="PO-2"/>
      <sheetName val="Harsat Upah"/>
      <sheetName val="DAFTAR BESI KANAL C SIKU"/>
      <sheetName val="FORM"/>
      <sheetName val="fabrication"/>
      <sheetName val="VLOOKUP"/>
      <sheetName val="ANALISA HARGA ALAT"/>
      <sheetName val="ANAL.MATERIAL+ANGKUT"/>
      <sheetName val="ARL"/>
      <sheetName val="PV"/>
      <sheetName val="CB"/>
      <sheetName val="KBL"/>
      <sheetName val="Urai _Resap pengikat"/>
      <sheetName val="Mtd_Pelak"/>
      <sheetName val="Bill Of Quantity"/>
      <sheetName val="CashFlow"/>
      <sheetName val="ダクト拾･集計"/>
      <sheetName val="1.Requisition(E)"/>
      <sheetName val="TONGKE3p "/>
      <sheetName val="KL chốt LV"/>
      <sheetName val="Du toan"/>
      <sheetName val="Keothep"/>
      <sheetName val="Re-bar"/>
      <sheetName val="TDTKP"/>
      <sheetName val="ADMIN"/>
      <sheetName val="係数"/>
      <sheetName val="6MONTHS"/>
      <sheetName val="New_MADC"/>
      <sheetName val="struktur_tdk_dipakai"/>
      <sheetName val="Analisa_&amp;_Upah"/>
      <sheetName val="HRG_BHN"/>
      <sheetName val="BQ_ME"/>
      <sheetName val="data_RSUD_KIS"/>
      <sheetName val="BQ_Stdr"/>
      <sheetName val="inp_data"/>
      <sheetName val="Unit_Rate"/>
      <sheetName val="analisa_Str"/>
      <sheetName val="Daftar_Upah"/>
      <sheetName val="Steel_Pipe"/>
      <sheetName val="External_PVC,_PPR,_HDPE"/>
      <sheetName val="Internal_PVC,_PPR,_HDPE"/>
      <sheetName val="GI_Sheet"/>
      <sheetName val="Harga_Satuan"/>
      <sheetName val="Daf_1"/>
      <sheetName val="Total_Load_List"/>
      <sheetName val="Currency_Rate"/>
      <sheetName val="Summary_Sheets"/>
      <sheetName val="ARS_ADM"/>
      <sheetName val="Code_02"/>
      <sheetName val="Code_03"/>
      <sheetName val="Code_04"/>
      <sheetName val="Code_05"/>
      <sheetName val="Code_06"/>
      <sheetName val="Code_07"/>
      <sheetName val="Code_09"/>
      <sheetName val="PileCap_"/>
      <sheetName val="Tie_Beam"/>
      <sheetName val="RAB_Str_"/>
      <sheetName val="Daf-III_1_Dinding-TA"/>
      <sheetName val="Daf-III_2_Pintu_Jendela_TA"/>
      <sheetName val="REKAPITULASI_AKHIR"/>
      <sheetName val="Daf-III_6_Lain-lain_TA"/>
      <sheetName val="Daf-VA_(_TAMBAH_KURANG_TA)"/>
      <sheetName val="Daf-II_2_(Beton)_TA"/>
      <sheetName val="Bill_5_Summary"/>
      <sheetName val="Bill_3"/>
      <sheetName val="ANALISA_SNI'13_"/>
      <sheetName val="dATA_pc"/>
      <sheetName val="Kolom_TG_2"/>
      <sheetName val="DETAIL_BALOK"/>
      <sheetName val="DETAIL_KOLOM"/>
      <sheetName val="2__MVAC_R1"/>
      <sheetName val="BQ_F"/>
      <sheetName val="Budget_Code"/>
      <sheetName val="Tong_hop"/>
      <sheetName val="입찰안"/>
      <sheetName val="Ts"/>
      <sheetName val="1.0"/>
      <sheetName val="Phan tho"/>
      <sheetName val="HS"/>
      <sheetName val="NC NEW"/>
      <sheetName val="Hoja 3"/>
      <sheetName val="TB NẶNG"/>
      <sheetName val="BAO CHE"/>
      <sheetName val="TỔNG HỢP"/>
      <sheetName val="AN TOAN"/>
      <sheetName val="Cong tac tam"/>
      <sheetName val="TB CHONG DO (GG chen)"/>
      <sheetName val="Codebase"/>
      <sheetName val="Customer list"/>
      <sheetName val="KJ 2002"/>
      <sheetName val="EE-PROP"/>
      <sheetName val="COA-17"/>
      <sheetName val="C-18"/>
      <sheetName val="AHSbj"/>
      <sheetName val="A+Supl."/>
      <sheetName val="7"/>
      <sheetName val="Pressure Gage Form"/>
      <sheetName val="MEP"/>
      <sheetName val="1.1.Barrette pile"/>
      <sheetName val="Name"/>
      <sheetName val="Bang gia 2011.10.12"/>
      <sheetName val="VT20062016"/>
      <sheetName val="VTLD"/>
      <sheetName val="4 canh"/>
      <sheetName val="Land Dev't. Ph-1"/>
      <sheetName val="조명시설"/>
      <sheetName val="general requirements"/>
      <sheetName val="VLXD"/>
      <sheetName val="Main Package"/>
      <sheetName val="BPTC"/>
      <sheetName val="RATE"/>
      <sheetName val="D4 - PLB"/>
      <sheetName val="P6"/>
      <sheetName val="Duc_bk"/>
      <sheetName val="D) Cabling Installation"/>
      <sheetName val="노임단가"/>
      <sheetName val="BFT"/>
      <sheetName val="Le MERIDIEN"/>
      <sheetName val="MARRIOT"/>
      <sheetName val="NOVOTEL"/>
      <sheetName val="ROYAL"/>
      <sheetName val="SPRING"/>
      <sheetName val="SUNRISE"/>
      <sheetName val="TERUMO"/>
      <sheetName val="UNITED PHARMA"/>
      <sheetName val="Rebar FL 28 add7"/>
      <sheetName val="Finishes applied"/>
      <sheetName val="Room matrix"/>
      <sheetName val="INFO"/>
      <sheetName val="Summary tb"/>
      <sheetName val="Earthwork"/>
      <sheetName val="Chiết tính BS"/>
      <sheetName val="Ｎｏ.13"/>
      <sheetName val="KET CAU CT5"/>
      <sheetName val="Char"/>
      <sheetName val="Elec-ins"/>
      <sheetName val="D &amp; W sizes"/>
      <sheetName val="rekap str_ars"/>
      <sheetName val="BAG_2"/>
      <sheetName val="BQBAS"/>
      <sheetName val="Sub"/>
      <sheetName val="Eq"/>
      <sheetName val="Summary.1"/>
      <sheetName val="Bill 4 Summary"/>
      <sheetName val="sort2"/>
      <sheetName val="DAFTAR HARGA SATUAN MATERIAL"/>
      <sheetName val="RAB-SPL2"/>
      <sheetName val="3"/>
      <sheetName val="ub"/>
      <sheetName val="ut1"/>
      <sheetName val="Anal"/>
      <sheetName val="Fak"/>
      <sheetName val="Rek-Tot"/>
      <sheetName val="an mek"/>
      <sheetName val="upah bahan"/>
      <sheetName val="REKAP C&amp;D"/>
      <sheetName val="Blok C Elektrikal"/>
      <sheetName val="pricing"/>
      <sheetName val="MAPP"/>
      <sheetName val="AnMobilisasi"/>
      <sheetName val="FEN"/>
      <sheetName val="OUT"/>
      <sheetName val="RDPNL"/>
      <sheetName val="RRINN"/>
      <sheetName val="HEM"/>
      <sheetName val="金型重量算出"/>
      <sheetName val="FDPNL"/>
      <sheetName val="FDSKN"/>
      <sheetName val="FFLOOR"/>
      <sheetName val="HFRM"/>
      <sheetName val="HSKN"/>
      <sheetName val="RDSKN"/>
      <sheetName val="RFLOOR"/>
      <sheetName val="ROOF"/>
      <sheetName val="TLSKIN LWR"/>
      <sheetName val="TLFRM"/>
      <sheetName val="TLSKN"/>
      <sheetName val="DAF-BAHAN"/>
      <sheetName val="DAF-UPAH"/>
      <sheetName val="Analisa Gundih"/>
      <sheetName val="TO OFF"/>
      <sheetName val="Analisa  _2_"/>
      <sheetName val="basic"/>
      <sheetName val="MAP"/>
      <sheetName val="Coord"/>
      <sheetName val="data-Hilton"/>
      <sheetName val="INFOR-ST"/>
      <sheetName val="MBW"/>
      <sheetName val="Đơn giá khoán"/>
      <sheetName val="Notes"/>
      <sheetName val="consilidate"/>
      <sheetName val="SORT"/>
      <sheetName val="Reference"/>
      <sheetName val="THKP"/>
      <sheetName val="Civil Works"/>
      <sheetName val="Data-Planned"/>
      <sheetName val="Package1"/>
      <sheetName val="Accessories"/>
      <sheetName val="Inputs_Sens"/>
      <sheetName val="Define finishing"/>
      <sheetName val="125x125"/>
      <sheetName val="MAIN SUM"/>
      <sheetName val="XL4Poppy"/>
      <sheetName val="MTO REV_0"/>
      <sheetName val="Cat "/>
      <sheetName val="custom check"/>
      <sheetName val="Settings"/>
      <sheetName val="Config"/>
      <sheetName val="BANGTINH"/>
      <sheetName val="Area Cal"/>
      <sheetName val="Calculation UNC"/>
      <sheetName val="실행"/>
      <sheetName val="Water"/>
      <sheetName val="SPECS"/>
      <sheetName val="Data.Arc"/>
      <sheetName val="Data.Str_H"/>
      <sheetName val="Data.Str_V"/>
      <sheetName val="Input.Arc"/>
      <sheetName val="Input.Str"/>
      <sheetName val="QS.Str"/>
      <sheetName val="QS.Breakdown"/>
      <sheetName val="QS.Arc"/>
      <sheetName val="내역"/>
      <sheetName val="komponen"/>
      <sheetName val="dm-e"/>
      <sheetName val="Summary per costtype1"/>
      <sheetName val="Ahs_1"/>
      <sheetName val="Ahs_2"/>
      <sheetName val="Quo. 1"/>
      <sheetName val="QMCT"/>
      <sheetName val="TOSHIBA-Structure"/>
      <sheetName val="DETAIL "/>
      <sheetName val="COA"/>
      <sheetName val="APRON TAHAP I"/>
      <sheetName val="ANALISA BARU 40 M"/>
      <sheetName val="THPDMoi  (2)"/>
      <sheetName val="dongia (2)"/>
      <sheetName val="ANL"/>
      <sheetName val="abcdef"/>
      <sheetName val="RAPI"/>
      <sheetName val="Scd_RAB"/>
      <sheetName val="Breakdown"/>
      <sheetName val="Progress"/>
      <sheetName val="SAP"/>
      <sheetName val="DHS Alat"/>
      <sheetName val="Margin"/>
      <sheetName val="DHS Bahan Material"/>
      <sheetName val="DHS Upah"/>
      <sheetName val="Analisa Harga Satuan"/>
      <sheetName val="Rekap Addendum"/>
      <sheetName val="profit_Const3"/>
      <sheetName val="FORM_X_COST3"/>
      <sheetName val="H_Satuan3"/>
      <sheetName val="EST__SERVICEHEATEXCHANGER-ATD3"/>
      <sheetName val="Cover_Daf-23"/>
      <sheetName val="Civil_Costs3"/>
      <sheetName val="Fill_this_out_first___4"/>
      <sheetName val="Balok_Slab1"/>
      <sheetName val="Pas__Bata1"/>
      <sheetName val="kusen_lt2-31"/>
      <sheetName val="ukuran_kusen1"/>
      <sheetName val="DATA_HARGA1"/>
      <sheetName val="ERCN_ATAP_COST1"/>
      <sheetName val="Rekap_boq1"/>
      <sheetName val="I_Persiapan1"/>
      <sheetName val="3_1_STR_BETON_GD_UTAMA1"/>
      <sheetName val="3_2_STR_BETON_PH1"/>
      <sheetName val="3_3_STR_BAJA1"/>
      <sheetName val="TAM-KUR_STR1"/>
      <sheetName val="4_1__DINDING1"/>
      <sheetName val="4_2_PINTU_&amp;_Jendela1"/>
      <sheetName val="4_3__Lantai1"/>
      <sheetName val="4_4__Plapond1"/>
      <sheetName val="4_5__SANITAIR1"/>
      <sheetName val="4_6__lain-lain1"/>
      <sheetName val="4_7_ARSITEKTUR_(POWER_HOUSE)1"/>
      <sheetName val="7_3__tam-Kur_ARS1"/>
      <sheetName val="Cover_ME1"/>
      <sheetName val="5_1_ELEKTRIKAL-ELEKTRONIK1"/>
      <sheetName val="PEMADAM_KEBAKARAN1"/>
      <sheetName val="UNIT_AC1"/>
      <sheetName val="UNIT_FAN1"/>
      <sheetName val="INSTALASI_(2)1"/>
      <sheetName val="PENJUMLAHAN_TATA_UDARA1"/>
      <sheetName val="5_5_-_ELEKTRONIK1"/>
      <sheetName val="6-Pek__Luar1"/>
      <sheetName val="HIT_AREA_LUAR1"/>
      <sheetName val="Luas_Bangunan1"/>
      <sheetName val="Fill_this_out_first___5"/>
      <sheetName val="Breakdown_Architecture1"/>
      <sheetName val="Breakdown_Structure1"/>
      <sheetName val="Ring_Balok1"/>
      <sheetName val="Harga_ME_1"/>
      <sheetName val="Teq_an1"/>
      <sheetName val="Teq_an_ccrt1"/>
      <sheetName val="Teq_an_Stone1"/>
      <sheetName val="An_Earth1"/>
      <sheetName val="An_Ls_1"/>
      <sheetName val="New_MADC1"/>
      <sheetName val="struktur_tdk_dipakai1"/>
      <sheetName val="Analisa_&amp;_Upah1"/>
      <sheetName val="Daftar_berat1"/>
      <sheetName val="Analisa___Upah1"/>
      <sheetName val="HRG_BHN1"/>
      <sheetName val="Arc_Analysis1"/>
      <sheetName val="An_Str1"/>
      <sheetName val="DAFTAR_HARGA1"/>
      <sheetName val="Bill_sipil1"/>
      <sheetName val="Analisa__Baku1"/>
      <sheetName val="Rekap_Direct_Cost1"/>
      <sheetName val="REF_ONLY1"/>
      <sheetName val="BQ_ME1"/>
      <sheetName val="data_RSUD_KIS1"/>
      <sheetName val="BQ_Stdr1"/>
      <sheetName val="inp_data1"/>
      <sheetName val="Unit_Rate1"/>
      <sheetName val="Steel_Pipe1"/>
      <sheetName val="External_PVC,_PPR,_HDPE1"/>
      <sheetName val="Internal_PVC,_PPR,_HDPE1"/>
      <sheetName val="GI_Sheet1"/>
      <sheetName val="analisa_Str1"/>
      <sheetName val="Daftar_Upah1"/>
      <sheetName val="Harga_Satuan1"/>
      <sheetName val="Daf_11"/>
      <sheetName val="Total_Load_List1"/>
      <sheetName val="Currency_Rate1"/>
      <sheetName val="Summary_Sheets1"/>
      <sheetName val="ARS_ADM1"/>
      <sheetName val="Code_021"/>
      <sheetName val="Code_031"/>
      <sheetName val="Code_041"/>
      <sheetName val="Code_051"/>
      <sheetName val="Code_061"/>
      <sheetName val="Code_071"/>
      <sheetName val="Code_091"/>
      <sheetName val="PileCap_1"/>
      <sheetName val="Tie_Beam1"/>
      <sheetName val="RAB_Str_1"/>
      <sheetName val="Daf-III_1_Dinding-TA1"/>
      <sheetName val="Daf-III_2_Pintu_Jendela_TA1"/>
      <sheetName val="REKAPITULASI_AKHIR1"/>
      <sheetName val="Daf-III_6_Lain-lain_TA1"/>
      <sheetName val="Daf-VA_(_TAMBAH_KURANG_TA)1"/>
      <sheetName val="Daf-II_2_(Beton)_TA1"/>
      <sheetName val="Bill_5_Summary1"/>
      <sheetName val="Bill_31"/>
      <sheetName val="ANALISA_SNI'13_1"/>
      <sheetName val="dATA_pc1"/>
      <sheetName val="Kolom_TG_21"/>
      <sheetName val="DETAIL_BALOK1"/>
      <sheetName val="DETAIL_KOLOM1"/>
      <sheetName val="2__MVAC_R11"/>
      <sheetName val="BQ_F1"/>
      <sheetName val="Harga_Bahan_&amp;_Upah_1"/>
      <sheetName val="Budget_Code1"/>
      <sheetName val="Tong_hop1"/>
      <sheetName val="1_0"/>
      <sheetName val="Elemental_Breakdown+20%"/>
      <sheetName val="Phan_tho"/>
      <sheetName val="analisa_SNI"/>
      <sheetName val="analisa_prelim"/>
      <sheetName val="Lantai_Semibasement"/>
      <sheetName val="Lantai_1"/>
      <sheetName val="Lantai_1A"/>
      <sheetName val="Lantai_2"/>
      <sheetName val="Lantai_3"/>
      <sheetName val="Lantai_4"/>
      <sheetName val="Lantai_5"/>
      <sheetName val="Lantai_6"/>
      <sheetName val="Lantai_7"/>
      <sheetName val="Lantai_8"/>
      <sheetName val="Lantai_9"/>
      <sheetName val="Lantai_10"/>
      <sheetName val="Lantai_11"/>
      <sheetName val="Lantai_12"/>
      <sheetName val="Lantai_13"/>
      <sheetName val="Lantai_14"/>
      <sheetName val="Lantai_15"/>
      <sheetName val="Lantai_Mesin"/>
      <sheetName val="Prov__Sum"/>
      <sheetName val="material_"/>
      <sheetName val="Cover_CKE"/>
      <sheetName val="Summary_Mech_"/>
      <sheetName val="Mech__BQ"/>
      <sheetName val="P_APRIL_2016"/>
      <sheetName val="Qttn_Report"/>
      <sheetName val="MTO_REV_0"/>
      <sheetName val="ANALISA_PEK_UMUM"/>
      <sheetName val="daftar_material"/>
      <sheetName val="Klm_Base"/>
      <sheetName val="B_Lt_1a"/>
      <sheetName val="dftr_upah"/>
      <sheetName val="Deep_Well"/>
      <sheetName val="Pek_Luar"/>
      <sheetName val="an_el"/>
      <sheetName val="An_AC_&amp;_Plb"/>
      <sheetName val="an__struktur"/>
      <sheetName val="concept_cost_code"/>
      <sheetName val="summary_cost_code"/>
      <sheetName val="kas_proyek"/>
      <sheetName val="lain_lain"/>
      <sheetName val="D2_4"/>
      <sheetName val="D4_3_(TE)"/>
      <sheetName val="D5_3_(TF)_"/>
      <sheetName val="D8_3_(TJ)"/>
      <sheetName val="Analisa_RAP"/>
      <sheetName val="Sch_Tender"/>
      <sheetName val="Analisa_RAB"/>
      <sheetName val="Rekap_RAP"/>
      <sheetName val="hg_sat_2"/>
      <sheetName val="hg_sat_BM"/>
      <sheetName val="DATA_WP"/>
      <sheetName val="Lt__1_(A)"/>
      <sheetName val="Lab_A_(FKU)"/>
      <sheetName val="TE_TS_FA_LAN_MATV"/>
      <sheetName val="Unt_rate"/>
      <sheetName val="NC_NEW"/>
      <sheetName val="TH_kinh_phi"/>
      <sheetName val="KLDT_DIEN"/>
      <sheetName val="Dinh_muc_CP_KTCB_khac"/>
      <sheetName val="CSA_Works"/>
      <sheetName val="Pre_"/>
      <sheetName val="RAB_AR&amp;STR"/>
      <sheetName val="1_1_Barrette_pile"/>
      <sheetName val="Land_Dev't__Ph-1"/>
      <sheetName val="Bang_gia_2011_10_12"/>
      <sheetName val="4_canh"/>
      <sheetName val="Don_gia_chi_tiet"/>
      <sheetName val="Cover_(x)"/>
      <sheetName val="Cor_Apt"/>
      <sheetName val="KL_chốt_LV"/>
      <sheetName val="Du_toan"/>
      <sheetName val="B7_ALU_GLASS_D&amp;W"/>
      <sheetName val="B3_CONCRETE_WORKS"/>
      <sheetName val="B8_FINISHING_WORKS"/>
      <sheetName val="B4_MASONRY_WORKS"/>
      <sheetName val="B5_METAL_WORKS"/>
      <sheetName val="List_of_Houses"/>
      <sheetName val="B2_SITE_WORKS"/>
      <sheetName val="B6_THERMAL&amp;MOITURE"/>
      <sheetName val="Du_thau"/>
      <sheetName val="D)_Cabling_Installation"/>
      <sheetName val="Hoja_3"/>
      <sheetName val="Chiết_tính_BS"/>
      <sheetName val="TB_NẶNG"/>
      <sheetName val="BAO_CHE"/>
      <sheetName val="TỔNG_HỢP"/>
      <sheetName val="AN_TOAN"/>
      <sheetName val="Cong_tac_tam"/>
      <sheetName val="TB_CHONG_DO_(GG_chen)"/>
      <sheetName val="TONGKE3p_"/>
      <sheetName val="Customer_list"/>
      <sheetName val="Le_MERIDIEN"/>
      <sheetName val="UNITED_PHARMA"/>
      <sheetName val="Smry_Wk_(P_I)"/>
      <sheetName val="harga_bahan_M&amp;E"/>
      <sheetName val="SAT_EL"/>
      <sheetName val="bahan_SNI"/>
      <sheetName val="Bahan_"/>
      <sheetName val="Harsat_Upah"/>
      <sheetName val="DAFTAR_BESI_KANAL_C_SIKU"/>
      <sheetName val="ANALISA_HARGA_ALAT"/>
      <sheetName val="ANAL_MATERIAL+ANGKUT"/>
      <sheetName val="Urai__Resap_pengikat"/>
      <sheetName val="Bill_Of_Quantity"/>
      <sheetName val="1_Requisition(E)"/>
      <sheetName val="Summary_tb"/>
      <sheetName val="Rebar_FL_28_add7"/>
      <sheetName val="Ｎｏ_13"/>
      <sheetName val="KET_CAU_CT5"/>
      <sheetName val="Finishes_applied"/>
      <sheetName val="Room_matrix"/>
      <sheetName val="KJ_2002"/>
      <sheetName val="A+Supl_"/>
      <sheetName val="Pressure_Gage_Form"/>
      <sheetName val="Main_Package"/>
      <sheetName val="D4_-_PLB"/>
      <sheetName val="general_requirements"/>
      <sheetName val="Đơn_giá_khoán"/>
      <sheetName val="Define_finishing"/>
      <sheetName val="MAIN_SUM"/>
      <sheetName val="Civil_Works"/>
      <sheetName val="Area_Cal"/>
      <sheetName val="Calculation_UNC"/>
      <sheetName val="Analisa_Gundih"/>
      <sheetName val="TO_OFF"/>
      <sheetName val="an_mek"/>
      <sheetName val="upah_bahan"/>
      <sheetName val="REKAP_C&amp;D"/>
      <sheetName val="Blok_C_Elektrikal"/>
      <sheetName val="D_&amp;_W_sizes"/>
      <sheetName val="rekap_str_ars"/>
      <sheetName val="Cat_"/>
      <sheetName val="Analisa___2_"/>
      <sheetName val="Summary_1"/>
      <sheetName val="Bill_4_Summary"/>
      <sheetName val="DAFTAR_HARGA_SATUAN_MATERIAL"/>
      <sheetName val="Summary_per_costtype1"/>
      <sheetName val="custom_check"/>
      <sheetName val="APRON_TAHAP_I"/>
      <sheetName val="ANALISA_BARU_40_M"/>
      <sheetName val="THPDMoi__(2)"/>
      <sheetName val="dongia_(2)"/>
      <sheetName val="TLSKIN_LWR"/>
      <sheetName val="DHS_Alat"/>
      <sheetName val="DHS_Bahan_Material"/>
      <sheetName val="DHS_Upah"/>
      <sheetName val="Analisa_Harga_Satuan"/>
      <sheetName val="Rekap_Addendum"/>
      <sheetName val="profit_Const4"/>
      <sheetName val="FORM_X_COST4"/>
      <sheetName val="H_Satuan4"/>
      <sheetName val="EST__SERVICEHEATEXCHANGER-ATD4"/>
      <sheetName val="Cover_Daf-24"/>
      <sheetName val="Civil_Costs4"/>
      <sheetName val="Fill_this_out_first___6"/>
      <sheetName val="Balok_Slab2"/>
      <sheetName val="Pas__Bata2"/>
      <sheetName val="kusen_lt2-32"/>
      <sheetName val="ukuran_kusen2"/>
      <sheetName val="DATA_HARGA2"/>
      <sheetName val="ERCN_ATAP_COST2"/>
      <sheetName val="Rekap_boq2"/>
      <sheetName val="I_Persiapan2"/>
      <sheetName val="3_1_STR_BETON_GD_UTAMA2"/>
      <sheetName val="3_2_STR_BETON_PH2"/>
      <sheetName val="3_3_STR_BAJA2"/>
      <sheetName val="TAM-KUR_STR2"/>
      <sheetName val="4_1__DINDING2"/>
      <sheetName val="4_2_PINTU_&amp;_Jendela2"/>
      <sheetName val="4_3__Lantai2"/>
      <sheetName val="4_4__Plapond2"/>
      <sheetName val="4_5__SANITAIR2"/>
      <sheetName val="4_6__lain-lain2"/>
      <sheetName val="4_7_ARSITEKTUR_(POWER_HOUSE)2"/>
      <sheetName val="7_3__tam-Kur_ARS2"/>
      <sheetName val="Cover_ME2"/>
      <sheetName val="5_1_ELEKTRIKAL-ELEKTRONIK2"/>
      <sheetName val="PEMADAM_KEBAKARAN2"/>
      <sheetName val="UNIT_AC2"/>
      <sheetName val="UNIT_FAN2"/>
      <sheetName val="INSTALASI_(2)2"/>
      <sheetName val="PENJUMLAHAN_TATA_UDARA2"/>
      <sheetName val="5_5_-_ELEKTRONIK2"/>
      <sheetName val="6-Pek__Luar2"/>
      <sheetName val="HIT_AREA_LUAR2"/>
      <sheetName val="Luas_Bangunan2"/>
      <sheetName val="Fill_this_out_first___7"/>
      <sheetName val="Breakdown_Architecture2"/>
      <sheetName val="Breakdown_Structure2"/>
      <sheetName val="Ring_Balok2"/>
      <sheetName val="Harga_ME_2"/>
      <sheetName val="Teq_an2"/>
      <sheetName val="Teq_an_ccrt2"/>
      <sheetName val="Teq_an_Stone2"/>
      <sheetName val="An_Earth2"/>
      <sheetName val="An_Ls_2"/>
      <sheetName val="New_MADC2"/>
      <sheetName val="struktur_tdk_dipakai2"/>
      <sheetName val="Analisa_&amp;_Upah2"/>
      <sheetName val="Daftar_berat2"/>
      <sheetName val="Analisa___Upah2"/>
      <sheetName val="HRG_BHN2"/>
      <sheetName val="Arc_Analysis2"/>
      <sheetName val="An_Str2"/>
      <sheetName val="DAFTAR_HARGA2"/>
      <sheetName val="Bill_sipil2"/>
      <sheetName val="Analisa__Baku2"/>
      <sheetName val="Rekap_Direct_Cost2"/>
      <sheetName val="REF_ONLY2"/>
      <sheetName val="BQ_ME2"/>
      <sheetName val="data_RSUD_KIS2"/>
      <sheetName val="BQ_Stdr2"/>
      <sheetName val="inp_data2"/>
      <sheetName val="Unit_Rate2"/>
      <sheetName val="Steel_Pipe2"/>
      <sheetName val="External_PVC,_PPR,_HDPE2"/>
      <sheetName val="Internal_PVC,_PPR,_HDPE2"/>
      <sheetName val="GI_Sheet2"/>
      <sheetName val="analisa_Str2"/>
      <sheetName val="Daftar_Upah2"/>
      <sheetName val="Harga_Satuan2"/>
      <sheetName val="Daf_12"/>
      <sheetName val="Total_Load_List2"/>
      <sheetName val="Currency_Rate2"/>
      <sheetName val="Summary_Sheets2"/>
      <sheetName val="ARS_ADM2"/>
      <sheetName val="Code_022"/>
      <sheetName val="Code_032"/>
      <sheetName val="Code_042"/>
      <sheetName val="Code_052"/>
      <sheetName val="Code_062"/>
      <sheetName val="Code_072"/>
      <sheetName val="Code_092"/>
      <sheetName val="PileCap_2"/>
      <sheetName val="Tie_Beam2"/>
      <sheetName val="RAB_Str_2"/>
      <sheetName val="Daf-III_1_Dinding-TA2"/>
      <sheetName val="Daf-III_2_Pintu_Jendela_TA2"/>
      <sheetName val="REKAPITULASI_AKHIR2"/>
      <sheetName val="Daf-III_6_Lain-lain_TA2"/>
      <sheetName val="Daf-VA_(_TAMBAH_KURANG_TA)2"/>
      <sheetName val="Daf-II_2_(Beton)_TA2"/>
      <sheetName val="Bill_5_Summary2"/>
      <sheetName val="Bill_32"/>
      <sheetName val="ANALISA_SNI'13_2"/>
      <sheetName val="dATA_pc2"/>
      <sheetName val="Kolom_TG_22"/>
      <sheetName val="DETAIL_BALOK2"/>
      <sheetName val="DETAIL_KOLOM2"/>
      <sheetName val="2__MVAC_R12"/>
      <sheetName val="BQ_F2"/>
      <sheetName val="Harga_Bahan_&amp;_Upah_2"/>
      <sheetName val="Budget_Code2"/>
      <sheetName val="Tong_hop2"/>
      <sheetName val="Elemental_Breakdown+20%1"/>
      <sheetName val="Le_MERIDIEN1"/>
      <sheetName val="UNITED_PHARMA1"/>
      <sheetName val="1_01"/>
      <sheetName val="Phan_tho1"/>
      <sheetName val="analisa_SNI1"/>
      <sheetName val="analisa_prelim1"/>
      <sheetName val="Lantai_Semibasement1"/>
      <sheetName val="Lantai_16"/>
      <sheetName val="Lantai_1A1"/>
      <sheetName val="Lantai_21"/>
      <sheetName val="Lantai_31"/>
      <sheetName val="Lantai_41"/>
      <sheetName val="Lantai_51"/>
      <sheetName val="Lantai_61"/>
      <sheetName val="Lantai_71"/>
      <sheetName val="Lantai_81"/>
      <sheetName val="Lantai_91"/>
      <sheetName val="Lantai_101"/>
      <sheetName val="Lantai_111"/>
      <sheetName val="Lantai_121"/>
      <sheetName val="Lantai_131"/>
      <sheetName val="Lantai_141"/>
      <sheetName val="Lantai_151"/>
      <sheetName val="Lantai_Mesin1"/>
      <sheetName val="Prov__Sum1"/>
      <sheetName val="material_1"/>
      <sheetName val="Cover_CKE1"/>
      <sheetName val="Summary_Mech_1"/>
      <sheetName val="Mech__BQ1"/>
      <sheetName val="P_APRIL_20161"/>
      <sheetName val="Qttn_Report1"/>
      <sheetName val="MTO_REV_01"/>
      <sheetName val="ANALISA_PEK_UMUM1"/>
      <sheetName val="daftar_material1"/>
      <sheetName val="Klm_Base1"/>
      <sheetName val="B_Lt_1a1"/>
      <sheetName val="dftr_upah1"/>
      <sheetName val="Deep_Well1"/>
      <sheetName val="Pek_Luar1"/>
      <sheetName val="an_el1"/>
      <sheetName val="An_AC_&amp;_Plb1"/>
      <sheetName val="an__struktur1"/>
      <sheetName val="concept_cost_code1"/>
      <sheetName val="summary_cost_code1"/>
      <sheetName val="kas_proyek1"/>
      <sheetName val="lain_lain1"/>
      <sheetName val="D2_41"/>
      <sheetName val="D4_3_(TE)1"/>
      <sheetName val="D5_3_(TF)_1"/>
      <sheetName val="D8_3_(TJ)1"/>
      <sheetName val="Analisa_RAP1"/>
      <sheetName val="Sch_Tender1"/>
      <sheetName val="Analisa_RAB1"/>
      <sheetName val="Rekap_RAP1"/>
      <sheetName val="hg_sat_21"/>
      <sheetName val="hg_sat_BM1"/>
      <sheetName val="DATA_WP1"/>
      <sheetName val="Lt__1_(A)1"/>
      <sheetName val="Lab_A_(FKU)1"/>
      <sheetName val="TE_TS_FA_LAN_MATV1"/>
      <sheetName val="Unt_rate1"/>
      <sheetName val="NC_NEW1"/>
      <sheetName val="TH_kinh_phi1"/>
      <sheetName val="KLDT_DIEN1"/>
      <sheetName val="Dinh_muc_CP_KTCB_khac1"/>
      <sheetName val="CSA_Works1"/>
      <sheetName val="Pre_1"/>
      <sheetName val="RAB_AR&amp;STR1"/>
      <sheetName val="1_1_Barrette_pile1"/>
      <sheetName val="Don_gia_chi_tiet1"/>
      <sheetName val="Bang_gia_2011_10_121"/>
      <sheetName val="4_canh1"/>
      <sheetName val="Land_Dev't__Ph-11"/>
      <sheetName val="Cover_(x)1"/>
      <sheetName val="Cor_Apt1"/>
      <sheetName val="KL_chốt_LV1"/>
      <sheetName val="Du_toan1"/>
      <sheetName val="B7_ALU_GLASS_D&amp;W1"/>
      <sheetName val="B3_CONCRETE_WORKS1"/>
      <sheetName val="B8_FINISHING_WORKS1"/>
      <sheetName val="B4_MASONRY_WORKS1"/>
      <sheetName val="B5_METAL_WORKS1"/>
      <sheetName val="List_of_Houses1"/>
      <sheetName val="B2_SITE_WORKS1"/>
      <sheetName val="B6_THERMAL&amp;MOITURE1"/>
      <sheetName val="Du_thau1"/>
      <sheetName val="Hoja_31"/>
      <sheetName val="D)_Cabling_Installation1"/>
      <sheetName val="TONGKE3p_1"/>
      <sheetName val="Rebar_FL_28_add71"/>
      <sheetName val="Summary_tb1"/>
      <sheetName val="TB_NẶNG1"/>
      <sheetName val="BAO_CHE1"/>
      <sheetName val="TỔNG_HỢP1"/>
      <sheetName val="AN_TOAN1"/>
      <sheetName val="Cong_tac_tam1"/>
      <sheetName val="TB_CHONG_DO_(GG_chen)1"/>
      <sheetName val="Customer_list1"/>
      <sheetName val="Chiết_tính_BS1"/>
      <sheetName val="Ｎｏ_131"/>
      <sheetName val="KET_CAU_CT51"/>
      <sheetName val="Smry_Wk_(P_I)1"/>
      <sheetName val="harga_bahan_M&amp;E1"/>
      <sheetName val="SAT_EL1"/>
      <sheetName val="bahan_SNI1"/>
      <sheetName val="Bahan_1"/>
      <sheetName val="Harsat_Upah1"/>
      <sheetName val="DAFTAR_BESI_KANAL_C_SIKU1"/>
      <sheetName val="ANALISA_HARGA_ALAT1"/>
      <sheetName val="ANAL_MATERIAL+ANGKUT1"/>
      <sheetName val="Urai__Resap_pengikat1"/>
      <sheetName val="Bill_Of_Quantity1"/>
      <sheetName val="Finishes_applied1"/>
      <sheetName val="Room_matrix1"/>
      <sheetName val="Main_Package1"/>
      <sheetName val="D4_-_PLB1"/>
      <sheetName val="general_requirements1"/>
      <sheetName val="KJ_20021"/>
      <sheetName val="A+Supl_1"/>
      <sheetName val="Pressure_Gage_Form1"/>
      <sheetName val="1_Requisition(E)1"/>
      <sheetName val="Đơn_giá_khoán1"/>
      <sheetName val="Define_finishing1"/>
      <sheetName val="MAIN_SUM1"/>
      <sheetName val="Civil_Works1"/>
      <sheetName val="Area_Cal1"/>
      <sheetName val="Calculation_UNC1"/>
      <sheetName val="Analisa_Gundih1"/>
      <sheetName val="TO_OFF1"/>
      <sheetName val="an_mek1"/>
      <sheetName val="upah_bahan1"/>
      <sheetName val="REKAP_C&amp;D1"/>
      <sheetName val="Blok_C_Elektrikal1"/>
      <sheetName val="D_&amp;_W_sizes1"/>
      <sheetName val="rekap_str_ars1"/>
      <sheetName val="Cat_1"/>
      <sheetName val="Analisa___2_1"/>
      <sheetName val="Summary_11"/>
      <sheetName val="Bill_4_Summary1"/>
      <sheetName val="DAFTAR_HARGA_SATUAN_MATERIAL1"/>
      <sheetName val="Summary_per_costtype11"/>
      <sheetName val="custom_check1"/>
      <sheetName val="APRON_TAHAP_I1"/>
      <sheetName val="ANALISA_BARU_40_M1"/>
      <sheetName val="THPDMoi__(2)1"/>
      <sheetName val="dongia_(2)1"/>
      <sheetName val="TLSKIN_LWR1"/>
      <sheetName val="DHS_Alat1"/>
      <sheetName val="DHS_Bahan_Material1"/>
      <sheetName val="DHS_Upah1"/>
      <sheetName val="Analisa_Harga_Satuan1"/>
      <sheetName val="Rekap_Addendum1"/>
      <sheetName val="代価一覧"/>
      <sheetName val="EU一覧"/>
      <sheetName val="LIST"/>
      <sheetName val="IPC 08"/>
      <sheetName val="IPC 14"/>
      <sheetName val="IPC 10"/>
      <sheetName val="GOC-KO IN"/>
      <sheetName val="MTP"/>
      <sheetName val="MTP1"/>
      <sheetName val="fitoutconfcentre"/>
      <sheetName val="ANALYSER"/>
      <sheetName val="General"/>
      <sheetName val="Buy vs. Lease Car"/>
      <sheetName val="電気設備表"/>
      <sheetName val="見積書"/>
      <sheetName val="1. HT Điện - R1"/>
      <sheetName val="2. HT Máy Phát Điện - R1"/>
      <sheetName val="3.HT ĐHKK - R2"/>
      <sheetName val="4.HT Cấp Thoát Nước"/>
      <sheetName val="5.HT PCCC"/>
      <sheetName val="6. Thiết bị chính"/>
      <sheetName val="Các Hạng mục Thay đổi"/>
      <sheetName val=""/>
      <sheetName val="Phan tich"/>
      <sheetName val="AHS ME "/>
      <sheetName val="ARS"/>
      <sheetName val="REKAP TOT"/>
      <sheetName val="Harga Dasar"/>
      <sheetName val="FORM 1 (PROD 15-5)"/>
      <sheetName val="MAPDC "/>
      <sheetName val="FORM 4 (PROD 15-8)"/>
      <sheetName val="Alat DC"/>
      <sheetName val="Pemakaian Alat+Tenaga"/>
      <sheetName val="FORM 5 (PROD 15-9)"/>
      <sheetName val="FORM 7 (PROD 15-11)"/>
      <sheetName val="D.BOARD"/>
      <sheetName val="Alat B"/>
      <sheetName val="Bahan B"/>
      <sheetName val="Upah B"/>
      <sheetName val="HARSAT (DC)"/>
      <sheetName val="ESC"/>
      <sheetName val="BAHAN (2)"/>
      <sheetName val="AN-PRE (2)"/>
      <sheetName val="STR. HOTEL"/>
      <sheetName val="ARS apartment"/>
      <sheetName val="PENJUMLAHAN AKHIR"/>
      <sheetName val="Analisa ME"/>
      <sheetName val="Analisa -Baku"/>
      <sheetName val="Rekap dpb 11"/>
      <sheetName val="TJ1Q47"/>
      <sheetName val="Agregat Halus &amp; Kasar"/>
      <sheetName val="MC-1"/>
      <sheetName val="chitiet"/>
      <sheetName val="AC_C"/>
      <sheetName val="harga bahan"/>
      <sheetName val="Isolasi Luar Dalam"/>
      <sheetName val="Isolasi Luar"/>
      <sheetName val="Markup"/>
      <sheetName val="HARGA MATERIAL"/>
      <sheetName val="Cover (sh 1)"/>
      <sheetName val="Units"/>
      <sheetName val="Instructions"/>
      <sheetName val="Option"/>
      <sheetName val="2-6"/>
      <sheetName val="1"/>
      <sheetName val="Phase I -Over flow"/>
      <sheetName val="Phase I"/>
      <sheetName val="Phase I I"/>
      <sheetName val="Clean room - Return"/>
      <sheetName val="Clean room - Supply"/>
      <sheetName val="2-1-2"/>
      <sheetName val="집계표"/>
      <sheetName val="Close June 10"/>
      <sheetName val="rab me (fisik)"/>
      <sheetName val="rab me (by owner) "/>
      <sheetName val="Sheet2"/>
      <sheetName val="Master"/>
      <sheetName val="electrical"/>
      <sheetName val="AUTOMATIC SELECT"/>
      <sheetName val="An-Sipil(ADA KODE)"/>
      <sheetName val="URA E450"/>
      <sheetName val="Planner"/>
      <sheetName val="Bank"/>
      <sheetName val="Bunga"/>
      <sheetName val="Mark-up"/>
      <sheetName val="ANALISA SM"/>
      <sheetName val="eq_data"/>
      <sheetName val="대비표"/>
      <sheetName val="Steel-Twr"/>
      <sheetName val="TinhGiaNC"/>
      <sheetName val="Thiet Bi"/>
      <sheetName val="TTVanChuyen"/>
      <sheetName val="DTCT"/>
      <sheetName val="He so"/>
      <sheetName val="1. KC XUONG SAN XUAT"/>
      <sheetName val="Pt"/>
      <sheetName val="Bu"/>
      <sheetName val="Tong DT"/>
      <sheetName val="phan tic chi tiet"/>
      <sheetName val="phan tich don gia"/>
      <sheetName val="경비2내역"/>
      <sheetName val="Priced BOQ"/>
      <sheetName val="BQ(M)"/>
      <sheetName val="개산공사비"/>
      <sheetName val="실행철강하도"/>
      <sheetName val="Cacth Basin1"/>
      <sheetName val="Sat Bah &amp; Up"/>
      <sheetName val="Grand Rekap"/>
      <sheetName val="IT"/>
      <sheetName val="Listrik"/>
      <sheetName val="Cessie"/>
      <sheetName val="BQ-Tenis"/>
      <sheetName val="Prelim"/>
      <sheetName val="HRG BAHAN &amp; UPAH okk"/>
      <sheetName val="Analis Kusen okk"/>
      <sheetName val="div71"/>
      <sheetName val="div3"/>
      <sheetName val="List Harga"/>
      <sheetName val="VO I"/>
      <sheetName val="4-Basic Price"/>
      <sheetName val="REKAP ARSITEKTUR"/>
      <sheetName val="Du_lieu"/>
      <sheetName val="Noodles (assumptions)"/>
      <sheetName val="PEB"/>
      <sheetName val="国債 "/>
      <sheetName val="Traf&amp;Genst"/>
      <sheetName val="MATERIALS"/>
      <sheetName val="REKAPAN Base B"/>
      <sheetName val="Material-mr"/>
      <sheetName val="Cut-Off"/>
      <sheetName val="Market"/>
      <sheetName val="SECURITY"/>
      <sheetName val="Telephone"/>
      <sheetName val="S System"/>
      <sheetName val="TS-Pelak"/>
      <sheetName val="Anls"/>
      <sheetName val="NP"/>
      <sheetName val="Perm. Test"/>
      <sheetName val="UPAHBAHAN"/>
      <sheetName val="Soil factor"/>
      <sheetName val="Pricing-2"/>
      <sheetName val="div4"/>
      <sheetName val="RCN-KRJ"/>
      <sheetName val="Sur_Tawar"/>
      <sheetName val="DaftarHarga"/>
      <sheetName val="Analisa Hrg Sat "/>
      <sheetName val="Perbandingan Pay Item (3)"/>
      <sheetName val="HARGADASAR"/>
      <sheetName val="PBK-01"/>
      <sheetName val="CASH-lapangan"/>
      <sheetName val="CASH WILAYAH"/>
      <sheetName val="hutang-lapangan "/>
      <sheetName val="Hutang-Wilayah"/>
      <sheetName val="antisipasi"/>
      <sheetName val="SAT-DAS"/>
      <sheetName val="Wiw"/>
      <sheetName val="PO2"/>
      <sheetName val="HUTANG-lapangan"/>
      <sheetName val="Vibro_Roller"/>
      <sheetName val="H_Dasar"/>
      <sheetName val="Analisa pemkot"/>
      <sheetName val="daf_H_sat"/>
      <sheetName val="rab_analisa"/>
      <sheetName val="C-LOAD(L-FACTORY.)"/>
      <sheetName val="U.P List"/>
      <sheetName val="Hệ số và tỷ giá"/>
      <sheetName val="BAO GIA"/>
      <sheetName val="CPC (phuc vu tinh cost)"/>
      <sheetName val="Chi phi gian tiep"/>
      <sheetName val="profit_Const5"/>
      <sheetName val="FORM_X_COST5"/>
      <sheetName val="H_Satuan5"/>
      <sheetName val="EST__SERVICEHEATEXCHANGER-ATD5"/>
      <sheetName val="Cover_Daf-25"/>
      <sheetName val="Civil_Costs5"/>
      <sheetName val="Fill_this_out_first___8"/>
      <sheetName val="Balok_Slab3"/>
      <sheetName val="Pas__Bata3"/>
      <sheetName val="kusen_lt2-33"/>
      <sheetName val="ukuran_kusen3"/>
      <sheetName val="DATA_HARGA3"/>
      <sheetName val="ERCN_ATAP_COST3"/>
      <sheetName val="Rekap_boq3"/>
      <sheetName val="I_Persiapan3"/>
      <sheetName val="3_1_STR_BETON_GD_UTAMA3"/>
      <sheetName val="3_2_STR_BETON_PH3"/>
      <sheetName val="3_3_STR_BAJA3"/>
      <sheetName val="TAM-KUR_STR3"/>
      <sheetName val="4_1__DINDING3"/>
      <sheetName val="4_2_PINTU_&amp;_Jendela3"/>
      <sheetName val="4_3__Lantai3"/>
      <sheetName val="4_4__Plapond3"/>
      <sheetName val="4_5__SANITAIR3"/>
      <sheetName val="4_6__lain-lain3"/>
      <sheetName val="4_7_ARSITEKTUR_(POWER_HOUSE)3"/>
      <sheetName val="7_3__tam-Kur_ARS3"/>
      <sheetName val="Cover_ME3"/>
      <sheetName val="5_1_ELEKTRIKAL-ELEKTRONIK3"/>
      <sheetName val="PEMADAM_KEBAKARAN3"/>
      <sheetName val="UNIT_AC3"/>
      <sheetName val="UNIT_FAN3"/>
      <sheetName val="INSTALASI_(2)3"/>
      <sheetName val="PENJUMLAHAN_TATA_UDARA3"/>
      <sheetName val="5_5_-_ELEKTRONIK3"/>
      <sheetName val="6-Pek__Luar3"/>
      <sheetName val="HIT_AREA_LUAR3"/>
      <sheetName val="Luas_Bangunan3"/>
      <sheetName val="Fill_this_out_first___9"/>
      <sheetName val="Breakdown_Architecture3"/>
      <sheetName val="Breakdown_Structure3"/>
      <sheetName val="Ring_Balok3"/>
      <sheetName val="Harga_ME_3"/>
      <sheetName val="Teq_an3"/>
      <sheetName val="Teq_an_ccrt3"/>
      <sheetName val="Teq_an_Stone3"/>
      <sheetName val="An_Earth3"/>
      <sheetName val="An_Ls_3"/>
      <sheetName val="New_MADC3"/>
      <sheetName val="struktur_tdk_dipakai3"/>
      <sheetName val="Analisa_&amp;_Upah3"/>
      <sheetName val="Daftar_berat3"/>
      <sheetName val="Analisa___Upah3"/>
      <sheetName val="HRG_BHN3"/>
      <sheetName val="Arc_Analysis3"/>
      <sheetName val="An_Str3"/>
      <sheetName val="DAFTAR_HARGA3"/>
      <sheetName val="Bill_sipil3"/>
      <sheetName val="Analisa__Baku3"/>
      <sheetName val="Rekap_Direct_Cost3"/>
      <sheetName val="REF_ONLY3"/>
      <sheetName val="BQ_ME3"/>
      <sheetName val="data_RSUD_KIS3"/>
      <sheetName val="BQ_Stdr3"/>
      <sheetName val="inp_data3"/>
      <sheetName val="Unit_Rate3"/>
      <sheetName val="Steel_Pipe3"/>
      <sheetName val="External_PVC,_PPR,_HDPE3"/>
      <sheetName val="Internal_PVC,_PPR,_HDPE3"/>
      <sheetName val="GI_Sheet3"/>
      <sheetName val="analisa_Str3"/>
      <sheetName val="Daftar_Upah3"/>
      <sheetName val="Harga_Satuan3"/>
      <sheetName val="Daf_13"/>
      <sheetName val="Total_Load_List3"/>
      <sheetName val="Currency_Rate3"/>
      <sheetName val="Summary_Sheets3"/>
      <sheetName val="ARS_ADM3"/>
      <sheetName val="Code_023"/>
      <sheetName val="Code_033"/>
      <sheetName val="Code_043"/>
      <sheetName val="Code_053"/>
      <sheetName val="Code_063"/>
      <sheetName val="Code_073"/>
      <sheetName val="Code_093"/>
      <sheetName val="PileCap_3"/>
      <sheetName val="Tie_Beam3"/>
      <sheetName val="RAB_Str_3"/>
      <sheetName val="Daf-III_1_Dinding-TA3"/>
      <sheetName val="Daf-III_2_Pintu_Jendela_TA3"/>
      <sheetName val="REKAPITULASI_AKHIR3"/>
      <sheetName val="Daf-III_6_Lain-lain_TA3"/>
      <sheetName val="Daf-VA_(_TAMBAH_KURANG_TA)3"/>
      <sheetName val="Daf-II_2_(Beton)_TA3"/>
      <sheetName val="Bill_5_Summary3"/>
      <sheetName val="Bill_33"/>
      <sheetName val="ANALISA_SNI'13_3"/>
      <sheetName val="dATA_pc3"/>
      <sheetName val="Kolom_TG_23"/>
      <sheetName val="DETAIL_BALOK3"/>
      <sheetName val="DETAIL_KOLOM3"/>
      <sheetName val="2__MVAC_R13"/>
      <sheetName val="BQ_F3"/>
      <sheetName val="Harga_Bahan_&amp;_Upah_3"/>
      <sheetName val="Budget_Code3"/>
      <sheetName val="Tong_hop3"/>
      <sheetName val="1_02"/>
      <sheetName val="Elemental_Breakdown+20%2"/>
      <sheetName val="Phan_tho2"/>
      <sheetName val="analisa_SNI2"/>
      <sheetName val="analisa_prelim2"/>
      <sheetName val="Lantai_Semibasement2"/>
      <sheetName val="Lantai_17"/>
      <sheetName val="Lantai_1A2"/>
      <sheetName val="Lantai_22"/>
      <sheetName val="Lantai_32"/>
      <sheetName val="Lantai_42"/>
      <sheetName val="Lantai_52"/>
      <sheetName val="Lantai_62"/>
      <sheetName val="Lantai_72"/>
      <sheetName val="Lantai_82"/>
      <sheetName val="Lantai_92"/>
      <sheetName val="Lantai_102"/>
      <sheetName val="Lantai_112"/>
      <sheetName val="Lantai_122"/>
      <sheetName val="Lantai_132"/>
      <sheetName val="Lantai_142"/>
      <sheetName val="Lantai_152"/>
      <sheetName val="Lantai_Mesin2"/>
      <sheetName val="Prov__Sum2"/>
      <sheetName val="material_2"/>
      <sheetName val="Cover_CKE2"/>
      <sheetName val="Summary_Mech_2"/>
      <sheetName val="Mech__BQ2"/>
      <sheetName val="P_APRIL_20162"/>
      <sheetName val="Qttn_Report2"/>
      <sheetName val="MTO_REV_02"/>
      <sheetName val="ANALISA_PEK_UMUM2"/>
      <sheetName val="daftar_material2"/>
      <sheetName val="Klm_Base2"/>
      <sheetName val="B_Lt_1a2"/>
      <sheetName val="dftr_upah2"/>
      <sheetName val="Deep_Well2"/>
      <sheetName val="Pek_Luar2"/>
      <sheetName val="an_el2"/>
      <sheetName val="An_AC_&amp;_Plb2"/>
      <sheetName val="an__struktur2"/>
      <sheetName val="concept_cost_code2"/>
      <sheetName val="summary_cost_code2"/>
      <sheetName val="kas_proyek2"/>
      <sheetName val="lain_lain2"/>
      <sheetName val="D2_42"/>
      <sheetName val="D4_3_(TE)2"/>
      <sheetName val="D5_3_(TF)_2"/>
      <sheetName val="D8_3_(TJ)2"/>
      <sheetName val="Analisa_RAP2"/>
      <sheetName val="Sch_Tender2"/>
      <sheetName val="Analisa_RAB2"/>
      <sheetName val="Rekap_RAP2"/>
      <sheetName val="hg_sat_22"/>
      <sheetName val="hg_sat_BM2"/>
      <sheetName val="DATA_WP2"/>
      <sheetName val="Lt__1_(A)2"/>
      <sheetName val="Lab_A_(FKU)2"/>
      <sheetName val="TE_TS_FA_LAN_MATV2"/>
      <sheetName val="Unt_rate2"/>
      <sheetName val="NC_NEW2"/>
      <sheetName val="TH_kinh_phi2"/>
      <sheetName val="KLDT_DIEN2"/>
      <sheetName val="Dinh_muc_CP_KTCB_khac2"/>
      <sheetName val="CSA_Works2"/>
      <sheetName val="Pre_2"/>
      <sheetName val="RAB_AR&amp;STR2"/>
      <sheetName val="1_1_Barrette_pile2"/>
      <sheetName val="Le_MERIDIEN2"/>
      <sheetName val="UNITED_PHARMA2"/>
      <sheetName val="B7_ALU_GLASS_D&amp;W2"/>
      <sheetName val="B3_CONCRETE_WORKS2"/>
      <sheetName val="B8_FINISHING_WORKS2"/>
      <sheetName val="B4_MASONRY_WORKS2"/>
      <sheetName val="B5_METAL_WORKS2"/>
      <sheetName val="List_of_Houses2"/>
      <sheetName val="B2_SITE_WORKS2"/>
      <sheetName val="B6_THERMAL&amp;MOITURE2"/>
      <sheetName val="Du_thau2"/>
      <sheetName val="Cover_(x)2"/>
      <sheetName val="Cor_Apt2"/>
      <sheetName val="Don_gia_chi_tiet2"/>
      <sheetName val="Hoja_32"/>
      <sheetName val="KL_chốt_LV2"/>
      <sheetName val="Du_toan2"/>
      <sheetName val="D)_Cabling_Installation2"/>
      <sheetName val="Bang_gia_2011_10_122"/>
      <sheetName val="4_canh2"/>
      <sheetName val="Land_Dev't__Ph-12"/>
      <sheetName val="Summary_tb2"/>
      <sheetName val="TB_NẶNG2"/>
      <sheetName val="BAO_CHE2"/>
      <sheetName val="TỔNG_HỢP2"/>
      <sheetName val="AN_TOAN2"/>
      <sheetName val="Cong_tac_tam2"/>
      <sheetName val="TB_CHONG_DO_(GG_chen)2"/>
      <sheetName val="TONGKE3p_2"/>
      <sheetName val="Customer_list2"/>
      <sheetName val="Chiết_tính_BS2"/>
      <sheetName val="Smry_Wk_(P_I)2"/>
      <sheetName val="harga_bahan_M&amp;E2"/>
      <sheetName val="SAT_EL2"/>
      <sheetName val="bahan_SNI2"/>
      <sheetName val="Bahan_2"/>
      <sheetName val="Harsat_Upah2"/>
      <sheetName val="DAFTAR_BESI_KANAL_C_SIKU2"/>
      <sheetName val="ANALISA_HARGA_ALAT2"/>
      <sheetName val="ANAL_MATERIAL+ANGKUT2"/>
      <sheetName val="Urai__Resap_pengikat2"/>
      <sheetName val="Bill_Of_Quantity2"/>
      <sheetName val="Rebar_FL_28_add72"/>
      <sheetName val="KJ_20022"/>
      <sheetName val="A+Supl_2"/>
      <sheetName val="Pressure_Gage_Form2"/>
      <sheetName val="Main_Package2"/>
      <sheetName val="D4_-_PLB2"/>
      <sheetName val="general_requirements2"/>
      <sheetName val="Ｎｏ_132"/>
      <sheetName val="Finishes_applied2"/>
      <sheetName val="Room_matrix2"/>
      <sheetName val="KET_CAU_CT52"/>
      <sheetName val="1_Requisition(E)2"/>
      <sheetName val="Đơn_giá_khoán2"/>
      <sheetName val="Define_finishing2"/>
      <sheetName val="MAIN_SUM2"/>
      <sheetName val="Civil_Works2"/>
      <sheetName val="Area_Cal2"/>
      <sheetName val="Calculation_UNC2"/>
      <sheetName val="Analisa_Gundih2"/>
      <sheetName val="TO_OFF2"/>
      <sheetName val="an_mek2"/>
      <sheetName val="upah_bahan2"/>
      <sheetName val="REKAP_C&amp;D2"/>
      <sheetName val="Blok_C_Elektrikal2"/>
      <sheetName val="D_&amp;_W_sizes2"/>
      <sheetName val="rekap_str_ars2"/>
      <sheetName val="Cat_2"/>
      <sheetName val="Analisa___2_2"/>
      <sheetName val="Summary_12"/>
      <sheetName val="Bill_4_Summary2"/>
      <sheetName val="DAFTAR_HARGA_SATUAN_MATERIAL2"/>
      <sheetName val="Summary_per_costtype12"/>
      <sheetName val="custom_check2"/>
      <sheetName val="APRON_TAHAP_I2"/>
      <sheetName val="ANALISA_BARU_40_M2"/>
      <sheetName val="THPDMoi__(2)2"/>
      <sheetName val="dongia_(2)2"/>
      <sheetName val="TLSKIN_LWR2"/>
      <sheetName val="DHS_Alat2"/>
      <sheetName val="DHS_Bahan_Material2"/>
      <sheetName val="DHS_Upah2"/>
      <sheetName val="Analisa_Harga_Satuan2"/>
      <sheetName val="Rekap_Addendum2"/>
      <sheetName val="Data_Arc"/>
      <sheetName val="Data_Str_H"/>
      <sheetName val="Data_Str_V"/>
      <sheetName val="Input_Arc"/>
      <sheetName val="Input_Str"/>
      <sheetName val="QS_Str"/>
      <sheetName val="QS_Breakdown"/>
      <sheetName val="QS_Arc"/>
      <sheetName val="DETAIL_"/>
      <sheetName val="MTO_REV_03"/>
      <sheetName val="IPC_08"/>
      <sheetName val="IPC_14"/>
      <sheetName val="IPC_10"/>
      <sheetName val="GOC-KO_IN"/>
      <sheetName val="Quo__1"/>
      <sheetName val="Thiet_Bi"/>
      <sheetName val="1__HT_Điện_-_R1"/>
      <sheetName val="2__HT_Máy_Phát_Điện_-_R1"/>
      <sheetName val="3_HT_ĐHKK_-_R2"/>
      <sheetName val="4_HT_Cấp_Thoát_Nước"/>
      <sheetName val="5_HT_PCCC"/>
      <sheetName val="6__Thiết_bị_chính"/>
      <sheetName val="Các_Hạng_mục_Thay_đổi"/>
      <sheetName val="May TC"/>
      <sheetName val="Nhan cong"/>
      <sheetName val="DM.ChiPhi"/>
      <sheetName val="4, Prelim"/>
      <sheetName val="CaMay"/>
      <sheetName val="DGiaT"/>
      <sheetName val="DGiaTN"/>
      <sheetName val="TT"/>
      <sheetName val="CFA"/>
      <sheetName val="GTTBA"/>
      <sheetName val="变量单"/>
      <sheetName val="beamschedule"/>
      <sheetName val="RC-BEAM"/>
      <sheetName val="Buy_vs__Lease_Car"/>
      <sheetName val="AHS_ME_"/>
      <sheetName val="REKAP_TOT"/>
      <sheetName val="Harga_Dasar"/>
      <sheetName val="FORM_1_(PROD_15-5)"/>
      <sheetName val="MAPDC_"/>
      <sheetName val="FORM_4_(PROD_15-8)"/>
      <sheetName val="Alat_DC"/>
      <sheetName val="Pemakaian_Alat+Tenaga"/>
      <sheetName val="FORM_5_(PROD_15-9)"/>
      <sheetName val="FORM_7_(PROD_15-11)"/>
      <sheetName val="D_BOARD"/>
      <sheetName val="Alat_B"/>
      <sheetName val="Bahan_B"/>
      <sheetName val="Upah_B"/>
      <sheetName val="HARSAT_(DC)"/>
      <sheetName val="BAHAN_(2)"/>
      <sheetName val="AN-PRE_(2)"/>
      <sheetName val="STR__HOTEL"/>
      <sheetName val="ARS_apartment"/>
      <sheetName val="PENJUMLAHAN_AKHIR"/>
      <sheetName val="Analisa_ME"/>
      <sheetName val="Analisa_-Baku"/>
      <sheetName val="Rekap_dpb_11"/>
      <sheetName val="Agregat_Halus_&amp;_Kasar"/>
      <sheetName val="harga_bahan"/>
      <sheetName val="Isolasi_Luar_Dalam"/>
      <sheetName val="Isolasi_Luar"/>
      <sheetName val="HARGA_MATERIAL"/>
      <sheetName val="Cover_(sh_1)"/>
      <sheetName val="Phase_I_-Over_flow"/>
      <sheetName val="Phase_I"/>
      <sheetName val="Phase_I_I"/>
      <sheetName val="Clean_room_-_Return"/>
      <sheetName val="Clean_room_-_Supply"/>
      <sheetName val="Close_June_10"/>
      <sheetName val="rab_me_(fisik)"/>
      <sheetName val="rab_me_(by_owner)_"/>
      <sheetName val="Phan_tich"/>
      <sheetName val="AUTOMATIC_SELECT"/>
      <sheetName val="He_so"/>
      <sheetName val="1__KC_XUONG_SAN_XUAT"/>
      <sheetName val="Tong_DT"/>
      <sheetName val="phan_tic_chi_tiet"/>
      <sheetName val="phan_tich_don_gia"/>
      <sheetName val="Priced_BOQ"/>
      <sheetName val="Ptvt"/>
      <sheetName val="KC-moi"/>
      <sheetName val="Chenh lech vat tu"/>
      <sheetName val="Tong hop vat tu"/>
      <sheetName val="Phan tich ca may"/>
      <sheetName val="Chenh lech ca may"/>
      <sheetName val="TLg CN&amp;Laixe"/>
      <sheetName val="TLg CN&amp;Laixe (2)"/>
      <sheetName val="TLg Laitau"/>
      <sheetName val="TLg Laitau (2)"/>
      <sheetName val="Kiem-Toan"/>
      <sheetName val="TSCK"/>
      <sheetName val="Total"/>
      <sheetName val="profit_Const6"/>
      <sheetName val="FORM_X_COST6"/>
      <sheetName val="H_Satuan6"/>
      <sheetName val="EST__SERVICEHEATEXCHANGER-ATD6"/>
      <sheetName val="Cover_Daf-26"/>
      <sheetName val="Civil_Costs6"/>
      <sheetName val="Fill_this_out_first___10"/>
      <sheetName val="Balok_Slab4"/>
      <sheetName val="Pas__Bata4"/>
      <sheetName val="kusen_lt2-34"/>
      <sheetName val="ukuran_kusen4"/>
      <sheetName val="DATA_HARGA4"/>
      <sheetName val="ERCN_ATAP_COST4"/>
      <sheetName val="Rekap_boq4"/>
      <sheetName val="I_Persiapan4"/>
      <sheetName val="3_1_STR_BETON_GD_UTAMA4"/>
      <sheetName val="3_2_STR_BETON_PH4"/>
      <sheetName val="3_3_STR_BAJA4"/>
      <sheetName val="TAM-KUR_STR4"/>
      <sheetName val="4_1__DINDING4"/>
      <sheetName val="4_2_PINTU_&amp;_Jendela4"/>
      <sheetName val="4_3__Lantai4"/>
      <sheetName val="4_4__Plapond4"/>
      <sheetName val="4_5__SANITAIR4"/>
      <sheetName val="4_6__lain-lain4"/>
      <sheetName val="4_7_ARSITEKTUR_(POWER_HOUSE)4"/>
      <sheetName val="7_3__tam-Kur_ARS4"/>
      <sheetName val="Cover_ME4"/>
      <sheetName val="5_1_ELEKTRIKAL-ELEKTRONIK4"/>
      <sheetName val="PEMADAM_KEBAKARAN4"/>
      <sheetName val="UNIT_AC4"/>
      <sheetName val="UNIT_FAN4"/>
      <sheetName val="INSTALASI_(2)4"/>
      <sheetName val="PENJUMLAHAN_TATA_UDARA4"/>
      <sheetName val="5_5_-_ELEKTRONIK4"/>
      <sheetName val="6-Pek__Luar4"/>
      <sheetName val="HIT_AREA_LUAR4"/>
      <sheetName val="Luas_Bangunan4"/>
      <sheetName val="Fill_this_out_first___11"/>
      <sheetName val="Breakdown_Architecture4"/>
      <sheetName val="Breakdown_Structure4"/>
      <sheetName val="Ring_Balok4"/>
      <sheetName val="Harga_ME_4"/>
      <sheetName val="Teq_an4"/>
      <sheetName val="Teq_an_ccrt4"/>
      <sheetName val="Teq_an_Stone4"/>
      <sheetName val="An_Earth4"/>
      <sheetName val="An_Ls_4"/>
      <sheetName val="New_MADC4"/>
      <sheetName val="struktur_tdk_dipakai4"/>
      <sheetName val="Analisa_&amp;_Upah4"/>
      <sheetName val="Daftar_berat4"/>
      <sheetName val="Analisa___Upah4"/>
      <sheetName val="HRG_BHN4"/>
      <sheetName val="Arc_Analysis4"/>
      <sheetName val="An_Str4"/>
      <sheetName val="DAFTAR_HARGA4"/>
      <sheetName val="Bill_sipil4"/>
      <sheetName val="Analisa__Baku4"/>
      <sheetName val="Rekap_Direct_Cost4"/>
      <sheetName val="REF_ONLY4"/>
      <sheetName val="BQ_ME4"/>
      <sheetName val="data_RSUD_KIS4"/>
      <sheetName val="BQ_Stdr4"/>
      <sheetName val="inp_data4"/>
      <sheetName val="Unit_Rate4"/>
      <sheetName val="Steel_Pipe4"/>
      <sheetName val="External_PVC,_PPR,_HDPE4"/>
      <sheetName val="Internal_PVC,_PPR,_HDPE4"/>
      <sheetName val="GI_Sheet4"/>
      <sheetName val="analisa_Str4"/>
      <sheetName val="Daftar_Upah4"/>
      <sheetName val="Harga_Satuan4"/>
      <sheetName val="Daf_14"/>
      <sheetName val="Total_Load_List4"/>
      <sheetName val="Currency_Rate4"/>
      <sheetName val="Summary_Sheets4"/>
      <sheetName val="ARS_ADM4"/>
      <sheetName val="Code_024"/>
      <sheetName val="Code_034"/>
      <sheetName val="Code_044"/>
      <sheetName val="Code_054"/>
      <sheetName val="Code_064"/>
      <sheetName val="Code_074"/>
      <sheetName val="Code_094"/>
      <sheetName val="PileCap_4"/>
      <sheetName val="Tie_Beam4"/>
      <sheetName val="RAB_Str_4"/>
      <sheetName val="Daf-III_1_Dinding-TA4"/>
      <sheetName val="Daf-III_2_Pintu_Jendela_TA4"/>
      <sheetName val="REKAPITULASI_AKHIR4"/>
      <sheetName val="Daf-III_6_Lain-lain_TA4"/>
      <sheetName val="Daf-VA_(_TAMBAH_KURANG_TA)4"/>
      <sheetName val="Daf-II_2_(Beton)_TA4"/>
      <sheetName val="Bill_5_Summary4"/>
      <sheetName val="Bill_34"/>
      <sheetName val="ANALISA_SNI'13_4"/>
      <sheetName val="dATA_pc4"/>
      <sheetName val="Kolom_TG_24"/>
      <sheetName val="DETAIL_BALOK4"/>
      <sheetName val="DETAIL_KOLOM4"/>
      <sheetName val="2__MVAC_R14"/>
      <sheetName val="BQ_F4"/>
      <sheetName val="Harga_Bahan_&amp;_Upah_4"/>
      <sheetName val="Budget_Code4"/>
      <sheetName val="Tong_hop4"/>
      <sheetName val="analisa_SNI3"/>
      <sheetName val="analisa_prelim3"/>
      <sheetName val="Lantai_Semibasement3"/>
      <sheetName val="Lantai_18"/>
      <sheetName val="Lantai_1A3"/>
      <sheetName val="Lantai_23"/>
      <sheetName val="Lantai_33"/>
      <sheetName val="Lantai_43"/>
      <sheetName val="Lantai_53"/>
      <sheetName val="Lantai_63"/>
      <sheetName val="Lantai_73"/>
      <sheetName val="Lantai_83"/>
      <sheetName val="Lantai_93"/>
      <sheetName val="Lantai_103"/>
      <sheetName val="Lantai_113"/>
      <sheetName val="Lantai_123"/>
      <sheetName val="Lantai_133"/>
      <sheetName val="Lantai_143"/>
      <sheetName val="Lantai_153"/>
      <sheetName val="Lantai_Mesin3"/>
      <sheetName val="Prov__Sum3"/>
      <sheetName val="material_3"/>
      <sheetName val="Cover_CKE3"/>
      <sheetName val="Summary_Mech_3"/>
      <sheetName val="Mech__BQ3"/>
      <sheetName val="P_APRIL_20163"/>
      <sheetName val="Qttn_Report3"/>
      <sheetName val="MTO_REV_04"/>
      <sheetName val="ANALISA_PEK_UMUM3"/>
      <sheetName val="daftar_material3"/>
      <sheetName val="Klm_Base3"/>
      <sheetName val="B_Lt_1a3"/>
      <sheetName val="dftr_upah3"/>
      <sheetName val="Deep_Well3"/>
      <sheetName val="Pek_Luar3"/>
      <sheetName val="an_el3"/>
      <sheetName val="An_AC_&amp;_Plb3"/>
      <sheetName val="an__struktur3"/>
      <sheetName val="concept_cost_code3"/>
      <sheetName val="summary_cost_code3"/>
      <sheetName val="kas_proyek3"/>
      <sheetName val="lain_lain3"/>
      <sheetName val="D2_43"/>
      <sheetName val="D4_3_(TE)3"/>
      <sheetName val="D5_3_(TF)_3"/>
      <sheetName val="D8_3_(TJ)3"/>
      <sheetName val="Analisa_RAP3"/>
      <sheetName val="Sch_Tender3"/>
      <sheetName val="Analisa_RAB3"/>
      <sheetName val="Rekap_RAP3"/>
      <sheetName val="hg_sat_23"/>
      <sheetName val="hg_sat_BM3"/>
      <sheetName val="DATA_WP3"/>
      <sheetName val="Lt__1_(A)3"/>
      <sheetName val="Lab_A_(FKU)3"/>
      <sheetName val="TE_TS_FA_LAN_MATV3"/>
      <sheetName val="TH_kinh_phi3"/>
      <sheetName val="KLDT_DIEN3"/>
      <sheetName val="Dinh_muc_CP_KTCB_khac3"/>
      <sheetName val="CSA_Works3"/>
      <sheetName val="Pre_3"/>
      <sheetName val="RAB_AR&amp;STR3"/>
      <sheetName val="Unt_rate3"/>
      <sheetName val="Cover_(x)3"/>
      <sheetName val="Cor_Apt3"/>
      <sheetName val="Don_gia_chi_tiet3"/>
      <sheetName val="Elemental_Breakdown+20%3"/>
      <sheetName val="KL_chốt_LV3"/>
      <sheetName val="Du_toan3"/>
      <sheetName val="B7_ALU_GLASS_D&amp;W3"/>
      <sheetName val="B3_CONCRETE_WORKS3"/>
      <sheetName val="B8_FINISHING_WORKS3"/>
      <sheetName val="B4_MASONRY_WORKS3"/>
      <sheetName val="B5_METAL_WORKS3"/>
      <sheetName val="List_of_Houses3"/>
      <sheetName val="B2_SITE_WORKS3"/>
      <sheetName val="B6_THERMAL&amp;MOITURE3"/>
      <sheetName val="Du_thau3"/>
      <sheetName val="1_03"/>
      <sheetName val="Phan_tho3"/>
      <sheetName val="NC_NEW3"/>
      <sheetName val="Hoja_33"/>
      <sheetName val="TB_NẶNG3"/>
      <sheetName val="BAO_CHE3"/>
      <sheetName val="TỔNG_HỢP3"/>
      <sheetName val="AN_TOAN3"/>
      <sheetName val="Cong_tac_tam3"/>
      <sheetName val="TB_CHONG_DO_(GG_chen)3"/>
      <sheetName val="TONGKE3p_3"/>
      <sheetName val="Main_Package3"/>
      <sheetName val="D4_-_PLB3"/>
      <sheetName val="Customer_list3"/>
      <sheetName val="1_1_Barrette_pile3"/>
      <sheetName val="Rebar_FL_28_add73"/>
      <sheetName val="Bang_gia_2011_10_123"/>
      <sheetName val="4_canh3"/>
      <sheetName val="Land_Dev't__Ph-13"/>
      <sheetName val="D)_Cabling_Installation3"/>
      <sheetName val="Chiết_tính_BS3"/>
      <sheetName val="general_requirements3"/>
      <sheetName val="KJ_20023"/>
      <sheetName val="Bahan_3"/>
      <sheetName val="A+Supl_3"/>
      <sheetName val="Pressure_Gage_Form3"/>
      <sheetName val="Summary_tb3"/>
      <sheetName val="KET_CAU_CT53"/>
      <sheetName val="Le_MERIDIEN3"/>
      <sheetName val="UNITED_PHARMA3"/>
      <sheetName val="Smry_Wk_(P_I)3"/>
      <sheetName val="1_Requisition(E)3"/>
      <sheetName val="Civil_Works3"/>
      <sheetName val="Đơn_giá_khoán3"/>
      <sheetName val="harga_bahan_M&amp;E3"/>
      <sheetName val="SAT_EL3"/>
      <sheetName val="bahan_SNI3"/>
      <sheetName val="Harsat_Upah3"/>
      <sheetName val="DAFTAR_BESI_KANAL_C_SIKU3"/>
      <sheetName val="ANALISA_HARGA_ALAT3"/>
      <sheetName val="ANAL_MATERIAL+ANGKUT3"/>
      <sheetName val="Urai__Resap_pengikat3"/>
      <sheetName val="Bill_Of_Quantity3"/>
      <sheetName val="Finishes_applied3"/>
      <sheetName val="Room_matrix3"/>
      <sheetName val="Ｎｏ_133"/>
      <sheetName val="Define_finishing3"/>
      <sheetName val="MAIN_SUM3"/>
      <sheetName val="Area_Cal3"/>
      <sheetName val="Calculation_UNC3"/>
      <sheetName val="Data_Arc1"/>
      <sheetName val="Data_Str_H1"/>
      <sheetName val="Data_Str_V1"/>
      <sheetName val="Input_Arc1"/>
      <sheetName val="Input_Str1"/>
      <sheetName val="QS_Str1"/>
      <sheetName val="QS_Breakdown1"/>
      <sheetName val="QS_Arc1"/>
      <sheetName val="an_mek3"/>
      <sheetName val="upah_bahan3"/>
      <sheetName val="REKAP_C&amp;D3"/>
      <sheetName val="Blok_C_Elektrikal3"/>
      <sheetName val="D_&amp;_W_sizes3"/>
      <sheetName val="rekap_str_ars3"/>
      <sheetName val="Analisa_Gundih3"/>
      <sheetName val="TO_OFF3"/>
      <sheetName val="Cat_3"/>
      <sheetName val="Analisa___2_3"/>
      <sheetName val="Summary_13"/>
      <sheetName val="Bill_4_Summary3"/>
      <sheetName val="DAFTAR_HARGA_SATUAN_MATERIAL3"/>
      <sheetName val="Summary_per_costtype13"/>
      <sheetName val="custom_check3"/>
      <sheetName val="APRON_TAHAP_I3"/>
      <sheetName val="ANALISA_BARU_40_M3"/>
      <sheetName val="THPDMoi__(2)3"/>
      <sheetName val="dongia_(2)3"/>
      <sheetName val="TLSKIN_LWR3"/>
      <sheetName val="DHS_Alat3"/>
      <sheetName val="DHS_Bahan_Material3"/>
      <sheetName val="DHS_Upah3"/>
      <sheetName val="Analisa_Harga_Satuan3"/>
      <sheetName val="Rekap_Addendum3"/>
      <sheetName val="DETAIL_1"/>
      <sheetName val="MTO_REV_05"/>
      <sheetName val="GOC-KO_IN1"/>
      <sheetName val="1__HT_Điện_-_R11"/>
      <sheetName val="2__HT_Máy_Phát_Điện_-_R11"/>
      <sheetName val="3_HT_ĐHKK_-_R21"/>
      <sheetName val="4_HT_Cấp_Thoát_Nước1"/>
      <sheetName val="5_HT_PCCC1"/>
      <sheetName val="6__Thiết_bị_chính1"/>
      <sheetName val="Các_Hạng_mục_Thay_đổi1"/>
      <sheetName val="IPC_081"/>
      <sheetName val="IPC_141"/>
      <sheetName val="IPC_101"/>
      <sheetName val="Quo__11"/>
      <sheetName val="Thiet_Bi1"/>
      <sheetName val="An-Sipil(ADA_KODE)"/>
      <sheetName val="URA_E450"/>
      <sheetName val="ANALISA_SM"/>
      <sheetName val="Hệ_số_và_tỷ_giá"/>
      <sheetName val="BAO_GIA"/>
      <sheetName val="CPC_(phuc_vu_tinh_cost)"/>
      <sheetName val="Chi_phi_gian_tiep"/>
      <sheetName val="May_TC"/>
      <sheetName val="Nhan_cong"/>
      <sheetName val="DM_ChiPhi"/>
      <sheetName val="4,_Prelim"/>
      <sheetName val="Calculation"/>
      <sheetName val="8521"/>
      <sheetName val="計算条件"/>
      <sheetName val="000000"/>
      <sheetName val="Building Summary"/>
      <sheetName val="　×22_ELECTRICAL"/>
      <sheetName val="×23_MECHANICAL"/>
      <sheetName val="현장별"/>
      <sheetName val="Mẫu (ko xóa)"/>
      <sheetName val="4.2.1 Đo bóc KL OLK-06"/>
      <sheetName val="4.1.1 CHI TIET OLK-06"/>
      <sheetName val="4 CĂN"/>
      <sheetName val="5.2.1 Đo bóc KL OLK-10"/>
      <sheetName val="DSHD DH"/>
      <sheetName val="CHITIET VL-NC-TT1p"/>
      <sheetName val="BG"/>
      <sheetName val="Main Feeder"/>
      <sheetName val="PIPES"/>
      <sheetName val="ABB_Trans"/>
      <sheetName val="Capacitor"/>
      <sheetName val="Input_Data-1"/>
      <sheetName val="PE Wire"/>
      <sheetName val="XLPE_Cable"/>
      <sheetName val="BOQ.X1"/>
      <sheetName val="물량표"/>
      <sheetName val="Gia"/>
      <sheetName val="lamp4ae"/>
      <sheetName val="Har Sat"/>
      <sheetName val="Binder "/>
      <sheetName val="daf isi (xref)"/>
      <sheetName val="I-ME"/>
      <sheetName val="Dafmat"/>
      <sheetName val="BQ ARS"/>
      <sheetName val="BQ-Str"/>
      <sheetName val="Estimate"/>
      <sheetName val="har-sat"/>
      <sheetName val="TerbiL"/>
      <sheetName val="Resume"/>
      <sheetName val="Sumber Daya"/>
      <sheetName val="DATA CABLE"/>
      <sheetName val="Bill-2"/>
      <sheetName val="Bgt_Jun-05"/>
      <sheetName val="メニュー"/>
      <sheetName val="設定"/>
      <sheetName val="HARSAT-lain"/>
      <sheetName val="HARSAT-tanah"/>
      <sheetName val="HARSAT-lhn"/>
      <sheetName val="Luas-Tot"/>
      <sheetName val="EQ_an"/>
      <sheetName val="K"/>
      <sheetName val="Urai _ Guide Post"/>
      <sheetName val="Urai_Galian Tanah"/>
      <sheetName val="12CGOU"/>
      <sheetName val="BQ OE"/>
      <sheetName val="RAB JALUR TEMILING "/>
      <sheetName val="DC"/>
      <sheetName val="dasar"/>
      <sheetName val="Agg Halus &amp; Kasar"/>
      <sheetName val="Df-Kuan"/>
      <sheetName val="UP_an"/>
      <sheetName val="Analisa SNI STANDART "/>
      <sheetName val="Analisa Fave"/>
      <sheetName val="BUA"/>
      <sheetName val="Harsat Bahan"/>
      <sheetName val="Harsat Subkon"/>
      <sheetName val="PP"/>
      <sheetName val="ANALISA-S"/>
      <sheetName val="HARGA SATUAN DASAR"/>
      <sheetName val="BIALANG"/>
      <sheetName val="hrgsat"/>
      <sheetName val="div-2"/>
      <sheetName val="RKP"/>
      <sheetName val="daftarbhn"/>
      <sheetName val="NYATDOK"/>
      <sheetName val="Master 1.0"/>
      <sheetName val="맨홀수량산출"/>
      <sheetName val="UPH"/>
      <sheetName val="DESCRIPTION"/>
      <sheetName val="BM DATA SHEET"/>
      <sheetName val="Hit Vol Str Jambi"/>
      <sheetName val="CF Alat"/>
      <sheetName val="Analisa Tend"/>
      <sheetName val="REKAP BQ "/>
      <sheetName val="BQ &amp; Harga"/>
      <sheetName val="21"/>
      <sheetName val="Spec1"/>
      <sheetName val="rap rinci"/>
      <sheetName val="Persiapan"/>
      <sheetName val="ANALIS.2"/>
      <sheetName val="ANALIS.1"/>
      <sheetName val="TYPE-A"/>
      <sheetName val="Public Area"/>
      <sheetName val="板房区目标成本"/>
      <sheetName val="Balok"/>
      <sheetName val="BOQ CBM"/>
      <sheetName val="PileCap"/>
      <sheetName val="Hargamat"/>
      <sheetName val="COV"/>
      <sheetName val="TONG HOP VL-NC"/>
      <sheetName val="DONGIA"/>
      <sheetName val="CHITIET VL-NC"/>
      <sheetName val="OFFICE 2 LT"/>
      <sheetName val="Labor &amp; SUB"/>
      <sheetName val="conc-mix"/>
      <sheetName val="BACK"/>
      <sheetName val="spesifikasi"/>
      <sheetName val="sudut"/>
      <sheetName val="GVL§CT"/>
      <sheetName val="ES STG"/>
      <sheetName val="Basic Price"/>
      <sheetName val="Mob"/>
      <sheetName val="D7"/>
      <sheetName val="Analisa Harga"/>
      <sheetName val="Cacth_Basin1"/>
      <sheetName val="Sat_Bah_&amp;_Up"/>
      <sheetName val="Grand_Rekap"/>
      <sheetName val=" Harga Satuan"/>
      <sheetName val="L Staff"/>
      <sheetName val="BahanUpah"/>
      <sheetName val="F4-F7"/>
      <sheetName val="Chi phi van chuyen"/>
      <sheetName val="Tro giup"/>
      <sheetName val="Gia giao VL den HT"/>
      <sheetName val="Gia VL den HT"/>
      <sheetName val="cost plan"/>
      <sheetName val="Rate (refer vn prj)"/>
      <sheetName val="Account"/>
      <sheetName val="An Arsitektur"/>
      <sheetName val="An Struktur"/>
      <sheetName val="r_tank"/>
      <sheetName val="anal_hs"/>
      <sheetName val="lap-bulan"/>
      <sheetName val="Lap-Minggu"/>
      <sheetName val="Profil"/>
      <sheetName val="K725"/>
      <sheetName val="L4"/>
      <sheetName val="K33H"/>
      <sheetName val="K621"/>
      <sheetName val="K819"/>
      <sheetName val="K331"/>
      <sheetName val="Galian 1"/>
      <sheetName val="Risiko"/>
      <sheetName val="Tindak Lanjut"/>
      <sheetName val="BQ STR"/>
      <sheetName val="HSP"/>
      <sheetName val="SUMBER"/>
      <sheetName val="Brd Unit Rate"/>
      <sheetName val="REKAP PORSI 13,5"/>
      <sheetName val="terbilang"/>
      <sheetName val="Informasi"/>
      <sheetName val="rekap ok"/>
      <sheetName val="Perhitungan RAB"/>
      <sheetName val="nc-m"/>
      <sheetName val="M+MC"/>
      <sheetName val="CV"/>
      <sheetName val="ANALISA-HST"/>
      <sheetName val="pivot2"/>
      <sheetName val="pivot1"/>
      <sheetName val="Rek-Analisa"/>
      <sheetName val="ANA-C"/>
      <sheetName val="PNT"/>
      <sheetName val="hsp-STR-ARS"/>
      <sheetName val="PARA "/>
      <sheetName val="기성내역"/>
      <sheetName val="물량표S"/>
      <sheetName val="0"/>
      <sheetName val="Dầm 1"/>
      <sheetName val="Cọc nhồi"/>
      <sheetName val="B3A - TOWER A"/>
      <sheetName val="FAB별"/>
      <sheetName val="總表"/>
      <sheetName val="Cash2"/>
      <sheetName val="Z"/>
      <sheetName val="#3E1_GCR"/>
      <sheetName val="May"/>
      <sheetName val="NC"/>
      <sheetName val="Vat lieu"/>
      <sheetName val="vua"/>
      <sheetName val="GIAVLIEU"/>
      <sheetName val="Vat lieu Canh"/>
      <sheetName val="Div26 - Elect"/>
      <sheetName val="74"/>
      <sheetName val="Deviation BOQ &amp; ORG brand name"/>
      <sheetName val="Phân tích xây tô miền Bắc-GD6"/>
      <sheetName val="profit_Const7"/>
      <sheetName val="FORM_X_COST7"/>
      <sheetName val="H_Satuan7"/>
      <sheetName val="EST__SERVICEHEATEXCHANGER-ATD7"/>
      <sheetName val="Cover_Daf-27"/>
      <sheetName val="Civil_Costs7"/>
      <sheetName val="Fill_this_out_first___12"/>
      <sheetName val="Balok_Slab5"/>
      <sheetName val="Pas__Bata5"/>
      <sheetName val="kusen_lt2-35"/>
      <sheetName val="ukuran_kusen5"/>
      <sheetName val="DATA_HARGA5"/>
      <sheetName val="ERCN_ATAP_COST5"/>
      <sheetName val="Rekap_boq5"/>
      <sheetName val="I_Persiapan5"/>
      <sheetName val="3_1_STR_BETON_GD_UTAMA5"/>
      <sheetName val="3_2_STR_BETON_PH5"/>
      <sheetName val="3_3_STR_BAJA5"/>
      <sheetName val="TAM-KUR_STR5"/>
      <sheetName val="4_1__DINDING5"/>
      <sheetName val="4_2_PINTU_&amp;_Jendela5"/>
      <sheetName val="4_3__Lantai5"/>
      <sheetName val="4_4__Plapond5"/>
      <sheetName val="4_5__SANITAIR5"/>
      <sheetName val="4_6__lain-lain5"/>
      <sheetName val="4_7_ARSITEKTUR_(POWER_HOUSE)5"/>
      <sheetName val="7_3__tam-Kur_ARS5"/>
      <sheetName val="Cover_ME5"/>
      <sheetName val="5_1_ELEKTRIKAL-ELEKTRONIK5"/>
      <sheetName val="PEMADAM_KEBAKARAN5"/>
      <sheetName val="UNIT_AC5"/>
      <sheetName val="UNIT_FAN5"/>
      <sheetName val="INSTALASI_(2)5"/>
      <sheetName val="PENJUMLAHAN_TATA_UDARA5"/>
      <sheetName val="5_5_-_ELEKTRONIK5"/>
      <sheetName val="6-Pek__Luar5"/>
      <sheetName val="HIT_AREA_LUAR5"/>
      <sheetName val="Luas_Bangunan5"/>
      <sheetName val="Fill_this_out_first___13"/>
      <sheetName val="Breakdown_Architecture5"/>
      <sheetName val="Breakdown_Structure5"/>
      <sheetName val="Ring_Balok5"/>
      <sheetName val="Harga_ME_5"/>
      <sheetName val="Teq_an5"/>
      <sheetName val="Teq_an_ccrt5"/>
      <sheetName val="Teq_an_Stone5"/>
      <sheetName val="An_Earth5"/>
      <sheetName val="An_Ls_5"/>
      <sheetName val="New_MADC5"/>
      <sheetName val="struktur_tdk_dipakai5"/>
      <sheetName val="Analisa_&amp;_Upah5"/>
      <sheetName val="Daftar_berat5"/>
      <sheetName val="Analisa___Upah5"/>
      <sheetName val="HRG_BHN5"/>
      <sheetName val="Arc_Analysis5"/>
      <sheetName val="An_Str5"/>
      <sheetName val="DAFTAR_HARGA5"/>
      <sheetName val="Bill_sipil5"/>
      <sheetName val="Analisa__Baku5"/>
      <sheetName val="Rekap_Direct_Cost5"/>
      <sheetName val="REF_ONLY5"/>
      <sheetName val="BQ_ME5"/>
      <sheetName val="data_RSUD_KIS5"/>
      <sheetName val="BQ_Stdr5"/>
      <sheetName val="inp_data5"/>
      <sheetName val="Unit_Rate5"/>
      <sheetName val="Steel_Pipe5"/>
      <sheetName val="External_PVC,_PPR,_HDPE5"/>
      <sheetName val="Internal_PVC,_PPR,_HDPE5"/>
      <sheetName val="GI_Sheet5"/>
      <sheetName val="analisa_Str5"/>
      <sheetName val="Daftar_Upah5"/>
      <sheetName val="Harga_Satuan5"/>
      <sheetName val="Daf_15"/>
      <sheetName val="Total_Load_List5"/>
      <sheetName val="Currency_Rate5"/>
      <sheetName val="Summary_Sheets5"/>
      <sheetName val="ARS_ADM5"/>
      <sheetName val="Code_025"/>
      <sheetName val="Code_035"/>
      <sheetName val="Code_045"/>
      <sheetName val="Code_055"/>
      <sheetName val="Code_065"/>
      <sheetName val="Code_075"/>
      <sheetName val="Code_095"/>
      <sheetName val="PileCap_5"/>
      <sheetName val="Tie_Beam5"/>
      <sheetName val="RAB_Str_5"/>
      <sheetName val="Daf-III_1_Dinding-TA5"/>
      <sheetName val="Daf-III_2_Pintu_Jendela_TA5"/>
      <sheetName val="REKAPITULASI_AKHIR5"/>
      <sheetName val="Daf-III_6_Lain-lain_TA5"/>
      <sheetName val="Daf-VA_(_TAMBAH_KURANG_TA)5"/>
      <sheetName val="Daf-II_2_(Beton)_TA5"/>
      <sheetName val="Bill_5_Summary5"/>
      <sheetName val="Bill_35"/>
      <sheetName val="ANALISA_SNI'13_5"/>
      <sheetName val="dATA_pc5"/>
      <sheetName val="Kolom_TG_25"/>
      <sheetName val="DETAIL_BALOK5"/>
      <sheetName val="DETAIL_KOLOM5"/>
      <sheetName val="2__MVAC_R15"/>
      <sheetName val="BQ_F5"/>
      <sheetName val="Harga_Bahan_&amp;_Upah_5"/>
      <sheetName val="Budget_Code5"/>
      <sheetName val="Tong_hop5"/>
      <sheetName val="Elemental_Breakdown+20%4"/>
      <sheetName val="Le_MERIDIEN4"/>
      <sheetName val="UNITED_PHARMA4"/>
      <sheetName val="1_04"/>
      <sheetName val="Phan_tho4"/>
      <sheetName val="analisa_SNI4"/>
      <sheetName val="analisa_prelim4"/>
      <sheetName val="Lantai_Semibasement4"/>
      <sheetName val="Lantai_19"/>
      <sheetName val="Lantai_1A4"/>
      <sheetName val="Lantai_24"/>
      <sheetName val="Lantai_34"/>
      <sheetName val="Lantai_44"/>
      <sheetName val="Lantai_54"/>
      <sheetName val="Lantai_64"/>
      <sheetName val="Lantai_74"/>
      <sheetName val="Lantai_84"/>
      <sheetName val="Lantai_94"/>
      <sheetName val="Lantai_104"/>
      <sheetName val="Lantai_114"/>
      <sheetName val="Lantai_124"/>
      <sheetName val="Lantai_134"/>
      <sheetName val="Lantai_144"/>
      <sheetName val="Lantai_154"/>
      <sheetName val="Lantai_Mesin4"/>
      <sheetName val="Prov__Sum4"/>
      <sheetName val="material_4"/>
      <sheetName val="Cover_CKE4"/>
      <sheetName val="Summary_Mech_4"/>
      <sheetName val="Mech__BQ4"/>
      <sheetName val="P_APRIL_20164"/>
      <sheetName val="Qttn_Report4"/>
      <sheetName val="MTO_REV_06"/>
      <sheetName val="ANALISA_PEK_UMUM4"/>
      <sheetName val="daftar_material4"/>
      <sheetName val="Klm_Base4"/>
      <sheetName val="B_Lt_1a4"/>
      <sheetName val="dftr_upah4"/>
      <sheetName val="Deep_Well4"/>
      <sheetName val="Pek_Luar4"/>
      <sheetName val="an_el4"/>
      <sheetName val="An_AC_&amp;_Plb4"/>
      <sheetName val="an__struktur4"/>
      <sheetName val="concept_cost_code4"/>
      <sheetName val="summary_cost_code4"/>
      <sheetName val="kas_proyek4"/>
      <sheetName val="lain_lain4"/>
      <sheetName val="D2_44"/>
      <sheetName val="D4_3_(TE)4"/>
      <sheetName val="D5_3_(TF)_4"/>
      <sheetName val="D8_3_(TJ)4"/>
      <sheetName val="Analisa_RAP4"/>
      <sheetName val="Sch_Tender4"/>
      <sheetName val="Analisa_RAB4"/>
      <sheetName val="Rekap_RAP4"/>
      <sheetName val="hg_sat_24"/>
      <sheetName val="hg_sat_BM4"/>
      <sheetName val="DATA_WP4"/>
      <sheetName val="Lt__1_(A)4"/>
      <sheetName val="Lab_A_(FKU)4"/>
      <sheetName val="TE_TS_FA_LAN_MATV4"/>
      <sheetName val="Unt_rate4"/>
      <sheetName val="NC_NEW4"/>
      <sheetName val="TH_kinh_phi4"/>
      <sheetName val="KLDT_DIEN4"/>
      <sheetName val="Dinh_muc_CP_KTCB_khac4"/>
      <sheetName val="CSA_Works4"/>
      <sheetName val="Pre_4"/>
      <sheetName val="RAB_AR&amp;STR4"/>
      <sheetName val="1_1_Barrette_pile4"/>
      <sheetName val="Cover_(x)4"/>
      <sheetName val="Cor_Apt4"/>
      <sheetName val="Don_gia_chi_tiet4"/>
      <sheetName val="B7_ALU_GLASS_D&amp;W4"/>
      <sheetName val="B3_CONCRETE_WORKS4"/>
      <sheetName val="B8_FINISHING_WORKS4"/>
      <sheetName val="B4_MASONRY_WORKS4"/>
      <sheetName val="B5_METAL_WORKS4"/>
      <sheetName val="List_of_Houses4"/>
      <sheetName val="B2_SITE_WORKS4"/>
      <sheetName val="B6_THERMAL&amp;MOITURE4"/>
      <sheetName val="Du_thau4"/>
      <sheetName val="Smry_Wk_(P_I)4"/>
      <sheetName val="harga_bahan_M&amp;E4"/>
      <sheetName val="SAT_EL4"/>
      <sheetName val="bahan_SNI4"/>
      <sheetName val="Bahan_4"/>
      <sheetName val="Harsat_Upah4"/>
      <sheetName val="DAFTAR_BESI_KANAL_C_SIKU4"/>
      <sheetName val="ANALISA_HARGA_ALAT4"/>
      <sheetName val="ANAL_MATERIAL+ANGKUT4"/>
      <sheetName val="Urai__Resap_pengikat4"/>
      <sheetName val="Bill_Of_Quantity4"/>
      <sheetName val="Bang_gia_2011_10_124"/>
      <sheetName val="4_canh4"/>
      <sheetName val="Land_Dev't__Ph-14"/>
      <sheetName val="KL_chốt_LV4"/>
      <sheetName val="Du_toan4"/>
      <sheetName val="Hoja_34"/>
      <sheetName val="D)_Cabling_Installation4"/>
      <sheetName val="TONGKE3p_4"/>
      <sheetName val="Rebar_FL_28_add74"/>
      <sheetName val="Main_Package4"/>
      <sheetName val="D4_-_PLB4"/>
      <sheetName val="TB_NẶNG4"/>
      <sheetName val="BAO_CHE4"/>
      <sheetName val="TỔNG_HỢP4"/>
      <sheetName val="AN_TOAN4"/>
      <sheetName val="Cong_tac_tam4"/>
      <sheetName val="TB_CHONG_DO_(GG_chen)4"/>
      <sheetName val="Customer_list4"/>
      <sheetName val="general_requirements4"/>
      <sheetName val="KJ_20024"/>
      <sheetName val="A+Supl_4"/>
      <sheetName val="Pressure_Gage_Form4"/>
      <sheetName val="Finishes_applied4"/>
      <sheetName val="Room_matrix4"/>
      <sheetName val="Summary_tb4"/>
      <sheetName val="Chiết_tính_BS4"/>
      <sheetName val="Ｎｏ_134"/>
      <sheetName val="KET_CAU_CT54"/>
      <sheetName val="1_Requisition(E)4"/>
      <sheetName val="Đơn_giá_khoán4"/>
      <sheetName val="MAIN_SUM4"/>
      <sheetName val="Civil_Works4"/>
      <sheetName val="Define_finishing4"/>
      <sheetName val="Area_Cal4"/>
      <sheetName val="Calculation_UNC4"/>
      <sheetName val="D_&amp;_W_sizes4"/>
      <sheetName val="rekap_str_ars4"/>
      <sheetName val="Summary_14"/>
      <sheetName val="Bill_4_Summary4"/>
      <sheetName val="DAFTAR_HARGA_SATUAN_MATERIAL4"/>
      <sheetName val="an_mek4"/>
      <sheetName val="upah_bahan4"/>
      <sheetName val="REKAP_C&amp;D4"/>
      <sheetName val="Blok_C_Elektrikal4"/>
      <sheetName val="TLSKIN_LWR4"/>
      <sheetName val="Analisa_Gundih4"/>
      <sheetName val="TO_OFF4"/>
      <sheetName val="Analisa___2_4"/>
      <sheetName val="MTO_REV_07"/>
      <sheetName val="Cat_4"/>
      <sheetName val="custom_check4"/>
      <sheetName val="Data_Arc2"/>
      <sheetName val="Data_Str_H2"/>
      <sheetName val="Data_Str_V2"/>
      <sheetName val="Input_Arc2"/>
      <sheetName val="Input_Str2"/>
      <sheetName val="QS_Str2"/>
      <sheetName val="QS_Breakdown2"/>
      <sheetName val="QS_Arc2"/>
      <sheetName val="GOC-KO_IN2"/>
      <sheetName val="Summary_per_costtype14"/>
      <sheetName val="APRON_TAHAP_I4"/>
      <sheetName val="ANALISA_BARU_40_M4"/>
      <sheetName val="THPDMoi__(2)4"/>
      <sheetName val="dongia_(2)4"/>
      <sheetName val="DHS_Alat4"/>
      <sheetName val="DHS_Bahan_Material4"/>
      <sheetName val="DHS_Upah4"/>
      <sheetName val="Analisa_Harga_Satuan4"/>
      <sheetName val="Rekap_Addendum4"/>
      <sheetName val="DETAIL_2"/>
      <sheetName val="1__HT_Điện_-_R12"/>
      <sheetName val="2__HT_Máy_Phát_Điện_-_R12"/>
      <sheetName val="3_HT_ĐHKK_-_R22"/>
      <sheetName val="4_HT_Cấp_Thoát_Nước2"/>
      <sheetName val="5_HT_PCCC2"/>
      <sheetName val="6__Thiết_bị_chính2"/>
      <sheetName val="Các_Hạng_mục_Thay_đổi2"/>
      <sheetName val="IPC_082"/>
      <sheetName val="IPC_142"/>
      <sheetName val="IPC_102"/>
      <sheetName val="Quo__12"/>
      <sheetName val="Thiet_Bi2"/>
      <sheetName val="Buy_vs__Lease_Car1"/>
      <sheetName val="He_so1"/>
      <sheetName val="AHS_ME_1"/>
      <sheetName val="REKAP_TOT1"/>
      <sheetName val="Harga_Dasar1"/>
      <sheetName val="FORM_1_(PROD_15-5)1"/>
      <sheetName val="MAPDC_1"/>
      <sheetName val="FORM_4_(PROD_15-8)1"/>
      <sheetName val="Alat_DC1"/>
      <sheetName val="Pemakaian_Alat+Tenaga1"/>
      <sheetName val="FORM_5_(PROD_15-9)1"/>
      <sheetName val="FORM_7_(PROD_15-11)1"/>
      <sheetName val="D_BOARD1"/>
      <sheetName val="Alat_B1"/>
      <sheetName val="Bahan_B1"/>
      <sheetName val="Upah_B1"/>
      <sheetName val="HARSAT_(DC)1"/>
      <sheetName val="BAHAN_(2)1"/>
      <sheetName val="AN-PRE_(2)1"/>
      <sheetName val="STR__HOTEL1"/>
      <sheetName val="ARS_apartment1"/>
      <sheetName val="PENJUMLAHAN_AKHIR1"/>
      <sheetName val="Analisa_ME1"/>
      <sheetName val="Analisa_-Baku1"/>
      <sheetName val="Rekap_dpb_111"/>
      <sheetName val="Agregat_Halus_&amp;_Kasar1"/>
      <sheetName val="harga_bahan1"/>
      <sheetName val="Isolasi_Luar_Dalam1"/>
      <sheetName val="Isolasi_Luar1"/>
      <sheetName val="HARGA_MATERIAL1"/>
      <sheetName val="Cover_(sh_1)1"/>
      <sheetName val="Phase_I_-Over_flow1"/>
      <sheetName val="Phase_I1"/>
      <sheetName val="Phase_I_I1"/>
      <sheetName val="Clean_room_-_Return1"/>
      <sheetName val="Clean_room_-_Supply1"/>
      <sheetName val="Close_June_101"/>
      <sheetName val="rab_me_(fisik)1"/>
      <sheetName val="rab_me_(by_owner)_1"/>
      <sheetName val="Phan_tich1"/>
      <sheetName val="AUTOMATIC_SELECT1"/>
      <sheetName val="1__KC_XUONG_SAN_XUAT1"/>
      <sheetName val="Tong_DT1"/>
      <sheetName val="phan_tic_chi_tiet1"/>
      <sheetName val="phan_tich_don_gia1"/>
      <sheetName val="Priced_BOQ1"/>
      <sheetName val="Hệ_số_và_tỷ_giá1"/>
      <sheetName val="BAO_GIA1"/>
      <sheetName val="CPC_(phuc_vu_tinh_cost)1"/>
      <sheetName val="Chi_phi_gian_tiep1"/>
      <sheetName val="An-Sipil(ADA_KODE)1"/>
      <sheetName val="URA_E4501"/>
      <sheetName val="ANALISA_SM1"/>
      <sheetName val="May_TC1"/>
      <sheetName val="Nhan_cong1"/>
      <sheetName val="DM_ChiPhi1"/>
      <sheetName val="4,_Prelim1"/>
      <sheetName val="Noodles_(assumptions)"/>
      <sheetName val="国債_"/>
      <sheetName val="Tong_hop_vat_tu"/>
      <sheetName val="Phan_tich_ca_may"/>
      <sheetName val="Chenh_lech_ca_may"/>
      <sheetName val="Chenh_lech_vat_tu"/>
      <sheetName val="TLg_CN&amp;Laixe"/>
      <sheetName val="TLg_CN&amp;Laixe_(2)"/>
      <sheetName val="TLg_Laitau"/>
      <sheetName val="TLg_Laitau_(2)"/>
      <sheetName val="C-LOAD(L-FACTORY_)"/>
      <sheetName val="U_P_List"/>
      <sheetName val="HRG_BAHAN_&amp;_UPAH_okk"/>
      <sheetName val="Analis_Kusen_okk"/>
      <sheetName val="List_Harga"/>
      <sheetName val="VO_I"/>
      <sheetName val="4-Basic_Price"/>
      <sheetName val="REKAP_ARSITEKTUR"/>
      <sheetName val="REKAPAN_Base_B"/>
      <sheetName val="S_System"/>
      <sheetName val="Perm__Test"/>
      <sheetName val="Soil_factor"/>
      <sheetName val="Analisa_Hrg_Sat_"/>
      <sheetName val="Perbandingan_Pay_Item_(3)"/>
      <sheetName val="CASH_WILAYAH"/>
      <sheetName val="hutang-lapangan_"/>
      <sheetName val="Analisa_pemkot"/>
      <sheetName val="DSHD_DH"/>
      <sheetName val="Mẫu_(ko_xóa)"/>
      <sheetName val="BOQ_X1"/>
      <sheetName val="CHITIET_VL-NC-TT1p"/>
      <sheetName val="4_2_1_Đo_bóc_KL_OLK-06"/>
      <sheetName val="4_1_1_CHI_TIET_OLK-06"/>
      <sheetName val="4_CĂN"/>
      <sheetName val="5_2_1_Đo_bóc_KL_OLK-10"/>
      <sheetName val="Main_Feeder"/>
      <sheetName val="Chi_phi_van_chuyen"/>
      <sheetName val="Tro_giup"/>
      <sheetName val="Gia_giao_VL_den_HT"/>
      <sheetName val="Gia_VL_den_HT"/>
      <sheetName val="Breakdown (B)"/>
      <sheetName val="sat.pekerjaan"/>
      <sheetName val="NAMES"/>
      <sheetName val="D.1.5"/>
      <sheetName val="D.2.2"/>
      <sheetName val="Resume-Analisa"/>
      <sheetName val="H-BHN"/>
      <sheetName val="A-BANTU"/>
      <sheetName val="PROTECTION "/>
      <sheetName val="ocean voyage"/>
      <sheetName val="HRG.BHN."/>
      <sheetName val="rp"/>
      <sheetName val="Phân tích xây tô miền Bắc-VLmua"/>
      <sheetName val="Phân tích xây tô miền Bắc-Khoan"/>
      <sheetName val="6PILE  (돌출)"/>
      <sheetName val="T"/>
      <sheetName val="INDIGINEOUS ITEMS "/>
      <sheetName val="gen"/>
      <sheetName val="RANGKUM"/>
      <sheetName val="EDTL"/>
      <sheetName val="SDMTA"/>
      <sheetName val="Cash Flow bulanan"/>
      <sheetName val="HS-1"/>
      <sheetName val="Hrg Sat"/>
      <sheetName val="basic_price"/>
      <sheetName val="SPM"/>
      <sheetName val="OwnEq"/>
      <sheetName val="Sumber_Daya"/>
      <sheetName val="HARGA_SATUAN_DASAR"/>
      <sheetName val="Urai___Guide_Post"/>
      <sheetName val="Urai_Galian_Tanah"/>
      <sheetName val="BQ_OE"/>
      <sheetName val="RAB_JALUR_TEMILING_"/>
      <sheetName val="Agg_Halus_&amp;_Kasar"/>
      <sheetName val="Analisa_SNI_STANDART_"/>
      <sheetName val="Analisa_Fave"/>
      <sheetName val="Harsat_Bahan"/>
      <sheetName val="Harsat_Subkon"/>
      <sheetName val="UNIT PRICE"/>
      <sheetName val="area Depok"/>
      <sheetName val="besi"/>
      <sheetName val="EXISTING"/>
      <sheetName val="VV-REV2"/>
      <sheetName val="RESUME (2)"/>
      <sheetName val="Rekap Bill"/>
      <sheetName val="Menu"/>
      <sheetName val="Daf Alat"/>
      <sheetName val="Jdw Alat"/>
      <sheetName val="Plant"/>
      <sheetName val="S Penawar"/>
      <sheetName val="O"/>
      <sheetName val="Executive Summary"/>
      <sheetName val="ahs3"/>
      <sheetName val="5-Peralatan"/>
      <sheetName val="RFP003"/>
      <sheetName val="3-DIV4"/>
      <sheetName val="DHT"/>
      <sheetName val="Satuan Pek."/>
      <sheetName val="Analisa D&amp;W"/>
      <sheetName val="D3.1"/>
      <sheetName val="Hrg.Sat"/>
      <sheetName val="Bill of Qty MEP"/>
      <sheetName val="BOQ_Aula"/>
      <sheetName val="L-Mechanical"/>
      <sheetName val="Olah"/>
      <sheetName val="hub"/>
      <sheetName val="DHS"/>
      <sheetName val="BQ (by owner)"/>
      <sheetName val="Hsatbahan"/>
      <sheetName val="Urugan Pasir"/>
      <sheetName val="1.8.CleanRM"/>
      <sheetName val="Project Data"/>
      <sheetName val="M Budget(A2)"/>
      <sheetName val="Material of Quantities"/>
      <sheetName val="ESTI."/>
      <sheetName val="CFA (ME)"/>
      <sheetName val="MEP Building"/>
      <sheetName val="Tai trong"/>
      <sheetName val="Gioi thieu"/>
      <sheetName val="Tohoptaitrong"/>
      <sheetName val="Gia VL"/>
      <sheetName val="Sheet3"/>
      <sheetName val="DELETE_Rate"/>
      <sheetName val="Takeoff"/>
      <sheetName val="bahan 2004"/>
      <sheetName val="prime coal"/>
      <sheetName val="PBS"/>
      <sheetName val="BQ-1A"/>
      <sheetName val="Spec ME"/>
      <sheetName val="hsat-SD"/>
      <sheetName val="an-satuan"/>
      <sheetName val="Rekap-SD"/>
      <sheetName val="CF_Alat"/>
      <sheetName val="BM_DATA_SHEET"/>
      <sheetName val="Master_1_0"/>
      <sheetName val="Hit_Vol_Str_Jambi"/>
      <sheetName val="Analisa_Tend"/>
      <sheetName val="REKAP_BQ_"/>
      <sheetName val="BQ_&amp;_Harga"/>
      <sheetName val="BOQ_CBM"/>
      <sheetName val="DAF-5"/>
      <sheetName val="Qty_pile"/>
      <sheetName val="Steel_slab"/>
      <sheetName val="Steel_tank"/>
      <sheetName val="Steel_wall"/>
      <sheetName val="IPL_SCHEDULE"/>
      <sheetName val="DAF-7"/>
      <sheetName val="STR"/>
      <sheetName val="daf-3(OK)"/>
      <sheetName val="daf-7(OK)"/>
      <sheetName val="upah_borong"/>
      <sheetName val="satuan_pek"/>
      <sheetName val="MONITORING PENGADAAN"/>
      <sheetName val="LNPB"/>
      <sheetName val="Pemakaian besi"/>
      <sheetName val="bang tien luong"/>
      <sheetName val="전기"/>
      <sheetName val="BKL"/>
      <sheetName val="GZ.TP"/>
      <sheetName val="GZ.VT"/>
      <sheetName val="1.1 BOQ "/>
      <sheetName val="SOURCE"/>
      <sheetName val="SILICATE"/>
      <sheetName val="THCT"/>
      <sheetName val="THDZ0,4"/>
      <sheetName val="TH DZ35"/>
      <sheetName val="Bill5"/>
      <sheetName val="토공"/>
      <sheetName val="DGG"/>
      <sheetName val="PRE (E)"/>
      <sheetName val="PHG"/>
      <sheetName val="STAFFSCHED "/>
      <sheetName val="Eq. Mobilization"/>
      <sheetName val="COC THU"/>
      <sheetName val="COC DAI TRA"/>
      <sheetName val="KC KHOI NHA NDTS"/>
      <sheetName val="HT KHOI NHA NDTS"/>
      <sheetName val="DTICH"/>
      <sheetName val="Thoat nuoc"/>
      <sheetName val="Control"/>
      <sheetName val="valve-20k"/>
      <sheetName val="Manhole"/>
      <sheetName val="standards"/>
      <sheetName val="analysis"/>
      <sheetName val="Ref.4-3 Basic Rate India"/>
      <sheetName val="BDC List"/>
      <sheetName val="hsp_STR_ARS"/>
      <sheetName val="analt"/>
      <sheetName val="Page 10"/>
      <sheetName val="02-M402"/>
      <sheetName val="GAJI"/>
      <sheetName val="bahn"/>
      <sheetName val="anls SNI"/>
      <sheetName val="anls alat"/>
      <sheetName val="anls BPJK"/>
      <sheetName val="Kontrak awal"/>
      <sheetName val="Check List LBP"/>
      <sheetName val="Basis"/>
      <sheetName val="arab"/>
      <sheetName val="3-DIV3"/>
      <sheetName val="3-DIV5"/>
      <sheetName val="mu"/>
      <sheetName val="Cover1"/>
      <sheetName val="C2 HARGA MAT CFIA"/>
      <sheetName val="Channel"/>
      <sheetName val="Eqangle"/>
      <sheetName val="Uneqangle"/>
      <sheetName val="Chek"/>
      <sheetName val="DATA  PENAWARAN"/>
      <sheetName val="validasi"/>
      <sheetName val="#REF!#REF!-E"/>
      <sheetName val="Manual"/>
      <sheetName val="BQ29"/>
      <sheetName val="Input sheet"/>
      <sheetName val="Gia thanh chuoi su"/>
      <sheetName val="Tiep dia"/>
      <sheetName val="Don gia vung III-Can Tho"/>
      <sheetName val="IS_Sum_CM"/>
      <sheetName val="Thuc thanh"/>
      <sheetName val="KHDTCC"/>
      <sheetName val="Tai khoan"/>
      <sheetName val="Data "/>
      <sheetName val="Cốt thép"/>
      <sheetName val="Civil"/>
      <sheetName val="대비"/>
      <sheetName val="PHAN NGAM"/>
      <sheetName val="DL"/>
      <sheetName val="TOA DO PANEL"/>
      <sheetName val="Harga Jasa dan Material"/>
      <sheetName val="data_val"/>
      <sheetName val="data_ee_&lt;nra(2)"/>
      <sheetName val="Disposals"/>
      <sheetName val="BASIC-PRICE"/>
      <sheetName val="DEV_MAR"/>
      <sheetName val="tr-28202"/>
      <sheetName val="DT SPK"/>
      <sheetName val="TPr1"/>
      <sheetName val="FS"/>
      <sheetName val="TPI"/>
      <sheetName val="RAPP"/>
      <sheetName val="Upah &amp; Bahan"/>
      <sheetName val="Rekap Gab"/>
      <sheetName val="3_RAPI"/>
      <sheetName val="cash Lap"/>
      <sheetName val="PH"/>
      <sheetName val="Master COA"/>
      <sheetName val="BS"/>
      <sheetName val="2"/>
      <sheetName val="6"/>
      <sheetName val="UBA"/>
      <sheetName val="Schedulle(S-curve)Break"/>
      <sheetName val="Sheet15"/>
      <sheetName val="Connections"/>
      <sheetName val="DWTables"/>
      <sheetName val="Ref"/>
      <sheetName val="Mat.Elk"/>
      <sheetName val="PANEL"/>
      <sheetName val="OHD"/>
      <sheetName val="RAB REVISI"/>
      <sheetName val="Mat.Mek"/>
      <sheetName val="HYDRANT"/>
      <sheetName val="quot."/>
      <sheetName val="sheet 2"/>
      <sheetName val="RAB ME"/>
      <sheetName val="5-ALAT(1)"/>
      <sheetName val="Concrete"/>
      <sheetName val="Stone"/>
      <sheetName val="NP 7"/>
      <sheetName val="Anggaran"/>
      <sheetName val="PANELKAST"/>
      <sheetName val="Mat_Elk"/>
      <sheetName val="RAB_REVISI"/>
      <sheetName val="Mat_Mek"/>
      <sheetName val="quot_"/>
      <sheetName val="sheet_2"/>
      <sheetName val="RAB_ME"/>
      <sheetName val="B"/>
      <sheetName val="F1c DATA ADM6"/>
      <sheetName val="tulang"/>
      <sheetName val="hit_BKMM"/>
      <sheetName val="Analisa Upah &amp; Bahan Plum"/>
      <sheetName val="Kuantitas &amp; Harga"/>
      <sheetName val="ETAB 2"/>
      <sheetName val="main summary"/>
      <sheetName val="prog-mgu"/>
      <sheetName val="F ALARM"/>
      <sheetName val="Bill No. 4 Pumbing"/>
      <sheetName val="PNL"/>
      <sheetName val="Tray + ladder"/>
      <sheetName val="lampu"/>
      <sheetName val="Pekerjaan "/>
      <sheetName val="RASK ALL"/>
      <sheetName val="rekap mekanikal"/>
      <sheetName val="tul"/>
      <sheetName val="QTO-11P"/>
      <sheetName val="Kuantitas _ Harga"/>
      <sheetName val="DIV1"/>
      <sheetName val="6-AGREGAT"/>
      <sheetName val="Print"/>
      <sheetName val="H-DASAR"/>
      <sheetName val="Peralatan"/>
      <sheetName val="AnProd"/>
      <sheetName val="DAF-4"/>
      <sheetName val="ANALISA HARGA "/>
      <sheetName val="LO"/>
      <sheetName val="APP-9"/>
      <sheetName val="DUTCH CONE"/>
      <sheetName val="BUSWAY"/>
      <sheetName val="HS-2"/>
      <sheetName val="61006"/>
      <sheetName val="61008"/>
      <sheetName val="prelim-2-angke"/>
      <sheetName val="rab-ramp B"/>
      <sheetName val="rab-ramp D"/>
      <sheetName val="rab-ramp G"/>
      <sheetName val="rab-jbt"/>
      <sheetName val="rab-intersec"/>
      <sheetName val="Rekap-Kamal"/>
      <sheetName val="prelim-1-kamal"/>
      <sheetName val="ANSTRUK"/>
      <sheetName val="61004"/>
      <sheetName val="61005"/>
      <sheetName val="61007"/>
      <sheetName val="MEKANIKAL "/>
      <sheetName val="Analisa Quarry"/>
      <sheetName val="H.SAT"/>
      <sheetName val="Engine"/>
      <sheetName val="jadw"/>
      <sheetName val="schalt"/>
      <sheetName val="schtng"/>
      <sheetName val="MK"/>
      <sheetName val="AnalisaSIPIL RIIL"/>
      <sheetName val="BHN+KMK"/>
      <sheetName val="analisa ARS"/>
      <sheetName val="610.07A"/>
      <sheetName val="metode "/>
      <sheetName val="RAB PRO"/>
      <sheetName val="ANALISA-1"/>
      <sheetName val="ANALISA-2"/>
      <sheetName val="BQ1"/>
      <sheetName val="G_SUMMARY"/>
      <sheetName val="analis standar(20m)"/>
      <sheetName val="ANAL BETON"/>
      <sheetName val="HARGA ALAT"/>
      <sheetName val="UMUM"/>
      <sheetName val="AGG, C"/>
      <sheetName val="AN-RC"/>
      <sheetName val="URAIAN "/>
      <sheetName val="Sheet2 Alat"/>
      <sheetName val="Sheet2 Mtrial"/>
      <sheetName val="HARDAS SALAH"/>
      <sheetName val="Sheet2 Upah"/>
      <sheetName val="schbhn"/>
      <sheetName val="Rek-Cianten1B"/>
      <sheetName val="Rek.Cianten3"/>
      <sheetName val="schtot"/>
      <sheetName val="harga-satuan"/>
      <sheetName val="Demolation"/>
      <sheetName val="Marshal"/>
      <sheetName val="PROJECT"/>
      <sheetName val="HB"/>
      <sheetName val="rek det 1-3"/>
      <sheetName val="ALOKASI"/>
      <sheetName val="FLAF&amp;PARTSI"/>
      <sheetName val="D7(1)"/>
      <sheetName val="Reservoir"/>
      <sheetName val="HRG-PIP2-OKE"/>
      <sheetName val="1.Neo_pbersih-lap"/>
      <sheetName val="Benchmark"/>
      <sheetName val="Schedules"/>
      <sheetName val="Painting"/>
      <sheetName val="Analisa Baku STR ARS"/>
      <sheetName val="Rekap Prelim"/>
      <sheetName val="Rekap Direct Cost Lama"/>
      <sheetName val="MT0"/>
      <sheetName val="ANALISA - PGRKAN"/>
      <sheetName val="Référentiel"/>
      <sheetName val="SEPTEMBER"/>
      <sheetName val="RAB (I)"/>
      <sheetName val="chitimc"/>
      <sheetName val="LKVL-CK-HT-GD1"/>
      <sheetName val="gtrinh"/>
      <sheetName val="phuluc1"/>
      <sheetName val="lam-moi"/>
      <sheetName val="giathanh1"/>
      <sheetName val="TH VL, NC, DDHT Thanhphuoc"/>
      <sheetName val="thao-go"/>
      <sheetName val="DON GIA"/>
      <sheetName val="TONGKE-HT"/>
      <sheetName val="DG"/>
      <sheetName val="dtxl"/>
      <sheetName val="t-h HA THE"/>
      <sheetName val="CHITIET VL-NC-TT -1p"/>
      <sheetName val="TONG HOP VL-NC TT"/>
      <sheetName val="TNHCHINH"/>
      <sheetName val="TH XL"/>
      <sheetName val="Anals.1"/>
      <sheetName val="Page1"/>
      <sheetName val="BBM-03"/>
      <sheetName val="FORM01"/>
      <sheetName val="Basic_Information"/>
      <sheetName val="ODC Indonesia"/>
      <sheetName val="Har-sat-dasr"/>
      <sheetName val="TONG_HOP_VL-NC"/>
      <sheetName val="CHITIET_VL-NC"/>
      <sheetName val="OFFICE_2_LT"/>
      <sheetName val="D3_1"/>
      <sheetName val="Hrg_Sat"/>
      <sheetName val="Tindak_Lanjut"/>
      <sheetName val="BQ_STR"/>
      <sheetName val="AUG02"/>
      <sheetName val="DAFTAR ISI"/>
      <sheetName val="bhn,upah,alat"/>
      <sheetName val="Ans Kom Precast"/>
      <sheetName val="List Of Basic Price"/>
      <sheetName val="Pick List"/>
      <sheetName val="Perhit.Alat"/>
      <sheetName val="CAB 2"/>
      <sheetName val="Rinci-RKAP"/>
      <sheetName val="Allowance"/>
      <sheetName val="SPJ"/>
      <sheetName val="E"/>
      <sheetName val="D"/>
      <sheetName val="F"/>
      <sheetName val="G"/>
      <sheetName val="H"/>
      <sheetName val="Analisa.Hourly"/>
      <sheetName val="Std-Prod KS"/>
      <sheetName val="SAT-BHN"/>
      <sheetName val="rumus"/>
      <sheetName val="BL"/>
      <sheetName val="BL Temp"/>
      <sheetName val="BL Modif"/>
      <sheetName val="Combine2005"/>
      <sheetName val="TB (UNAUDITED) 01-12 2006"/>
      <sheetName val="Assumptions"/>
      <sheetName val="Valuation"/>
      <sheetName val="Tax Models"/>
      <sheetName val="Variables"/>
      <sheetName val="Appx"/>
      <sheetName val="Maps"/>
      <sheetName val="bqusrp"/>
      <sheetName val="coverusrp"/>
      <sheetName val="SITE"/>
      <sheetName val="escond"/>
      <sheetName val="XLR_NoRangeSheet"/>
      <sheetName val="WP"/>
      <sheetName val="Measure 1306"/>
      <sheetName val="SV-supporting info"/>
      <sheetName val="Phan tich DG"/>
      <sheetName val="Chung"/>
      <sheetName val="cPanel"/>
      <sheetName val="GC"/>
      <sheetName val="HG_Info"/>
      <sheetName val="Mác"/>
      <sheetName val="QC"/>
      <sheetName val="CO"/>
      <sheetName val="Tong du toan"/>
      <sheetName val="DANHMUC"/>
      <sheetName val="Dự thầu"/>
      <sheetName val="Chênh lệch máy thi công"/>
      <sheetName val="Chênh lệch nhân công"/>
      <sheetName val="Chênh lệch vật liệu"/>
      <sheetName val="01.C.NHOI"/>
      <sheetName val="DATA.KC"/>
      <sheetName val="02.T.VAY"/>
      <sheetName val="CFS3"/>
      <sheetName val="gia vt"/>
      <sheetName val="1.BILL MOI THAU CAN THUONG"/>
      <sheetName val="KINH PHI TONG HOP"/>
      <sheetName val="TEN HANG MUC "/>
      <sheetName val="ChiTietDZ"/>
      <sheetName val="VuaBT"/>
      <sheetName val="Eng_Hrs"/>
      <sheetName val="Sch"/>
      <sheetName val="SP17"/>
      <sheetName val="NC-CM"/>
      <sheetName val="11.1(10)"/>
      <sheetName val="HASAT DASAR"/>
      <sheetName val="TAB"/>
      <sheetName val="DH"/>
      <sheetName val="27+741(1x12)"/>
      <sheetName val="Parameter"/>
      <sheetName val="Data NCB 04"/>
      <sheetName val="BOQ B. STRUKTUR ARSITEKTUR"/>
      <sheetName val="Particular Sch"/>
      <sheetName val="REKAP ANALISA"/>
      <sheetName val="B_7"/>
      <sheetName val="B_6"/>
      <sheetName val="Prod-1"/>
      <sheetName val="Block A-FlrBm(Conc&amp;Fwk)"/>
      <sheetName val="HaSatUp"/>
      <sheetName val="ANALISA ALAT BERAT"/>
      <sheetName val="R A B"/>
      <sheetName val="RENPEN"/>
      <sheetName val="fa"/>
      <sheetName val="ELEVATOR"/>
      <sheetName val="GONDOLA"/>
      <sheetName val="cctv"/>
      <sheetName val="STP"/>
      <sheetName val="pemadam"/>
      <sheetName val="telepon"/>
      <sheetName val="RAB01"/>
      <sheetName val="SUM-SEC 3"/>
      <sheetName val="THONG KE CAU KIEN"/>
      <sheetName val="THVT"/>
      <sheetName val="D_MUC"/>
      <sheetName val="hinhhoc"/>
      <sheetName val="TEN CONG TRINH"/>
      <sheetName val="금융"/>
      <sheetName val="유림골조"/>
      <sheetName val="Schedule S-Curve Revision#3"/>
      <sheetName val="P-tanah"/>
      <sheetName val="DAS-SAT"/>
      <sheetName val="HARGA BAHAN BAKU"/>
      <sheetName val="Cst Pkg-Eden"/>
      <sheetName val="QUO"/>
    </sheetNames>
    <sheetDataSet>
      <sheetData sheetId="0" refreshError="1"/>
      <sheetData sheetId="1">
        <row r="40">
          <cell r="AI40">
            <v>0</v>
          </cell>
        </row>
      </sheetData>
      <sheetData sheetId="2" refreshError="1"/>
      <sheetData sheetId="3" refreshError="1"/>
      <sheetData sheetId="4" refreshError="1">
        <row r="40">
          <cell r="AI40">
            <v>0</v>
          </cell>
        </row>
        <row r="46">
          <cell r="AI46">
            <v>0</v>
          </cell>
        </row>
        <row r="47">
          <cell r="AI47">
            <v>0</v>
          </cell>
        </row>
        <row r="51">
          <cell r="AI51">
            <v>0</v>
          </cell>
        </row>
        <row r="52">
          <cell r="AI52">
            <v>0</v>
          </cell>
        </row>
        <row r="59">
          <cell r="AI59">
            <v>0</v>
          </cell>
        </row>
        <row r="60">
          <cell r="AI60">
            <v>0</v>
          </cell>
        </row>
        <row r="87">
          <cell r="AI87">
            <v>0</v>
          </cell>
        </row>
        <row r="88">
          <cell r="AI88">
            <v>0</v>
          </cell>
        </row>
        <row r="94">
          <cell r="AI94">
            <v>0</v>
          </cell>
        </row>
        <row r="95">
          <cell r="AI95">
            <v>0</v>
          </cell>
        </row>
        <row r="103">
          <cell r="AI103">
            <v>0</v>
          </cell>
        </row>
        <row r="104">
          <cell r="AI104">
            <v>0</v>
          </cell>
        </row>
        <row r="112">
          <cell r="AI112">
            <v>0</v>
          </cell>
        </row>
        <row r="113">
          <cell r="AI113">
            <v>0</v>
          </cell>
        </row>
        <row r="121">
          <cell r="AI121">
            <v>0</v>
          </cell>
        </row>
        <row r="122">
          <cell r="AI122">
            <v>0</v>
          </cell>
        </row>
        <row r="128">
          <cell r="AI128">
            <v>0</v>
          </cell>
        </row>
        <row r="129">
          <cell r="AI129">
            <v>0</v>
          </cell>
        </row>
        <row r="137">
          <cell r="AI137">
            <v>0</v>
          </cell>
        </row>
        <row r="138">
          <cell r="AI138">
            <v>0</v>
          </cell>
        </row>
        <row r="139">
          <cell r="AI139">
            <v>0</v>
          </cell>
        </row>
        <row r="140">
          <cell r="AI140">
            <v>0</v>
          </cell>
        </row>
      </sheetData>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1">
          <cell r="R1">
            <v>1.1032381499999999</v>
          </cell>
        </row>
      </sheetData>
      <sheetData sheetId="22">
        <row r="1">
          <cell r="R1">
            <v>1.1032381499999999</v>
          </cell>
        </row>
      </sheetData>
      <sheetData sheetId="23">
        <row r="1">
          <cell r="R1">
            <v>1.1032381499999999</v>
          </cell>
        </row>
      </sheetData>
      <sheetData sheetId="24">
        <row r="1">
          <cell r="R1">
            <v>1.1032381499999999</v>
          </cell>
        </row>
      </sheetData>
      <sheetData sheetId="25">
        <row r="1">
          <cell r="R1">
            <v>1.1032381499999999</v>
          </cell>
        </row>
      </sheetData>
      <sheetData sheetId="26">
        <row r="1">
          <cell r="R1">
            <v>1.1032381499999999</v>
          </cell>
        </row>
      </sheetData>
      <sheetData sheetId="27">
        <row r="1">
          <cell r="R1">
            <v>1.1032381499999999</v>
          </cell>
        </row>
      </sheetData>
      <sheetData sheetId="28">
        <row r="1">
          <cell r="R1">
            <v>1.1032381499999999</v>
          </cell>
        </row>
      </sheetData>
      <sheetData sheetId="29">
        <row r="1">
          <cell r="R1">
            <v>1.1032381499999999</v>
          </cell>
        </row>
      </sheetData>
      <sheetData sheetId="30">
        <row r="1">
          <cell r="R1">
            <v>1.1032381499999999</v>
          </cell>
        </row>
      </sheetData>
      <sheetData sheetId="31">
        <row r="1">
          <cell r="R1">
            <v>1.1032381499999999</v>
          </cell>
        </row>
      </sheetData>
      <sheetData sheetId="32">
        <row r="1">
          <cell r="R1">
            <v>1.1032381499999999</v>
          </cell>
        </row>
      </sheetData>
      <sheetData sheetId="33">
        <row r="1">
          <cell r="R1">
            <v>1.1032381499999999</v>
          </cell>
        </row>
      </sheetData>
      <sheetData sheetId="34">
        <row r="1">
          <cell r="R1">
            <v>1.1032381499999999</v>
          </cell>
        </row>
      </sheetData>
      <sheetData sheetId="35">
        <row r="1">
          <cell r="R1">
            <v>1.1032381499999999</v>
          </cell>
        </row>
      </sheetData>
      <sheetData sheetId="36">
        <row r="1">
          <cell r="R1">
            <v>1.1032381499999999</v>
          </cell>
        </row>
      </sheetData>
      <sheetData sheetId="37">
        <row r="1">
          <cell r="R1">
            <v>1.1032381499999999</v>
          </cell>
        </row>
      </sheetData>
      <sheetData sheetId="38">
        <row r="1">
          <cell r="R1">
            <v>1.1032381499999999</v>
          </cell>
        </row>
      </sheetData>
      <sheetData sheetId="39">
        <row r="1">
          <cell r="R1">
            <v>1.1032381499999999</v>
          </cell>
        </row>
      </sheetData>
      <sheetData sheetId="40">
        <row r="1">
          <cell r="R1">
            <v>1.1032381499999999</v>
          </cell>
        </row>
      </sheetData>
      <sheetData sheetId="41">
        <row r="1">
          <cell r="R1">
            <v>1.1032381499999999</v>
          </cell>
        </row>
      </sheetData>
      <sheetData sheetId="42">
        <row r="1">
          <cell r="R1">
            <v>1.1032381499999999</v>
          </cell>
        </row>
      </sheetData>
      <sheetData sheetId="43">
        <row r="1">
          <cell r="R1">
            <v>1.1032381499999999</v>
          </cell>
        </row>
      </sheetData>
      <sheetData sheetId="44">
        <row r="1">
          <cell r="R1">
            <v>1.1032381499999999</v>
          </cell>
        </row>
      </sheetData>
      <sheetData sheetId="45">
        <row r="1">
          <cell r="R1">
            <v>1.1032381499999999</v>
          </cell>
        </row>
      </sheetData>
      <sheetData sheetId="46">
        <row r="1">
          <cell r="R1">
            <v>1.1032381499999999</v>
          </cell>
        </row>
      </sheetData>
      <sheetData sheetId="47">
        <row r="1">
          <cell r="R1">
            <v>1.1032381499999999</v>
          </cell>
        </row>
      </sheetData>
      <sheetData sheetId="48">
        <row r="1">
          <cell r="R1">
            <v>1.1032381499999999</v>
          </cell>
        </row>
      </sheetData>
      <sheetData sheetId="49">
        <row r="1">
          <cell r="R1">
            <v>1.1032381499999999</v>
          </cell>
        </row>
      </sheetData>
      <sheetData sheetId="50">
        <row r="1">
          <cell r="R1">
            <v>1.1032381499999999</v>
          </cell>
        </row>
      </sheetData>
      <sheetData sheetId="51">
        <row r="1">
          <cell r="R1">
            <v>1.1032381499999999</v>
          </cell>
        </row>
      </sheetData>
      <sheetData sheetId="52">
        <row r="1">
          <cell r="R1">
            <v>1.1032381499999999</v>
          </cell>
        </row>
      </sheetData>
      <sheetData sheetId="53">
        <row r="1">
          <cell r="R1">
            <v>1.1032381499999999</v>
          </cell>
        </row>
      </sheetData>
      <sheetData sheetId="54">
        <row r="1">
          <cell r="R1">
            <v>1.1032381499999999</v>
          </cell>
        </row>
      </sheetData>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1">
          <cell r="R1">
            <v>1.1032381499999999</v>
          </cell>
        </row>
      </sheetData>
      <sheetData sheetId="71">
        <row r="1">
          <cell r="R1">
            <v>1.1032381499999999</v>
          </cell>
        </row>
      </sheetData>
      <sheetData sheetId="72">
        <row r="1">
          <cell r="R1">
            <v>1.1032381499999999</v>
          </cell>
        </row>
      </sheetData>
      <sheetData sheetId="73">
        <row r="1">
          <cell r="R1">
            <v>1.1032381499999999</v>
          </cell>
        </row>
      </sheetData>
      <sheetData sheetId="74">
        <row r="1">
          <cell r="R1">
            <v>1.1032381499999999</v>
          </cell>
        </row>
      </sheetData>
      <sheetData sheetId="75">
        <row r="1">
          <cell r="R1">
            <v>1.1032381499999999</v>
          </cell>
        </row>
      </sheetData>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ow r="1">
          <cell r="R1">
            <v>1.1032381499999999</v>
          </cell>
        </row>
      </sheetData>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ow r="1">
          <cell r="R1">
            <v>1.1032381499999999</v>
          </cell>
        </row>
      </sheetData>
      <sheetData sheetId="285">
        <row r="1">
          <cell r="R1">
            <v>1.1032381499999999</v>
          </cell>
        </row>
      </sheetData>
      <sheetData sheetId="286">
        <row r="1">
          <cell r="R1">
            <v>1.1032381499999999</v>
          </cell>
        </row>
      </sheetData>
      <sheetData sheetId="287">
        <row r="1">
          <cell r="R1">
            <v>1.1032381499999999</v>
          </cell>
        </row>
      </sheetData>
      <sheetData sheetId="288">
        <row r="1">
          <cell r="R1">
            <v>1.1032381499999999</v>
          </cell>
        </row>
      </sheetData>
      <sheetData sheetId="289">
        <row r="1">
          <cell r="R1">
            <v>1.1032381499999999</v>
          </cell>
        </row>
      </sheetData>
      <sheetData sheetId="290">
        <row r="1">
          <cell r="R1">
            <v>1.1032381499999999</v>
          </cell>
        </row>
      </sheetData>
      <sheetData sheetId="291">
        <row r="1">
          <cell r="R1">
            <v>1.1032381499999999</v>
          </cell>
        </row>
      </sheetData>
      <sheetData sheetId="292">
        <row r="1">
          <cell r="R1">
            <v>1.1032381499999999</v>
          </cell>
        </row>
      </sheetData>
      <sheetData sheetId="293">
        <row r="1">
          <cell r="R1">
            <v>1.1032381499999999</v>
          </cell>
        </row>
      </sheetData>
      <sheetData sheetId="294">
        <row r="1">
          <cell r="R1">
            <v>1.1032381499999999</v>
          </cell>
        </row>
      </sheetData>
      <sheetData sheetId="295">
        <row r="1">
          <cell r="R1">
            <v>1.1032381499999999</v>
          </cell>
        </row>
      </sheetData>
      <sheetData sheetId="296">
        <row r="1">
          <cell r="R1">
            <v>1.1032381499999999</v>
          </cell>
        </row>
      </sheetData>
      <sheetData sheetId="297" refreshError="1"/>
      <sheetData sheetId="298">
        <row r="1">
          <cell r="R1">
            <v>1.1032381499999999</v>
          </cell>
        </row>
      </sheetData>
      <sheetData sheetId="299">
        <row r="1">
          <cell r="R1">
            <v>1.1032381499999999</v>
          </cell>
        </row>
      </sheetData>
      <sheetData sheetId="300">
        <row r="1">
          <cell r="R1">
            <v>1.1032381499999999</v>
          </cell>
        </row>
      </sheetData>
      <sheetData sheetId="301">
        <row r="1">
          <cell r="R1">
            <v>1.1032381499999999</v>
          </cell>
        </row>
      </sheetData>
      <sheetData sheetId="302">
        <row r="1">
          <cell r="R1">
            <v>1.1032381499999999</v>
          </cell>
        </row>
      </sheetData>
      <sheetData sheetId="303">
        <row r="1">
          <cell r="R1">
            <v>1.1032381499999999</v>
          </cell>
        </row>
      </sheetData>
      <sheetData sheetId="304">
        <row r="1">
          <cell r="R1">
            <v>1.1032381499999999</v>
          </cell>
        </row>
      </sheetData>
      <sheetData sheetId="305">
        <row r="1">
          <cell r="R1">
            <v>1.1032381499999999</v>
          </cell>
        </row>
      </sheetData>
      <sheetData sheetId="306">
        <row r="1">
          <cell r="R1">
            <v>1.1032381499999999</v>
          </cell>
        </row>
      </sheetData>
      <sheetData sheetId="307">
        <row r="1">
          <cell r="R1">
            <v>1.1032381499999999</v>
          </cell>
        </row>
      </sheetData>
      <sheetData sheetId="308">
        <row r="1">
          <cell r="R1">
            <v>1.1032381499999999</v>
          </cell>
        </row>
      </sheetData>
      <sheetData sheetId="309">
        <row r="1">
          <cell r="R1">
            <v>1.1032381499999999</v>
          </cell>
        </row>
      </sheetData>
      <sheetData sheetId="310">
        <row r="1">
          <cell r="R1">
            <v>1.1032381499999999</v>
          </cell>
        </row>
      </sheetData>
      <sheetData sheetId="311">
        <row r="1">
          <cell r="R1">
            <v>1.1032381499999999</v>
          </cell>
        </row>
      </sheetData>
      <sheetData sheetId="312">
        <row r="1">
          <cell r="R1">
            <v>1.1032381499999999</v>
          </cell>
        </row>
      </sheetData>
      <sheetData sheetId="313">
        <row r="1">
          <cell r="R1">
            <v>1.1032381499999999</v>
          </cell>
        </row>
      </sheetData>
      <sheetData sheetId="314">
        <row r="1">
          <cell r="R1">
            <v>1.1032381499999999</v>
          </cell>
        </row>
      </sheetData>
      <sheetData sheetId="315">
        <row r="1">
          <cell r="R1">
            <v>1.1032381499999999</v>
          </cell>
        </row>
      </sheetData>
      <sheetData sheetId="316">
        <row r="1">
          <cell r="R1">
            <v>1.1032381499999999</v>
          </cell>
        </row>
      </sheetData>
      <sheetData sheetId="317">
        <row r="1">
          <cell r="R1">
            <v>1.1032381499999999</v>
          </cell>
        </row>
      </sheetData>
      <sheetData sheetId="318">
        <row r="1">
          <cell r="R1">
            <v>1.1032381499999999</v>
          </cell>
        </row>
      </sheetData>
      <sheetData sheetId="319">
        <row r="1">
          <cell r="R1">
            <v>1.1032381499999999</v>
          </cell>
        </row>
      </sheetData>
      <sheetData sheetId="320">
        <row r="1">
          <cell r="R1">
            <v>1.1032381499999999</v>
          </cell>
        </row>
      </sheetData>
      <sheetData sheetId="321">
        <row r="1">
          <cell r="R1">
            <v>1.1032381499999999</v>
          </cell>
        </row>
      </sheetData>
      <sheetData sheetId="322">
        <row r="1">
          <cell r="R1">
            <v>1.1032381499999999</v>
          </cell>
        </row>
      </sheetData>
      <sheetData sheetId="323">
        <row r="1">
          <cell r="R1">
            <v>1.1032381499999999</v>
          </cell>
        </row>
      </sheetData>
      <sheetData sheetId="324">
        <row r="1">
          <cell r="R1">
            <v>1.1032381499999999</v>
          </cell>
        </row>
      </sheetData>
      <sheetData sheetId="325">
        <row r="1">
          <cell r="R1">
            <v>1.1032381499999999</v>
          </cell>
        </row>
      </sheetData>
      <sheetData sheetId="326">
        <row r="1">
          <cell r="R1">
            <v>1.1032381499999999</v>
          </cell>
        </row>
      </sheetData>
      <sheetData sheetId="327">
        <row r="1">
          <cell r="R1">
            <v>1.1032381499999999</v>
          </cell>
        </row>
      </sheetData>
      <sheetData sheetId="328">
        <row r="1">
          <cell r="R1">
            <v>1.1032381499999999</v>
          </cell>
        </row>
      </sheetData>
      <sheetData sheetId="329">
        <row r="1">
          <cell r="R1">
            <v>1.1032381499999999</v>
          </cell>
        </row>
      </sheetData>
      <sheetData sheetId="330">
        <row r="1">
          <cell r="R1">
            <v>1.1032381499999999</v>
          </cell>
        </row>
      </sheetData>
      <sheetData sheetId="331">
        <row r="1">
          <cell r="R1">
            <v>1.1032381499999999</v>
          </cell>
        </row>
      </sheetData>
      <sheetData sheetId="332">
        <row r="1">
          <cell r="R1">
            <v>1.1032381499999999</v>
          </cell>
        </row>
      </sheetData>
      <sheetData sheetId="333">
        <row r="1">
          <cell r="R1">
            <v>1.1032381499999999</v>
          </cell>
        </row>
      </sheetData>
      <sheetData sheetId="334">
        <row r="1">
          <cell r="R1">
            <v>1.1032381499999999</v>
          </cell>
        </row>
      </sheetData>
      <sheetData sheetId="335">
        <row r="1">
          <cell r="R1">
            <v>1.1032381499999999</v>
          </cell>
        </row>
      </sheetData>
      <sheetData sheetId="336">
        <row r="1">
          <cell r="R1">
            <v>1.1032381499999999</v>
          </cell>
        </row>
      </sheetData>
      <sheetData sheetId="337">
        <row r="1">
          <cell r="R1">
            <v>1.1032381499999999</v>
          </cell>
        </row>
      </sheetData>
      <sheetData sheetId="338">
        <row r="1">
          <cell r="R1">
            <v>1.1032381499999999</v>
          </cell>
        </row>
      </sheetData>
      <sheetData sheetId="339">
        <row r="1">
          <cell r="R1">
            <v>1.1032381499999999</v>
          </cell>
        </row>
      </sheetData>
      <sheetData sheetId="340">
        <row r="1">
          <cell r="R1">
            <v>1.1032381499999999</v>
          </cell>
        </row>
      </sheetData>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ow r="1">
          <cell r="R1">
            <v>1.1032381499999999</v>
          </cell>
        </row>
      </sheetData>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ow r="1">
          <cell r="R1">
            <v>1.1032381499999999</v>
          </cell>
        </row>
      </sheetData>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ow r="1">
          <cell r="R1">
            <v>1.1032381499999999</v>
          </cell>
        </row>
      </sheetData>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ow r="1">
          <cell r="R1">
            <v>1.1032381499999999</v>
          </cell>
        </row>
      </sheetData>
      <sheetData sheetId="486">
        <row r="1">
          <cell r="R1">
            <v>1.1032381499999999</v>
          </cell>
        </row>
      </sheetData>
      <sheetData sheetId="487">
        <row r="1">
          <cell r="R1">
            <v>1.1032381499999999</v>
          </cell>
        </row>
      </sheetData>
      <sheetData sheetId="488">
        <row r="1">
          <cell r="R1">
            <v>1.1032381499999999</v>
          </cell>
        </row>
      </sheetData>
      <sheetData sheetId="489">
        <row r="1">
          <cell r="R1">
            <v>1.1032381499999999</v>
          </cell>
        </row>
      </sheetData>
      <sheetData sheetId="490">
        <row r="1">
          <cell r="R1">
            <v>1.1032381499999999</v>
          </cell>
        </row>
      </sheetData>
      <sheetData sheetId="491">
        <row r="1">
          <cell r="R1">
            <v>1.1032381499999999</v>
          </cell>
        </row>
      </sheetData>
      <sheetData sheetId="492">
        <row r="1">
          <cell r="R1">
            <v>1.1032381499999999</v>
          </cell>
        </row>
      </sheetData>
      <sheetData sheetId="493">
        <row r="1">
          <cell r="R1">
            <v>1.1032381499999999</v>
          </cell>
        </row>
      </sheetData>
      <sheetData sheetId="494">
        <row r="1">
          <cell r="R1">
            <v>1.1032381499999999</v>
          </cell>
        </row>
      </sheetData>
      <sheetData sheetId="495">
        <row r="1">
          <cell r="R1">
            <v>1.1032381499999999</v>
          </cell>
        </row>
      </sheetData>
      <sheetData sheetId="496">
        <row r="1">
          <cell r="R1">
            <v>1.1032381499999999</v>
          </cell>
        </row>
      </sheetData>
      <sheetData sheetId="497">
        <row r="1">
          <cell r="R1">
            <v>1.1032381499999999</v>
          </cell>
        </row>
      </sheetData>
      <sheetData sheetId="498">
        <row r="1">
          <cell r="R1">
            <v>1.1032381499999999</v>
          </cell>
        </row>
      </sheetData>
      <sheetData sheetId="499">
        <row r="1">
          <cell r="R1">
            <v>1.1032381499999999</v>
          </cell>
        </row>
      </sheetData>
      <sheetData sheetId="500">
        <row r="1">
          <cell r="R1">
            <v>1.1032381499999999</v>
          </cell>
        </row>
      </sheetData>
      <sheetData sheetId="501">
        <row r="1">
          <cell r="R1">
            <v>1.1032381499999999</v>
          </cell>
        </row>
      </sheetData>
      <sheetData sheetId="502">
        <row r="1">
          <cell r="R1">
            <v>1.1032381499999999</v>
          </cell>
        </row>
      </sheetData>
      <sheetData sheetId="503">
        <row r="1">
          <cell r="R1">
            <v>1.1032381499999999</v>
          </cell>
        </row>
      </sheetData>
      <sheetData sheetId="504">
        <row r="1">
          <cell r="R1">
            <v>1.1032381499999999</v>
          </cell>
        </row>
      </sheetData>
      <sheetData sheetId="505">
        <row r="1">
          <cell r="R1">
            <v>1.1032381499999999</v>
          </cell>
        </row>
      </sheetData>
      <sheetData sheetId="506">
        <row r="1">
          <cell r="R1">
            <v>1.1032381499999999</v>
          </cell>
        </row>
      </sheetData>
      <sheetData sheetId="507">
        <row r="1">
          <cell r="R1">
            <v>1.1032381499999999</v>
          </cell>
        </row>
      </sheetData>
      <sheetData sheetId="508">
        <row r="1">
          <cell r="R1">
            <v>1.1032381499999999</v>
          </cell>
        </row>
      </sheetData>
      <sheetData sheetId="509">
        <row r="1">
          <cell r="R1">
            <v>1.1032381499999999</v>
          </cell>
        </row>
      </sheetData>
      <sheetData sheetId="510">
        <row r="1">
          <cell r="R1">
            <v>1.1032381499999999</v>
          </cell>
        </row>
      </sheetData>
      <sheetData sheetId="511">
        <row r="1">
          <cell r="R1">
            <v>1.1032381499999999</v>
          </cell>
        </row>
      </sheetData>
      <sheetData sheetId="512">
        <row r="1">
          <cell r="R1">
            <v>1.1032381499999999</v>
          </cell>
        </row>
      </sheetData>
      <sheetData sheetId="513">
        <row r="1">
          <cell r="R1">
            <v>1.1032381499999999</v>
          </cell>
        </row>
      </sheetData>
      <sheetData sheetId="514">
        <row r="1">
          <cell r="R1">
            <v>1.1032381499999999</v>
          </cell>
        </row>
      </sheetData>
      <sheetData sheetId="515">
        <row r="1">
          <cell r="R1">
            <v>1.1032381499999999</v>
          </cell>
        </row>
      </sheetData>
      <sheetData sheetId="516">
        <row r="1">
          <cell r="R1">
            <v>1.1032381499999999</v>
          </cell>
        </row>
      </sheetData>
      <sheetData sheetId="517">
        <row r="1">
          <cell r="R1">
            <v>1.1032381499999999</v>
          </cell>
        </row>
      </sheetData>
      <sheetData sheetId="518">
        <row r="1">
          <cell r="R1">
            <v>1.1032381499999999</v>
          </cell>
        </row>
      </sheetData>
      <sheetData sheetId="519">
        <row r="1">
          <cell r="R1">
            <v>1.1032381499999999</v>
          </cell>
        </row>
      </sheetData>
      <sheetData sheetId="520">
        <row r="1">
          <cell r="R1">
            <v>1.1032381499999999</v>
          </cell>
        </row>
      </sheetData>
      <sheetData sheetId="521">
        <row r="1">
          <cell r="R1">
            <v>1.1032381499999999</v>
          </cell>
        </row>
      </sheetData>
      <sheetData sheetId="522">
        <row r="1">
          <cell r="R1">
            <v>1.1032381499999999</v>
          </cell>
        </row>
      </sheetData>
      <sheetData sheetId="523">
        <row r="1">
          <cell r="R1">
            <v>1.1032381499999999</v>
          </cell>
        </row>
      </sheetData>
      <sheetData sheetId="524">
        <row r="1">
          <cell r="R1">
            <v>1.1032381499999999</v>
          </cell>
        </row>
      </sheetData>
      <sheetData sheetId="525">
        <row r="1">
          <cell r="R1">
            <v>1.1032381499999999</v>
          </cell>
        </row>
      </sheetData>
      <sheetData sheetId="526">
        <row r="1">
          <cell r="R1">
            <v>1.1032381499999999</v>
          </cell>
        </row>
      </sheetData>
      <sheetData sheetId="527">
        <row r="1">
          <cell r="R1">
            <v>1.1032381499999999</v>
          </cell>
        </row>
      </sheetData>
      <sheetData sheetId="528">
        <row r="1">
          <cell r="R1">
            <v>1.1032381499999999</v>
          </cell>
        </row>
      </sheetData>
      <sheetData sheetId="529">
        <row r="1">
          <cell r="R1">
            <v>1.1032381499999999</v>
          </cell>
        </row>
      </sheetData>
      <sheetData sheetId="530">
        <row r="1">
          <cell r="R1">
            <v>1.1032381499999999</v>
          </cell>
        </row>
      </sheetData>
      <sheetData sheetId="531">
        <row r="1">
          <cell r="R1">
            <v>1.1032381499999999</v>
          </cell>
        </row>
      </sheetData>
      <sheetData sheetId="532">
        <row r="1">
          <cell r="R1">
            <v>1.1032381499999999</v>
          </cell>
        </row>
      </sheetData>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ow r="1">
          <cell r="R1">
            <v>1.1032381499999999</v>
          </cell>
        </row>
      </sheetData>
      <sheetData sheetId="595" refreshError="1"/>
      <sheetData sheetId="596" refreshError="1"/>
      <sheetData sheetId="597">
        <row r="1">
          <cell r="R1">
            <v>1.1032381499999999</v>
          </cell>
        </row>
      </sheetData>
      <sheetData sheetId="598">
        <row r="1">
          <cell r="R1">
            <v>1.1032381499999999</v>
          </cell>
        </row>
      </sheetData>
      <sheetData sheetId="599">
        <row r="1">
          <cell r="R1">
            <v>1.1032381499999999</v>
          </cell>
        </row>
      </sheetData>
      <sheetData sheetId="600">
        <row r="1">
          <cell r="R1">
            <v>1.1032381499999999</v>
          </cell>
        </row>
      </sheetData>
      <sheetData sheetId="601" refreshError="1"/>
      <sheetData sheetId="602" refreshError="1"/>
      <sheetData sheetId="603">
        <row r="1">
          <cell r="R1">
            <v>1.1032381499999999</v>
          </cell>
        </row>
      </sheetData>
      <sheetData sheetId="604" refreshError="1"/>
      <sheetData sheetId="605">
        <row r="1">
          <cell r="R1">
            <v>1.1032381499999999</v>
          </cell>
        </row>
      </sheetData>
      <sheetData sheetId="606">
        <row r="1">
          <cell r="R1">
            <v>1.1032381499999999</v>
          </cell>
        </row>
      </sheetData>
      <sheetData sheetId="607">
        <row r="1">
          <cell r="R1">
            <v>1.1032381499999999</v>
          </cell>
        </row>
      </sheetData>
      <sheetData sheetId="608">
        <row r="1">
          <cell r="R1">
            <v>1.1032381499999999</v>
          </cell>
        </row>
      </sheetData>
      <sheetData sheetId="609">
        <row r="1">
          <cell r="R1">
            <v>1.1032381499999999</v>
          </cell>
        </row>
      </sheetData>
      <sheetData sheetId="610">
        <row r="1">
          <cell r="R1">
            <v>1.1032381499999999</v>
          </cell>
        </row>
      </sheetData>
      <sheetData sheetId="611">
        <row r="1">
          <cell r="R1">
            <v>1.1032381499999999</v>
          </cell>
        </row>
      </sheetData>
      <sheetData sheetId="612" refreshError="1"/>
      <sheetData sheetId="613" refreshError="1"/>
      <sheetData sheetId="614" refreshError="1"/>
      <sheetData sheetId="615" refreshError="1"/>
      <sheetData sheetId="616">
        <row r="1">
          <cell r="R1">
            <v>1.1032381499999999</v>
          </cell>
        </row>
      </sheetData>
      <sheetData sheetId="617">
        <row r="1">
          <cell r="R1">
            <v>1.1032381499999999</v>
          </cell>
        </row>
      </sheetData>
      <sheetData sheetId="618">
        <row r="1">
          <cell r="R1">
            <v>1.1032381499999999</v>
          </cell>
        </row>
      </sheetData>
      <sheetData sheetId="619">
        <row r="1">
          <cell r="R1">
            <v>1.1032381499999999</v>
          </cell>
        </row>
      </sheetData>
      <sheetData sheetId="620">
        <row r="1">
          <cell r="R1">
            <v>1.1032381499999999</v>
          </cell>
        </row>
      </sheetData>
      <sheetData sheetId="621">
        <row r="1">
          <cell r="R1">
            <v>1.1032381499999999</v>
          </cell>
        </row>
      </sheetData>
      <sheetData sheetId="622">
        <row r="1">
          <cell r="R1">
            <v>1.1032381499999999</v>
          </cell>
        </row>
      </sheetData>
      <sheetData sheetId="623">
        <row r="1">
          <cell r="R1">
            <v>1.1032381499999999</v>
          </cell>
        </row>
      </sheetData>
      <sheetData sheetId="624">
        <row r="1">
          <cell r="R1">
            <v>1.1032381499999999</v>
          </cell>
        </row>
      </sheetData>
      <sheetData sheetId="625">
        <row r="1">
          <cell r="R1">
            <v>1.1032381499999999</v>
          </cell>
        </row>
      </sheetData>
      <sheetData sheetId="626">
        <row r="1">
          <cell r="R1">
            <v>1.1032381499999999</v>
          </cell>
        </row>
      </sheetData>
      <sheetData sheetId="627">
        <row r="1">
          <cell r="R1">
            <v>1.1032381499999999</v>
          </cell>
        </row>
      </sheetData>
      <sheetData sheetId="628">
        <row r="1">
          <cell r="R1">
            <v>1.1032381499999999</v>
          </cell>
        </row>
      </sheetData>
      <sheetData sheetId="629">
        <row r="1">
          <cell r="R1">
            <v>1.1032381499999999</v>
          </cell>
        </row>
      </sheetData>
      <sheetData sheetId="630">
        <row r="1">
          <cell r="R1">
            <v>1.1032381499999999</v>
          </cell>
        </row>
      </sheetData>
      <sheetData sheetId="631">
        <row r="1">
          <cell r="R1">
            <v>1.1032381499999999</v>
          </cell>
        </row>
      </sheetData>
      <sheetData sheetId="632">
        <row r="1">
          <cell r="R1">
            <v>1.1032381499999999</v>
          </cell>
        </row>
      </sheetData>
      <sheetData sheetId="633" refreshError="1"/>
      <sheetData sheetId="634">
        <row r="1">
          <cell r="R1">
            <v>1.1032381499999999</v>
          </cell>
        </row>
      </sheetData>
      <sheetData sheetId="635">
        <row r="1">
          <cell r="R1">
            <v>1.1032381499999999</v>
          </cell>
        </row>
      </sheetData>
      <sheetData sheetId="636">
        <row r="1">
          <cell r="R1">
            <v>1.1032381499999999</v>
          </cell>
        </row>
      </sheetData>
      <sheetData sheetId="637">
        <row r="1">
          <cell r="R1">
            <v>1.1032381499999999</v>
          </cell>
        </row>
      </sheetData>
      <sheetData sheetId="638" refreshError="1"/>
      <sheetData sheetId="639" refreshError="1"/>
      <sheetData sheetId="640" refreshError="1"/>
      <sheetData sheetId="641">
        <row r="1">
          <cell r="R1">
            <v>1.1032381499999999</v>
          </cell>
        </row>
      </sheetData>
      <sheetData sheetId="642">
        <row r="1">
          <cell r="R1">
            <v>1.1032381499999999</v>
          </cell>
        </row>
      </sheetData>
      <sheetData sheetId="643">
        <row r="1">
          <cell r="R1">
            <v>1.1032381499999999</v>
          </cell>
        </row>
      </sheetData>
      <sheetData sheetId="644" refreshError="1"/>
      <sheetData sheetId="645" refreshError="1"/>
      <sheetData sheetId="646" refreshError="1"/>
      <sheetData sheetId="647" refreshError="1"/>
      <sheetData sheetId="648" refreshError="1"/>
      <sheetData sheetId="649">
        <row r="1">
          <cell r="R1">
            <v>1.1032381499999999</v>
          </cell>
        </row>
      </sheetData>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ow r="1">
          <cell r="R1">
            <v>1.1032381499999999</v>
          </cell>
        </row>
      </sheetData>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ow r="1">
          <cell r="R1">
            <v>1.1032381499999999</v>
          </cell>
        </row>
      </sheetData>
      <sheetData sheetId="682">
        <row r="1">
          <cell r="R1">
            <v>1.1032381499999999</v>
          </cell>
        </row>
      </sheetData>
      <sheetData sheetId="683">
        <row r="1">
          <cell r="R1">
            <v>1.1032381499999999</v>
          </cell>
        </row>
      </sheetData>
      <sheetData sheetId="684" refreshError="1"/>
      <sheetData sheetId="685">
        <row r="1">
          <cell r="R1">
            <v>1.1032381499999999</v>
          </cell>
        </row>
      </sheetData>
      <sheetData sheetId="686">
        <row r="1">
          <cell r="R1">
            <v>1.1032381499999999</v>
          </cell>
        </row>
      </sheetData>
      <sheetData sheetId="687" refreshError="1"/>
      <sheetData sheetId="688" refreshError="1"/>
      <sheetData sheetId="689">
        <row r="1">
          <cell r="R1">
            <v>1.1032381499999999</v>
          </cell>
        </row>
      </sheetData>
      <sheetData sheetId="690">
        <row r="1">
          <cell r="R1">
            <v>1.1032381499999999</v>
          </cell>
        </row>
      </sheetData>
      <sheetData sheetId="691">
        <row r="1">
          <cell r="R1">
            <v>1.1032381499999999</v>
          </cell>
        </row>
      </sheetData>
      <sheetData sheetId="692" refreshError="1"/>
      <sheetData sheetId="693" refreshError="1"/>
      <sheetData sheetId="694" refreshError="1"/>
      <sheetData sheetId="695" refreshError="1"/>
      <sheetData sheetId="696">
        <row r="1">
          <cell r="R1">
            <v>1.1032381499999999</v>
          </cell>
        </row>
      </sheetData>
      <sheetData sheetId="697">
        <row r="1">
          <cell r="R1">
            <v>1.1032381499999999</v>
          </cell>
        </row>
      </sheetData>
      <sheetData sheetId="698">
        <row r="1">
          <cell r="R1">
            <v>1.1032381499999999</v>
          </cell>
        </row>
      </sheetData>
      <sheetData sheetId="699">
        <row r="1">
          <cell r="R1">
            <v>1.1032381499999999</v>
          </cell>
        </row>
      </sheetData>
      <sheetData sheetId="700">
        <row r="1">
          <cell r="R1">
            <v>1.1032381499999999</v>
          </cell>
        </row>
      </sheetData>
      <sheetData sheetId="701">
        <row r="1">
          <cell r="R1">
            <v>1.1032381499999999</v>
          </cell>
        </row>
      </sheetData>
      <sheetData sheetId="702">
        <row r="1">
          <cell r="R1">
            <v>1.1032381499999999</v>
          </cell>
        </row>
      </sheetData>
      <sheetData sheetId="703" refreshError="1"/>
      <sheetData sheetId="704">
        <row r="1">
          <cell r="R1">
            <v>1.1032381499999999</v>
          </cell>
        </row>
      </sheetData>
      <sheetData sheetId="705" refreshError="1"/>
      <sheetData sheetId="706" refreshError="1"/>
      <sheetData sheetId="707" refreshError="1"/>
      <sheetData sheetId="708" refreshError="1"/>
      <sheetData sheetId="709">
        <row r="1">
          <cell r="R1">
            <v>1.1032381499999999</v>
          </cell>
        </row>
      </sheetData>
      <sheetData sheetId="710">
        <row r="1">
          <cell r="R1">
            <v>1.1032381499999999</v>
          </cell>
        </row>
      </sheetData>
      <sheetData sheetId="711">
        <row r="1">
          <cell r="R1">
            <v>1.1032381499999999</v>
          </cell>
        </row>
      </sheetData>
      <sheetData sheetId="712">
        <row r="1">
          <cell r="R1">
            <v>1.1032381499999999</v>
          </cell>
        </row>
      </sheetData>
      <sheetData sheetId="713">
        <row r="1">
          <cell r="R1">
            <v>1.1032381499999999</v>
          </cell>
        </row>
      </sheetData>
      <sheetData sheetId="714">
        <row r="1">
          <cell r="R1">
            <v>1.1032381499999999</v>
          </cell>
        </row>
      </sheetData>
      <sheetData sheetId="715">
        <row r="1">
          <cell r="R1">
            <v>1.1032381499999999</v>
          </cell>
        </row>
      </sheetData>
      <sheetData sheetId="716">
        <row r="1">
          <cell r="R1">
            <v>1.1032381499999999</v>
          </cell>
        </row>
      </sheetData>
      <sheetData sheetId="717">
        <row r="1">
          <cell r="R1">
            <v>1.1032381499999999</v>
          </cell>
        </row>
      </sheetData>
      <sheetData sheetId="718">
        <row r="1">
          <cell r="R1">
            <v>1.1032381499999999</v>
          </cell>
        </row>
      </sheetData>
      <sheetData sheetId="719">
        <row r="1">
          <cell r="R1">
            <v>1.1032381499999999</v>
          </cell>
        </row>
      </sheetData>
      <sheetData sheetId="720">
        <row r="1">
          <cell r="R1">
            <v>1.1032381499999999</v>
          </cell>
        </row>
      </sheetData>
      <sheetData sheetId="721">
        <row r="1">
          <cell r="R1">
            <v>1.1032381499999999</v>
          </cell>
        </row>
      </sheetData>
      <sheetData sheetId="722">
        <row r="1">
          <cell r="R1">
            <v>1.1032381499999999</v>
          </cell>
        </row>
      </sheetData>
      <sheetData sheetId="723">
        <row r="1">
          <cell r="R1">
            <v>1.1032381499999999</v>
          </cell>
        </row>
      </sheetData>
      <sheetData sheetId="724">
        <row r="1">
          <cell r="R1">
            <v>1.1032381499999999</v>
          </cell>
        </row>
      </sheetData>
      <sheetData sheetId="725">
        <row r="1">
          <cell r="R1">
            <v>1.1032381499999999</v>
          </cell>
        </row>
      </sheetData>
      <sheetData sheetId="726">
        <row r="1">
          <cell r="R1">
            <v>1.1032381499999999</v>
          </cell>
        </row>
      </sheetData>
      <sheetData sheetId="727">
        <row r="1">
          <cell r="R1">
            <v>1.1032381499999999</v>
          </cell>
        </row>
      </sheetData>
      <sheetData sheetId="728">
        <row r="1">
          <cell r="R1">
            <v>1.1032381499999999</v>
          </cell>
        </row>
      </sheetData>
      <sheetData sheetId="729">
        <row r="1">
          <cell r="R1">
            <v>1.1032381499999999</v>
          </cell>
        </row>
      </sheetData>
      <sheetData sheetId="730">
        <row r="1">
          <cell r="R1">
            <v>1.1032381499999999</v>
          </cell>
        </row>
      </sheetData>
      <sheetData sheetId="731">
        <row r="1">
          <cell r="R1">
            <v>1.1032381499999999</v>
          </cell>
        </row>
      </sheetData>
      <sheetData sheetId="732">
        <row r="1">
          <cell r="R1">
            <v>1.1032381499999999</v>
          </cell>
        </row>
      </sheetData>
      <sheetData sheetId="733">
        <row r="1">
          <cell r="R1">
            <v>1.1032381499999999</v>
          </cell>
        </row>
      </sheetData>
      <sheetData sheetId="734">
        <row r="1">
          <cell r="R1">
            <v>1.1032381499999999</v>
          </cell>
        </row>
      </sheetData>
      <sheetData sheetId="735">
        <row r="1">
          <cell r="R1">
            <v>1.1032381499999999</v>
          </cell>
        </row>
      </sheetData>
      <sheetData sheetId="736">
        <row r="1">
          <cell r="R1">
            <v>1.1032381499999999</v>
          </cell>
        </row>
      </sheetData>
      <sheetData sheetId="737">
        <row r="1">
          <cell r="R1">
            <v>1.1032381499999999</v>
          </cell>
        </row>
      </sheetData>
      <sheetData sheetId="738">
        <row r="1">
          <cell r="R1">
            <v>1.1032381499999999</v>
          </cell>
        </row>
      </sheetData>
      <sheetData sheetId="739">
        <row r="1">
          <cell r="R1">
            <v>1.1032381499999999</v>
          </cell>
        </row>
      </sheetData>
      <sheetData sheetId="740">
        <row r="1">
          <cell r="R1">
            <v>1.1032381499999999</v>
          </cell>
        </row>
      </sheetData>
      <sheetData sheetId="741">
        <row r="1">
          <cell r="R1">
            <v>1.1032381499999999</v>
          </cell>
        </row>
      </sheetData>
      <sheetData sheetId="742">
        <row r="1">
          <cell r="R1">
            <v>1.1032381499999999</v>
          </cell>
        </row>
      </sheetData>
      <sheetData sheetId="743">
        <row r="1">
          <cell r="R1">
            <v>1.1032381499999999</v>
          </cell>
        </row>
      </sheetData>
      <sheetData sheetId="744">
        <row r="1">
          <cell r="R1">
            <v>1.1032381499999999</v>
          </cell>
        </row>
      </sheetData>
      <sheetData sheetId="745">
        <row r="1">
          <cell r="R1">
            <v>1.1032381499999999</v>
          </cell>
        </row>
      </sheetData>
      <sheetData sheetId="746">
        <row r="1">
          <cell r="R1">
            <v>1.1032381499999999</v>
          </cell>
        </row>
      </sheetData>
      <sheetData sheetId="747">
        <row r="1">
          <cell r="R1">
            <v>1.1032381499999999</v>
          </cell>
        </row>
      </sheetData>
      <sheetData sheetId="748">
        <row r="1">
          <cell r="R1">
            <v>1.1032381499999999</v>
          </cell>
        </row>
      </sheetData>
      <sheetData sheetId="749">
        <row r="1">
          <cell r="R1">
            <v>1.1032381499999999</v>
          </cell>
        </row>
      </sheetData>
      <sheetData sheetId="750">
        <row r="1">
          <cell r="R1">
            <v>1.1032381499999999</v>
          </cell>
        </row>
      </sheetData>
      <sheetData sheetId="751">
        <row r="1">
          <cell r="R1">
            <v>1.1032381499999999</v>
          </cell>
        </row>
      </sheetData>
      <sheetData sheetId="752">
        <row r="1">
          <cell r="R1">
            <v>1.1032381499999999</v>
          </cell>
        </row>
      </sheetData>
      <sheetData sheetId="753">
        <row r="1">
          <cell r="R1">
            <v>1.1032381499999999</v>
          </cell>
        </row>
      </sheetData>
      <sheetData sheetId="754">
        <row r="1">
          <cell r="R1">
            <v>1.1032381499999999</v>
          </cell>
        </row>
      </sheetData>
      <sheetData sheetId="755">
        <row r="1">
          <cell r="R1">
            <v>1.1032381499999999</v>
          </cell>
        </row>
      </sheetData>
      <sheetData sheetId="756">
        <row r="1">
          <cell r="R1">
            <v>1.1032381499999999</v>
          </cell>
        </row>
      </sheetData>
      <sheetData sheetId="757">
        <row r="1">
          <cell r="R1">
            <v>1.1032381499999999</v>
          </cell>
        </row>
      </sheetData>
      <sheetData sheetId="758">
        <row r="1">
          <cell r="R1">
            <v>1.1032381499999999</v>
          </cell>
        </row>
      </sheetData>
      <sheetData sheetId="759">
        <row r="1">
          <cell r="R1">
            <v>1.1032381499999999</v>
          </cell>
        </row>
      </sheetData>
      <sheetData sheetId="760">
        <row r="1">
          <cell r="R1">
            <v>1.1032381499999999</v>
          </cell>
        </row>
      </sheetData>
      <sheetData sheetId="761">
        <row r="1">
          <cell r="R1">
            <v>1.1032381499999999</v>
          </cell>
        </row>
      </sheetData>
      <sheetData sheetId="762">
        <row r="1">
          <cell r="R1">
            <v>1.1032381499999999</v>
          </cell>
        </row>
      </sheetData>
      <sheetData sheetId="763">
        <row r="1">
          <cell r="R1">
            <v>1.1032381499999999</v>
          </cell>
        </row>
      </sheetData>
      <sheetData sheetId="764">
        <row r="1">
          <cell r="R1">
            <v>1.1032381499999999</v>
          </cell>
        </row>
      </sheetData>
      <sheetData sheetId="765">
        <row r="1">
          <cell r="R1">
            <v>1.1032381499999999</v>
          </cell>
        </row>
      </sheetData>
      <sheetData sheetId="766">
        <row r="1">
          <cell r="R1">
            <v>1.1032381499999999</v>
          </cell>
        </row>
      </sheetData>
      <sheetData sheetId="767">
        <row r="1">
          <cell r="R1">
            <v>1.1032381499999999</v>
          </cell>
        </row>
      </sheetData>
      <sheetData sheetId="768">
        <row r="1">
          <cell r="R1">
            <v>1.1032381499999999</v>
          </cell>
        </row>
      </sheetData>
      <sheetData sheetId="769">
        <row r="1">
          <cell r="R1">
            <v>1.1032381499999999</v>
          </cell>
        </row>
      </sheetData>
      <sheetData sheetId="770">
        <row r="1">
          <cell r="R1">
            <v>1.1032381499999999</v>
          </cell>
        </row>
      </sheetData>
      <sheetData sheetId="771">
        <row r="1">
          <cell r="R1">
            <v>1.1032381499999999</v>
          </cell>
        </row>
      </sheetData>
      <sheetData sheetId="772">
        <row r="1">
          <cell r="R1">
            <v>1.1032381499999999</v>
          </cell>
        </row>
      </sheetData>
      <sheetData sheetId="773">
        <row r="1">
          <cell r="R1">
            <v>1.1032381499999999</v>
          </cell>
        </row>
      </sheetData>
      <sheetData sheetId="774">
        <row r="1">
          <cell r="R1">
            <v>1.1032381499999999</v>
          </cell>
        </row>
      </sheetData>
      <sheetData sheetId="775">
        <row r="1">
          <cell r="R1">
            <v>1.1032381499999999</v>
          </cell>
        </row>
      </sheetData>
      <sheetData sheetId="776">
        <row r="1">
          <cell r="R1">
            <v>1.1032381499999999</v>
          </cell>
        </row>
      </sheetData>
      <sheetData sheetId="777">
        <row r="1">
          <cell r="R1">
            <v>1.1032381499999999</v>
          </cell>
        </row>
      </sheetData>
      <sheetData sheetId="778">
        <row r="1">
          <cell r="R1">
            <v>1.1032381499999999</v>
          </cell>
        </row>
      </sheetData>
      <sheetData sheetId="779">
        <row r="1">
          <cell r="R1">
            <v>1.1032381499999999</v>
          </cell>
        </row>
      </sheetData>
      <sheetData sheetId="780">
        <row r="1">
          <cell r="R1">
            <v>1.1032381499999999</v>
          </cell>
        </row>
      </sheetData>
      <sheetData sheetId="781">
        <row r="1">
          <cell r="R1">
            <v>1.1032381499999999</v>
          </cell>
        </row>
      </sheetData>
      <sheetData sheetId="782">
        <row r="1">
          <cell r="R1">
            <v>1.1032381499999999</v>
          </cell>
        </row>
      </sheetData>
      <sheetData sheetId="783">
        <row r="1">
          <cell r="R1">
            <v>1.1032381499999999</v>
          </cell>
        </row>
      </sheetData>
      <sheetData sheetId="784">
        <row r="1">
          <cell r="R1">
            <v>1.1032381499999999</v>
          </cell>
        </row>
      </sheetData>
      <sheetData sheetId="785">
        <row r="1">
          <cell r="R1">
            <v>1.1032381499999999</v>
          </cell>
        </row>
      </sheetData>
      <sheetData sheetId="786">
        <row r="1">
          <cell r="R1">
            <v>1.1032381499999999</v>
          </cell>
        </row>
      </sheetData>
      <sheetData sheetId="787">
        <row r="1">
          <cell r="R1">
            <v>1.1032381499999999</v>
          </cell>
        </row>
      </sheetData>
      <sheetData sheetId="788">
        <row r="1">
          <cell r="R1">
            <v>1.1032381499999999</v>
          </cell>
        </row>
      </sheetData>
      <sheetData sheetId="789">
        <row r="1">
          <cell r="R1">
            <v>1.1032381499999999</v>
          </cell>
        </row>
      </sheetData>
      <sheetData sheetId="790">
        <row r="1">
          <cell r="R1">
            <v>1.1032381499999999</v>
          </cell>
        </row>
      </sheetData>
      <sheetData sheetId="791">
        <row r="1">
          <cell r="R1">
            <v>1.1032381499999999</v>
          </cell>
        </row>
      </sheetData>
      <sheetData sheetId="792">
        <row r="1">
          <cell r="R1">
            <v>1.1032381499999999</v>
          </cell>
        </row>
      </sheetData>
      <sheetData sheetId="793">
        <row r="1">
          <cell r="R1">
            <v>1.1032381499999999</v>
          </cell>
        </row>
      </sheetData>
      <sheetData sheetId="794">
        <row r="1">
          <cell r="R1">
            <v>1.1032381499999999</v>
          </cell>
        </row>
      </sheetData>
      <sheetData sheetId="795">
        <row r="1">
          <cell r="R1">
            <v>1.1032381499999999</v>
          </cell>
        </row>
      </sheetData>
      <sheetData sheetId="796">
        <row r="1">
          <cell r="R1">
            <v>1.1032381499999999</v>
          </cell>
        </row>
      </sheetData>
      <sheetData sheetId="797">
        <row r="1">
          <cell r="R1">
            <v>1.1032381499999999</v>
          </cell>
        </row>
      </sheetData>
      <sheetData sheetId="798">
        <row r="1">
          <cell r="R1">
            <v>1.1032381499999999</v>
          </cell>
        </row>
      </sheetData>
      <sheetData sheetId="799">
        <row r="1">
          <cell r="R1">
            <v>1.1032381499999999</v>
          </cell>
        </row>
      </sheetData>
      <sheetData sheetId="800">
        <row r="1">
          <cell r="R1">
            <v>1.1032381499999999</v>
          </cell>
        </row>
      </sheetData>
      <sheetData sheetId="801">
        <row r="1">
          <cell r="R1">
            <v>1.1032381499999999</v>
          </cell>
        </row>
      </sheetData>
      <sheetData sheetId="802">
        <row r="1">
          <cell r="R1">
            <v>1.1032381499999999</v>
          </cell>
        </row>
      </sheetData>
      <sheetData sheetId="803">
        <row r="1">
          <cell r="R1">
            <v>1.1032381499999999</v>
          </cell>
        </row>
      </sheetData>
      <sheetData sheetId="804">
        <row r="1">
          <cell r="R1">
            <v>1.1032381499999999</v>
          </cell>
        </row>
      </sheetData>
      <sheetData sheetId="805">
        <row r="1">
          <cell r="R1">
            <v>1.1032381499999999</v>
          </cell>
        </row>
      </sheetData>
      <sheetData sheetId="806">
        <row r="1">
          <cell r="R1">
            <v>1.1032381499999999</v>
          </cell>
        </row>
      </sheetData>
      <sheetData sheetId="807">
        <row r="1">
          <cell r="R1">
            <v>1.1032381499999999</v>
          </cell>
        </row>
      </sheetData>
      <sheetData sheetId="808">
        <row r="1">
          <cell r="R1">
            <v>1.1032381499999999</v>
          </cell>
        </row>
      </sheetData>
      <sheetData sheetId="809">
        <row r="1">
          <cell r="R1">
            <v>1.1032381499999999</v>
          </cell>
        </row>
      </sheetData>
      <sheetData sheetId="810">
        <row r="1">
          <cell r="R1">
            <v>1.1032381499999999</v>
          </cell>
        </row>
      </sheetData>
      <sheetData sheetId="811">
        <row r="1">
          <cell r="R1">
            <v>1.1032381499999999</v>
          </cell>
        </row>
      </sheetData>
      <sheetData sheetId="812">
        <row r="1">
          <cell r="R1">
            <v>1.1032381499999999</v>
          </cell>
        </row>
      </sheetData>
      <sheetData sheetId="813">
        <row r="1">
          <cell r="R1">
            <v>1.1032381499999999</v>
          </cell>
        </row>
      </sheetData>
      <sheetData sheetId="814">
        <row r="1">
          <cell r="R1">
            <v>1.1032381499999999</v>
          </cell>
        </row>
      </sheetData>
      <sheetData sheetId="815">
        <row r="1">
          <cell r="R1">
            <v>1.1032381499999999</v>
          </cell>
        </row>
      </sheetData>
      <sheetData sheetId="816">
        <row r="1">
          <cell r="R1">
            <v>1.1032381499999999</v>
          </cell>
        </row>
      </sheetData>
      <sheetData sheetId="817">
        <row r="1">
          <cell r="R1">
            <v>1.1032381499999999</v>
          </cell>
        </row>
      </sheetData>
      <sheetData sheetId="818">
        <row r="1">
          <cell r="R1">
            <v>1.1032381499999999</v>
          </cell>
        </row>
      </sheetData>
      <sheetData sheetId="819">
        <row r="1">
          <cell r="R1">
            <v>1.1032381499999999</v>
          </cell>
        </row>
      </sheetData>
      <sheetData sheetId="820">
        <row r="1">
          <cell r="R1">
            <v>1.1032381499999999</v>
          </cell>
        </row>
      </sheetData>
      <sheetData sheetId="821">
        <row r="1">
          <cell r="R1">
            <v>1.1032381499999999</v>
          </cell>
        </row>
      </sheetData>
      <sheetData sheetId="822">
        <row r="1">
          <cell r="R1">
            <v>1.1032381499999999</v>
          </cell>
        </row>
      </sheetData>
      <sheetData sheetId="823">
        <row r="1">
          <cell r="R1">
            <v>1.1032381499999999</v>
          </cell>
        </row>
      </sheetData>
      <sheetData sheetId="824">
        <row r="1">
          <cell r="R1">
            <v>1.1032381499999999</v>
          </cell>
        </row>
      </sheetData>
      <sheetData sheetId="825">
        <row r="1">
          <cell r="R1">
            <v>1.1032381499999999</v>
          </cell>
        </row>
      </sheetData>
      <sheetData sheetId="826">
        <row r="1">
          <cell r="R1">
            <v>1.1032381499999999</v>
          </cell>
        </row>
      </sheetData>
      <sheetData sheetId="827">
        <row r="1">
          <cell r="R1">
            <v>1.1032381499999999</v>
          </cell>
        </row>
      </sheetData>
      <sheetData sheetId="828">
        <row r="1">
          <cell r="R1">
            <v>1.1032381499999999</v>
          </cell>
        </row>
      </sheetData>
      <sheetData sheetId="829">
        <row r="1">
          <cell r="R1">
            <v>1.1032381499999999</v>
          </cell>
        </row>
      </sheetData>
      <sheetData sheetId="830">
        <row r="1">
          <cell r="R1">
            <v>1.1032381499999999</v>
          </cell>
        </row>
      </sheetData>
      <sheetData sheetId="831">
        <row r="1">
          <cell r="R1">
            <v>1.1032381499999999</v>
          </cell>
        </row>
      </sheetData>
      <sheetData sheetId="832">
        <row r="1">
          <cell r="R1">
            <v>1.1032381499999999</v>
          </cell>
        </row>
      </sheetData>
      <sheetData sheetId="833">
        <row r="1">
          <cell r="R1">
            <v>1.1032381499999999</v>
          </cell>
        </row>
      </sheetData>
      <sheetData sheetId="834">
        <row r="1">
          <cell r="R1">
            <v>1.1032381499999999</v>
          </cell>
        </row>
      </sheetData>
      <sheetData sheetId="835">
        <row r="1">
          <cell r="R1">
            <v>1.1032381499999999</v>
          </cell>
        </row>
      </sheetData>
      <sheetData sheetId="836">
        <row r="1">
          <cell r="R1">
            <v>1.1032381499999999</v>
          </cell>
        </row>
      </sheetData>
      <sheetData sheetId="837">
        <row r="1">
          <cell r="R1">
            <v>1.1032381499999999</v>
          </cell>
        </row>
      </sheetData>
      <sheetData sheetId="838">
        <row r="1">
          <cell r="R1">
            <v>1.1032381499999999</v>
          </cell>
        </row>
      </sheetData>
      <sheetData sheetId="839">
        <row r="1">
          <cell r="R1">
            <v>1.1032381499999999</v>
          </cell>
        </row>
      </sheetData>
      <sheetData sheetId="840">
        <row r="1">
          <cell r="R1">
            <v>1.1032381499999999</v>
          </cell>
        </row>
      </sheetData>
      <sheetData sheetId="841">
        <row r="1">
          <cell r="R1">
            <v>1.1032381499999999</v>
          </cell>
        </row>
      </sheetData>
      <sheetData sheetId="842">
        <row r="1">
          <cell r="R1">
            <v>1.1032381499999999</v>
          </cell>
        </row>
      </sheetData>
      <sheetData sheetId="843">
        <row r="1">
          <cell r="R1">
            <v>1.1032381499999999</v>
          </cell>
        </row>
      </sheetData>
      <sheetData sheetId="844">
        <row r="1">
          <cell r="R1">
            <v>1.1032381499999999</v>
          </cell>
        </row>
      </sheetData>
      <sheetData sheetId="845">
        <row r="1">
          <cell r="R1">
            <v>1.1032381499999999</v>
          </cell>
        </row>
      </sheetData>
      <sheetData sheetId="846">
        <row r="1">
          <cell r="R1">
            <v>1.1032381499999999</v>
          </cell>
        </row>
      </sheetData>
      <sheetData sheetId="847">
        <row r="1">
          <cell r="R1">
            <v>1.1032381499999999</v>
          </cell>
        </row>
      </sheetData>
      <sheetData sheetId="848">
        <row r="1">
          <cell r="R1">
            <v>1.1032381499999999</v>
          </cell>
        </row>
      </sheetData>
      <sheetData sheetId="849">
        <row r="1">
          <cell r="R1">
            <v>1.1032381499999999</v>
          </cell>
        </row>
      </sheetData>
      <sheetData sheetId="850">
        <row r="1">
          <cell r="R1">
            <v>1.1032381499999999</v>
          </cell>
        </row>
      </sheetData>
      <sheetData sheetId="851">
        <row r="1">
          <cell r="R1">
            <v>1.1032381499999999</v>
          </cell>
        </row>
      </sheetData>
      <sheetData sheetId="852">
        <row r="1">
          <cell r="R1">
            <v>1.1032381499999999</v>
          </cell>
        </row>
      </sheetData>
      <sheetData sheetId="853">
        <row r="1">
          <cell r="R1">
            <v>1.1032381499999999</v>
          </cell>
        </row>
      </sheetData>
      <sheetData sheetId="854">
        <row r="1">
          <cell r="R1">
            <v>1.1032381499999999</v>
          </cell>
        </row>
      </sheetData>
      <sheetData sheetId="855">
        <row r="1">
          <cell r="R1">
            <v>1.1032381499999999</v>
          </cell>
        </row>
      </sheetData>
      <sheetData sheetId="856">
        <row r="1">
          <cell r="R1">
            <v>1.1032381499999999</v>
          </cell>
        </row>
      </sheetData>
      <sheetData sheetId="857">
        <row r="1">
          <cell r="R1">
            <v>1.1032381499999999</v>
          </cell>
        </row>
      </sheetData>
      <sheetData sheetId="858">
        <row r="1">
          <cell r="R1">
            <v>1.1032381499999999</v>
          </cell>
        </row>
      </sheetData>
      <sheetData sheetId="859">
        <row r="1">
          <cell r="R1">
            <v>1.1032381499999999</v>
          </cell>
        </row>
      </sheetData>
      <sheetData sheetId="860">
        <row r="1">
          <cell r="R1">
            <v>1.1032381499999999</v>
          </cell>
        </row>
      </sheetData>
      <sheetData sheetId="861">
        <row r="1">
          <cell r="R1">
            <v>1.1032381499999999</v>
          </cell>
        </row>
      </sheetData>
      <sheetData sheetId="862">
        <row r="1">
          <cell r="R1">
            <v>1.1032381499999999</v>
          </cell>
        </row>
      </sheetData>
      <sheetData sheetId="863">
        <row r="1">
          <cell r="R1">
            <v>1.1032381499999999</v>
          </cell>
        </row>
      </sheetData>
      <sheetData sheetId="864">
        <row r="1">
          <cell r="R1">
            <v>1.1032381499999999</v>
          </cell>
        </row>
      </sheetData>
      <sheetData sheetId="865">
        <row r="1">
          <cell r="R1">
            <v>1.1032381499999999</v>
          </cell>
        </row>
      </sheetData>
      <sheetData sheetId="866">
        <row r="1">
          <cell r="R1">
            <v>1.1032381499999999</v>
          </cell>
        </row>
      </sheetData>
      <sheetData sheetId="867">
        <row r="1">
          <cell r="R1">
            <v>1.1032381499999999</v>
          </cell>
        </row>
      </sheetData>
      <sheetData sheetId="868">
        <row r="1">
          <cell r="R1">
            <v>1.1032381499999999</v>
          </cell>
        </row>
      </sheetData>
      <sheetData sheetId="869">
        <row r="1">
          <cell r="R1">
            <v>1.1032381499999999</v>
          </cell>
        </row>
      </sheetData>
      <sheetData sheetId="870">
        <row r="1">
          <cell r="R1">
            <v>1.1032381499999999</v>
          </cell>
        </row>
      </sheetData>
      <sheetData sheetId="871">
        <row r="1">
          <cell r="R1">
            <v>1.1032381499999999</v>
          </cell>
        </row>
      </sheetData>
      <sheetData sheetId="872">
        <row r="1">
          <cell r="R1">
            <v>1.1032381499999999</v>
          </cell>
        </row>
      </sheetData>
      <sheetData sheetId="873">
        <row r="1">
          <cell r="R1">
            <v>1.1032381499999999</v>
          </cell>
        </row>
      </sheetData>
      <sheetData sheetId="874">
        <row r="1">
          <cell r="R1">
            <v>1.1032381499999999</v>
          </cell>
        </row>
      </sheetData>
      <sheetData sheetId="875">
        <row r="1">
          <cell r="R1">
            <v>1.1032381499999999</v>
          </cell>
        </row>
      </sheetData>
      <sheetData sheetId="876">
        <row r="1">
          <cell r="R1">
            <v>1.1032381499999999</v>
          </cell>
        </row>
      </sheetData>
      <sheetData sheetId="877">
        <row r="1">
          <cell r="R1">
            <v>1.1032381499999999</v>
          </cell>
        </row>
      </sheetData>
      <sheetData sheetId="878">
        <row r="1">
          <cell r="R1">
            <v>1.1032381499999999</v>
          </cell>
        </row>
      </sheetData>
      <sheetData sheetId="879">
        <row r="1">
          <cell r="R1">
            <v>1.1032381499999999</v>
          </cell>
        </row>
      </sheetData>
      <sheetData sheetId="880">
        <row r="1">
          <cell r="R1">
            <v>1.1032381499999999</v>
          </cell>
        </row>
      </sheetData>
      <sheetData sheetId="881">
        <row r="1">
          <cell r="R1">
            <v>1.1032381499999999</v>
          </cell>
        </row>
      </sheetData>
      <sheetData sheetId="882">
        <row r="1">
          <cell r="R1">
            <v>1.1032381499999999</v>
          </cell>
        </row>
      </sheetData>
      <sheetData sheetId="883">
        <row r="1">
          <cell r="R1">
            <v>1.1032381499999999</v>
          </cell>
        </row>
      </sheetData>
      <sheetData sheetId="884">
        <row r="1">
          <cell r="R1">
            <v>1.1032381499999999</v>
          </cell>
        </row>
      </sheetData>
      <sheetData sheetId="885">
        <row r="1">
          <cell r="R1">
            <v>1.1032381499999999</v>
          </cell>
        </row>
      </sheetData>
      <sheetData sheetId="886">
        <row r="1">
          <cell r="R1">
            <v>1.1032381499999999</v>
          </cell>
        </row>
      </sheetData>
      <sheetData sheetId="887">
        <row r="1">
          <cell r="R1">
            <v>1.1032381499999999</v>
          </cell>
        </row>
      </sheetData>
      <sheetData sheetId="888">
        <row r="1">
          <cell r="R1">
            <v>1.1032381499999999</v>
          </cell>
        </row>
      </sheetData>
      <sheetData sheetId="889">
        <row r="1">
          <cell r="R1">
            <v>1.1032381499999999</v>
          </cell>
        </row>
      </sheetData>
      <sheetData sheetId="890">
        <row r="1">
          <cell r="R1">
            <v>1.1032381499999999</v>
          </cell>
        </row>
      </sheetData>
      <sheetData sheetId="891">
        <row r="1">
          <cell r="R1">
            <v>1.1032381499999999</v>
          </cell>
        </row>
      </sheetData>
      <sheetData sheetId="892">
        <row r="1">
          <cell r="R1">
            <v>1.1032381499999999</v>
          </cell>
        </row>
      </sheetData>
      <sheetData sheetId="893">
        <row r="1">
          <cell r="R1">
            <v>1.1032381499999999</v>
          </cell>
        </row>
      </sheetData>
      <sheetData sheetId="894">
        <row r="1">
          <cell r="R1">
            <v>1.1032381499999999</v>
          </cell>
        </row>
      </sheetData>
      <sheetData sheetId="895">
        <row r="1">
          <cell r="R1">
            <v>1.1032381499999999</v>
          </cell>
        </row>
      </sheetData>
      <sheetData sheetId="896">
        <row r="1">
          <cell r="R1">
            <v>1.1032381499999999</v>
          </cell>
        </row>
      </sheetData>
      <sheetData sheetId="897">
        <row r="1">
          <cell r="R1">
            <v>1.1032381499999999</v>
          </cell>
        </row>
      </sheetData>
      <sheetData sheetId="898">
        <row r="1">
          <cell r="R1">
            <v>1.1032381499999999</v>
          </cell>
        </row>
      </sheetData>
      <sheetData sheetId="899">
        <row r="1">
          <cell r="R1">
            <v>1.1032381499999999</v>
          </cell>
        </row>
      </sheetData>
      <sheetData sheetId="900">
        <row r="1">
          <cell r="R1">
            <v>1.1032381499999999</v>
          </cell>
        </row>
      </sheetData>
      <sheetData sheetId="901">
        <row r="1">
          <cell r="R1">
            <v>1.1032381499999999</v>
          </cell>
        </row>
      </sheetData>
      <sheetData sheetId="902">
        <row r="1">
          <cell r="R1">
            <v>1.1032381499999999</v>
          </cell>
        </row>
      </sheetData>
      <sheetData sheetId="903">
        <row r="1">
          <cell r="R1">
            <v>1.1032381499999999</v>
          </cell>
        </row>
      </sheetData>
      <sheetData sheetId="904">
        <row r="1">
          <cell r="R1">
            <v>1.1032381499999999</v>
          </cell>
        </row>
      </sheetData>
      <sheetData sheetId="905">
        <row r="1">
          <cell r="R1">
            <v>1.1032381499999999</v>
          </cell>
        </row>
      </sheetData>
      <sheetData sheetId="906">
        <row r="1">
          <cell r="R1">
            <v>1.1032381499999999</v>
          </cell>
        </row>
      </sheetData>
      <sheetData sheetId="907">
        <row r="1">
          <cell r="R1">
            <v>1.1032381499999999</v>
          </cell>
        </row>
      </sheetData>
      <sheetData sheetId="908">
        <row r="1">
          <cell r="R1">
            <v>1.1032381499999999</v>
          </cell>
        </row>
      </sheetData>
      <sheetData sheetId="909">
        <row r="1">
          <cell r="R1">
            <v>1.1032381499999999</v>
          </cell>
        </row>
      </sheetData>
      <sheetData sheetId="910">
        <row r="1">
          <cell r="R1">
            <v>1.1032381499999999</v>
          </cell>
        </row>
      </sheetData>
      <sheetData sheetId="911">
        <row r="1">
          <cell r="R1">
            <v>1.1032381499999999</v>
          </cell>
        </row>
      </sheetData>
      <sheetData sheetId="912">
        <row r="1">
          <cell r="R1">
            <v>1.1032381499999999</v>
          </cell>
        </row>
      </sheetData>
      <sheetData sheetId="913">
        <row r="1">
          <cell r="R1">
            <v>1.1032381499999999</v>
          </cell>
        </row>
      </sheetData>
      <sheetData sheetId="914">
        <row r="1">
          <cell r="R1">
            <v>1.1032381499999999</v>
          </cell>
        </row>
      </sheetData>
      <sheetData sheetId="915">
        <row r="1">
          <cell r="R1">
            <v>1.1032381499999999</v>
          </cell>
        </row>
      </sheetData>
      <sheetData sheetId="916">
        <row r="1">
          <cell r="R1">
            <v>1.1032381499999999</v>
          </cell>
        </row>
      </sheetData>
      <sheetData sheetId="917">
        <row r="1">
          <cell r="R1">
            <v>1.1032381499999999</v>
          </cell>
        </row>
      </sheetData>
      <sheetData sheetId="918">
        <row r="1">
          <cell r="R1">
            <v>1.1032381499999999</v>
          </cell>
        </row>
      </sheetData>
      <sheetData sheetId="919">
        <row r="1">
          <cell r="R1">
            <v>1.1032381499999999</v>
          </cell>
        </row>
      </sheetData>
      <sheetData sheetId="920">
        <row r="1">
          <cell r="R1">
            <v>1.1032381499999999</v>
          </cell>
        </row>
      </sheetData>
      <sheetData sheetId="921">
        <row r="1">
          <cell r="R1">
            <v>1.1032381499999999</v>
          </cell>
        </row>
      </sheetData>
      <sheetData sheetId="922">
        <row r="1">
          <cell r="R1">
            <v>1.1032381499999999</v>
          </cell>
        </row>
      </sheetData>
      <sheetData sheetId="923">
        <row r="1">
          <cell r="R1">
            <v>1.1032381499999999</v>
          </cell>
        </row>
      </sheetData>
      <sheetData sheetId="924">
        <row r="1">
          <cell r="R1">
            <v>1.1032381499999999</v>
          </cell>
        </row>
      </sheetData>
      <sheetData sheetId="925">
        <row r="1">
          <cell r="R1">
            <v>1.1032381499999999</v>
          </cell>
        </row>
      </sheetData>
      <sheetData sheetId="926">
        <row r="1">
          <cell r="R1">
            <v>1.1032381499999999</v>
          </cell>
        </row>
      </sheetData>
      <sheetData sheetId="927">
        <row r="1">
          <cell r="R1">
            <v>1.1032381499999999</v>
          </cell>
        </row>
      </sheetData>
      <sheetData sheetId="928">
        <row r="1">
          <cell r="R1">
            <v>1.1032381499999999</v>
          </cell>
        </row>
      </sheetData>
      <sheetData sheetId="929">
        <row r="1">
          <cell r="R1">
            <v>1.1032381499999999</v>
          </cell>
        </row>
      </sheetData>
      <sheetData sheetId="930">
        <row r="1">
          <cell r="R1">
            <v>1.1032381499999999</v>
          </cell>
        </row>
      </sheetData>
      <sheetData sheetId="931">
        <row r="1">
          <cell r="R1">
            <v>1.1032381499999999</v>
          </cell>
        </row>
      </sheetData>
      <sheetData sheetId="932">
        <row r="1">
          <cell r="R1">
            <v>1.1032381499999999</v>
          </cell>
        </row>
      </sheetData>
      <sheetData sheetId="933">
        <row r="1">
          <cell r="R1">
            <v>1.1032381499999999</v>
          </cell>
        </row>
      </sheetData>
      <sheetData sheetId="934">
        <row r="1">
          <cell r="R1">
            <v>1.1032381499999999</v>
          </cell>
        </row>
      </sheetData>
      <sheetData sheetId="935">
        <row r="1">
          <cell r="R1">
            <v>1.1032381499999999</v>
          </cell>
        </row>
      </sheetData>
      <sheetData sheetId="936">
        <row r="1">
          <cell r="R1">
            <v>1.1032381499999999</v>
          </cell>
        </row>
      </sheetData>
      <sheetData sheetId="937">
        <row r="1">
          <cell r="R1">
            <v>1.1032381499999999</v>
          </cell>
        </row>
      </sheetData>
      <sheetData sheetId="938">
        <row r="1">
          <cell r="R1">
            <v>1.1032381499999999</v>
          </cell>
        </row>
      </sheetData>
      <sheetData sheetId="939">
        <row r="1">
          <cell r="R1">
            <v>1.1032381499999999</v>
          </cell>
        </row>
      </sheetData>
      <sheetData sheetId="940">
        <row r="1">
          <cell r="R1">
            <v>1.1032381499999999</v>
          </cell>
        </row>
      </sheetData>
      <sheetData sheetId="941">
        <row r="1">
          <cell r="R1">
            <v>1.1032381499999999</v>
          </cell>
        </row>
      </sheetData>
      <sheetData sheetId="942">
        <row r="1">
          <cell r="R1">
            <v>1.1032381499999999</v>
          </cell>
        </row>
      </sheetData>
      <sheetData sheetId="943">
        <row r="1">
          <cell r="R1">
            <v>1.1032381499999999</v>
          </cell>
        </row>
      </sheetData>
      <sheetData sheetId="944">
        <row r="1">
          <cell r="R1">
            <v>1.1032381499999999</v>
          </cell>
        </row>
      </sheetData>
      <sheetData sheetId="945">
        <row r="1">
          <cell r="R1">
            <v>1.1032381499999999</v>
          </cell>
        </row>
      </sheetData>
      <sheetData sheetId="946">
        <row r="1">
          <cell r="R1">
            <v>1.1032381499999999</v>
          </cell>
        </row>
      </sheetData>
      <sheetData sheetId="947">
        <row r="1">
          <cell r="R1">
            <v>1.1032381499999999</v>
          </cell>
        </row>
      </sheetData>
      <sheetData sheetId="948">
        <row r="1">
          <cell r="R1">
            <v>1.1032381499999999</v>
          </cell>
        </row>
      </sheetData>
      <sheetData sheetId="949">
        <row r="1">
          <cell r="R1">
            <v>1.1032381499999999</v>
          </cell>
        </row>
      </sheetData>
      <sheetData sheetId="950">
        <row r="1">
          <cell r="R1">
            <v>1.1032381499999999</v>
          </cell>
        </row>
      </sheetData>
      <sheetData sheetId="951">
        <row r="1">
          <cell r="R1">
            <v>1.1032381499999999</v>
          </cell>
        </row>
      </sheetData>
      <sheetData sheetId="952">
        <row r="1">
          <cell r="R1">
            <v>1.1032381499999999</v>
          </cell>
        </row>
      </sheetData>
      <sheetData sheetId="953">
        <row r="1">
          <cell r="R1">
            <v>1.1032381499999999</v>
          </cell>
        </row>
      </sheetData>
      <sheetData sheetId="954">
        <row r="1">
          <cell r="R1">
            <v>1.1032381499999999</v>
          </cell>
        </row>
      </sheetData>
      <sheetData sheetId="955">
        <row r="1">
          <cell r="R1">
            <v>1.1032381499999999</v>
          </cell>
        </row>
      </sheetData>
      <sheetData sheetId="956">
        <row r="1">
          <cell r="R1">
            <v>1.1032381499999999</v>
          </cell>
        </row>
      </sheetData>
      <sheetData sheetId="957">
        <row r="1">
          <cell r="R1">
            <v>1.1032381499999999</v>
          </cell>
        </row>
      </sheetData>
      <sheetData sheetId="958">
        <row r="1">
          <cell r="R1">
            <v>1.1032381499999999</v>
          </cell>
        </row>
      </sheetData>
      <sheetData sheetId="959">
        <row r="1">
          <cell r="R1">
            <v>1.1032381499999999</v>
          </cell>
        </row>
      </sheetData>
      <sheetData sheetId="960">
        <row r="1">
          <cell r="R1">
            <v>1.1032381499999999</v>
          </cell>
        </row>
      </sheetData>
      <sheetData sheetId="961">
        <row r="1">
          <cell r="R1">
            <v>1.1032381499999999</v>
          </cell>
        </row>
      </sheetData>
      <sheetData sheetId="962">
        <row r="1">
          <cell r="R1">
            <v>1.1032381499999999</v>
          </cell>
        </row>
      </sheetData>
      <sheetData sheetId="963">
        <row r="1">
          <cell r="R1">
            <v>1.1032381499999999</v>
          </cell>
        </row>
      </sheetData>
      <sheetData sheetId="964">
        <row r="1">
          <cell r="R1">
            <v>1.1032381499999999</v>
          </cell>
        </row>
      </sheetData>
      <sheetData sheetId="965">
        <row r="1">
          <cell r="R1">
            <v>1.1032381499999999</v>
          </cell>
        </row>
      </sheetData>
      <sheetData sheetId="966">
        <row r="1">
          <cell r="R1">
            <v>1.1032381499999999</v>
          </cell>
        </row>
      </sheetData>
      <sheetData sheetId="967">
        <row r="1">
          <cell r="R1">
            <v>1.1032381499999999</v>
          </cell>
        </row>
      </sheetData>
      <sheetData sheetId="968">
        <row r="1">
          <cell r="R1">
            <v>1.1032381499999999</v>
          </cell>
        </row>
      </sheetData>
      <sheetData sheetId="969">
        <row r="1">
          <cell r="R1">
            <v>1.1032381499999999</v>
          </cell>
        </row>
      </sheetData>
      <sheetData sheetId="970">
        <row r="1">
          <cell r="R1">
            <v>1.1032381499999999</v>
          </cell>
        </row>
      </sheetData>
      <sheetData sheetId="971">
        <row r="1">
          <cell r="R1">
            <v>1.1032381499999999</v>
          </cell>
        </row>
      </sheetData>
      <sheetData sheetId="972">
        <row r="1">
          <cell r="R1">
            <v>1.1032381499999999</v>
          </cell>
        </row>
      </sheetData>
      <sheetData sheetId="973">
        <row r="1">
          <cell r="R1">
            <v>1.1032381499999999</v>
          </cell>
        </row>
      </sheetData>
      <sheetData sheetId="974">
        <row r="1">
          <cell r="R1">
            <v>1.1032381499999999</v>
          </cell>
        </row>
      </sheetData>
      <sheetData sheetId="975">
        <row r="1">
          <cell r="R1">
            <v>1.1032381499999999</v>
          </cell>
        </row>
      </sheetData>
      <sheetData sheetId="976">
        <row r="1">
          <cell r="R1">
            <v>1.1032381499999999</v>
          </cell>
        </row>
      </sheetData>
      <sheetData sheetId="977">
        <row r="1">
          <cell r="R1">
            <v>1.1032381499999999</v>
          </cell>
        </row>
      </sheetData>
      <sheetData sheetId="978">
        <row r="1">
          <cell r="R1">
            <v>1.1032381499999999</v>
          </cell>
        </row>
      </sheetData>
      <sheetData sheetId="979">
        <row r="1">
          <cell r="R1">
            <v>1.1032381499999999</v>
          </cell>
        </row>
      </sheetData>
      <sheetData sheetId="980">
        <row r="1">
          <cell r="R1">
            <v>1.1032381499999999</v>
          </cell>
        </row>
      </sheetData>
      <sheetData sheetId="981">
        <row r="1">
          <cell r="R1">
            <v>1.1032381499999999</v>
          </cell>
        </row>
      </sheetData>
      <sheetData sheetId="982">
        <row r="1">
          <cell r="R1">
            <v>1.1032381499999999</v>
          </cell>
        </row>
      </sheetData>
      <sheetData sheetId="983">
        <row r="1">
          <cell r="R1">
            <v>1.1032381499999999</v>
          </cell>
        </row>
      </sheetData>
      <sheetData sheetId="984">
        <row r="1">
          <cell r="R1">
            <v>1.1032381499999999</v>
          </cell>
        </row>
      </sheetData>
      <sheetData sheetId="985">
        <row r="1">
          <cell r="R1">
            <v>1.1032381499999999</v>
          </cell>
        </row>
      </sheetData>
      <sheetData sheetId="986">
        <row r="1">
          <cell r="R1">
            <v>1.1032381499999999</v>
          </cell>
        </row>
      </sheetData>
      <sheetData sheetId="987">
        <row r="1">
          <cell r="R1">
            <v>1.1032381499999999</v>
          </cell>
        </row>
      </sheetData>
      <sheetData sheetId="988">
        <row r="1">
          <cell r="R1">
            <v>1.1032381499999999</v>
          </cell>
        </row>
      </sheetData>
      <sheetData sheetId="989">
        <row r="1">
          <cell r="R1">
            <v>1.1032381499999999</v>
          </cell>
        </row>
      </sheetData>
      <sheetData sheetId="990">
        <row r="1">
          <cell r="R1">
            <v>1.1032381499999999</v>
          </cell>
        </row>
      </sheetData>
      <sheetData sheetId="991">
        <row r="1">
          <cell r="R1">
            <v>1.1032381499999999</v>
          </cell>
        </row>
      </sheetData>
      <sheetData sheetId="992">
        <row r="1">
          <cell r="R1">
            <v>1.1032381499999999</v>
          </cell>
        </row>
      </sheetData>
      <sheetData sheetId="993">
        <row r="1">
          <cell r="R1">
            <v>1.1032381499999999</v>
          </cell>
        </row>
      </sheetData>
      <sheetData sheetId="994">
        <row r="1">
          <cell r="R1">
            <v>1.1032381499999999</v>
          </cell>
        </row>
      </sheetData>
      <sheetData sheetId="995">
        <row r="1">
          <cell r="R1">
            <v>1.1032381499999999</v>
          </cell>
        </row>
      </sheetData>
      <sheetData sheetId="996">
        <row r="1">
          <cell r="R1">
            <v>1.1032381499999999</v>
          </cell>
        </row>
      </sheetData>
      <sheetData sheetId="997">
        <row r="1">
          <cell r="R1">
            <v>1.1032381499999999</v>
          </cell>
        </row>
      </sheetData>
      <sheetData sheetId="998">
        <row r="1">
          <cell r="R1">
            <v>1.1032381499999999</v>
          </cell>
        </row>
      </sheetData>
      <sheetData sheetId="999">
        <row r="1">
          <cell r="R1">
            <v>1.1032381499999999</v>
          </cell>
        </row>
      </sheetData>
      <sheetData sheetId="1000">
        <row r="1">
          <cell r="R1">
            <v>1.1032381499999999</v>
          </cell>
        </row>
      </sheetData>
      <sheetData sheetId="1001">
        <row r="1">
          <cell r="R1">
            <v>1.1032381499999999</v>
          </cell>
        </row>
      </sheetData>
      <sheetData sheetId="1002">
        <row r="1">
          <cell r="R1">
            <v>1.1032381499999999</v>
          </cell>
        </row>
      </sheetData>
      <sheetData sheetId="1003">
        <row r="1">
          <cell r="R1">
            <v>1.1032381499999999</v>
          </cell>
        </row>
      </sheetData>
      <sheetData sheetId="1004">
        <row r="1">
          <cell r="R1">
            <v>1.1032381499999999</v>
          </cell>
        </row>
      </sheetData>
      <sheetData sheetId="1005">
        <row r="1">
          <cell r="R1">
            <v>1.1032381499999999</v>
          </cell>
        </row>
      </sheetData>
      <sheetData sheetId="1006">
        <row r="1">
          <cell r="R1">
            <v>1.1032381499999999</v>
          </cell>
        </row>
      </sheetData>
      <sheetData sheetId="1007">
        <row r="1">
          <cell r="R1">
            <v>1.1032381499999999</v>
          </cell>
        </row>
      </sheetData>
      <sheetData sheetId="1008">
        <row r="1">
          <cell r="R1">
            <v>1.1032381499999999</v>
          </cell>
        </row>
      </sheetData>
      <sheetData sheetId="1009">
        <row r="1">
          <cell r="R1">
            <v>1.1032381499999999</v>
          </cell>
        </row>
      </sheetData>
      <sheetData sheetId="1010">
        <row r="1">
          <cell r="R1">
            <v>1.1032381499999999</v>
          </cell>
        </row>
      </sheetData>
      <sheetData sheetId="1011">
        <row r="1">
          <cell r="R1">
            <v>1.1032381499999999</v>
          </cell>
        </row>
      </sheetData>
      <sheetData sheetId="1012">
        <row r="1">
          <cell r="R1">
            <v>1.1032381499999999</v>
          </cell>
        </row>
      </sheetData>
      <sheetData sheetId="1013">
        <row r="1">
          <cell r="R1">
            <v>1.1032381499999999</v>
          </cell>
        </row>
      </sheetData>
      <sheetData sheetId="1014">
        <row r="1">
          <cell r="R1">
            <v>1.1032381499999999</v>
          </cell>
        </row>
      </sheetData>
      <sheetData sheetId="1015">
        <row r="1">
          <cell r="R1">
            <v>1.1032381499999999</v>
          </cell>
        </row>
      </sheetData>
      <sheetData sheetId="1016">
        <row r="1">
          <cell r="R1">
            <v>1.1032381499999999</v>
          </cell>
        </row>
      </sheetData>
      <sheetData sheetId="1017">
        <row r="1">
          <cell r="R1">
            <v>1.1032381499999999</v>
          </cell>
        </row>
      </sheetData>
      <sheetData sheetId="1018">
        <row r="1">
          <cell r="R1">
            <v>1.1032381499999999</v>
          </cell>
        </row>
      </sheetData>
      <sheetData sheetId="1019">
        <row r="1">
          <cell r="R1">
            <v>1.1032381499999999</v>
          </cell>
        </row>
      </sheetData>
      <sheetData sheetId="1020">
        <row r="1">
          <cell r="R1">
            <v>1.1032381499999999</v>
          </cell>
        </row>
      </sheetData>
      <sheetData sheetId="1021">
        <row r="1">
          <cell r="R1">
            <v>1.1032381499999999</v>
          </cell>
        </row>
      </sheetData>
      <sheetData sheetId="1022">
        <row r="1">
          <cell r="R1">
            <v>1.1032381499999999</v>
          </cell>
        </row>
      </sheetData>
      <sheetData sheetId="1023">
        <row r="1">
          <cell r="R1">
            <v>1.1032381499999999</v>
          </cell>
        </row>
      </sheetData>
      <sheetData sheetId="1024">
        <row r="1">
          <cell r="R1">
            <v>1.1032381499999999</v>
          </cell>
        </row>
      </sheetData>
      <sheetData sheetId="1025">
        <row r="1">
          <cell r="R1">
            <v>1.1032381499999999</v>
          </cell>
        </row>
      </sheetData>
      <sheetData sheetId="1026">
        <row r="1">
          <cell r="R1">
            <v>1.1032381499999999</v>
          </cell>
        </row>
      </sheetData>
      <sheetData sheetId="1027">
        <row r="1">
          <cell r="R1">
            <v>1.1032381499999999</v>
          </cell>
        </row>
      </sheetData>
      <sheetData sheetId="1028">
        <row r="1">
          <cell r="R1">
            <v>1.1032381499999999</v>
          </cell>
        </row>
      </sheetData>
      <sheetData sheetId="1029">
        <row r="1">
          <cell r="R1">
            <v>1.1032381499999999</v>
          </cell>
        </row>
      </sheetData>
      <sheetData sheetId="1030">
        <row r="1">
          <cell r="R1">
            <v>1.1032381499999999</v>
          </cell>
        </row>
      </sheetData>
      <sheetData sheetId="1031">
        <row r="1">
          <cell r="R1">
            <v>1.1032381499999999</v>
          </cell>
        </row>
      </sheetData>
      <sheetData sheetId="1032">
        <row r="1">
          <cell r="R1">
            <v>1.1032381499999999</v>
          </cell>
        </row>
      </sheetData>
      <sheetData sheetId="1033">
        <row r="1">
          <cell r="R1">
            <v>1.1032381499999999</v>
          </cell>
        </row>
      </sheetData>
      <sheetData sheetId="1034">
        <row r="1">
          <cell r="R1">
            <v>1.1032381499999999</v>
          </cell>
        </row>
      </sheetData>
      <sheetData sheetId="1035">
        <row r="1">
          <cell r="R1">
            <v>1.1032381499999999</v>
          </cell>
        </row>
      </sheetData>
      <sheetData sheetId="1036">
        <row r="1">
          <cell r="R1">
            <v>1.1032381499999999</v>
          </cell>
        </row>
      </sheetData>
      <sheetData sheetId="1037">
        <row r="1">
          <cell r="R1">
            <v>1.1032381499999999</v>
          </cell>
        </row>
      </sheetData>
      <sheetData sheetId="1038">
        <row r="1">
          <cell r="R1">
            <v>1.1032381499999999</v>
          </cell>
        </row>
      </sheetData>
      <sheetData sheetId="1039">
        <row r="1">
          <cell r="R1">
            <v>1.1032381499999999</v>
          </cell>
        </row>
      </sheetData>
      <sheetData sheetId="1040">
        <row r="1">
          <cell r="R1">
            <v>1.1032381499999999</v>
          </cell>
        </row>
      </sheetData>
      <sheetData sheetId="1041">
        <row r="1">
          <cell r="R1">
            <v>1.1032381499999999</v>
          </cell>
        </row>
      </sheetData>
      <sheetData sheetId="1042">
        <row r="1">
          <cell r="R1">
            <v>1.1032381499999999</v>
          </cell>
        </row>
      </sheetData>
      <sheetData sheetId="1043">
        <row r="1">
          <cell r="R1">
            <v>1.1032381499999999</v>
          </cell>
        </row>
      </sheetData>
      <sheetData sheetId="1044">
        <row r="1">
          <cell r="R1">
            <v>1.1032381499999999</v>
          </cell>
        </row>
      </sheetData>
      <sheetData sheetId="1045">
        <row r="1">
          <cell r="R1">
            <v>1.1032381499999999</v>
          </cell>
        </row>
      </sheetData>
      <sheetData sheetId="1046">
        <row r="1">
          <cell r="R1">
            <v>1.1032381499999999</v>
          </cell>
        </row>
      </sheetData>
      <sheetData sheetId="1047">
        <row r="1">
          <cell r="R1">
            <v>1.1032381499999999</v>
          </cell>
        </row>
      </sheetData>
      <sheetData sheetId="1048">
        <row r="1">
          <cell r="R1">
            <v>1.1032381499999999</v>
          </cell>
        </row>
      </sheetData>
      <sheetData sheetId="1049">
        <row r="1">
          <cell r="R1">
            <v>1.1032381499999999</v>
          </cell>
        </row>
      </sheetData>
      <sheetData sheetId="1050">
        <row r="1">
          <cell r="R1">
            <v>1.1032381499999999</v>
          </cell>
        </row>
      </sheetData>
      <sheetData sheetId="1051">
        <row r="1">
          <cell r="R1">
            <v>1.1032381499999999</v>
          </cell>
        </row>
      </sheetData>
      <sheetData sheetId="1052">
        <row r="1">
          <cell r="R1">
            <v>1.1032381499999999</v>
          </cell>
        </row>
      </sheetData>
      <sheetData sheetId="1053">
        <row r="1">
          <cell r="R1">
            <v>1.1032381499999999</v>
          </cell>
        </row>
      </sheetData>
      <sheetData sheetId="1054">
        <row r="1">
          <cell r="R1">
            <v>1.1032381499999999</v>
          </cell>
        </row>
      </sheetData>
      <sheetData sheetId="1055">
        <row r="1">
          <cell r="R1">
            <v>1.1032381499999999</v>
          </cell>
        </row>
      </sheetData>
      <sheetData sheetId="1056">
        <row r="1">
          <cell r="R1">
            <v>1.1032381499999999</v>
          </cell>
        </row>
      </sheetData>
      <sheetData sheetId="1057">
        <row r="1">
          <cell r="R1">
            <v>1.1032381499999999</v>
          </cell>
        </row>
      </sheetData>
      <sheetData sheetId="1058">
        <row r="1">
          <cell r="R1">
            <v>1.1032381499999999</v>
          </cell>
        </row>
      </sheetData>
      <sheetData sheetId="1059">
        <row r="1">
          <cell r="R1">
            <v>1.1032381499999999</v>
          </cell>
        </row>
      </sheetData>
      <sheetData sheetId="1060">
        <row r="1">
          <cell r="R1">
            <v>1.1032381499999999</v>
          </cell>
        </row>
      </sheetData>
      <sheetData sheetId="1061">
        <row r="1">
          <cell r="R1">
            <v>1.1032381499999999</v>
          </cell>
        </row>
      </sheetData>
      <sheetData sheetId="1062">
        <row r="1">
          <cell r="R1">
            <v>1.1032381499999999</v>
          </cell>
        </row>
      </sheetData>
      <sheetData sheetId="1063">
        <row r="1">
          <cell r="R1">
            <v>1.1032381499999999</v>
          </cell>
        </row>
      </sheetData>
      <sheetData sheetId="1064">
        <row r="1">
          <cell r="R1">
            <v>1.1032381499999999</v>
          </cell>
        </row>
      </sheetData>
      <sheetData sheetId="1065">
        <row r="1">
          <cell r="R1">
            <v>1.1032381499999999</v>
          </cell>
        </row>
      </sheetData>
      <sheetData sheetId="1066">
        <row r="1">
          <cell r="R1">
            <v>1.1032381499999999</v>
          </cell>
        </row>
      </sheetData>
      <sheetData sheetId="1067">
        <row r="1">
          <cell r="R1">
            <v>1.1032381499999999</v>
          </cell>
        </row>
      </sheetData>
      <sheetData sheetId="1068">
        <row r="1">
          <cell r="R1">
            <v>1.1032381499999999</v>
          </cell>
        </row>
      </sheetData>
      <sheetData sheetId="1069">
        <row r="1">
          <cell r="R1">
            <v>1.1032381499999999</v>
          </cell>
        </row>
      </sheetData>
      <sheetData sheetId="1070">
        <row r="1">
          <cell r="R1">
            <v>1.1032381499999999</v>
          </cell>
        </row>
      </sheetData>
      <sheetData sheetId="1071">
        <row r="1">
          <cell r="R1">
            <v>1.1032381499999999</v>
          </cell>
        </row>
      </sheetData>
      <sheetData sheetId="1072">
        <row r="1">
          <cell r="R1">
            <v>1.1032381499999999</v>
          </cell>
        </row>
      </sheetData>
      <sheetData sheetId="1073">
        <row r="1">
          <cell r="R1">
            <v>1.1032381499999999</v>
          </cell>
        </row>
      </sheetData>
      <sheetData sheetId="1074">
        <row r="1">
          <cell r="R1">
            <v>1.1032381499999999</v>
          </cell>
        </row>
      </sheetData>
      <sheetData sheetId="1075">
        <row r="1">
          <cell r="R1">
            <v>1.1032381499999999</v>
          </cell>
        </row>
      </sheetData>
      <sheetData sheetId="1076">
        <row r="1">
          <cell r="R1">
            <v>1.1032381499999999</v>
          </cell>
        </row>
      </sheetData>
      <sheetData sheetId="1077">
        <row r="1">
          <cell r="R1">
            <v>1.1032381499999999</v>
          </cell>
        </row>
      </sheetData>
      <sheetData sheetId="1078">
        <row r="1">
          <cell r="R1">
            <v>1.1032381499999999</v>
          </cell>
        </row>
      </sheetData>
      <sheetData sheetId="1079">
        <row r="1">
          <cell r="R1">
            <v>1.1032381499999999</v>
          </cell>
        </row>
      </sheetData>
      <sheetData sheetId="1080">
        <row r="1">
          <cell r="R1">
            <v>1.1032381499999999</v>
          </cell>
        </row>
      </sheetData>
      <sheetData sheetId="1081">
        <row r="1">
          <cell r="R1">
            <v>1.1032381499999999</v>
          </cell>
        </row>
      </sheetData>
      <sheetData sheetId="1082">
        <row r="1">
          <cell r="R1">
            <v>1.1032381499999999</v>
          </cell>
        </row>
      </sheetData>
      <sheetData sheetId="1083">
        <row r="1">
          <cell r="R1">
            <v>1.1032381499999999</v>
          </cell>
        </row>
      </sheetData>
      <sheetData sheetId="1084">
        <row r="1">
          <cell r="R1">
            <v>1.1032381499999999</v>
          </cell>
        </row>
      </sheetData>
      <sheetData sheetId="1085">
        <row r="1">
          <cell r="R1">
            <v>1.1032381499999999</v>
          </cell>
        </row>
      </sheetData>
      <sheetData sheetId="1086">
        <row r="1">
          <cell r="R1">
            <v>1.1032381499999999</v>
          </cell>
        </row>
      </sheetData>
      <sheetData sheetId="1087">
        <row r="1">
          <cell r="R1">
            <v>1.1032381499999999</v>
          </cell>
        </row>
      </sheetData>
      <sheetData sheetId="1088">
        <row r="1">
          <cell r="R1">
            <v>1.1032381499999999</v>
          </cell>
        </row>
      </sheetData>
      <sheetData sheetId="1089">
        <row r="1">
          <cell r="R1">
            <v>1.1032381499999999</v>
          </cell>
        </row>
      </sheetData>
      <sheetData sheetId="1090">
        <row r="1">
          <cell r="R1">
            <v>1.1032381499999999</v>
          </cell>
        </row>
      </sheetData>
      <sheetData sheetId="1091">
        <row r="1">
          <cell r="R1">
            <v>1.1032381499999999</v>
          </cell>
        </row>
      </sheetData>
      <sheetData sheetId="1092">
        <row r="1">
          <cell r="R1">
            <v>1.1032381499999999</v>
          </cell>
        </row>
      </sheetData>
      <sheetData sheetId="1093">
        <row r="1">
          <cell r="R1">
            <v>1.1032381499999999</v>
          </cell>
        </row>
      </sheetData>
      <sheetData sheetId="1094">
        <row r="1">
          <cell r="R1">
            <v>1.1032381499999999</v>
          </cell>
        </row>
      </sheetData>
      <sheetData sheetId="1095">
        <row r="1">
          <cell r="R1">
            <v>1.1032381499999999</v>
          </cell>
        </row>
      </sheetData>
      <sheetData sheetId="1096">
        <row r="1">
          <cell r="R1">
            <v>1.1032381499999999</v>
          </cell>
        </row>
      </sheetData>
      <sheetData sheetId="1097">
        <row r="1">
          <cell r="R1">
            <v>1.1032381499999999</v>
          </cell>
        </row>
      </sheetData>
      <sheetData sheetId="1098">
        <row r="1">
          <cell r="R1">
            <v>1.1032381499999999</v>
          </cell>
        </row>
      </sheetData>
      <sheetData sheetId="1099">
        <row r="1">
          <cell r="R1">
            <v>1.1032381499999999</v>
          </cell>
        </row>
      </sheetData>
      <sheetData sheetId="1100">
        <row r="1">
          <cell r="R1">
            <v>1.1032381499999999</v>
          </cell>
        </row>
      </sheetData>
      <sheetData sheetId="1101">
        <row r="1">
          <cell r="R1">
            <v>1.1032381499999999</v>
          </cell>
        </row>
      </sheetData>
      <sheetData sheetId="1102">
        <row r="1">
          <cell r="R1">
            <v>1.1032381499999999</v>
          </cell>
        </row>
      </sheetData>
      <sheetData sheetId="1103">
        <row r="1">
          <cell r="R1">
            <v>1.1032381499999999</v>
          </cell>
        </row>
      </sheetData>
      <sheetData sheetId="1104">
        <row r="1">
          <cell r="R1">
            <v>1.1032381499999999</v>
          </cell>
        </row>
      </sheetData>
      <sheetData sheetId="1105">
        <row r="1">
          <cell r="R1">
            <v>1.1032381499999999</v>
          </cell>
        </row>
      </sheetData>
      <sheetData sheetId="1106">
        <row r="1">
          <cell r="R1">
            <v>1.1032381499999999</v>
          </cell>
        </row>
      </sheetData>
      <sheetData sheetId="1107">
        <row r="1">
          <cell r="R1">
            <v>1.1032381499999999</v>
          </cell>
        </row>
      </sheetData>
      <sheetData sheetId="1108">
        <row r="1">
          <cell r="R1">
            <v>1.1032381499999999</v>
          </cell>
        </row>
      </sheetData>
      <sheetData sheetId="1109">
        <row r="1">
          <cell r="R1">
            <v>1.1032381499999999</v>
          </cell>
        </row>
      </sheetData>
      <sheetData sheetId="1110">
        <row r="1">
          <cell r="R1">
            <v>1.1032381499999999</v>
          </cell>
        </row>
      </sheetData>
      <sheetData sheetId="1111">
        <row r="1">
          <cell r="R1">
            <v>1.1032381499999999</v>
          </cell>
        </row>
      </sheetData>
      <sheetData sheetId="1112">
        <row r="1">
          <cell r="R1">
            <v>1.1032381499999999</v>
          </cell>
        </row>
      </sheetData>
      <sheetData sheetId="1113">
        <row r="1">
          <cell r="R1">
            <v>1.1032381499999999</v>
          </cell>
        </row>
      </sheetData>
      <sheetData sheetId="1114">
        <row r="1">
          <cell r="R1">
            <v>1.1032381499999999</v>
          </cell>
        </row>
      </sheetData>
      <sheetData sheetId="1115">
        <row r="1">
          <cell r="R1">
            <v>1.1032381499999999</v>
          </cell>
        </row>
      </sheetData>
      <sheetData sheetId="1116">
        <row r="1">
          <cell r="R1">
            <v>1.1032381499999999</v>
          </cell>
        </row>
      </sheetData>
      <sheetData sheetId="1117">
        <row r="1">
          <cell r="R1">
            <v>1.1032381499999999</v>
          </cell>
        </row>
      </sheetData>
      <sheetData sheetId="1118">
        <row r="1">
          <cell r="R1">
            <v>1.1032381499999999</v>
          </cell>
        </row>
      </sheetData>
      <sheetData sheetId="1119">
        <row r="1">
          <cell r="R1">
            <v>1.1032381499999999</v>
          </cell>
        </row>
      </sheetData>
      <sheetData sheetId="1120">
        <row r="1">
          <cell r="R1">
            <v>1.1032381499999999</v>
          </cell>
        </row>
      </sheetData>
      <sheetData sheetId="1121">
        <row r="1">
          <cell r="R1">
            <v>1.1032381499999999</v>
          </cell>
        </row>
      </sheetData>
      <sheetData sheetId="1122">
        <row r="1">
          <cell r="R1">
            <v>1.1032381499999999</v>
          </cell>
        </row>
      </sheetData>
      <sheetData sheetId="1123">
        <row r="1">
          <cell r="R1">
            <v>1.1032381499999999</v>
          </cell>
        </row>
      </sheetData>
      <sheetData sheetId="1124">
        <row r="1">
          <cell r="R1">
            <v>1.1032381499999999</v>
          </cell>
        </row>
      </sheetData>
      <sheetData sheetId="1125">
        <row r="1">
          <cell r="R1">
            <v>1.1032381499999999</v>
          </cell>
        </row>
      </sheetData>
      <sheetData sheetId="1126">
        <row r="1">
          <cell r="R1">
            <v>1.1032381499999999</v>
          </cell>
        </row>
      </sheetData>
      <sheetData sheetId="1127">
        <row r="1">
          <cell r="R1">
            <v>1.1032381499999999</v>
          </cell>
        </row>
      </sheetData>
      <sheetData sheetId="1128">
        <row r="1">
          <cell r="R1">
            <v>1.1032381499999999</v>
          </cell>
        </row>
      </sheetData>
      <sheetData sheetId="1129">
        <row r="1">
          <cell r="R1">
            <v>1.1032381499999999</v>
          </cell>
        </row>
      </sheetData>
      <sheetData sheetId="1130">
        <row r="1">
          <cell r="R1">
            <v>1.1032381499999999</v>
          </cell>
        </row>
      </sheetData>
      <sheetData sheetId="1131">
        <row r="1">
          <cell r="R1">
            <v>1.1032381499999999</v>
          </cell>
        </row>
      </sheetData>
      <sheetData sheetId="1132">
        <row r="1">
          <cell r="R1">
            <v>1.1032381499999999</v>
          </cell>
        </row>
      </sheetData>
      <sheetData sheetId="1133">
        <row r="1">
          <cell r="R1">
            <v>1.1032381499999999</v>
          </cell>
        </row>
      </sheetData>
      <sheetData sheetId="1134">
        <row r="1">
          <cell r="R1">
            <v>1.1032381499999999</v>
          </cell>
        </row>
      </sheetData>
      <sheetData sheetId="1135">
        <row r="1">
          <cell r="R1">
            <v>1.1032381499999999</v>
          </cell>
        </row>
      </sheetData>
      <sheetData sheetId="1136">
        <row r="1">
          <cell r="R1">
            <v>1.1032381499999999</v>
          </cell>
        </row>
      </sheetData>
      <sheetData sheetId="1137">
        <row r="1">
          <cell r="R1">
            <v>1.1032381499999999</v>
          </cell>
        </row>
      </sheetData>
      <sheetData sheetId="1138">
        <row r="1">
          <cell r="R1">
            <v>1.1032381499999999</v>
          </cell>
        </row>
      </sheetData>
      <sheetData sheetId="1139">
        <row r="1">
          <cell r="R1">
            <v>1.1032381499999999</v>
          </cell>
        </row>
      </sheetData>
      <sheetData sheetId="1140">
        <row r="1">
          <cell r="R1">
            <v>1.1032381499999999</v>
          </cell>
        </row>
      </sheetData>
      <sheetData sheetId="1141">
        <row r="1">
          <cell r="R1">
            <v>1.1032381499999999</v>
          </cell>
        </row>
      </sheetData>
      <sheetData sheetId="1142">
        <row r="1">
          <cell r="R1">
            <v>1.1032381499999999</v>
          </cell>
        </row>
      </sheetData>
      <sheetData sheetId="1143">
        <row r="1">
          <cell r="R1">
            <v>1.1032381499999999</v>
          </cell>
        </row>
      </sheetData>
      <sheetData sheetId="1144">
        <row r="1">
          <cell r="R1">
            <v>1.1032381499999999</v>
          </cell>
        </row>
      </sheetData>
      <sheetData sheetId="1145">
        <row r="1">
          <cell r="R1">
            <v>1.1032381499999999</v>
          </cell>
        </row>
      </sheetData>
      <sheetData sheetId="1146">
        <row r="1">
          <cell r="R1">
            <v>1.1032381499999999</v>
          </cell>
        </row>
      </sheetData>
      <sheetData sheetId="1147">
        <row r="1">
          <cell r="R1">
            <v>1.1032381499999999</v>
          </cell>
        </row>
      </sheetData>
      <sheetData sheetId="1148">
        <row r="1">
          <cell r="R1">
            <v>1.1032381499999999</v>
          </cell>
        </row>
      </sheetData>
      <sheetData sheetId="1149">
        <row r="1">
          <cell r="R1">
            <v>1.1032381499999999</v>
          </cell>
        </row>
      </sheetData>
      <sheetData sheetId="1150">
        <row r="1">
          <cell r="R1">
            <v>1.1032381499999999</v>
          </cell>
        </row>
      </sheetData>
      <sheetData sheetId="1151">
        <row r="1">
          <cell r="R1">
            <v>1.1032381499999999</v>
          </cell>
        </row>
      </sheetData>
      <sheetData sheetId="1152">
        <row r="1">
          <cell r="R1">
            <v>1.1032381499999999</v>
          </cell>
        </row>
      </sheetData>
      <sheetData sheetId="1153">
        <row r="1">
          <cell r="R1">
            <v>1.1032381499999999</v>
          </cell>
        </row>
      </sheetData>
      <sheetData sheetId="1154">
        <row r="1">
          <cell r="R1">
            <v>1.1032381499999999</v>
          </cell>
        </row>
      </sheetData>
      <sheetData sheetId="1155">
        <row r="1">
          <cell r="R1">
            <v>1.1032381499999999</v>
          </cell>
        </row>
      </sheetData>
      <sheetData sheetId="1156">
        <row r="1">
          <cell r="R1">
            <v>1.1032381499999999</v>
          </cell>
        </row>
      </sheetData>
      <sheetData sheetId="1157">
        <row r="1">
          <cell r="R1">
            <v>1.1032381499999999</v>
          </cell>
        </row>
      </sheetData>
      <sheetData sheetId="1158">
        <row r="1">
          <cell r="R1">
            <v>1.1032381499999999</v>
          </cell>
        </row>
      </sheetData>
      <sheetData sheetId="1159">
        <row r="1">
          <cell r="R1">
            <v>1.1032381499999999</v>
          </cell>
        </row>
      </sheetData>
      <sheetData sheetId="1160">
        <row r="1">
          <cell r="R1">
            <v>1.1032381499999999</v>
          </cell>
        </row>
      </sheetData>
      <sheetData sheetId="1161">
        <row r="1">
          <cell r="R1">
            <v>1.1032381499999999</v>
          </cell>
        </row>
      </sheetData>
      <sheetData sheetId="1162">
        <row r="1">
          <cell r="R1">
            <v>1.1032381499999999</v>
          </cell>
        </row>
      </sheetData>
      <sheetData sheetId="1163">
        <row r="1">
          <cell r="R1">
            <v>1.1032381499999999</v>
          </cell>
        </row>
      </sheetData>
      <sheetData sheetId="1164">
        <row r="1">
          <cell r="R1">
            <v>1.1032381499999999</v>
          </cell>
        </row>
      </sheetData>
      <sheetData sheetId="1165">
        <row r="1">
          <cell r="R1">
            <v>1.1032381499999999</v>
          </cell>
        </row>
      </sheetData>
      <sheetData sheetId="1166">
        <row r="1">
          <cell r="R1">
            <v>1.1032381499999999</v>
          </cell>
        </row>
      </sheetData>
      <sheetData sheetId="1167">
        <row r="1">
          <cell r="R1">
            <v>1.1032381499999999</v>
          </cell>
        </row>
      </sheetData>
      <sheetData sheetId="1168">
        <row r="1">
          <cell r="R1">
            <v>1.1032381499999999</v>
          </cell>
        </row>
      </sheetData>
      <sheetData sheetId="1169">
        <row r="1">
          <cell r="R1">
            <v>1.1032381499999999</v>
          </cell>
        </row>
      </sheetData>
      <sheetData sheetId="1170">
        <row r="1">
          <cell r="R1">
            <v>1.1032381499999999</v>
          </cell>
        </row>
      </sheetData>
      <sheetData sheetId="1171">
        <row r="1">
          <cell r="R1">
            <v>1.1032381499999999</v>
          </cell>
        </row>
      </sheetData>
      <sheetData sheetId="1172">
        <row r="1">
          <cell r="R1">
            <v>1.1032381499999999</v>
          </cell>
        </row>
      </sheetData>
      <sheetData sheetId="1173">
        <row r="1">
          <cell r="R1">
            <v>1.1032381499999999</v>
          </cell>
        </row>
      </sheetData>
      <sheetData sheetId="1174">
        <row r="1">
          <cell r="R1">
            <v>1.1032381499999999</v>
          </cell>
        </row>
      </sheetData>
      <sheetData sheetId="1175">
        <row r="1">
          <cell r="R1">
            <v>1.1032381499999999</v>
          </cell>
        </row>
      </sheetData>
      <sheetData sheetId="1176">
        <row r="1">
          <cell r="R1">
            <v>1.1032381499999999</v>
          </cell>
        </row>
      </sheetData>
      <sheetData sheetId="1177">
        <row r="1">
          <cell r="R1">
            <v>1.1032381499999999</v>
          </cell>
        </row>
      </sheetData>
      <sheetData sheetId="1178">
        <row r="1">
          <cell r="R1">
            <v>1.1032381499999999</v>
          </cell>
        </row>
      </sheetData>
      <sheetData sheetId="1179">
        <row r="1">
          <cell r="R1">
            <v>1.1032381499999999</v>
          </cell>
        </row>
      </sheetData>
      <sheetData sheetId="1180">
        <row r="1">
          <cell r="R1">
            <v>1.1032381499999999</v>
          </cell>
        </row>
      </sheetData>
      <sheetData sheetId="1181">
        <row r="1">
          <cell r="R1">
            <v>1.1032381499999999</v>
          </cell>
        </row>
      </sheetData>
      <sheetData sheetId="1182">
        <row r="1">
          <cell r="R1">
            <v>1.1032381499999999</v>
          </cell>
        </row>
      </sheetData>
      <sheetData sheetId="1183">
        <row r="1">
          <cell r="R1">
            <v>1.1032381499999999</v>
          </cell>
        </row>
      </sheetData>
      <sheetData sheetId="1184">
        <row r="1">
          <cell r="R1">
            <v>1.1032381499999999</v>
          </cell>
        </row>
      </sheetData>
      <sheetData sheetId="1185">
        <row r="1">
          <cell r="R1">
            <v>1.1032381499999999</v>
          </cell>
        </row>
      </sheetData>
      <sheetData sheetId="1186">
        <row r="1">
          <cell r="R1">
            <v>1.1032381499999999</v>
          </cell>
        </row>
      </sheetData>
      <sheetData sheetId="1187">
        <row r="1">
          <cell r="R1">
            <v>1.1032381499999999</v>
          </cell>
        </row>
      </sheetData>
      <sheetData sheetId="1188">
        <row r="1">
          <cell r="R1">
            <v>1.1032381499999999</v>
          </cell>
        </row>
      </sheetData>
      <sheetData sheetId="1189">
        <row r="1">
          <cell r="R1">
            <v>1.1032381499999999</v>
          </cell>
        </row>
      </sheetData>
      <sheetData sheetId="1190">
        <row r="1">
          <cell r="R1">
            <v>1.1032381499999999</v>
          </cell>
        </row>
      </sheetData>
      <sheetData sheetId="1191">
        <row r="1">
          <cell r="R1">
            <v>1.1032381499999999</v>
          </cell>
        </row>
      </sheetData>
      <sheetData sheetId="1192">
        <row r="1">
          <cell r="R1">
            <v>1.1032381499999999</v>
          </cell>
        </row>
      </sheetData>
      <sheetData sheetId="1193">
        <row r="1">
          <cell r="R1">
            <v>1.1032381499999999</v>
          </cell>
        </row>
      </sheetData>
      <sheetData sheetId="1194">
        <row r="1">
          <cell r="R1">
            <v>1.1032381499999999</v>
          </cell>
        </row>
      </sheetData>
      <sheetData sheetId="1195">
        <row r="1">
          <cell r="R1">
            <v>1.1032381499999999</v>
          </cell>
        </row>
      </sheetData>
      <sheetData sheetId="1196">
        <row r="1">
          <cell r="R1">
            <v>1.1032381499999999</v>
          </cell>
        </row>
      </sheetData>
      <sheetData sheetId="1197">
        <row r="1">
          <cell r="R1">
            <v>1.1032381499999999</v>
          </cell>
        </row>
      </sheetData>
      <sheetData sheetId="1198">
        <row r="1">
          <cell r="R1">
            <v>1.1032381499999999</v>
          </cell>
        </row>
      </sheetData>
      <sheetData sheetId="1199">
        <row r="1">
          <cell r="R1">
            <v>1.1032381499999999</v>
          </cell>
        </row>
      </sheetData>
      <sheetData sheetId="1200">
        <row r="1">
          <cell r="R1">
            <v>1.1032381499999999</v>
          </cell>
        </row>
      </sheetData>
      <sheetData sheetId="1201">
        <row r="1">
          <cell r="R1">
            <v>1.1032381499999999</v>
          </cell>
        </row>
      </sheetData>
      <sheetData sheetId="1202">
        <row r="1">
          <cell r="R1">
            <v>1.1032381499999999</v>
          </cell>
        </row>
      </sheetData>
      <sheetData sheetId="1203">
        <row r="1">
          <cell r="R1">
            <v>1.1032381499999999</v>
          </cell>
        </row>
      </sheetData>
      <sheetData sheetId="1204">
        <row r="1">
          <cell r="R1">
            <v>1.1032381499999999</v>
          </cell>
        </row>
      </sheetData>
      <sheetData sheetId="1205">
        <row r="1">
          <cell r="R1">
            <v>1.1032381499999999</v>
          </cell>
        </row>
      </sheetData>
      <sheetData sheetId="1206">
        <row r="1">
          <cell r="R1">
            <v>1.1032381499999999</v>
          </cell>
        </row>
      </sheetData>
      <sheetData sheetId="1207">
        <row r="1">
          <cell r="R1">
            <v>1.1032381499999999</v>
          </cell>
        </row>
      </sheetData>
      <sheetData sheetId="1208">
        <row r="1">
          <cell r="R1">
            <v>1.1032381499999999</v>
          </cell>
        </row>
      </sheetData>
      <sheetData sheetId="1209">
        <row r="1">
          <cell r="R1">
            <v>1.1032381499999999</v>
          </cell>
        </row>
      </sheetData>
      <sheetData sheetId="1210">
        <row r="1">
          <cell r="R1">
            <v>1.1032381499999999</v>
          </cell>
        </row>
      </sheetData>
      <sheetData sheetId="1211">
        <row r="1">
          <cell r="R1">
            <v>1.1032381499999999</v>
          </cell>
        </row>
      </sheetData>
      <sheetData sheetId="1212">
        <row r="1">
          <cell r="R1">
            <v>1.1032381499999999</v>
          </cell>
        </row>
      </sheetData>
      <sheetData sheetId="1213">
        <row r="1">
          <cell r="R1">
            <v>1.1032381499999999</v>
          </cell>
        </row>
      </sheetData>
      <sheetData sheetId="1214">
        <row r="1">
          <cell r="R1">
            <v>1.1032381499999999</v>
          </cell>
        </row>
      </sheetData>
      <sheetData sheetId="1215">
        <row r="1">
          <cell r="R1">
            <v>1.1032381499999999</v>
          </cell>
        </row>
      </sheetData>
      <sheetData sheetId="1216">
        <row r="1">
          <cell r="R1">
            <v>1.1032381499999999</v>
          </cell>
        </row>
      </sheetData>
      <sheetData sheetId="1217">
        <row r="1">
          <cell r="R1">
            <v>1.1032381499999999</v>
          </cell>
        </row>
      </sheetData>
      <sheetData sheetId="1218">
        <row r="1">
          <cell r="R1">
            <v>1.1032381499999999</v>
          </cell>
        </row>
      </sheetData>
      <sheetData sheetId="1219">
        <row r="1">
          <cell r="R1">
            <v>1.1032381499999999</v>
          </cell>
        </row>
      </sheetData>
      <sheetData sheetId="1220">
        <row r="1">
          <cell r="R1">
            <v>1.1032381499999999</v>
          </cell>
        </row>
      </sheetData>
      <sheetData sheetId="1221">
        <row r="1">
          <cell r="R1">
            <v>1.1032381499999999</v>
          </cell>
        </row>
      </sheetData>
      <sheetData sheetId="1222">
        <row r="1">
          <cell r="R1">
            <v>1.1032381499999999</v>
          </cell>
        </row>
      </sheetData>
      <sheetData sheetId="1223">
        <row r="1">
          <cell r="R1">
            <v>1.1032381499999999</v>
          </cell>
        </row>
      </sheetData>
      <sheetData sheetId="1224">
        <row r="1">
          <cell r="R1">
            <v>1.1032381499999999</v>
          </cell>
        </row>
      </sheetData>
      <sheetData sheetId="1225">
        <row r="1">
          <cell r="R1">
            <v>1.1032381499999999</v>
          </cell>
        </row>
      </sheetData>
      <sheetData sheetId="1226">
        <row r="1">
          <cell r="R1">
            <v>1.1032381499999999</v>
          </cell>
        </row>
      </sheetData>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ow r="1">
          <cell r="R1">
            <v>1.1032381499999999</v>
          </cell>
        </row>
      </sheetData>
      <sheetData sheetId="1243">
        <row r="1">
          <cell r="R1">
            <v>1.1032381499999999</v>
          </cell>
        </row>
      </sheetData>
      <sheetData sheetId="1244">
        <row r="1">
          <cell r="R1">
            <v>1.1032381499999999</v>
          </cell>
        </row>
      </sheetData>
      <sheetData sheetId="1245">
        <row r="1">
          <cell r="R1">
            <v>1.1032381499999999</v>
          </cell>
        </row>
      </sheetData>
      <sheetData sheetId="1246">
        <row r="1">
          <cell r="R1">
            <v>1.1032381499999999</v>
          </cell>
        </row>
      </sheetData>
      <sheetData sheetId="1247">
        <row r="1">
          <cell r="R1">
            <v>1.1032381499999999</v>
          </cell>
        </row>
      </sheetData>
      <sheetData sheetId="1248">
        <row r="1">
          <cell r="R1">
            <v>1.1032381499999999</v>
          </cell>
        </row>
      </sheetData>
      <sheetData sheetId="1249">
        <row r="1">
          <cell r="R1">
            <v>1.1032381499999999</v>
          </cell>
        </row>
      </sheetData>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ow r="1">
          <cell r="R1">
            <v>1.1032381499999999</v>
          </cell>
        </row>
      </sheetData>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ow r="1">
          <cell r="R1">
            <v>1.1032381499999999</v>
          </cell>
        </row>
      </sheetData>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ow r="1">
          <cell r="R1">
            <v>1.1032381499999999</v>
          </cell>
        </row>
      </sheetData>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ow r="1">
          <cell r="R1">
            <v>1.1032381499999999</v>
          </cell>
        </row>
      </sheetData>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ow r="1">
          <cell r="R1">
            <v>1.1032381499999999</v>
          </cell>
        </row>
      </sheetData>
      <sheetData sheetId="1393">
        <row r="1">
          <cell r="R1">
            <v>1.1032381499999999</v>
          </cell>
        </row>
      </sheetData>
      <sheetData sheetId="1394">
        <row r="1">
          <cell r="R1">
            <v>1.1032381499999999</v>
          </cell>
        </row>
      </sheetData>
      <sheetData sheetId="1395">
        <row r="1">
          <cell r="R1">
            <v>1.1032381499999999</v>
          </cell>
        </row>
      </sheetData>
      <sheetData sheetId="1396">
        <row r="1">
          <cell r="R1">
            <v>1.1032381499999999</v>
          </cell>
        </row>
      </sheetData>
      <sheetData sheetId="1397">
        <row r="1">
          <cell r="R1">
            <v>1.1032381499999999</v>
          </cell>
        </row>
      </sheetData>
      <sheetData sheetId="1398">
        <row r="1">
          <cell r="R1">
            <v>1.1032381499999999</v>
          </cell>
        </row>
      </sheetData>
      <sheetData sheetId="1399">
        <row r="1">
          <cell r="R1">
            <v>1.1032381499999999</v>
          </cell>
        </row>
      </sheetData>
      <sheetData sheetId="1400">
        <row r="1">
          <cell r="R1">
            <v>1.1032381499999999</v>
          </cell>
        </row>
      </sheetData>
      <sheetData sheetId="1401">
        <row r="1">
          <cell r="R1">
            <v>1.1032381499999999</v>
          </cell>
        </row>
      </sheetData>
      <sheetData sheetId="1402">
        <row r="1">
          <cell r="R1">
            <v>1.1032381499999999</v>
          </cell>
        </row>
      </sheetData>
      <sheetData sheetId="1403">
        <row r="1">
          <cell r="R1">
            <v>1.1032381499999999</v>
          </cell>
        </row>
      </sheetData>
      <sheetData sheetId="1404">
        <row r="1">
          <cell r="R1">
            <v>1.1032381499999999</v>
          </cell>
        </row>
      </sheetData>
      <sheetData sheetId="1405">
        <row r="1">
          <cell r="R1">
            <v>1.1032381499999999</v>
          </cell>
        </row>
      </sheetData>
      <sheetData sheetId="1406">
        <row r="1">
          <cell r="R1">
            <v>1.1032381499999999</v>
          </cell>
        </row>
      </sheetData>
      <sheetData sheetId="1407">
        <row r="1">
          <cell r="R1">
            <v>1.1032381499999999</v>
          </cell>
        </row>
      </sheetData>
      <sheetData sheetId="1408">
        <row r="1">
          <cell r="R1">
            <v>1.1032381499999999</v>
          </cell>
        </row>
      </sheetData>
      <sheetData sheetId="1409">
        <row r="1">
          <cell r="R1">
            <v>1.1032381499999999</v>
          </cell>
        </row>
      </sheetData>
      <sheetData sheetId="1410">
        <row r="1">
          <cell r="R1">
            <v>1.1032381499999999</v>
          </cell>
        </row>
      </sheetData>
      <sheetData sheetId="1411">
        <row r="1">
          <cell r="R1">
            <v>1.1032381499999999</v>
          </cell>
        </row>
      </sheetData>
      <sheetData sheetId="1412">
        <row r="1">
          <cell r="R1">
            <v>1.1032381499999999</v>
          </cell>
        </row>
      </sheetData>
      <sheetData sheetId="1413">
        <row r="1">
          <cell r="R1">
            <v>1.1032381499999999</v>
          </cell>
        </row>
      </sheetData>
      <sheetData sheetId="1414">
        <row r="1">
          <cell r="R1">
            <v>1.1032381499999999</v>
          </cell>
        </row>
      </sheetData>
      <sheetData sheetId="1415">
        <row r="1">
          <cell r="R1">
            <v>1.1032381499999999</v>
          </cell>
        </row>
      </sheetData>
      <sheetData sheetId="1416">
        <row r="1">
          <cell r="R1">
            <v>1.1032381499999999</v>
          </cell>
        </row>
      </sheetData>
      <sheetData sheetId="1417">
        <row r="1">
          <cell r="R1">
            <v>1.1032381499999999</v>
          </cell>
        </row>
      </sheetData>
      <sheetData sheetId="1418">
        <row r="1">
          <cell r="R1">
            <v>1.1032381499999999</v>
          </cell>
        </row>
      </sheetData>
      <sheetData sheetId="1419">
        <row r="1">
          <cell r="R1">
            <v>1.1032381499999999</v>
          </cell>
        </row>
      </sheetData>
      <sheetData sheetId="1420">
        <row r="1">
          <cell r="R1">
            <v>1.1032381499999999</v>
          </cell>
        </row>
      </sheetData>
      <sheetData sheetId="1421">
        <row r="1">
          <cell r="R1">
            <v>1.1032381499999999</v>
          </cell>
        </row>
      </sheetData>
      <sheetData sheetId="1422">
        <row r="1">
          <cell r="R1">
            <v>1.1032381499999999</v>
          </cell>
        </row>
      </sheetData>
      <sheetData sheetId="1423">
        <row r="1">
          <cell r="R1">
            <v>1.1032381499999999</v>
          </cell>
        </row>
      </sheetData>
      <sheetData sheetId="1424">
        <row r="1">
          <cell r="R1">
            <v>1.1032381499999999</v>
          </cell>
        </row>
      </sheetData>
      <sheetData sheetId="1425">
        <row r="1">
          <cell r="R1">
            <v>1.1032381499999999</v>
          </cell>
        </row>
      </sheetData>
      <sheetData sheetId="1426">
        <row r="1">
          <cell r="R1">
            <v>1.1032381499999999</v>
          </cell>
        </row>
      </sheetData>
      <sheetData sheetId="1427">
        <row r="1">
          <cell r="R1">
            <v>1.1032381499999999</v>
          </cell>
        </row>
      </sheetData>
      <sheetData sheetId="1428">
        <row r="1">
          <cell r="R1">
            <v>1.1032381499999999</v>
          </cell>
        </row>
      </sheetData>
      <sheetData sheetId="1429">
        <row r="1">
          <cell r="R1">
            <v>1.1032381499999999</v>
          </cell>
        </row>
      </sheetData>
      <sheetData sheetId="1430">
        <row r="1">
          <cell r="R1">
            <v>1.1032381499999999</v>
          </cell>
        </row>
      </sheetData>
      <sheetData sheetId="1431">
        <row r="1">
          <cell r="R1">
            <v>1.1032381499999999</v>
          </cell>
        </row>
      </sheetData>
      <sheetData sheetId="1432">
        <row r="1">
          <cell r="R1">
            <v>1.1032381499999999</v>
          </cell>
        </row>
      </sheetData>
      <sheetData sheetId="1433">
        <row r="1">
          <cell r="R1">
            <v>1.1032381499999999</v>
          </cell>
        </row>
      </sheetData>
      <sheetData sheetId="1434">
        <row r="1">
          <cell r="R1">
            <v>1.1032381499999999</v>
          </cell>
        </row>
      </sheetData>
      <sheetData sheetId="1435">
        <row r="1">
          <cell r="R1">
            <v>1.1032381499999999</v>
          </cell>
        </row>
      </sheetData>
      <sheetData sheetId="1436">
        <row r="1">
          <cell r="R1">
            <v>1.1032381499999999</v>
          </cell>
        </row>
      </sheetData>
      <sheetData sheetId="1437">
        <row r="1">
          <cell r="R1">
            <v>1.1032381499999999</v>
          </cell>
        </row>
      </sheetData>
      <sheetData sheetId="1438">
        <row r="1">
          <cell r="R1">
            <v>1.1032381499999999</v>
          </cell>
        </row>
      </sheetData>
      <sheetData sheetId="1439">
        <row r="1">
          <cell r="R1">
            <v>1.1032381499999999</v>
          </cell>
        </row>
      </sheetData>
      <sheetData sheetId="1440">
        <row r="1">
          <cell r="R1">
            <v>1.1032381499999999</v>
          </cell>
        </row>
      </sheetData>
      <sheetData sheetId="1441">
        <row r="1">
          <cell r="R1">
            <v>1.1032381499999999</v>
          </cell>
        </row>
      </sheetData>
      <sheetData sheetId="1442">
        <row r="1">
          <cell r="R1">
            <v>1.1032381499999999</v>
          </cell>
        </row>
      </sheetData>
      <sheetData sheetId="1443">
        <row r="1">
          <cell r="R1">
            <v>1.1032381499999999</v>
          </cell>
        </row>
      </sheetData>
      <sheetData sheetId="1444">
        <row r="1">
          <cell r="R1">
            <v>1.1032381499999999</v>
          </cell>
        </row>
      </sheetData>
      <sheetData sheetId="1445">
        <row r="1">
          <cell r="R1">
            <v>1.1032381499999999</v>
          </cell>
        </row>
      </sheetData>
      <sheetData sheetId="1446">
        <row r="1">
          <cell r="R1">
            <v>1.1032381499999999</v>
          </cell>
        </row>
      </sheetData>
      <sheetData sheetId="1447">
        <row r="1">
          <cell r="R1">
            <v>1.1032381499999999</v>
          </cell>
        </row>
      </sheetData>
      <sheetData sheetId="1448">
        <row r="1">
          <cell r="R1">
            <v>1.1032381499999999</v>
          </cell>
        </row>
      </sheetData>
      <sheetData sheetId="1449">
        <row r="1">
          <cell r="R1">
            <v>1.1032381499999999</v>
          </cell>
        </row>
      </sheetData>
      <sheetData sheetId="1450">
        <row r="1">
          <cell r="R1">
            <v>1.1032381499999999</v>
          </cell>
        </row>
      </sheetData>
      <sheetData sheetId="1451">
        <row r="1">
          <cell r="R1">
            <v>1.1032381499999999</v>
          </cell>
        </row>
      </sheetData>
      <sheetData sheetId="1452">
        <row r="1">
          <cell r="R1">
            <v>1.1032381499999999</v>
          </cell>
        </row>
      </sheetData>
      <sheetData sheetId="1453">
        <row r="1">
          <cell r="R1">
            <v>1.1032381499999999</v>
          </cell>
        </row>
      </sheetData>
      <sheetData sheetId="1454">
        <row r="1">
          <cell r="R1">
            <v>1.1032381499999999</v>
          </cell>
        </row>
      </sheetData>
      <sheetData sheetId="1455">
        <row r="1">
          <cell r="R1">
            <v>1.1032381499999999</v>
          </cell>
        </row>
      </sheetData>
      <sheetData sheetId="1456">
        <row r="1">
          <cell r="R1">
            <v>1.1032381499999999</v>
          </cell>
        </row>
      </sheetData>
      <sheetData sheetId="1457">
        <row r="1">
          <cell r="R1">
            <v>1.1032381499999999</v>
          </cell>
        </row>
      </sheetData>
      <sheetData sheetId="1458">
        <row r="1">
          <cell r="R1">
            <v>1.1032381499999999</v>
          </cell>
        </row>
      </sheetData>
      <sheetData sheetId="1459">
        <row r="1">
          <cell r="R1">
            <v>1.1032381499999999</v>
          </cell>
        </row>
      </sheetData>
      <sheetData sheetId="1460">
        <row r="1">
          <cell r="R1">
            <v>1.1032381499999999</v>
          </cell>
        </row>
      </sheetData>
      <sheetData sheetId="1461">
        <row r="1">
          <cell r="R1">
            <v>1.1032381499999999</v>
          </cell>
        </row>
      </sheetData>
      <sheetData sheetId="1462">
        <row r="1">
          <cell r="R1">
            <v>1.1032381499999999</v>
          </cell>
        </row>
      </sheetData>
      <sheetData sheetId="1463">
        <row r="1">
          <cell r="R1">
            <v>1.1032381499999999</v>
          </cell>
        </row>
      </sheetData>
      <sheetData sheetId="1464">
        <row r="1">
          <cell r="R1">
            <v>1.1032381499999999</v>
          </cell>
        </row>
      </sheetData>
      <sheetData sheetId="1465">
        <row r="1">
          <cell r="R1">
            <v>1.1032381499999999</v>
          </cell>
        </row>
      </sheetData>
      <sheetData sheetId="1466">
        <row r="1">
          <cell r="R1">
            <v>1.1032381499999999</v>
          </cell>
        </row>
      </sheetData>
      <sheetData sheetId="1467">
        <row r="1">
          <cell r="R1">
            <v>1.1032381499999999</v>
          </cell>
        </row>
      </sheetData>
      <sheetData sheetId="1468">
        <row r="1">
          <cell r="R1">
            <v>1.1032381499999999</v>
          </cell>
        </row>
      </sheetData>
      <sheetData sheetId="1469">
        <row r="1">
          <cell r="R1">
            <v>1.1032381499999999</v>
          </cell>
        </row>
      </sheetData>
      <sheetData sheetId="1470">
        <row r="1">
          <cell r="R1">
            <v>1.1032381499999999</v>
          </cell>
        </row>
      </sheetData>
      <sheetData sheetId="1471">
        <row r="1">
          <cell r="R1">
            <v>1.1032381499999999</v>
          </cell>
        </row>
      </sheetData>
      <sheetData sheetId="1472">
        <row r="1">
          <cell r="R1">
            <v>1.1032381499999999</v>
          </cell>
        </row>
      </sheetData>
      <sheetData sheetId="1473">
        <row r="1">
          <cell r="R1">
            <v>1.1032381499999999</v>
          </cell>
        </row>
      </sheetData>
      <sheetData sheetId="1474">
        <row r="1">
          <cell r="R1">
            <v>1.1032381499999999</v>
          </cell>
        </row>
      </sheetData>
      <sheetData sheetId="1475">
        <row r="1">
          <cell r="R1">
            <v>1.1032381499999999</v>
          </cell>
        </row>
      </sheetData>
      <sheetData sheetId="1476">
        <row r="1">
          <cell r="R1">
            <v>1.1032381499999999</v>
          </cell>
        </row>
      </sheetData>
      <sheetData sheetId="1477">
        <row r="1">
          <cell r="R1">
            <v>1.1032381499999999</v>
          </cell>
        </row>
      </sheetData>
      <sheetData sheetId="1478">
        <row r="1">
          <cell r="R1">
            <v>1.1032381499999999</v>
          </cell>
        </row>
      </sheetData>
      <sheetData sheetId="1479">
        <row r="1">
          <cell r="R1">
            <v>1.1032381499999999</v>
          </cell>
        </row>
      </sheetData>
      <sheetData sheetId="1480">
        <row r="1">
          <cell r="R1">
            <v>1.1032381499999999</v>
          </cell>
        </row>
      </sheetData>
      <sheetData sheetId="1481">
        <row r="1">
          <cell r="R1">
            <v>1.1032381499999999</v>
          </cell>
        </row>
      </sheetData>
      <sheetData sheetId="1482">
        <row r="1">
          <cell r="R1">
            <v>1.1032381499999999</v>
          </cell>
        </row>
      </sheetData>
      <sheetData sheetId="1483">
        <row r="1">
          <cell r="R1">
            <v>1.1032381499999999</v>
          </cell>
        </row>
      </sheetData>
      <sheetData sheetId="1484">
        <row r="1">
          <cell r="R1">
            <v>1.1032381499999999</v>
          </cell>
        </row>
      </sheetData>
      <sheetData sheetId="1485">
        <row r="1">
          <cell r="R1">
            <v>1.1032381499999999</v>
          </cell>
        </row>
      </sheetData>
      <sheetData sheetId="1486">
        <row r="1">
          <cell r="R1">
            <v>1.1032381499999999</v>
          </cell>
        </row>
      </sheetData>
      <sheetData sheetId="1487">
        <row r="1">
          <cell r="R1">
            <v>1.1032381499999999</v>
          </cell>
        </row>
      </sheetData>
      <sheetData sheetId="1488">
        <row r="1">
          <cell r="R1">
            <v>1.1032381499999999</v>
          </cell>
        </row>
      </sheetData>
      <sheetData sheetId="1489">
        <row r="1">
          <cell r="R1">
            <v>1.1032381499999999</v>
          </cell>
        </row>
      </sheetData>
      <sheetData sheetId="1490">
        <row r="1">
          <cell r="R1">
            <v>1.1032381499999999</v>
          </cell>
        </row>
      </sheetData>
      <sheetData sheetId="1491">
        <row r="1">
          <cell r="R1">
            <v>1.1032381499999999</v>
          </cell>
        </row>
      </sheetData>
      <sheetData sheetId="1492">
        <row r="1">
          <cell r="R1">
            <v>1.1032381499999999</v>
          </cell>
        </row>
      </sheetData>
      <sheetData sheetId="1493">
        <row r="1">
          <cell r="R1">
            <v>1.1032381499999999</v>
          </cell>
        </row>
      </sheetData>
      <sheetData sheetId="1494">
        <row r="1">
          <cell r="R1">
            <v>1.1032381499999999</v>
          </cell>
        </row>
      </sheetData>
      <sheetData sheetId="1495">
        <row r="1">
          <cell r="R1">
            <v>1.1032381499999999</v>
          </cell>
        </row>
      </sheetData>
      <sheetData sheetId="1496">
        <row r="1">
          <cell r="R1">
            <v>1.1032381499999999</v>
          </cell>
        </row>
      </sheetData>
      <sheetData sheetId="1497">
        <row r="1">
          <cell r="R1">
            <v>1.1032381499999999</v>
          </cell>
        </row>
      </sheetData>
      <sheetData sheetId="1498">
        <row r="1">
          <cell r="R1">
            <v>1.1032381499999999</v>
          </cell>
        </row>
      </sheetData>
      <sheetData sheetId="1499">
        <row r="1">
          <cell r="R1">
            <v>1.1032381499999999</v>
          </cell>
        </row>
      </sheetData>
      <sheetData sheetId="1500">
        <row r="1">
          <cell r="R1">
            <v>1.1032381499999999</v>
          </cell>
        </row>
      </sheetData>
      <sheetData sheetId="1501">
        <row r="1">
          <cell r="R1">
            <v>1.1032381499999999</v>
          </cell>
        </row>
      </sheetData>
      <sheetData sheetId="1502">
        <row r="1">
          <cell r="R1">
            <v>1.1032381499999999</v>
          </cell>
        </row>
      </sheetData>
      <sheetData sheetId="1503">
        <row r="1">
          <cell r="R1">
            <v>1.1032381499999999</v>
          </cell>
        </row>
      </sheetData>
      <sheetData sheetId="1504">
        <row r="1">
          <cell r="R1">
            <v>1.1032381499999999</v>
          </cell>
        </row>
      </sheetData>
      <sheetData sheetId="1505">
        <row r="1">
          <cell r="R1">
            <v>1.1032381499999999</v>
          </cell>
        </row>
      </sheetData>
      <sheetData sheetId="1506">
        <row r="1">
          <cell r="R1">
            <v>1.1032381499999999</v>
          </cell>
        </row>
      </sheetData>
      <sheetData sheetId="1507">
        <row r="1">
          <cell r="R1">
            <v>1.1032381499999999</v>
          </cell>
        </row>
      </sheetData>
      <sheetData sheetId="1508">
        <row r="1">
          <cell r="R1">
            <v>1.1032381499999999</v>
          </cell>
        </row>
      </sheetData>
      <sheetData sheetId="1509">
        <row r="1">
          <cell r="R1">
            <v>1.1032381499999999</v>
          </cell>
        </row>
      </sheetData>
      <sheetData sheetId="1510">
        <row r="1">
          <cell r="R1">
            <v>1.1032381499999999</v>
          </cell>
        </row>
      </sheetData>
      <sheetData sheetId="1511">
        <row r="1">
          <cell r="R1">
            <v>1.1032381499999999</v>
          </cell>
        </row>
      </sheetData>
      <sheetData sheetId="1512">
        <row r="1">
          <cell r="R1">
            <v>1.1032381499999999</v>
          </cell>
        </row>
      </sheetData>
      <sheetData sheetId="1513">
        <row r="1">
          <cell r="R1">
            <v>1.1032381499999999</v>
          </cell>
        </row>
      </sheetData>
      <sheetData sheetId="1514">
        <row r="1">
          <cell r="R1">
            <v>1.1032381499999999</v>
          </cell>
        </row>
      </sheetData>
      <sheetData sheetId="1515">
        <row r="1">
          <cell r="R1">
            <v>1.1032381499999999</v>
          </cell>
        </row>
      </sheetData>
      <sheetData sheetId="1516">
        <row r="1">
          <cell r="R1">
            <v>1.1032381499999999</v>
          </cell>
        </row>
      </sheetData>
      <sheetData sheetId="1517">
        <row r="1">
          <cell r="R1">
            <v>1.1032381499999999</v>
          </cell>
        </row>
      </sheetData>
      <sheetData sheetId="1518">
        <row r="1">
          <cell r="R1">
            <v>1.1032381499999999</v>
          </cell>
        </row>
      </sheetData>
      <sheetData sheetId="1519">
        <row r="1">
          <cell r="R1">
            <v>1.1032381499999999</v>
          </cell>
        </row>
      </sheetData>
      <sheetData sheetId="1520">
        <row r="1">
          <cell r="R1">
            <v>1.1032381499999999</v>
          </cell>
        </row>
      </sheetData>
      <sheetData sheetId="1521">
        <row r="1">
          <cell r="R1">
            <v>1.1032381499999999</v>
          </cell>
        </row>
      </sheetData>
      <sheetData sheetId="1522">
        <row r="1">
          <cell r="R1">
            <v>1.1032381499999999</v>
          </cell>
        </row>
      </sheetData>
      <sheetData sheetId="1523">
        <row r="1">
          <cell r="R1">
            <v>1.1032381499999999</v>
          </cell>
        </row>
      </sheetData>
      <sheetData sheetId="1524">
        <row r="1">
          <cell r="R1">
            <v>1.1032381499999999</v>
          </cell>
        </row>
      </sheetData>
      <sheetData sheetId="1525">
        <row r="1">
          <cell r="R1">
            <v>1.1032381499999999</v>
          </cell>
        </row>
      </sheetData>
      <sheetData sheetId="1526">
        <row r="1">
          <cell r="R1">
            <v>1.1032381499999999</v>
          </cell>
        </row>
      </sheetData>
      <sheetData sheetId="1527">
        <row r="1">
          <cell r="R1">
            <v>1.1032381499999999</v>
          </cell>
        </row>
      </sheetData>
      <sheetData sheetId="1528">
        <row r="1">
          <cell r="R1">
            <v>1.1032381499999999</v>
          </cell>
        </row>
      </sheetData>
      <sheetData sheetId="1529">
        <row r="1">
          <cell r="R1">
            <v>1.1032381499999999</v>
          </cell>
        </row>
      </sheetData>
      <sheetData sheetId="1530">
        <row r="1">
          <cell r="R1">
            <v>1.1032381499999999</v>
          </cell>
        </row>
      </sheetData>
      <sheetData sheetId="1531">
        <row r="1">
          <cell r="R1">
            <v>1.1032381499999999</v>
          </cell>
        </row>
      </sheetData>
      <sheetData sheetId="1532">
        <row r="1">
          <cell r="R1">
            <v>1.1032381499999999</v>
          </cell>
        </row>
      </sheetData>
      <sheetData sheetId="1533">
        <row r="1">
          <cell r="R1">
            <v>1.1032381499999999</v>
          </cell>
        </row>
      </sheetData>
      <sheetData sheetId="1534">
        <row r="1">
          <cell r="R1">
            <v>1.1032381499999999</v>
          </cell>
        </row>
      </sheetData>
      <sheetData sheetId="1535">
        <row r="1">
          <cell r="R1">
            <v>1.1032381499999999</v>
          </cell>
        </row>
      </sheetData>
      <sheetData sheetId="1536">
        <row r="1">
          <cell r="R1">
            <v>1.1032381499999999</v>
          </cell>
        </row>
      </sheetData>
      <sheetData sheetId="1537">
        <row r="1">
          <cell r="R1">
            <v>1.1032381499999999</v>
          </cell>
        </row>
      </sheetData>
      <sheetData sheetId="1538">
        <row r="1">
          <cell r="R1">
            <v>1.1032381499999999</v>
          </cell>
        </row>
      </sheetData>
      <sheetData sheetId="1539">
        <row r="1">
          <cell r="R1">
            <v>1.1032381499999999</v>
          </cell>
        </row>
      </sheetData>
      <sheetData sheetId="1540">
        <row r="1">
          <cell r="R1">
            <v>1.1032381499999999</v>
          </cell>
        </row>
      </sheetData>
      <sheetData sheetId="1541">
        <row r="1">
          <cell r="R1">
            <v>1.1032381499999999</v>
          </cell>
        </row>
      </sheetData>
      <sheetData sheetId="1542">
        <row r="1">
          <cell r="R1">
            <v>1.1032381499999999</v>
          </cell>
        </row>
      </sheetData>
      <sheetData sheetId="1543">
        <row r="1">
          <cell r="R1">
            <v>1.1032381499999999</v>
          </cell>
        </row>
      </sheetData>
      <sheetData sheetId="1544">
        <row r="1">
          <cell r="R1">
            <v>1.1032381499999999</v>
          </cell>
        </row>
      </sheetData>
      <sheetData sheetId="1545">
        <row r="1">
          <cell r="R1">
            <v>1.1032381499999999</v>
          </cell>
        </row>
      </sheetData>
      <sheetData sheetId="1546">
        <row r="1">
          <cell r="R1">
            <v>1.1032381499999999</v>
          </cell>
        </row>
      </sheetData>
      <sheetData sheetId="1547">
        <row r="1">
          <cell r="R1">
            <v>1.1032381499999999</v>
          </cell>
        </row>
      </sheetData>
      <sheetData sheetId="1548">
        <row r="1">
          <cell r="R1">
            <v>1.1032381499999999</v>
          </cell>
        </row>
      </sheetData>
      <sheetData sheetId="1549">
        <row r="1">
          <cell r="R1">
            <v>1.1032381499999999</v>
          </cell>
        </row>
      </sheetData>
      <sheetData sheetId="1550">
        <row r="1">
          <cell r="R1">
            <v>1.1032381499999999</v>
          </cell>
        </row>
      </sheetData>
      <sheetData sheetId="1551">
        <row r="1">
          <cell r="R1">
            <v>1.1032381499999999</v>
          </cell>
        </row>
      </sheetData>
      <sheetData sheetId="1552">
        <row r="1">
          <cell r="R1">
            <v>1.1032381499999999</v>
          </cell>
        </row>
      </sheetData>
      <sheetData sheetId="1553">
        <row r="1">
          <cell r="R1">
            <v>1.1032381499999999</v>
          </cell>
        </row>
      </sheetData>
      <sheetData sheetId="1554">
        <row r="1">
          <cell r="R1">
            <v>1.1032381499999999</v>
          </cell>
        </row>
      </sheetData>
      <sheetData sheetId="1555">
        <row r="1">
          <cell r="R1">
            <v>1.1032381499999999</v>
          </cell>
        </row>
      </sheetData>
      <sheetData sheetId="1556">
        <row r="1">
          <cell r="R1">
            <v>1.1032381499999999</v>
          </cell>
        </row>
      </sheetData>
      <sheetData sheetId="1557">
        <row r="1">
          <cell r="R1">
            <v>1.1032381499999999</v>
          </cell>
        </row>
      </sheetData>
      <sheetData sheetId="1558">
        <row r="1">
          <cell r="R1">
            <v>1.1032381499999999</v>
          </cell>
        </row>
      </sheetData>
      <sheetData sheetId="1559">
        <row r="1">
          <cell r="R1">
            <v>1.1032381499999999</v>
          </cell>
        </row>
      </sheetData>
      <sheetData sheetId="1560">
        <row r="1">
          <cell r="R1">
            <v>1.1032381499999999</v>
          </cell>
        </row>
      </sheetData>
      <sheetData sheetId="1561">
        <row r="1">
          <cell r="R1">
            <v>1.1032381499999999</v>
          </cell>
        </row>
      </sheetData>
      <sheetData sheetId="1562">
        <row r="1">
          <cell r="R1">
            <v>1.1032381499999999</v>
          </cell>
        </row>
      </sheetData>
      <sheetData sheetId="1563">
        <row r="1">
          <cell r="R1">
            <v>1.1032381499999999</v>
          </cell>
        </row>
      </sheetData>
      <sheetData sheetId="1564">
        <row r="1">
          <cell r="R1">
            <v>1.1032381499999999</v>
          </cell>
        </row>
      </sheetData>
      <sheetData sheetId="1565">
        <row r="1">
          <cell r="R1">
            <v>1.1032381499999999</v>
          </cell>
        </row>
      </sheetData>
      <sheetData sheetId="1566">
        <row r="1">
          <cell r="R1">
            <v>1.1032381499999999</v>
          </cell>
        </row>
      </sheetData>
      <sheetData sheetId="1567">
        <row r="1">
          <cell r="R1">
            <v>1.1032381499999999</v>
          </cell>
        </row>
      </sheetData>
      <sheetData sheetId="1568">
        <row r="1">
          <cell r="R1">
            <v>1.1032381499999999</v>
          </cell>
        </row>
      </sheetData>
      <sheetData sheetId="1569">
        <row r="1">
          <cell r="R1">
            <v>1.1032381499999999</v>
          </cell>
        </row>
      </sheetData>
      <sheetData sheetId="1570">
        <row r="1">
          <cell r="R1">
            <v>1.1032381499999999</v>
          </cell>
        </row>
      </sheetData>
      <sheetData sheetId="1571">
        <row r="1">
          <cell r="R1">
            <v>1.1032381499999999</v>
          </cell>
        </row>
      </sheetData>
      <sheetData sheetId="1572">
        <row r="1">
          <cell r="R1">
            <v>1.1032381499999999</v>
          </cell>
        </row>
      </sheetData>
      <sheetData sheetId="1573">
        <row r="1">
          <cell r="R1">
            <v>1.1032381499999999</v>
          </cell>
        </row>
      </sheetData>
      <sheetData sheetId="1574">
        <row r="1">
          <cell r="R1">
            <v>1.1032381499999999</v>
          </cell>
        </row>
      </sheetData>
      <sheetData sheetId="1575">
        <row r="1">
          <cell r="R1">
            <v>1.1032381499999999</v>
          </cell>
        </row>
      </sheetData>
      <sheetData sheetId="1576">
        <row r="1">
          <cell r="R1">
            <v>1.1032381499999999</v>
          </cell>
        </row>
      </sheetData>
      <sheetData sheetId="1577">
        <row r="1">
          <cell r="R1">
            <v>1.1032381499999999</v>
          </cell>
        </row>
      </sheetData>
      <sheetData sheetId="1578">
        <row r="1">
          <cell r="R1">
            <v>1.1032381499999999</v>
          </cell>
        </row>
      </sheetData>
      <sheetData sheetId="1579">
        <row r="1">
          <cell r="R1">
            <v>1.1032381499999999</v>
          </cell>
        </row>
      </sheetData>
      <sheetData sheetId="1580">
        <row r="1">
          <cell r="R1">
            <v>1.1032381499999999</v>
          </cell>
        </row>
      </sheetData>
      <sheetData sheetId="1581">
        <row r="1">
          <cell r="R1">
            <v>1.1032381499999999</v>
          </cell>
        </row>
      </sheetData>
      <sheetData sheetId="1582">
        <row r="1">
          <cell r="R1">
            <v>1.1032381499999999</v>
          </cell>
        </row>
      </sheetData>
      <sheetData sheetId="1583">
        <row r="1">
          <cell r="R1">
            <v>1.1032381499999999</v>
          </cell>
        </row>
      </sheetData>
      <sheetData sheetId="1584">
        <row r="1">
          <cell r="R1">
            <v>1.1032381499999999</v>
          </cell>
        </row>
      </sheetData>
      <sheetData sheetId="1585">
        <row r="1">
          <cell r="R1">
            <v>1.1032381499999999</v>
          </cell>
        </row>
      </sheetData>
      <sheetData sheetId="1586">
        <row r="1">
          <cell r="R1">
            <v>1.1032381499999999</v>
          </cell>
        </row>
      </sheetData>
      <sheetData sheetId="1587">
        <row r="1">
          <cell r="R1">
            <v>1.1032381499999999</v>
          </cell>
        </row>
      </sheetData>
      <sheetData sheetId="1588">
        <row r="1">
          <cell r="R1">
            <v>1.1032381499999999</v>
          </cell>
        </row>
      </sheetData>
      <sheetData sheetId="1589">
        <row r="1">
          <cell r="R1">
            <v>1.1032381499999999</v>
          </cell>
        </row>
      </sheetData>
      <sheetData sheetId="1590">
        <row r="1">
          <cell r="R1">
            <v>1.1032381499999999</v>
          </cell>
        </row>
      </sheetData>
      <sheetData sheetId="1591">
        <row r="1">
          <cell r="R1">
            <v>1.1032381499999999</v>
          </cell>
        </row>
      </sheetData>
      <sheetData sheetId="1592">
        <row r="1">
          <cell r="R1">
            <v>1.1032381499999999</v>
          </cell>
        </row>
      </sheetData>
      <sheetData sheetId="1593">
        <row r="1">
          <cell r="R1">
            <v>1.1032381499999999</v>
          </cell>
        </row>
      </sheetData>
      <sheetData sheetId="1594">
        <row r="1">
          <cell r="R1">
            <v>1.1032381499999999</v>
          </cell>
        </row>
      </sheetData>
      <sheetData sheetId="1595">
        <row r="1">
          <cell r="R1">
            <v>1.1032381499999999</v>
          </cell>
        </row>
      </sheetData>
      <sheetData sheetId="1596">
        <row r="1">
          <cell r="R1">
            <v>1.1032381499999999</v>
          </cell>
        </row>
      </sheetData>
      <sheetData sheetId="1597">
        <row r="1">
          <cell r="R1">
            <v>1.1032381499999999</v>
          </cell>
        </row>
      </sheetData>
      <sheetData sheetId="1598">
        <row r="1">
          <cell r="R1">
            <v>1.1032381499999999</v>
          </cell>
        </row>
      </sheetData>
      <sheetData sheetId="1599">
        <row r="1">
          <cell r="R1">
            <v>1.1032381499999999</v>
          </cell>
        </row>
      </sheetData>
      <sheetData sheetId="1600">
        <row r="1">
          <cell r="R1">
            <v>1.1032381499999999</v>
          </cell>
        </row>
      </sheetData>
      <sheetData sheetId="1601">
        <row r="1">
          <cell r="R1">
            <v>1.1032381499999999</v>
          </cell>
        </row>
      </sheetData>
      <sheetData sheetId="1602">
        <row r="1">
          <cell r="R1">
            <v>1.1032381499999999</v>
          </cell>
        </row>
      </sheetData>
      <sheetData sheetId="1603">
        <row r="1">
          <cell r="R1">
            <v>1.1032381499999999</v>
          </cell>
        </row>
      </sheetData>
      <sheetData sheetId="1604">
        <row r="1">
          <cell r="R1">
            <v>1.1032381499999999</v>
          </cell>
        </row>
      </sheetData>
      <sheetData sheetId="1605">
        <row r="1">
          <cell r="R1">
            <v>1.1032381499999999</v>
          </cell>
        </row>
      </sheetData>
      <sheetData sheetId="1606">
        <row r="1">
          <cell r="R1">
            <v>1.1032381499999999</v>
          </cell>
        </row>
      </sheetData>
      <sheetData sheetId="1607">
        <row r="1">
          <cell r="R1">
            <v>1.1032381499999999</v>
          </cell>
        </row>
      </sheetData>
      <sheetData sheetId="1608">
        <row r="1">
          <cell r="R1">
            <v>1.1032381499999999</v>
          </cell>
        </row>
      </sheetData>
      <sheetData sheetId="1609">
        <row r="1">
          <cell r="R1">
            <v>1.1032381499999999</v>
          </cell>
        </row>
      </sheetData>
      <sheetData sheetId="1610">
        <row r="1">
          <cell r="R1">
            <v>1.1032381499999999</v>
          </cell>
        </row>
      </sheetData>
      <sheetData sheetId="1611">
        <row r="1">
          <cell r="R1">
            <v>1.1032381499999999</v>
          </cell>
        </row>
      </sheetData>
      <sheetData sheetId="1612">
        <row r="1">
          <cell r="R1">
            <v>1.1032381499999999</v>
          </cell>
        </row>
      </sheetData>
      <sheetData sheetId="1613">
        <row r="1">
          <cell r="R1">
            <v>1.1032381499999999</v>
          </cell>
        </row>
      </sheetData>
      <sheetData sheetId="1614">
        <row r="1">
          <cell r="R1">
            <v>1.1032381499999999</v>
          </cell>
        </row>
      </sheetData>
      <sheetData sheetId="1615">
        <row r="1">
          <cell r="R1">
            <v>1.1032381499999999</v>
          </cell>
        </row>
      </sheetData>
      <sheetData sheetId="1616">
        <row r="1">
          <cell r="R1">
            <v>1.1032381499999999</v>
          </cell>
        </row>
      </sheetData>
      <sheetData sheetId="1617">
        <row r="1">
          <cell r="R1">
            <v>1.1032381499999999</v>
          </cell>
        </row>
      </sheetData>
      <sheetData sheetId="1618">
        <row r="1">
          <cell r="R1">
            <v>1.1032381499999999</v>
          </cell>
        </row>
      </sheetData>
      <sheetData sheetId="1619">
        <row r="1">
          <cell r="R1">
            <v>1.1032381499999999</v>
          </cell>
        </row>
      </sheetData>
      <sheetData sheetId="1620">
        <row r="1">
          <cell r="R1">
            <v>1.1032381499999999</v>
          </cell>
        </row>
      </sheetData>
      <sheetData sheetId="1621">
        <row r="1">
          <cell r="R1">
            <v>1.1032381499999999</v>
          </cell>
        </row>
      </sheetData>
      <sheetData sheetId="1622">
        <row r="1">
          <cell r="R1">
            <v>1.1032381499999999</v>
          </cell>
        </row>
      </sheetData>
      <sheetData sheetId="1623">
        <row r="1">
          <cell r="R1">
            <v>1.1032381499999999</v>
          </cell>
        </row>
      </sheetData>
      <sheetData sheetId="1624">
        <row r="1">
          <cell r="R1">
            <v>1.1032381499999999</v>
          </cell>
        </row>
      </sheetData>
      <sheetData sheetId="1625">
        <row r="1">
          <cell r="R1">
            <v>1.1032381499999999</v>
          </cell>
        </row>
      </sheetData>
      <sheetData sheetId="1626">
        <row r="1">
          <cell r="R1">
            <v>1.1032381499999999</v>
          </cell>
        </row>
      </sheetData>
      <sheetData sheetId="1627">
        <row r="1">
          <cell r="R1">
            <v>1.1032381499999999</v>
          </cell>
        </row>
      </sheetData>
      <sheetData sheetId="1628">
        <row r="1">
          <cell r="R1">
            <v>1.1032381499999999</v>
          </cell>
        </row>
      </sheetData>
      <sheetData sheetId="1629">
        <row r="1">
          <cell r="R1">
            <v>1.1032381499999999</v>
          </cell>
        </row>
      </sheetData>
      <sheetData sheetId="1630">
        <row r="1">
          <cell r="R1">
            <v>1.1032381499999999</v>
          </cell>
        </row>
      </sheetData>
      <sheetData sheetId="1631">
        <row r="1">
          <cell r="R1">
            <v>1.1032381499999999</v>
          </cell>
        </row>
      </sheetData>
      <sheetData sheetId="1632">
        <row r="1">
          <cell r="R1">
            <v>1.1032381499999999</v>
          </cell>
        </row>
      </sheetData>
      <sheetData sheetId="1633">
        <row r="1">
          <cell r="R1">
            <v>1.1032381499999999</v>
          </cell>
        </row>
      </sheetData>
      <sheetData sheetId="1634">
        <row r="1">
          <cell r="R1">
            <v>1.1032381499999999</v>
          </cell>
        </row>
      </sheetData>
      <sheetData sheetId="1635">
        <row r="1">
          <cell r="R1">
            <v>1.1032381499999999</v>
          </cell>
        </row>
      </sheetData>
      <sheetData sheetId="1636">
        <row r="1">
          <cell r="R1">
            <v>1.1032381499999999</v>
          </cell>
        </row>
      </sheetData>
      <sheetData sheetId="1637">
        <row r="1">
          <cell r="R1">
            <v>1.1032381499999999</v>
          </cell>
        </row>
      </sheetData>
      <sheetData sheetId="1638">
        <row r="1">
          <cell r="R1">
            <v>1.1032381499999999</v>
          </cell>
        </row>
      </sheetData>
      <sheetData sheetId="1639">
        <row r="1">
          <cell r="R1">
            <v>1.1032381499999999</v>
          </cell>
        </row>
      </sheetData>
      <sheetData sheetId="1640">
        <row r="1">
          <cell r="R1">
            <v>1.1032381499999999</v>
          </cell>
        </row>
      </sheetData>
      <sheetData sheetId="1641">
        <row r="1">
          <cell r="R1">
            <v>1.1032381499999999</v>
          </cell>
        </row>
      </sheetData>
      <sheetData sheetId="1642">
        <row r="1">
          <cell r="R1">
            <v>1.1032381499999999</v>
          </cell>
        </row>
      </sheetData>
      <sheetData sheetId="1643">
        <row r="1">
          <cell r="R1">
            <v>1.1032381499999999</v>
          </cell>
        </row>
      </sheetData>
      <sheetData sheetId="1644">
        <row r="1">
          <cell r="R1">
            <v>1.1032381499999999</v>
          </cell>
        </row>
      </sheetData>
      <sheetData sheetId="1645">
        <row r="1">
          <cell r="R1">
            <v>1.1032381499999999</v>
          </cell>
        </row>
      </sheetData>
      <sheetData sheetId="1646">
        <row r="1">
          <cell r="R1">
            <v>1.1032381499999999</v>
          </cell>
        </row>
      </sheetData>
      <sheetData sheetId="1647">
        <row r="1">
          <cell r="R1">
            <v>1.1032381499999999</v>
          </cell>
        </row>
      </sheetData>
      <sheetData sheetId="1648">
        <row r="1">
          <cell r="R1">
            <v>1.1032381499999999</v>
          </cell>
        </row>
      </sheetData>
      <sheetData sheetId="1649">
        <row r="1">
          <cell r="R1">
            <v>1.1032381499999999</v>
          </cell>
        </row>
      </sheetData>
      <sheetData sheetId="1650">
        <row r="1">
          <cell r="R1">
            <v>1.1032381499999999</v>
          </cell>
        </row>
      </sheetData>
      <sheetData sheetId="1651">
        <row r="1">
          <cell r="R1">
            <v>1.1032381499999999</v>
          </cell>
        </row>
      </sheetData>
      <sheetData sheetId="1652">
        <row r="1">
          <cell r="R1">
            <v>1.1032381499999999</v>
          </cell>
        </row>
      </sheetData>
      <sheetData sheetId="1653">
        <row r="1">
          <cell r="R1">
            <v>1.1032381499999999</v>
          </cell>
        </row>
      </sheetData>
      <sheetData sheetId="1654">
        <row r="1">
          <cell r="R1">
            <v>1.1032381499999999</v>
          </cell>
        </row>
      </sheetData>
      <sheetData sheetId="1655">
        <row r="1">
          <cell r="R1">
            <v>1.1032381499999999</v>
          </cell>
        </row>
      </sheetData>
      <sheetData sheetId="1656">
        <row r="1">
          <cell r="R1">
            <v>1.1032381499999999</v>
          </cell>
        </row>
      </sheetData>
      <sheetData sheetId="1657">
        <row r="1">
          <cell r="R1">
            <v>1.1032381499999999</v>
          </cell>
        </row>
      </sheetData>
      <sheetData sheetId="1658">
        <row r="1">
          <cell r="R1">
            <v>1.1032381499999999</v>
          </cell>
        </row>
      </sheetData>
      <sheetData sheetId="1659">
        <row r="1">
          <cell r="R1">
            <v>1.1032381499999999</v>
          </cell>
        </row>
      </sheetData>
      <sheetData sheetId="1660">
        <row r="1">
          <cell r="R1">
            <v>1.1032381499999999</v>
          </cell>
        </row>
      </sheetData>
      <sheetData sheetId="1661">
        <row r="1">
          <cell r="R1">
            <v>1.1032381499999999</v>
          </cell>
        </row>
      </sheetData>
      <sheetData sheetId="1662">
        <row r="1">
          <cell r="R1">
            <v>1.1032381499999999</v>
          </cell>
        </row>
      </sheetData>
      <sheetData sheetId="1663">
        <row r="1">
          <cell r="R1">
            <v>1.1032381499999999</v>
          </cell>
        </row>
      </sheetData>
      <sheetData sheetId="1664">
        <row r="1">
          <cell r="R1">
            <v>1.1032381499999999</v>
          </cell>
        </row>
      </sheetData>
      <sheetData sheetId="1665">
        <row r="1">
          <cell r="R1">
            <v>1.1032381499999999</v>
          </cell>
        </row>
      </sheetData>
      <sheetData sheetId="1666">
        <row r="1">
          <cell r="R1">
            <v>1.1032381499999999</v>
          </cell>
        </row>
      </sheetData>
      <sheetData sheetId="1667">
        <row r="1">
          <cell r="R1">
            <v>1.1032381499999999</v>
          </cell>
        </row>
      </sheetData>
      <sheetData sheetId="1668">
        <row r="1">
          <cell r="R1">
            <v>1.1032381499999999</v>
          </cell>
        </row>
      </sheetData>
      <sheetData sheetId="1669">
        <row r="1">
          <cell r="R1">
            <v>1.1032381499999999</v>
          </cell>
        </row>
      </sheetData>
      <sheetData sheetId="1670">
        <row r="1">
          <cell r="R1">
            <v>1.1032381499999999</v>
          </cell>
        </row>
      </sheetData>
      <sheetData sheetId="1671">
        <row r="1">
          <cell r="R1">
            <v>1.1032381499999999</v>
          </cell>
        </row>
      </sheetData>
      <sheetData sheetId="1672">
        <row r="1">
          <cell r="R1">
            <v>1.1032381499999999</v>
          </cell>
        </row>
      </sheetData>
      <sheetData sheetId="1673">
        <row r="1">
          <cell r="R1">
            <v>1.1032381499999999</v>
          </cell>
        </row>
      </sheetData>
      <sheetData sheetId="1674">
        <row r="1">
          <cell r="R1">
            <v>1.1032381499999999</v>
          </cell>
        </row>
      </sheetData>
      <sheetData sheetId="1675">
        <row r="1">
          <cell r="R1">
            <v>1.1032381499999999</v>
          </cell>
        </row>
      </sheetData>
      <sheetData sheetId="1676">
        <row r="1">
          <cell r="R1">
            <v>1.1032381499999999</v>
          </cell>
        </row>
      </sheetData>
      <sheetData sheetId="1677">
        <row r="1">
          <cell r="R1">
            <v>1.1032381499999999</v>
          </cell>
        </row>
      </sheetData>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ow r="1">
          <cell r="R1">
            <v>1.1032381499999999</v>
          </cell>
        </row>
      </sheetData>
      <sheetData sheetId="1692">
        <row r="1">
          <cell r="R1">
            <v>1.1032381499999999</v>
          </cell>
        </row>
      </sheetData>
      <sheetData sheetId="1693">
        <row r="1">
          <cell r="R1">
            <v>1.1032381499999999</v>
          </cell>
        </row>
      </sheetData>
      <sheetData sheetId="1694">
        <row r="1">
          <cell r="R1">
            <v>1.1032381499999999</v>
          </cell>
        </row>
      </sheetData>
      <sheetData sheetId="1695">
        <row r="1">
          <cell r="R1">
            <v>1.1032381499999999</v>
          </cell>
        </row>
      </sheetData>
      <sheetData sheetId="1696">
        <row r="1">
          <cell r="R1">
            <v>1.1032381499999999</v>
          </cell>
        </row>
      </sheetData>
      <sheetData sheetId="1697">
        <row r="1">
          <cell r="R1">
            <v>1.1032381499999999</v>
          </cell>
        </row>
      </sheetData>
      <sheetData sheetId="1698">
        <row r="1">
          <cell r="R1">
            <v>1.1032381499999999</v>
          </cell>
        </row>
      </sheetData>
      <sheetData sheetId="1699">
        <row r="1">
          <cell r="R1">
            <v>1.1032381499999999</v>
          </cell>
        </row>
      </sheetData>
      <sheetData sheetId="1700">
        <row r="1">
          <cell r="R1">
            <v>1.1032381499999999</v>
          </cell>
        </row>
      </sheetData>
      <sheetData sheetId="1701">
        <row r="1">
          <cell r="R1">
            <v>1.1032381499999999</v>
          </cell>
        </row>
      </sheetData>
      <sheetData sheetId="1702">
        <row r="1">
          <cell r="R1">
            <v>1.1032381499999999</v>
          </cell>
        </row>
      </sheetData>
      <sheetData sheetId="1703">
        <row r="1">
          <cell r="R1">
            <v>1.1032381499999999</v>
          </cell>
        </row>
      </sheetData>
      <sheetData sheetId="1704">
        <row r="1">
          <cell r="R1">
            <v>1.1032381499999999</v>
          </cell>
        </row>
      </sheetData>
      <sheetData sheetId="1705">
        <row r="1">
          <cell r="R1">
            <v>1.1032381499999999</v>
          </cell>
        </row>
      </sheetData>
      <sheetData sheetId="1706">
        <row r="1">
          <cell r="R1">
            <v>1.1032381499999999</v>
          </cell>
        </row>
      </sheetData>
      <sheetData sheetId="1707">
        <row r="1">
          <cell r="R1">
            <v>1.1032381499999999</v>
          </cell>
        </row>
      </sheetData>
      <sheetData sheetId="1708">
        <row r="1">
          <cell r="R1">
            <v>1.1032381499999999</v>
          </cell>
        </row>
      </sheetData>
      <sheetData sheetId="1709">
        <row r="1">
          <cell r="R1">
            <v>1.1032381499999999</v>
          </cell>
        </row>
      </sheetData>
      <sheetData sheetId="1710">
        <row r="1">
          <cell r="R1">
            <v>1.1032381499999999</v>
          </cell>
        </row>
      </sheetData>
      <sheetData sheetId="1711">
        <row r="1">
          <cell r="R1">
            <v>1.1032381499999999</v>
          </cell>
        </row>
      </sheetData>
      <sheetData sheetId="1712">
        <row r="1">
          <cell r="R1">
            <v>1.1032381499999999</v>
          </cell>
        </row>
      </sheetData>
      <sheetData sheetId="1713">
        <row r="1">
          <cell r="R1">
            <v>1.1032381499999999</v>
          </cell>
        </row>
      </sheetData>
      <sheetData sheetId="1714">
        <row r="1">
          <cell r="R1">
            <v>1.1032381499999999</v>
          </cell>
        </row>
      </sheetData>
      <sheetData sheetId="1715">
        <row r="1">
          <cell r="R1">
            <v>1.1032381499999999</v>
          </cell>
        </row>
      </sheetData>
      <sheetData sheetId="1716">
        <row r="1">
          <cell r="R1">
            <v>1.1032381499999999</v>
          </cell>
        </row>
      </sheetData>
      <sheetData sheetId="1717">
        <row r="1">
          <cell r="R1">
            <v>1.1032381499999999</v>
          </cell>
        </row>
      </sheetData>
      <sheetData sheetId="1718">
        <row r="1">
          <cell r="R1">
            <v>1.1032381499999999</v>
          </cell>
        </row>
      </sheetData>
      <sheetData sheetId="1719">
        <row r="1">
          <cell r="R1">
            <v>1.1032381499999999</v>
          </cell>
        </row>
      </sheetData>
      <sheetData sheetId="1720">
        <row r="1">
          <cell r="R1">
            <v>1.1032381499999999</v>
          </cell>
        </row>
      </sheetData>
      <sheetData sheetId="1721">
        <row r="1">
          <cell r="R1">
            <v>1.1032381499999999</v>
          </cell>
        </row>
      </sheetData>
      <sheetData sheetId="1722">
        <row r="1">
          <cell r="R1">
            <v>1.1032381499999999</v>
          </cell>
        </row>
      </sheetData>
      <sheetData sheetId="1723">
        <row r="1">
          <cell r="R1">
            <v>1.1032381499999999</v>
          </cell>
        </row>
      </sheetData>
      <sheetData sheetId="1724">
        <row r="1">
          <cell r="R1">
            <v>1.1032381499999999</v>
          </cell>
        </row>
      </sheetData>
      <sheetData sheetId="1725">
        <row r="1">
          <cell r="R1">
            <v>1.1032381499999999</v>
          </cell>
        </row>
      </sheetData>
      <sheetData sheetId="1726">
        <row r="1">
          <cell r="R1">
            <v>1.1032381499999999</v>
          </cell>
        </row>
      </sheetData>
      <sheetData sheetId="1727">
        <row r="1">
          <cell r="R1">
            <v>1.1032381499999999</v>
          </cell>
        </row>
      </sheetData>
      <sheetData sheetId="1728">
        <row r="1">
          <cell r="R1">
            <v>1.1032381499999999</v>
          </cell>
        </row>
      </sheetData>
      <sheetData sheetId="1729">
        <row r="1">
          <cell r="R1">
            <v>1.1032381499999999</v>
          </cell>
        </row>
      </sheetData>
      <sheetData sheetId="1730">
        <row r="1">
          <cell r="R1">
            <v>1.1032381499999999</v>
          </cell>
        </row>
      </sheetData>
      <sheetData sheetId="1731">
        <row r="1">
          <cell r="R1">
            <v>1.1032381499999999</v>
          </cell>
        </row>
      </sheetData>
      <sheetData sheetId="1732">
        <row r="1">
          <cell r="R1">
            <v>1.1032381499999999</v>
          </cell>
        </row>
      </sheetData>
      <sheetData sheetId="1733">
        <row r="1">
          <cell r="R1">
            <v>1.1032381499999999</v>
          </cell>
        </row>
      </sheetData>
      <sheetData sheetId="1734">
        <row r="1">
          <cell r="R1">
            <v>1.1032381499999999</v>
          </cell>
        </row>
      </sheetData>
      <sheetData sheetId="1735">
        <row r="1">
          <cell r="R1">
            <v>1.1032381499999999</v>
          </cell>
        </row>
      </sheetData>
      <sheetData sheetId="1736">
        <row r="1">
          <cell r="R1">
            <v>1.1032381499999999</v>
          </cell>
        </row>
      </sheetData>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ow r="1">
          <cell r="R1">
            <v>1.1032381499999999</v>
          </cell>
        </row>
      </sheetData>
      <sheetData sheetId="1751">
        <row r="1">
          <cell r="R1">
            <v>1.1032381499999999</v>
          </cell>
        </row>
      </sheetData>
      <sheetData sheetId="1752">
        <row r="1">
          <cell r="R1">
            <v>1.1032381499999999</v>
          </cell>
        </row>
      </sheetData>
      <sheetData sheetId="1753">
        <row r="1">
          <cell r="R1">
            <v>1.1032381499999999</v>
          </cell>
        </row>
      </sheetData>
      <sheetData sheetId="1754">
        <row r="1">
          <cell r="R1">
            <v>1.1032381499999999</v>
          </cell>
        </row>
      </sheetData>
      <sheetData sheetId="1755">
        <row r="1">
          <cell r="R1">
            <v>1.1032381499999999</v>
          </cell>
        </row>
      </sheetData>
      <sheetData sheetId="1756">
        <row r="1">
          <cell r="R1">
            <v>1.1032381499999999</v>
          </cell>
        </row>
      </sheetData>
      <sheetData sheetId="1757">
        <row r="1">
          <cell r="R1">
            <v>1.1032381499999999</v>
          </cell>
        </row>
      </sheetData>
      <sheetData sheetId="1758">
        <row r="1">
          <cell r="R1">
            <v>1.1032381499999999</v>
          </cell>
        </row>
      </sheetData>
      <sheetData sheetId="1759">
        <row r="1">
          <cell r="R1">
            <v>1.1032381499999999</v>
          </cell>
        </row>
      </sheetData>
      <sheetData sheetId="1760">
        <row r="1">
          <cell r="R1">
            <v>1.1032381499999999</v>
          </cell>
        </row>
      </sheetData>
      <sheetData sheetId="1761">
        <row r="1">
          <cell r="R1">
            <v>1.1032381499999999</v>
          </cell>
        </row>
      </sheetData>
      <sheetData sheetId="1762">
        <row r="1">
          <cell r="R1">
            <v>1.1032381499999999</v>
          </cell>
        </row>
      </sheetData>
      <sheetData sheetId="1763">
        <row r="1">
          <cell r="R1">
            <v>1.1032381499999999</v>
          </cell>
        </row>
      </sheetData>
      <sheetData sheetId="1764">
        <row r="1">
          <cell r="R1">
            <v>1.1032381499999999</v>
          </cell>
        </row>
      </sheetData>
      <sheetData sheetId="1765">
        <row r="1">
          <cell r="R1">
            <v>1.1032381499999999</v>
          </cell>
        </row>
      </sheetData>
      <sheetData sheetId="1766">
        <row r="1">
          <cell r="R1">
            <v>1.1032381499999999</v>
          </cell>
        </row>
      </sheetData>
      <sheetData sheetId="1767">
        <row r="1">
          <cell r="R1">
            <v>1.1032381499999999</v>
          </cell>
        </row>
      </sheetData>
      <sheetData sheetId="1768">
        <row r="1">
          <cell r="R1">
            <v>1.1032381499999999</v>
          </cell>
        </row>
      </sheetData>
      <sheetData sheetId="1769">
        <row r="1">
          <cell r="R1">
            <v>1.1032381499999999</v>
          </cell>
        </row>
      </sheetData>
      <sheetData sheetId="1770">
        <row r="1">
          <cell r="R1">
            <v>1.1032381499999999</v>
          </cell>
        </row>
      </sheetData>
      <sheetData sheetId="1771">
        <row r="1">
          <cell r="R1">
            <v>1.1032381499999999</v>
          </cell>
        </row>
      </sheetData>
      <sheetData sheetId="1772">
        <row r="1">
          <cell r="R1">
            <v>1.1032381499999999</v>
          </cell>
        </row>
      </sheetData>
      <sheetData sheetId="1773">
        <row r="1">
          <cell r="R1">
            <v>1.1032381499999999</v>
          </cell>
        </row>
      </sheetData>
      <sheetData sheetId="1774">
        <row r="1">
          <cell r="R1">
            <v>1.1032381499999999</v>
          </cell>
        </row>
      </sheetData>
      <sheetData sheetId="1775">
        <row r="1">
          <cell r="R1">
            <v>1.1032381499999999</v>
          </cell>
        </row>
      </sheetData>
      <sheetData sheetId="1776">
        <row r="1">
          <cell r="R1">
            <v>1.1032381499999999</v>
          </cell>
        </row>
      </sheetData>
      <sheetData sheetId="1777">
        <row r="1">
          <cell r="R1">
            <v>1.1032381499999999</v>
          </cell>
        </row>
      </sheetData>
      <sheetData sheetId="1778">
        <row r="1">
          <cell r="R1">
            <v>1.1032381499999999</v>
          </cell>
        </row>
      </sheetData>
      <sheetData sheetId="1779">
        <row r="1">
          <cell r="R1">
            <v>1.1032381499999999</v>
          </cell>
        </row>
      </sheetData>
      <sheetData sheetId="1780">
        <row r="1">
          <cell r="R1">
            <v>1.1032381499999999</v>
          </cell>
        </row>
      </sheetData>
      <sheetData sheetId="1781">
        <row r="1">
          <cell r="R1">
            <v>1.1032381499999999</v>
          </cell>
        </row>
      </sheetData>
      <sheetData sheetId="1782">
        <row r="1">
          <cell r="R1">
            <v>1.1032381499999999</v>
          </cell>
        </row>
      </sheetData>
      <sheetData sheetId="1783">
        <row r="1">
          <cell r="R1">
            <v>1.1032381499999999</v>
          </cell>
        </row>
      </sheetData>
      <sheetData sheetId="1784">
        <row r="1">
          <cell r="R1">
            <v>1.1032381499999999</v>
          </cell>
        </row>
      </sheetData>
      <sheetData sheetId="1785">
        <row r="1">
          <cell r="R1">
            <v>1.1032381499999999</v>
          </cell>
        </row>
      </sheetData>
      <sheetData sheetId="1786">
        <row r="1">
          <cell r="R1">
            <v>1.1032381499999999</v>
          </cell>
        </row>
      </sheetData>
      <sheetData sheetId="1787">
        <row r="1">
          <cell r="R1">
            <v>1.1032381499999999</v>
          </cell>
        </row>
      </sheetData>
      <sheetData sheetId="1788">
        <row r="1">
          <cell r="R1">
            <v>1.1032381499999999</v>
          </cell>
        </row>
      </sheetData>
      <sheetData sheetId="1789">
        <row r="1">
          <cell r="R1">
            <v>1.1032381499999999</v>
          </cell>
        </row>
      </sheetData>
      <sheetData sheetId="1790">
        <row r="1">
          <cell r="R1">
            <v>1.1032381499999999</v>
          </cell>
        </row>
      </sheetData>
      <sheetData sheetId="1791">
        <row r="1">
          <cell r="R1">
            <v>1.1032381499999999</v>
          </cell>
        </row>
      </sheetData>
      <sheetData sheetId="1792">
        <row r="1">
          <cell r="R1">
            <v>1.1032381499999999</v>
          </cell>
        </row>
      </sheetData>
      <sheetData sheetId="1793">
        <row r="1">
          <cell r="R1">
            <v>1.1032381499999999</v>
          </cell>
        </row>
      </sheetData>
      <sheetData sheetId="1794">
        <row r="1">
          <cell r="R1">
            <v>1.1032381499999999</v>
          </cell>
        </row>
      </sheetData>
      <sheetData sheetId="1795">
        <row r="1">
          <cell r="R1">
            <v>1.1032381499999999</v>
          </cell>
        </row>
      </sheetData>
      <sheetData sheetId="1796">
        <row r="1">
          <cell r="R1">
            <v>1.1032381499999999</v>
          </cell>
        </row>
      </sheetData>
      <sheetData sheetId="1797">
        <row r="1">
          <cell r="R1">
            <v>1.1032381499999999</v>
          </cell>
        </row>
      </sheetData>
      <sheetData sheetId="1798">
        <row r="1">
          <cell r="R1">
            <v>1.1032381499999999</v>
          </cell>
        </row>
      </sheetData>
      <sheetData sheetId="1799">
        <row r="1">
          <cell r="R1">
            <v>1.1032381499999999</v>
          </cell>
        </row>
      </sheetData>
      <sheetData sheetId="1800">
        <row r="1">
          <cell r="R1">
            <v>1.1032381499999999</v>
          </cell>
        </row>
      </sheetData>
      <sheetData sheetId="1801">
        <row r="1">
          <cell r="R1">
            <v>1.1032381499999999</v>
          </cell>
        </row>
      </sheetData>
      <sheetData sheetId="1802">
        <row r="1">
          <cell r="R1">
            <v>1.1032381499999999</v>
          </cell>
        </row>
      </sheetData>
      <sheetData sheetId="1803">
        <row r="1">
          <cell r="R1">
            <v>1.1032381499999999</v>
          </cell>
        </row>
      </sheetData>
      <sheetData sheetId="1804">
        <row r="1">
          <cell r="R1">
            <v>1.1032381499999999</v>
          </cell>
        </row>
      </sheetData>
      <sheetData sheetId="1805">
        <row r="1">
          <cell r="R1">
            <v>1.1032381499999999</v>
          </cell>
        </row>
      </sheetData>
      <sheetData sheetId="1806">
        <row r="1">
          <cell r="R1">
            <v>1.1032381499999999</v>
          </cell>
        </row>
      </sheetData>
      <sheetData sheetId="1807">
        <row r="1">
          <cell r="R1">
            <v>1.1032381499999999</v>
          </cell>
        </row>
      </sheetData>
      <sheetData sheetId="1808">
        <row r="1">
          <cell r="R1">
            <v>1.1032381499999999</v>
          </cell>
        </row>
      </sheetData>
      <sheetData sheetId="1809">
        <row r="1">
          <cell r="R1">
            <v>1.1032381499999999</v>
          </cell>
        </row>
      </sheetData>
      <sheetData sheetId="1810">
        <row r="1">
          <cell r="R1">
            <v>1.1032381499999999</v>
          </cell>
        </row>
      </sheetData>
      <sheetData sheetId="1811">
        <row r="1">
          <cell r="R1">
            <v>1.1032381499999999</v>
          </cell>
        </row>
      </sheetData>
      <sheetData sheetId="1812">
        <row r="1">
          <cell r="R1">
            <v>1.1032381499999999</v>
          </cell>
        </row>
      </sheetData>
      <sheetData sheetId="1813">
        <row r="1">
          <cell r="R1">
            <v>1.1032381499999999</v>
          </cell>
        </row>
      </sheetData>
      <sheetData sheetId="1814">
        <row r="1">
          <cell r="R1">
            <v>1.1032381499999999</v>
          </cell>
        </row>
      </sheetData>
      <sheetData sheetId="1815">
        <row r="1">
          <cell r="R1">
            <v>1.1032381499999999</v>
          </cell>
        </row>
      </sheetData>
      <sheetData sheetId="1816">
        <row r="1">
          <cell r="R1">
            <v>1.1032381499999999</v>
          </cell>
        </row>
      </sheetData>
      <sheetData sheetId="1817">
        <row r="1">
          <cell r="R1">
            <v>1.1032381499999999</v>
          </cell>
        </row>
      </sheetData>
      <sheetData sheetId="1818">
        <row r="1">
          <cell r="R1">
            <v>1.1032381499999999</v>
          </cell>
        </row>
      </sheetData>
      <sheetData sheetId="1819">
        <row r="1">
          <cell r="R1">
            <v>1.1032381499999999</v>
          </cell>
        </row>
      </sheetData>
      <sheetData sheetId="1820">
        <row r="1">
          <cell r="R1">
            <v>1.1032381499999999</v>
          </cell>
        </row>
      </sheetData>
      <sheetData sheetId="1821">
        <row r="1">
          <cell r="R1">
            <v>1.1032381499999999</v>
          </cell>
        </row>
      </sheetData>
      <sheetData sheetId="1822">
        <row r="1">
          <cell r="R1">
            <v>1.1032381499999999</v>
          </cell>
        </row>
      </sheetData>
      <sheetData sheetId="1823">
        <row r="1">
          <cell r="R1">
            <v>1.1032381499999999</v>
          </cell>
        </row>
      </sheetData>
      <sheetData sheetId="1824">
        <row r="1">
          <cell r="R1">
            <v>1.1032381499999999</v>
          </cell>
        </row>
      </sheetData>
      <sheetData sheetId="1825">
        <row r="1">
          <cell r="R1">
            <v>1.1032381499999999</v>
          </cell>
        </row>
      </sheetData>
      <sheetData sheetId="1826">
        <row r="1">
          <cell r="R1">
            <v>1.1032381499999999</v>
          </cell>
        </row>
      </sheetData>
      <sheetData sheetId="1827">
        <row r="1">
          <cell r="R1">
            <v>1.1032381499999999</v>
          </cell>
        </row>
      </sheetData>
      <sheetData sheetId="1828">
        <row r="1">
          <cell r="R1">
            <v>1.1032381499999999</v>
          </cell>
        </row>
      </sheetData>
      <sheetData sheetId="1829">
        <row r="1">
          <cell r="R1">
            <v>1.1032381499999999</v>
          </cell>
        </row>
      </sheetData>
      <sheetData sheetId="1830">
        <row r="1">
          <cell r="R1">
            <v>1.1032381499999999</v>
          </cell>
        </row>
      </sheetData>
      <sheetData sheetId="1831">
        <row r="1">
          <cell r="R1">
            <v>1.1032381499999999</v>
          </cell>
        </row>
      </sheetData>
      <sheetData sheetId="1832">
        <row r="1">
          <cell r="R1">
            <v>1.1032381499999999</v>
          </cell>
        </row>
      </sheetData>
      <sheetData sheetId="1833">
        <row r="1">
          <cell r="R1">
            <v>1.1032381499999999</v>
          </cell>
        </row>
      </sheetData>
      <sheetData sheetId="1834">
        <row r="1">
          <cell r="R1">
            <v>1.1032381499999999</v>
          </cell>
        </row>
      </sheetData>
      <sheetData sheetId="1835">
        <row r="1">
          <cell r="R1">
            <v>1.1032381499999999</v>
          </cell>
        </row>
      </sheetData>
      <sheetData sheetId="1836">
        <row r="1">
          <cell r="R1">
            <v>1.1032381499999999</v>
          </cell>
        </row>
      </sheetData>
      <sheetData sheetId="1837">
        <row r="1">
          <cell r="R1">
            <v>1.1032381499999999</v>
          </cell>
        </row>
      </sheetData>
      <sheetData sheetId="1838">
        <row r="1">
          <cell r="R1">
            <v>1.1032381499999999</v>
          </cell>
        </row>
      </sheetData>
      <sheetData sheetId="1839">
        <row r="1">
          <cell r="R1">
            <v>1.1032381499999999</v>
          </cell>
        </row>
      </sheetData>
      <sheetData sheetId="1840">
        <row r="1">
          <cell r="R1">
            <v>1.1032381499999999</v>
          </cell>
        </row>
      </sheetData>
      <sheetData sheetId="1841">
        <row r="1">
          <cell r="R1">
            <v>1.1032381499999999</v>
          </cell>
        </row>
      </sheetData>
      <sheetData sheetId="1842">
        <row r="1">
          <cell r="R1">
            <v>1.1032381499999999</v>
          </cell>
        </row>
      </sheetData>
      <sheetData sheetId="1843">
        <row r="1">
          <cell r="R1">
            <v>1.1032381499999999</v>
          </cell>
        </row>
      </sheetData>
      <sheetData sheetId="1844">
        <row r="1">
          <cell r="R1">
            <v>1.1032381499999999</v>
          </cell>
        </row>
      </sheetData>
      <sheetData sheetId="1845">
        <row r="1">
          <cell r="R1">
            <v>1.1032381499999999</v>
          </cell>
        </row>
      </sheetData>
      <sheetData sheetId="1846">
        <row r="1">
          <cell r="R1">
            <v>1.1032381499999999</v>
          </cell>
        </row>
      </sheetData>
      <sheetData sheetId="1847">
        <row r="1">
          <cell r="R1">
            <v>1.1032381499999999</v>
          </cell>
        </row>
      </sheetData>
      <sheetData sheetId="1848">
        <row r="1">
          <cell r="R1">
            <v>1.1032381499999999</v>
          </cell>
        </row>
      </sheetData>
      <sheetData sheetId="1849">
        <row r="1">
          <cell r="R1">
            <v>1.1032381499999999</v>
          </cell>
        </row>
      </sheetData>
      <sheetData sheetId="1850">
        <row r="1">
          <cell r="R1">
            <v>1.1032381499999999</v>
          </cell>
        </row>
      </sheetData>
      <sheetData sheetId="1851">
        <row r="1">
          <cell r="R1">
            <v>1.1032381499999999</v>
          </cell>
        </row>
      </sheetData>
      <sheetData sheetId="1852">
        <row r="1">
          <cell r="R1">
            <v>1.1032381499999999</v>
          </cell>
        </row>
      </sheetData>
      <sheetData sheetId="1853">
        <row r="1">
          <cell r="R1">
            <v>1.1032381499999999</v>
          </cell>
        </row>
      </sheetData>
      <sheetData sheetId="1854">
        <row r="1">
          <cell r="R1">
            <v>1.1032381499999999</v>
          </cell>
        </row>
      </sheetData>
      <sheetData sheetId="1855">
        <row r="1">
          <cell r="R1">
            <v>1.1032381499999999</v>
          </cell>
        </row>
      </sheetData>
      <sheetData sheetId="1856">
        <row r="1">
          <cell r="R1">
            <v>1.1032381499999999</v>
          </cell>
        </row>
      </sheetData>
      <sheetData sheetId="1857">
        <row r="1">
          <cell r="R1">
            <v>1.1032381499999999</v>
          </cell>
        </row>
      </sheetData>
      <sheetData sheetId="1858">
        <row r="1">
          <cell r="R1">
            <v>1.1032381499999999</v>
          </cell>
        </row>
      </sheetData>
      <sheetData sheetId="1859">
        <row r="1">
          <cell r="R1">
            <v>1.1032381499999999</v>
          </cell>
        </row>
      </sheetData>
      <sheetData sheetId="1860">
        <row r="1">
          <cell r="R1">
            <v>1.1032381499999999</v>
          </cell>
        </row>
      </sheetData>
      <sheetData sheetId="1861">
        <row r="1">
          <cell r="R1">
            <v>1.1032381499999999</v>
          </cell>
        </row>
      </sheetData>
      <sheetData sheetId="1862">
        <row r="1">
          <cell r="R1">
            <v>1.1032381499999999</v>
          </cell>
        </row>
      </sheetData>
      <sheetData sheetId="1863">
        <row r="1">
          <cell r="R1">
            <v>1.1032381499999999</v>
          </cell>
        </row>
      </sheetData>
      <sheetData sheetId="1864">
        <row r="1">
          <cell r="R1">
            <v>1.1032381499999999</v>
          </cell>
        </row>
      </sheetData>
      <sheetData sheetId="1865">
        <row r="1">
          <cell r="R1">
            <v>1.1032381499999999</v>
          </cell>
        </row>
      </sheetData>
      <sheetData sheetId="1866">
        <row r="1">
          <cell r="R1">
            <v>1.1032381499999999</v>
          </cell>
        </row>
      </sheetData>
      <sheetData sheetId="1867">
        <row r="1">
          <cell r="R1">
            <v>1.1032381499999999</v>
          </cell>
        </row>
      </sheetData>
      <sheetData sheetId="1868">
        <row r="1">
          <cell r="R1">
            <v>1.1032381499999999</v>
          </cell>
        </row>
      </sheetData>
      <sheetData sheetId="1869">
        <row r="1">
          <cell r="R1">
            <v>1.1032381499999999</v>
          </cell>
        </row>
      </sheetData>
      <sheetData sheetId="1870">
        <row r="1">
          <cell r="R1">
            <v>1.1032381499999999</v>
          </cell>
        </row>
      </sheetData>
      <sheetData sheetId="1871">
        <row r="1">
          <cell r="R1">
            <v>1.1032381499999999</v>
          </cell>
        </row>
      </sheetData>
      <sheetData sheetId="1872">
        <row r="1">
          <cell r="R1">
            <v>1.1032381499999999</v>
          </cell>
        </row>
      </sheetData>
      <sheetData sheetId="1873">
        <row r="1">
          <cell r="R1">
            <v>1.1032381499999999</v>
          </cell>
        </row>
      </sheetData>
      <sheetData sheetId="1874">
        <row r="1">
          <cell r="R1">
            <v>1.1032381499999999</v>
          </cell>
        </row>
      </sheetData>
      <sheetData sheetId="1875">
        <row r="1">
          <cell r="R1">
            <v>1.1032381499999999</v>
          </cell>
        </row>
      </sheetData>
      <sheetData sheetId="1876">
        <row r="1">
          <cell r="R1">
            <v>1.1032381499999999</v>
          </cell>
        </row>
      </sheetData>
      <sheetData sheetId="1877">
        <row r="1">
          <cell r="R1">
            <v>1.1032381499999999</v>
          </cell>
        </row>
      </sheetData>
      <sheetData sheetId="1878">
        <row r="1">
          <cell r="R1">
            <v>1.1032381499999999</v>
          </cell>
        </row>
      </sheetData>
      <sheetData sheetId="1879">
        <row r="1">
          <cell r="R1">
            <v>1.1032381499999999</v>
          </cell>
        </row>
      </sheetData>
      <sheetData sheetId="1880">
        <row r="1">
          <cell r="R1">
            <v>1.1032381499999999</v>
          </cell>
        </row>
      </sheetData>
      <sheetData sheetId="1881">
        <row r="1">
          <cell r="R1">
            <v>1.1032381499999999</v>
          </cell>
        </row>
      </sheetData>
      <sheetData sheetId="1882">
        <row r="1">
          <cell r="R1">
            <v>1.1032381499999999</v>
          </cell>
        </row>
      </sheetData>
      <sheetData sheetId="1883">
        <row r="1">
          <cell r="R1">
            <v>1.1032381499999999</v>
          </cell>
        </row>
      </sheetData>
      <sheetData sheetId="1884">
        <row r="1">
          <cell r="R1">
            <v>1.1032381499999999</v>
          </cell>
        </row>
      </sheetData>
      <sheetData sheetId="1885">
        <row r="1">
          <cell r="R1">
            <v>1.1032381499999999</v>
          </cell>
        </row>
      </sheetData>
      <sheetData sheetId="1886">
        <row r="1">
          <cell r="R1">
            <v>1.1032381499999999</v>
          </cell>
        </row>
      </sheetData>
      <sheetData sheetId="1887">
        <row r="1">
          <cell r="R1">
            <v>1.1032381499999999</v>
          </cell>
        </row>
      </sheetData>
      <sheetData sheetId="1888">
        <row r="1">
          <cell r="R1">
            <v>1.1032381499999999</v>
          </cell>
        </row>
      </sheetData>
      <sheetData sheetId="1889">
        <row r="1">
          <cell r="R1">
            <v>1.1032381499999999</v>
          </cell>
        </row>
      </sheetData>
      <sheetData sheetId="1890">
        <row r="1">
          <cell r="R1">
            <v>1.1032381499999999</v>
          </cell>
        </row>
      </sheetData>
      <sheetData sheetId="1891">
        <row r="1">
          <cell r="R1">
            <v>1.1032381499999999</v>
          </cell>
        </row>
      </sheetData>
      <sheetData sheetId="1892">
        <row r="1">
          <cell r="R1">
            <v>1.1032381499999999</v>
          </cell>
        </row>
      </sheetData>
      <sheetData sheetId="1893">
        <row r="1">
          <cell r="R1">
            <v>1.1032381499999999</v>
          </cell>
        </row>
      </sheetData>
      <sheetData sheetId="1894">
        <row r="1">
          <cell r="R1">
            <v>1.1032381499999999</v>
          </cell>
        </row>
      </sheetData>
      <sheetData sheetId="1895">
        <row r="1">
          <cell r="R1">
            <v>1.1032381499999999</v>
          </cell>
        </row>
      </sheetData>
      <sheetData sheetId="1896">
        <row r="1">
          <cell r="R1">
            <v>1.1032381499999999</v>
          </cell>
        </row>
      </sheetData>
      <sheetData sheetId="1897">
        <row r="1">
          <cell r="R1">
            <v>1.1032381499999999</v>
          </cell>
        </row>
      </sheetData>
      <sheetData sheetId="1898">
        <row r="1">
          <cell r="R1">
            <v>1.1032381499999999</v>
          </cell>
        </row>
      </sheetData>
      <sheetData sheetId="1899">
        <row r="1">
          <cell r="R1">
            <v>1.1032381499999999</v>
          </cell>
        </row>
      </sheetData>
      <sheetData sheetId="1900">
        <row r="1">
          <cell r="R1">
            <v>1.1032381499999999</v>
          </cell>
        </row>
      </sheetData>
      <sheetData sheetId="1901">
        <row r="1">
          <cell r="R1">
            <v>1.1032381499999999</v>
          </cell>
        </row>
      </sheetData>
      <sheetData sheetId="1902">
        <row r="1">
          <cell r="R1">
            <v>1.1032381499999999</v>
          </cell>
        </row>
      </sheetData>
      <sheetData sheetId="1903">
        <row r="1">
          <cell r="R1">
            <v>1.1032381499999999</v>
          </cell>
        </row>
      </sheetData>
      <sheetData sheetId="1904">
        <row r="1">
          <cell r="R1">
            <v>1.1032381499999999</v>
          </cell>
        </row>
      </sheetData>
      <sheetData sheetId="1905">
        <row r="1">
          <cell r="R1">
            <v>1.1032381499999999</v>
          </cell>
        </row>
      </sheetData>
      <sheetData sheetId="1906">
        <row r="1">
          <cell r="R1">
            <v>1.1032381499999999</v>
          </cell>
        </row>
      </sheetData>
      <sheetData sheetId="1907">
        <row r="1">
          <cell r="R1">
            <v>1.1032381499999999</v>
          </cell>
        </row>
      </sheetData>
      <sheetData sheetId="1908">
        <row r="1">
          <cell r="R1">
            <v>1.1032381499999999</v>
          </cell>
        </row>
      </sheetData>
      <sheetData sheetId="1909">
        <row r="1">
          <cell r="R1">
            <v>1.1032381499999999</v>
          </cell>
        </row>
      </sheetData>
      <sheetData sheetId="1910">
        <row r="1">
          <cell r="R1">
            <v>1.1032381499999999</v>
          </cell>
        </row>
      </sheetData>
      <sheetData sheetId="1911">
        <row r="1">
          <cell r="R1">
            <v>1.1032381499999999</v>
          </cell>
        </row>
      </sheetData>
      <sheetData sheetId="1912">
        <row r="1">
          <cell r="R1">
            <v>1.1032381499999999</v>
          </cell>
        </row>
      </sheetData>
      <sheetData sheetId="1913">
        <row r="1">
          <cell r="R1">
            <v>1.1032381499999999</v>
          </cell>
        </row>
      </sheetData>
      <sheetData sheetId="1914">
        <row r="1">
          <cell r="R1">
            <v>1.1032381499999999</v>
          </cell>
        </row>
      </sheetData>
      <sheetData sheetId="1915">
        <row r="1">
          <cell r="R1">
            <v>1.1032381499999999</v>
          </cell>
        </row>
      </sheetData>
      <sheetData sheetId="1916">
        <row r="1">
          <cell r="R1">
            <v>1.1032381499999999</v>
          </cell>
        </row>
      </sheetData>
      <sheetData sheetId="1917">
        <row r="1">
          <cell r="R1">
            <v>1.1032381499999999</v>
          </cell>
        </row>
      </sheetData>
      <sheetData sheetId="1918">
        <row r="1">
          <cell r="R1">
            <v>1.1032381499999999</v>
          </cell>
        </row>
      </sheetData>
      <sheetData sheetId="1919">
        <row r="1">
          <cell r="R1">
            <v>1.1032381499999999</v>
          </cell>
        </row>
      </sheetData>
      <sheetData sheetId="1920">
        <row r="1">
          <cell r="R1">
            <v>1.1032381499999999</v>
          </cell>
        </row>
      </sheetData>
      <sheetData sheetId="1921">
        <row r="1">
          <cell r="R1">
            <v>1.1032381499999999</v>
          </cell>
        </row>
      </sheetData>
      <sheetData sheetId="1922">
        <row r="1">
          <cell r="R1">
            <v>1.1032381499999999</v>
          </cell>
        </row>
      </sheetData>
      <sheetData sheetId="1923">
        <row r="1">
          <cell r="R1">
            <v>1.1032381499999999</v>
          </cell>
        </row>
      </sheetData>
      <sheetData sheetId="1924">
        <row r="1">
          <cell r="R1">
            <v>1.1032381499999999</v>
          </cell>
        </row>
      </sheetData>
      <sheetData sheetId="1925">
        <row r="1">
          <cell r="R1">
            <v>1.1032381499999999</v>
          </cell>
        </row>
      </sheetData>
      <sheetData sheetId="1926">
        <row r="1">
          <cell r="R1">
            <v>1.1032381499999999</v>
          </cell>
        </row>
      </sheetData>
      <sheetData sheetId="1927">
        <row r="1">
          <cell r="R1">
            <v>1.1032381499999999</v>
          </cell>
        </row>
      </sheetData>
      <sheetData sheetId="1928">
        <row r="1">
          <cell r="R1">
            <v>1.1032381499999999</v>
          </cell>
        </row>
      </sheetData>
      <sheetData sheetId="1929">
        <row r="1">
          <cell r="R1">
            <v>1.1032381499999999</v>
          </cell>
        </row>
      </sheetData>
      <sheetData sheetId="1930">
        <row r="1">
          <cell r="R1">
            <v>1.1032381499999999</v>
          </cell>
        </row>
      </sheetData>
      <sheetData sheetId="1931">
        <row r="1">
          <cell r="R1">
            <v>1.1032381499999999</v>
          </cell>
        </row>
      </sheetData>
      <sheetData sheetId="1932">
        <row r="1">
          <cell r="R1">
            <v>1.1032381499999999</v>
          </cell>
        </row>
      </sheetData>
      <sheetData sheetId="1933">
        <row r="1">
          <cell r="R1">
            <v>1.1032381499999999</v>
          </cell>
        </row>
      </sheetData>
      <sheetData sheetId="1934">
        <row r="1">
          <cell r="R1">
            <v>1.1032381499999999</v>
          </cell>
        </row>
      </sheetData>
      <sheetData sheetId="1935">
        <row r="1">
          <cell r="R1">
            <v>1.1032381499999999</v>
          </cell>
        </row>
      </sheetData>
      <sheetData sheetId="1936">
        <row r="1">
          <cell r="R1">
            <v>1.1032381499999999</v>
          </cell>
        </row>
      </sheetData>
      <sheetData sheetId="1937">
        <row r="1">
          <cell r="R1">
            <v>1.1032381499999999</v>
          </cell>
        </row>
      </sheetData>
      <sheetData sheetId="1938">
        <row r="1">
          <cell r="R1">
            <v>1.1032381499999999</v>
          </cell>
        </row>
      </sheetData>
      <sheetData sheetId="1939">
        <row r="1">
          <cell r="R1">
            <v>1.1032381499999999</v>
          </cell>
        </row>
      </sheetData>
      <sheetData sheetId="1940">
        <row r="1">
          <cell r="R1">
            <v>1.1032381499999999</v>
          </cell>
        </row>
      </sheetData>
      <sheetData sheetId="1941">
        <row r="1">
          <cell r="R1">
            <v>1.1032381499999999</v>
          </cell>
        </row>
      </sheetData>
      <sheetData sheetId="1942">
        <row r="1">
          <cell r="R1">
            <v>1.1032381499999999</v>
          </cell>
        </row>
      </sheetData>
      <sheetData sheetId="1943">
        <row r="1">
          <cell r="R1">
            <v>1.1032381499999999</v>
          </cell>
        </row>
      </sheetData>
      <sheetData sheetId="1944">
        <row r="1">
          <cell r="R1">
            <v>1.1032381499999999</v>
          </cell>
        </row>
      </sheetData>
      <sheetData sheetId="1945">
        <row r="1">
          <cell r="R1">
            <v>1.1032381499999999</v>
          </cell>
        </row>
      </sheetData>
      <sheetData sheetId="1946">
        <row r="1">
          <cell r="R1">
            <v>1.1032381499999999</v>
          </cell>
        </row>
      </sheetData>
      <sheetData sheetId="1947">
        <row r="1">
          <cell r="R1">
            <v>1.1032381499999999</v>
          </cell>
        </row>
      </sheetData>
      <sheetData sheetId="1948">
        <row r="1">
          <cell r="R1">
            <v>1.1032381499999999</v>
          </cell>
        </row>
      </sheetData>
      <sheetData sheetId="1949">
        <row r="1">
          <cell r="R1">
            <v>1.1032381499999999</v>
          </cell>
        </row>
      </sheetData>
      <sheetData sheetId="1950">
        <row r="1">
          <cell r="R1">
            <v>1.1032381499999999</v>
          </cell>
        </row>
      </sheetData>
      <sheetData sheetId="1951">
        <row r="1">
          <cell r="R1">
            <v>1.1032381499999999</v>
          </cell>
        </row>
      </sheetData>
      <sheetData sheetId="1952">
        <row r="1">
          <cell r="R1">
            <v>1.1032381499999999</v>
          </cell>
        </row>
      </sheetData>
      <sheetData sheetId="1953">
        <row r="1">
          <cell r="R1">
            <v>1.1032381499999999</v>
          </cell>
        </row>
      </sheetData>
      <sheetData sheetId="1954">
        <row r="1">
          <cell r="R1">
            <v>1.1032381499999999</v>
          </cell>
        </row>
      </sheetData>
      <sheetData sheetId="1955">
        <row r="1">
          <cell r="R1">
            <v>1.1032381499999999</v>
          </cell>
        </row>
      </sheetData>
      <sheetData sheetId="1956">
        <row r="1">
          <cell r="R1">
            <v>1.1032381499999999</v>
          </cell>
        </row>
      </sheetData>
      <sheetData sheetId="1957">
        <row r="1">
          <cell r="R1">
            <v>1.1032381499999999</v>
          </cell>
        </row>
      </sheetData>
      <sheetData sheetId="1958">
        <row r="1">
          <cell r="R1">
            <v>1.1032381499999999</v>
          </cell>
        </row>
      </sheetData>
      <sheetData sheetId="1959">
        <row r="1">
          <cell r="R1">
            <v>1.1032381499999999</v>
          </cell>
        </row>
      </sheetData>
      <sheetData sheetId="1960">
        <row r="1">
          <cell r="R1">
            <v>1.1032381499999999</v>
          </cell>
        </row>
      </sheetData>
      <sheetData sheetId="1961">
        <row r="1">
          <cell r="R1">
            <v>1.1032381499999999</v>
          </cell>
        </row>
      </sheetData>
      <sheetData sheetId="1962">
        <row r="1">
          <cell r="R1">
            <v>1.1032381499999999</v>
          </cell>
        </row>
      </sheetData>
      <sheetData sheetId="1963">
        <row r="1">
          <cell r="R1">
            <v>1.1032381499999999</v>
          </cell>
        </row>
      </sheetData>
      <sheetData sheetId="1964">
        <row r="1">
          <cell r="R1">
            <v>1.1032381499999999</v>
          </cell>
        </row>
      </sheetData>
      <sheetData sheetId="1965">
        <row r="1">
          <cell r="R1">
            <v>1.1032381499999999</v>
          </cell>
        </row>
      </sheetData>
      <sheetData sheetId="1966">
        <row r="1">
          <cell r="R1">
            <v>1.1032381499999999</v>
          </cell>
        </row>
      </sheetData>
      <sheetData sheetId="1967">
        <row r="1">
          <cell r="R1">
            <v>1.1032381499999999</v>
          </cell>
        </row>
      </sheetData>
      <sheetData sheetId="1968">
        <row r="1">
          <cell r="R1">
            <v>1.1032381499999999</v>
          </cell>
        </row>
      </sheetData>
      <sheetData sheetId="1969">
        <row r="1">
          <cell r="R1">
            <v>1.1032381499999999</v>
          </cell>
        </row>
      </sheetData>
      <sheetData sheetId="1970">
        <row r="1">
          <cell r="R1">
            <v>1.1032381499999999</v>
          </cell>
        </row>
      </sheetData>
      <sheetData sheetId="1971">
        <row r="1">
          <cell r="R1">
            <v>1.1032381499999999</v>
          </cell>
        </row>
      </sheetData>
      <sheetData sheetId="1972">
        <row r="1">
          <cell r="R1">
            <v>1.1032381499999999</v>
          </cell>
        </row>
      </sheetData>
      <sheetData sheetId="1973">
        <row r="1">
          <cell r="R1">
            <v>1.1032381499999999</v>
          </cell>
        </row>
      </sheetData>
      <sheetData sheetId="1974">
        <row r="1">
          <cell r="R1">
            <v>1.1032381499999999</v>
          </cell>
        </row>
      </sheetData>
      <sheetData sheetId="1975">
        <row r="1">
          <cell r="R1">
            <v>1.1032381499999999</v>
          </cell>
        </row>
      </sheetData>
      <sheetData sheetId="1976">
        <row r="1">
          <cell r="R1">
            <v>1.1032381499999999</v>
          </cell>
        </row>
      </sheetData>
      <sheetData sheetId="1977">
        <row r="1">
          <cell r="R1">
            <v>1.1032381499999999</v>
          </cell>
        </row>
      </sheetData>
      <sheetData sheetId="1978">
        <row r="1">
          <cell r="R1">
            <v>1.1032381499999999</v>
          </cell>
        </row>
      </sheetData>
      <sheetData sheetId="1979">
        <row r="1">
          <cell r="R1">
            <v>1.1032381499999999</v>
          </cell>
        </row>
      </sheetData>
      <sheetData sheetId="1980">
        <row r="1">
          <cell r="R1">
            <v>1.1032381499999999</v>
          </cell>
        </row>
      </sheetData>
      <sheetData sheetId="1981">
        <row r="1">
          <cell r="R1">
            <v>1.1032381499999999</v>
          </cell>
        </row>
      </sheetData>
      <sheetData sheetId="1982">
        <row r="1">
          <cell r="R1">
            <v>1.1032381499999999</v>
          </cell>
        </row>
      </sheetData>
      <sheetData sheetId="1983">
        <row r="1">
          <cell r="R1">
            <v>1.1032381499999999</v>
          </cell>
        </row>
      </sheetData>
      <sheetData sheetId="1984">
        <row r="1">
          <cell r="R1">
            <v>1.1032381499999999</v>
          </cell>
        </row>
      </sheetData>
      <sheetData sheetId="1985">
        <row r="1">
          <cell r="R1">
            <v>1.1032381499999999</v>
          </cell>
        </row>
      </sheetData>
      <sheetData sheetId="1986">
        <row r="1">
          <cell r="R1">
            <v>1.1032381499999999</v>
          </cell>
        </row>
      </sheetData>
      <sheetData sheetId="1987">
        <row r="1">
          <cell r="R1">
            <v>1.1032381499999999</v>
          </cell>
        </row>
      </sheetData>
      <sheetData sheetId="1988">
        <row r="1">
          <cell r="R1">
            <v>1.1032381499999999</v>
          </cell>
        </row>
      </sheetData>
      <sheetData sheetId="1989">
        <row r="1">
          <cell r="R1">
            <v>1.1032381499999999</v>
          </cell>
        </row>
      </sheetData>
      <sheetData sheetId="1990">
        <row r="1">
          <cell r="R1">
            <v>1.1032381499999999</v>
          </cell>
        </row>
      </sheetData>
      <sheetData sheetId="1991">
        <row r="1">
          <cell r="R1">
            <v>1.1032381499999999</v>
          </cell>
        </row>
      </sheetData>
      <sheetData sheetId="1992">
        <row r="1">
          <cell r="R1">
            <v>1.1032381499999999</v>
          </cell>
        </row>
      </sheetData>
      <sheetData sheetId="1993">
        <row r="1">
          <cell r="R1">
            <v>1.1032381499999999</v>
          </cell>
        </row>
      </sheetData>
      <sheetData sheetId="1994">
        <row r="1">
          <cell r="R1">
            <v>1.1032381499999999</v>
          </cell>
        </row>
      </sheetData>
      <sheetData sheetId="1995">
        <row r="1">
          <cell r="R1">
            <v>1.1032381499999999</v>
          </cell>
        </row>
      </sheetData>
      <sheetData sheetId="1996">
        <row r="1">
          <cell r="R1">
            <v>1.1032381499999999</v>
          </cell>
        </row>
      </sheetData>
      <sheetData sheetId="1997">
        <row r="1">
          <cell r="R1">
            <v>1.1032381499999999</v>
          </cell>
        </row>
      </sheetData>
      <sheetData sheetId="1998">
        <row r="1">
          <cell r="R1">
            <v>1.1032381499999999</v>
          </cell>
        </row>
      </sheetData>
      <sheetData sheetId="1999">
        <row r="1">
          <cell r="R1">
            <v>1.1032381499999999</v>
          </cell>
        </row>
      </sheetData>
      <sheetData sheetId="2000">
        <row r="1">
          <cell r="R1">
            <v>1.1032381499999999</v>
          </cell>
        </row>
      </sheetData>
      <sheetData sheetId="2001">
        <row r="1">
          <cell r="R1">
            <v>1.1032381499999999</v>
          </cell>
        </row>
      </sheetData>
      <sheetData sheetId="2002">
        <row r="1">
          <cell r="R1">
            <v>1.1032381499999999</v>
          </cell>
        </row>
      </sheetData>
      <sheetData sheetId="2003">
        <row r="1">
          <cell r="R1">
            <v>1.1032381499999999</v>
          </cell>
        </row>
      </sheetData>
      <sheetData sheetId="2004">
        <row r="1">
          <cell r="R1">
            <v>1.1032381499999999</v>
          </cell>
        </row>
      </sheetData>
      <sheetData sheetId="2005">
        <row r="1">
          <cell r="R1">
            <v>1.1032381499999999</v>
          </cell>
        </row>
      </sheetData>
      <sheetData sheetId="2006">
        <row r="1">
          <cell r="R1">
            <v>1.1032381499999999</v>
          </cell>
        </row>
      </sheetData>
      <sheetData sheetId="2007">
        <row r="1">
          <cell r="R1">
            <v>1.1032381499999999</v>
          </cell>
        </row>
      </sheetData>
      <sheetData sheetId="2008">
        <row r="1">
          <cell r="R1">
            <v>1.1032381499999999</v>
          </cell>
        </row>
      </sheetData>
      <sheetData sheetId="2009">
        <row r="1">
          <cell r="R1">
            <v>1.1032381499999999</v>
          </cell>
        </row>
      </sheetData>
      <sheetData sheetId="2010">
        <row r="1">
          <cell r="R1">
            <v>1.1032381499999999</v>
          </cell>
        </row>
      </sheetData>
      <sheetData sheetId="2011">
        <row r="1">
          <cell r="R1">
            <v>1.1032381499999999</v>
          </cell>
        </row>
      </sheetData>
      <sheetData sheetId="2012">
        <row r="1">
          <cell r="R1">
            <v>1.1032381499999999</v>
          </cell>
        </row>
      </sheetData>
      <sheetData sheetId="2013">
        <row r="1">
          <cell r="R1">
            <v>1.1032381499999999</v>
          </cell>
        </row>
      </sheetData>
      <sheetData sheetId="2014">
        <row r="1">
          <cell r="R1">
            <v>1.1032381499999999</v>
          </cell>
        </row>
      </sheetData>
      <sheetData sheetId="2015">
        <row r="1">
          <cell r="R1">
            <v>1.1032381499999999</v>
          </cell>
        </row>
      </sheetData>
      <sheetData sheetId="2016">
        <row r="1">
          <cell r="R1">
            <v>1.1032381499999999</v>
          </cell>
        </row>
      </sheetData>
      <sheetData sheetId="2017">
        <row r="1">
          <cell r="R1">
            <v>1.1032381499999999</v>
          </cell>
        </row>
      </sheetData>
      <sheetData sheetId="2018">
        <row r="1">
          <cell r="R1">
            <v>1.1032381499999999</v>
          </cell>
        </row>
      </sheetData>
      <sheetData sheetId="2019">
        <row r="1">
          <cell r="R1">
            <v>1.1032381499999999</v>
          </cell>
        </row>
      </sheetData>
      <sheetData sheetId="2020">
        <row r="1">
          <cell r="R1">
            <v>1.1032381499999999</v>
          </cell>
        </row>
      </sheetData>
      <sheetData sheetId="2021">
        <row r="1">
          <cell r="R1">
            <v>1.1032381499999999</v>
          </cell>
        </row>
      </sheetData>
      <sheetData sheetId="2022">
        <row r="1">
          <cell r="R1">
            <v>1.1032381499999999</v>
          </cell>
        </row>
      </sheetData>
      <sheetData sheetId="2023">
        <row r="1">
          <cell r="R1">
            <v>1.1032381499999999</v>
          </cell>
        </row>
      </sheetData>
      <sheetData sheetId="2024">
        <row r="1">
          <cell r="R1">
            <v>1.1032381499999999</v>
          </cell>
        </row>
      </sheetData>
      <sheetData sheetId="2025">
        <row r="1">
          <cell r="R1">
            <v>1.1032381499999999</v>
          </cell>
        </row>
      </sheetData>
      <sheetData sheetId="2026">
        <row r="1">
          <cell r="R1">
            <v>1.1032381499999999</v>
          </cell>
        </row>
      </sheetData>
      <sheetData sheetId="2027">
        <row r="1">
          <cell r="R1">
            <v>1.1032381499999999</v>
          </cell>
        </row>
      </sheetData>
      <sheetData sheetId="2028">
        <row r="1">
          <cell r="R1">
            <v>1.1032381499999999</v>
          </cell>
        </row>
      </sheetData>
      <sheetData sheetId="2029">
        <row r="1">
          <cell r="R1">
            <v>1.1032381499999999</v>
          </cell>
        </row>
      </sheetData>
      <sheetData sheetId="2030">
        <row r="1">
          <cell r="R1">
            <v>1.1032381499999999</v>
          </cell>
        </row>
      </sheetData>
      <sheetData sheetId="2031">
        <row r="1">
          <cell r="R1">
            <v>1.1032381499999999</v>
          </cell>
        </row>
      </sheetData>
      <sheetData sheetId="2032">
        <row r="1">
          <cell r="R1">
            <v>1.1032381499999999</v>
          </cell>
        </row>
      </sheetData>
      <sheetData sheetId="2033">
        <row r="1">
          <cell r="R1">
            <v>1.1032381499999999</v>
          </cell>
        </row>
      </sheetData>
      <sheetData sheetId="2034">
        <row r="1">
          <cell r="R1">
            <v>1.1032381499999999</v>
          </cell>
        </row>
      </sheetData>
      <sheetData sheetId="2035">
        <row r="1">
          <cell r="R1">
            <v>1.1032381499999999</v>
          </cell>
        </row>
      </sheetData>
      <sheetData sheetId="2036">
        <row r="1">
          <cell r="R1">
            <v>1.1032381499999999</v>
          </cell>
        </row>
      </sheetData>
      <sheetData sheetId="2037">
        <row r="1">
          <cell r="R1">
            <v>1.1032381499999999</v>
          </cell>
        </row>
      </sheetData>
      <sheetData sheetId="2038">
        <row r="1">
          <cell r="R1">
            <v>1.1032381499999999</v>
          </cell>
        </row>
      </sheetData>
      <sheetData sheetId="2039">
        <row r="1">
          <cell r="R1">
            <v>1.1032381499999999</v>
          </cell>
        </row>
      </sheetData>
      <sheetData sheetId="2040">
        <row r="1">
          <cell r="R1">
            <v>1.1032381499999999</v>
          </cell>
        </row>
      </sheetData>
      <sheetData sheetId="2041">
        <row r="1">
          <cell r="R1">
            <v>1.1032381499999999</v>
          </cell>
        </row>
      </sheetData>
      <sheetData sheetId="2042">
        <row r="1">
          <cell r="R1">
            <v>1.1032381499999999</v>
          </cell>
        </row>
      </sheetData>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ow r="1">
          <cell r="R1">
            <v>1.1032381499999999</v>
          </cell>
        </row>
      </sheetData>
      <sheetData sheetId="2157">
        <row r="1">
          <cell r="R1">
            <v>1.1032381499999999</v>
          </cell>
        </row>
      </sheetData>
      <sheetData sheetId="2158">
        <row r="1">
          <cell r="R1">
            <v>1.1032381499999999</v>
          </cell>
        </row>
      </sheetData>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ow r="1">
          <cell r="R1">
            <v>1.1032381499999999</v>
          </cell>
        </row>
      </sheetData>
      <sheetData sheetId="2199">
        <row r="1">
          <cell r="R1">
            <v>1.1032381499999999</v>
          </cell>
        </row>
      </sheetData>
      <sheetData sheetId="2200">
        <row r="1">
          <cell r="R1">
            <v>1.1032381499999999</v>
          </cell>
        </row>
      </sheetData>
      <sheetData sheetId="2201">
        <row r="1">
          <cell r="R1">
            <v>1.1032381499999999</v>
          </cell>
        </row>
      </sheetData>
      <sheetData sheetId="2202">
        <row r="1">
          <cell r="R1">
            <v>1.1032381499999999</v>
          </cell>
        </row>
      </sheetData>
      <sheetData sheetId="2203">
        <row r="1">
          <cell r="R1">
            <v>1.1032381499999999</v>
          </cell>
        </row>
      </sheetData>
      <sheetData sheetId="2204">
        <row r="1">
          <cell r="R1">
            <v>1.1032381499999999</v>
          </cell>
        </row>
      </sheetData>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ow r="1">
          <cell r="R1">
            <v>1.1032381499999999</v>
          </cell>
        </row>
      </sheetData>
      <sheetData sheetId="2222" refreshError="1"/>
      <sheetData sheetId="2223" refreshError="1"/>
      <sheetData sheetId="2224" refreshError="1"/>
      <sheetData sheetId="2225" refreshError="1"/>
      <sheetData sheetId="2226" refreshError="1"/>
      <sheetData sheetId="2227">
        <row r="1">
          <cell r="R1">
            <v>1.1032381499999999</v>
          </cell>
        </row>
      </sheetData>
      <sheetData sheetId="2228">
        <row r="1">
          <cell r="R1">
            <v>1.1032381499999999</v>
          </cell>
        </row>
      </sheetData>
      <sheetData sheetId="2229">
        <row r="1">
          <cell r="R1">
            <v>1.1032381499999999</v>
          </cell>
        </row>
      </sheetData>
      <sheetData sheetId="2230">
        <row r="1">
          <cell r="R1">
            <v>1.1032381499999999</v>
          </cell>
        </row>
      </sheetData>
      <sheetData sheetId="2231">
        <row r="1">
          <cell r="R1">
            <v>1.1032381499999999</v>
          </cell>
        </row>
      </sheetData>
      <sheetData sheetId="2232">
        <row r="1">
          <cell r="R1">
            <v>1.1032381499999999</v>
          </cell>
        </row>
      </sheetData>
      <sheetData sheetId="2233">
        <row r="1">
          <cell r="R1">
            <v>1.1032381499999999</v>
          </cell>
        </row>
      </sheetData>
      <sheetData sheetId="2234">
        <row r="1">
          <cell r="R1">
            <v>1.1032381499999999</v>
          </cell>
        </row>
      </sheetData>
      <sheetData sheetId="2235">
        <row r="1">
          <cell r="R1">
            <v>1.1032381499999999</v>
          </cell>
        </row>
      </sheetData>
      <sheetData sheetId="2236">
        <row r="1">
          <cell r="R1">
            <v>1.1032381499999999</v>
          </cell>
        </row>
      </sheetData>
      <sheetData sheetId="2237">
        <row r="1">
          <cell r="R1">
            <v>1.1032381499999999</v>
          </cell>
        </row>
      </sheetData>
      <sheetData sheetId="2238">
        <row r="1">
          <cell r="R1">
            <v>1.1032381499999999</v>
          </cell>
        </row>
      </sheetData>
      <sheetData sheetId="2239">
        <row r="1">
          <cell r="R1">
            <v>1.1032381499999999</v>
          </cell>
        </row>
      </sheetData>
      <sheetData sheetId="2240">
        <row r="1">
          <cell r="R1">
            <v>1.1032381499999999</v>
          </cell>
        </row>
      </sheetData>
      <sheetData sheetId="2241">
        <row r="1">
          <cell r="R1">
            <v>1.1032381499999999</v>
          </cell>
        </row>
      </sheetData>
      <sheetData sheetId="2242">
        <row r="1">
          <cell r="R1">
            <v>1.1032381499999999</v>
          </cell>
        </row>
      </sheetData>
      <sheetData sheetId="2243">
        <row r="1">
          <cell r="R1">
            <v>1.1032381499999999</v>
          </cell>
        </row>
      </sheetData>
      <sheetData sheetId="2244">
        <row r="1">
          <cell r="R1">
            <v>1.1032381499999999</v>
          </cell>
        </row>
      </sheetData>
      <sheetData sheetId="2245">
        <row r="1">
          <cell r="R1">
            <v>1.1032381499999999</v>
          </cell>
        </row>
      </sheetData>
      <sheetData sheetId="2246">
        <row r="1">
          <cell r="R1">
            <v>1.1032381499999999</v>
          </cell>
        </row>
      </sheetData>
      <sheetData sheetId="2247">
        <row r="1">
          <cell r="R1">
            <v>1.1032381499999999</v>
          </cell>
        </row>
      </sheetData>
      <sheetData sheetId="2248">
        <row r="1">
          <cell r="R1">
            <v>1.1032381499999999</v>
          </cell>
        </row>
      </sheetData>
      <sheetData sheetId="2249">
        <row r="1">
          <cell r="R1">
            <v>1.1032381499999999</v>
          </cell>
        </row>
      </sheetData>
      <sheetData sheetId="2250">
        <row r="1">
          <cell r="R1">
            <v>1.1032381499999999</v>
          </cell>
        </row>
      </sheetData>
      <sheetData sheetId="2251">
        <row r="1">
          <cell r="R1">
            <v>1.1032381499999999</v>
          </cell>
        </row>
      </sheetData>
      <sheetData sheetId="2252">
        <row r="1">
          <cell r="R1">
            <v>1.1032381499999999</v>
          </cell>
        </row>
      </sheetData>
      <sheetData sheetId="2253">
        <row r="1">
          <cell r="R1">
            <v>1.1032381499999999</v>
          </cell>
        </row>
      </sheetData>
      <sheetData sheetId="2254">
        <row r="1">
          <cell r="R1">
            <v>1.1032381499999999</v>
          </cell>
        </row>
      </sheetData>
      <sheetData sheetId="2255">
        <row r="1">
          <cell r="R1">
            <v>1.1032381499999999</v>
          </cell>
        </row>
      </sheetData>
      <sheetData sheetId="2256">
        <row r="1">
          <cell r="R1">
            <v>1.1032381499999999</v>
          </cell>
        </row>
      </sheetData>
      <sheetData sheetId="2257">
        <row r="1">
          <cell r="R1">
            <v>1.1032381499999999</v>
          </cell>
        </row>
      </sheetData>
      <sheetData sheetId="2258">
        <row r="1">
          <cell r="R1">
            <v>1.1032381499999999</v>
          </cell>
        </row>
      </sheetData>
      <sheetData sheetId="2259">
        <row r="1">
          <cell r="R1">
            <v>1.1032381499999999</v>
          </cell>
        </row>
      </sheetData>
      <sheetData sheetId="2260">
        <row r="1">
          <cell r="R1">
            <v>1.1032381499999999</v>
          </cell>
        </row>
      </sheetData>
      <sheetData sheetId="2261">
        <row r="1">
          <cell r="R1">
            <v>1.1032381499999999</v>
          </cell>
        </row>
      </sheetData>
      <sheetData sheetId="2262">
        <row r="1">
          <cell r="R1">
            <v>1.1032381499999999</v>
          </cell>
        </row>
      </sheetData>
      <sheetData sheetId="2263">
        <row r="1">
          <cell r="R1">
            <v>1.1032381499999999</v>
          </cell>
        </row>
      </sheetData>
      <sheetData sheetId="2264">
        <row r="1">
          <cell r="R1">
            <v>1.1032381499999999</v>
          </cell>
        </row>
      </sheetData>
      <sheetData sheetId="2265">
        <row r="1">
          <cell r="R1">
            <v>1.1032381499999999</v>
          </cell>
        </row>
      </sheetData>
      <sheetData sheetId="2266">
        <row r="1">
          <cell r="R1">
            <v>1.1032381499999999</v>
          </cell>
        </row>
      </sheetData>
      <sheetData sheetId="2267">
        <row r="1">
          <cell r="R1">
            <v>1.1032381499999999</v>
          </cell>
        </row>
      </sheetData>
      <sheetData sheetId="2268">
        <row r="1">
          <cell r="R1">
            <v>1.1032381499999999</v>
          </cell>
        </row>
      </sheetData>
      <sheetData sheetId="2269">
        <row r="1">
          <cell r="R1">
            <v>1.1032381499999999</v>
          </cell>
        </row>
      </sheetData>
      <sheetData sheetId="2270">
        <row r="1">
          <cell r="R1">
            <v>1.1032381499999999</v>
          </cell>
        </row>
      </sheetData>
      <sheetData sheetId="2271">
        <row r="1">
          <cell r="R1">
            <v>1.1032381499999999</v>
          </cell>
        </row>
      </sheetData>
      <sheetData sheetId="2272">
        <row r="1">
          <cell r="R1">
            <v>1.1032381499999999</v>
          </cell>
        </row>
      </sheetData>
      <sheetData sheetId="2273">
        <row r="1">
          <cell r="R1">
            <v>1.1032381499999999</v>
          </cell>
        </row>
      </sheetData>
      <sheetData sheetId="2274">
        <row r="1">
          <cell r="R1">
            <v>1.1032381499999999</v>
          </cell>
        </row>
      </sheetData>
      <sheetData sheetId="2275">
        <row r="1">
          <cell r="R1">
            <v>1.1032381499999999</v>
          </cell>
        </row>
      </sheetData>
      <sheetData sheetId="2276">
        <row r="1">
          <cell r="R1">
            <v>1.1032381499999999</v>
          </cell>
        </row>
      </sheetData>
      <sheetData sheetId="2277">
        <row r="1">
          <cell r="R1">
            <v>1.1032381499999999</v>
          </cell>
        </row>
      </sheetData>
      <sheetData sheetId="2278">
        <row r="1">
          <cell r="R1">
            <v>1.1032381499999999</v>
          </cell>
        </row>
      </sheetData>
      <sheetData sheetId="2279">
        <row r="1">
          <cell r="R1">
            <v>1.1032381499999999</v>
          </cell>
        </row>
      </sheetData>
      <sheetData sheetId="2280">
        <row r="1">
          <cell r="R1">
            <v>1.1032381499999999</v>
          </cell>
        </row>
      </sheetData>
      <sheetData sheetId="2281">
        <row r="1">
          <cell r="R1">
            <v>1.1032381499999999</v>
          </cell>
        </row>
      </sheetData>
      <sheetData sheetId="2282">
        <row r="1">
          <cell r="R1">
            <v>1.1032381499999999</v>
          </cell>
        </row>
      </sheetData>
      <sheetData sheetId="2283">
        <row r="1">
          <cell r="R1">
            <v>1.1032381499999999</v>
          </cell>
        </row>
      </sheetData>
      <sheetData sheetId="2284">
        <row r="1">
          <cell r="R1">
            <v>1.1032381499999999</v>
          </cell>
        </row>
      </sheetData>
      <sheetData sheetId="2285">
        <row r="1">
          <cell r="R1">
            <v>1.1032381499999999</v>
          </cell>
        </row>
      </sheetData>
      <sheetData sheetId="2286">
        <row r="1">
          <cell r="R1">
            <v>1.1032381499999999</v>
          </cell>
        </row>
      </sheetData>
      <sheetData sheetId="2287">
        <row r="1">
          <cell r="R1">
            <v>1.1032381499999999</v>
          </cell>
        </row>
      </sheetData>
      <sheetData sheetId="2288">
        <row r="1">
          <cell r="R1">
            <v>1.1032381499999999</v>
          </cell>
        </row>
      </sheetData>
      <sheetData sheetId="2289">
        <row r="1">
          <cell r="R1">
            <v>1.1032381499999999</v>
          </cell>
        </row>
      </sheetData>
      <sheetData sheetId="2290">
        <row r="1">
          <cell r="R1">
            <v>1.1032381499999999</v>
          </cell>
        </row>
      </sheetData>
      <sheetData sheetId="2291">
        <row r="1">
          <cell r="R1">
            <v>1.1032381499999999</v>
          </cell>
        </row>
      </sheetData>
      <sheetData sheetId="2292">
        <row r="1">
          <cell r="R1">
            <v>1.1032381499999999</v>
          </cell>
        </row>
      </sheetData>
      <sheetData sheetId="2293">
        <row r="1">
          <cell r="R1">
            <v>1.1032381499999999</v>
          </cell>
        </row>
      </sheetData>
      <sheetData sheetId="2294">
        <row r="1">
          <cell r="R1">
            <v>1.1032381499999999</v>
          </cell>
        </row>
      </sheetData>
      <sheetData sheetId="2295">
        <row r="1">
          <cell r="R1">
            <v>1.1032381499999999</v>
          </cell>
        </row>
      </sheetData>
      <sheetData sheetId="2296">
        <row r="1">
          <cell r="R1">
            <v>1.1032381499999999</v>
          </cell>
        </row>
      </sheetData>
      <sheetData sheetId="2297">
        <row r="1">
          <cell r="R1">
            <v>1.1032381499999999</v>
          </cell>
        </row>
      </sheetData>
      <sheetData sheetId="2298">
        <row r="1">
          <cell r="R1">
            <v>1.1032381499999999</v>
          </cell>
        </row>
      </sheetData>
      <sheetData sheetId="2299">
        <row r="1">
          <cell r="R1">
            <v>1.1032381499999999</v>
          </cell>
        </row>
      </sheetData>
      <sheetData sheetId="2300">
        <row r="1">
          <cell r="R1">
            <v>1.1032381499999999</v>
          </cell>
        </row>
      </sheetData>
      <sheetData sheetId="2301">
        <row r="1">
          <cell r="R1">
            <v>1.1032381499999999</v>
          </cell>
        </row>
      </sheetData>
      <sheetData sheetId="2302">
        <row r="1">
          <cell r="R1">
            <v>1.1032381499999999</v>
          </cell>
        </row>
      </sheetData>
      <sheetData sheetId="2303">
        <row r="1">
          <cell r="R1">
            <v>1.1032381499999999</v>
          </cell>
        </row>
      </sheetData>
      <sheetData sheetId="2304">
        <row r="1">
          <cell r="R1">
            <v>1.1032381499999999</v>
          </cell>
        </row>
      </sheetData>
      <sheetData sheetId="2305">
        <row r="1">
          <cell r="R1">
            <v>1.1032381499999999</v>
          </cell>
        </row>
      </sheetData>
      <sheetData sheetId="2306">
        <row r="1">
          <cell r="R1">
            <v>1.1032381499999999</v>
          </cell>
        </row>
      </sheetData>
      <sheetData sheetId="2307">
        <row r="1">
          <cell r="R1">
            <v>1.1032381499999999</v>
          </cell>
        </row>
      </sheetData>
      <sheetData sheetId="2308">
        <row r="1">
          <cell r="R1">
            <v>1.1032381499999999</v>
          </cell>
        </row>
      </sheetData>
      <sheetData sheetId="2309">
        <row r="1">
          <cell r="R1">
            <v>1.1032381499999999</v>
          </cell>
        </row>
      </sheetData>
      <sheetData sheetId="2310">
        <row r="1">
          <cell r="R1">
            <v>1.1032381499999999</v>
          </cell>
        </row>
      </sheetData>
      <sheetData sheetId="2311">
        <row r="1">
          <cell r="R1">
            <v>1.1032381499999999</v>
          </cell>
        </row>
      </sheetData>
      <sheetData sheetId="2312">
        <row r="1">
          <cell r="R1">
            <v>1.1032381499999999</v>
          </cell>
        </row>
      </sheetData>
      <sheetData sheetId="2313">
        <row r="1">
          <cell r="R1">
            <v>1.1032381499999999</v>
          </cell>
        </row>
      </sheetData>
      <sheetData sheetId="2314">
        <row r="1">
          <cell r="R1">
            <v>1.1032381499999999</v>
          </cell>
        </row>
      </sheetData>
      <sheetData sheetId="2315">
        <row r="1">
          <cell r="R1">
            <v>1.1032381499999999</v>
          </cell>
        </row>
      </sheetData>
      <sheetData sheetId="2316">
        <row r="1">
          <cell r="R1">
            <v>1.1032381499999999</v>
          </cell>
        </row>
      </sheetData>
      <sheetData sheetId="2317">
        <row r="1">
          <cell r="R1">
            <v>1.1032381499999999</v>
          </cell>
        </row>
      </sheetData>
      <sheetData sheetId="2318">
        <row r="1">
          <cell r="R1">
            <v>1.1032381499999999</v>
          </cell>
        </row>
      </sheetData>
      <sheetData sheetId="2319">
        <row r="1">
          <cell r="R1">
            <v>1.1032381499999999</v>
          </cell>
        </row>
      </sheetData>
      <sheetData sheetId="2320">
        <row r="1">
          <cell r="R1">
            <v>1.1032381499999999</v>
          </cell>
        </row>
      </sheetData>
      <sheetData sheetId="2321">
        <row r="1">
          <cell r="R1">
            <v>1.1032381499999999</v>
          </cell>
        </row>
      </sheetData>
      <sheetData sheetId="2322">
        <row r="1">
          <cell r="R1">
            <v>1.1032381499999999</v>
          </cell>
        </row>
      </sheetData>
      <sheetData sheetId="2323">
        <row r="1">
          <cell r="R1">
            <v>1.1032381499999999</v>
          </cell>
        </row>
      </sheetData>
      <sheetData sheetId="2324">
        <row r="1">
          <cell r="R1">
            <v>1.1032381499999999</v>
          </cell>
        </row>
      </sheetData>
      <sheetData sheetId="2325">
        <row r="1">
          <cell r="R1">
            <v>1.1032381499999999</v>
          </cell>
        </row>
      </sheetData>
      <sheetData sheetId="2326">
        <row r="1">
          <cell r="R1">
            <v>1.1032381499999999</v>
          </cell>
        </row>
      </sheetData>
      <sheetData sheetId="2327">
        <row r="1">
          <cell r="R1">
            <v>1.1032381499999999</v>
          </cell>
        </row>
      </sheetData>
      <sheetData sheetId="2328">
        <row r="1">
          <cell r="R1">
            <v>1.1032381499999999</v>
          </cell>
        </row>
      </sheetData>
      <sheetData sheetId="2329">
        <row r="1">
          <cell r="R1">
            <v>1.1032381499999999</v>
          </cell>
        </row>
      </sheetData>
      <sheetData sheetId="2330">
        <row r="1">
          <cell r="R1">
            <v>1.1032381499999999</v>
          </cell>
        </row>
      </sheetData>
      <sheetData sheetId="2331">
        <row r="1">
          <cell r="R1">
            <v>1.1032381499999999</v>
          </cell>
        </row>
      </sheetData>
      <sheetData sheetId="2332">
        <row r="1">
          <cell r="R1">
            <v>1.1032381499999999</v>
          </cell>
        </row>
      </sheetData>
      <sheetData sheetId="2333">
        <row r="1">
          <cell r="R1">
            <v>1.1032381499999999</v>
          </cell>
        </row>
      </sheetData>
      <sheetData sheetId="2334">
        <row r="1">
          <cell r="R1">
            <v>1.1032381499999999</v>
          </cell>
        </row>
      </sheetData>
      <sheetData sheetId="2335">
        <row r="1">
          <cell r="R1">
            <v>1.1032381499999999</v>
          </cell>
        </row>
      </sheetData>
      <sheetData sheetId="2336">
        <row r="1">
          <cell r="R1">
            <v>1.1032381499999999</v>
          </cell>
        </row>
      </sheetData>
      <sheetData sheetId="2337">
        <row r="1">
          <cell r="R1">
            <v>1.1032381499999999</v>
          </cell>
        </row>
      </sheetData>
      <sheetData sheetId="2338">
        <row r="1">
          <cell r="R1">
            <v>1.1032381499999999</v>
          </cell>
        </row>
      </sheetData>
      <sheetData sheetId="2339">
        <row r="1">
          <cell r="R1">
            <v>1.1032381499999999</v>
          </cell>
        </row>
      </sheetData>
      <sheetData sheetId="2340">
        <row r="1">
          <cell r="R1">
            <v>1.1032381499999999</v>
          </cell>
        </row>
      </sheetData>
      <sheetData sheetId="2341">
        <row r="1">
          <cell r="R1">
            <v>1.1032381499999999</v>
          </cell>
        </row>
      </sheetData>
      <sheetData sheetId="2342">
        <row r="1">
          <cell r="R1">
            <v>1.1032381499999999</v>
          </cell>
        </row>
      </sheetData>
      <sheetData sheetId="2343">
        <row r="1">
          <cell r="R1">
            <v>1.1032381499999999</v>
          </cell>
        </row>
      </sheetData>
      <sheetData sheetId="2344">
        <row r="1">
          <cell r="R1">
            <v>1.1032381499999999</v>
          </cell>
        </row>
      </sheetData>
      <sheetData sheetId="2345">
        <row r="1">
          <cell r="R1">
            <v>1.1032381499999999</v>
          </cell>
        </row>
      </sheetData>
      <sheetData sheetId="2346">
        <row r="1">
          <cell r="R1">
            <v>1.1032381499999999</v>
          </cell>
        </row>
      </sheetData>
      <sheetData sheetId="2347">
        <row r="1">
          <cell r="R1">
            <v>1.1032381499999999</v>
          </cell>
        </row>
      </sheetData>
      <sheetData sheetId="2348">
        <row r="1">
          <cell r="R1">
            <v>1.1032381499999999</v>
          </cell>
        </row>
      </sheetData>
      <sheetData sheetId="2349">
        <row r="1">
          <cell r="R1">
            <v>1.1032381499999999</v>
          </cell>
        </row>
      </sheetData>
      <sheetData sheetId="2350">
        <row r="1">
          <cell r="R1">
            <v>1.1032381499999999</v>
          </cell>
        </row>
      </sheetData>
      <sheetData sheetId="2351">
        <row r="1">
          <cell r="R1">
            <v>1.1032381499999999</v>
          </cell>
        </row>
      </sheetData>
      <sheetData sheetId="2352">
        <row r="1">
          <cell r="R1">
            <v>1.1032381499999999</v>
          </cell>
        </row>
      </sheetData>
      <sheetData sheetId="2353">
        <row r="1">
          <cell r="R1">
            <v>1.1032381499999999</v>
          </cell>
        </row>
      </sheetData>
      <sheetData sheetId="2354">
        <row r="1">
          <cell r="R1">
            <v>1.1032381499999999</v>
          </cell>
        </row>
      </sheetData>
      <sheetData sheetId="2355">
        <row r="1">
          <cell r="R1">
            <v>1.1032381499999999</v>
          </cell>
        </row>
      </sheetData>
      <sheetData sheetId="2356">
        <row r="1">
          <cell r="R1">
            <v>1.1032381499999999</v>
          </cell>
        </row>
      </sheetData>
      <sheetData sheetId="2357">
        <row r="1">
          <cell r="R1">
            <v>1.1032381499999999</v>
          </cell>
        </row>
      </sheetData>
      <sheetData sheetId="2358">
        <row r="1">
          <cell r="R1">
            <v>1.1032381499999999</v>
          </cell>
        </row>
      </sheetData>
      <sheetData sheetId="2359">
        <row r="1">
          <cell r="R1">
            <v>1.1032381499999999</v>
          </cell>
        </row>
      </sheetData>
      <sheetData sheetId="2360">
        <row r="1">
          <cell r="R1">
            <v>1.1032381499999999</v>
          </cell>
        </row>
      </sheetData>
      <sheetData sheetId="2361">
        <row r="1">
          <cell r="R1">
            <v>1.1032381499999999</v>
          </cell>
        </row>
      </sheetData>
      <sheetData sheetId="2362">
        <row r="1">
          <cell r="R1">
            <v>1.1032381499999999</v>
          </cell>
        </row>
      </sheetData>
      <sheetData sheetId="2363">
        <row r="1">
          <cell r="R1">
            <v>1.1032381499999999</v>
          </cell>
        </row>
      </sheetData>
      <sheetData sheetId="2364">
        <row r="1">
          <cell r="R1">
            <v>1.1032381499999999</v>
          </cell>
        </row>
      </sheetData>
      <sheetData sheetId="2365">
        <row r="1">
          <cell r="R1">
            <v>1.1032381499999999</v>
          </cell>
        </row>
      </sheetData>
      <sheetData sheetId="2366">
        <row r="1">
          <cell r="R1">
            <v>1.1032381499999999</v>
          </cell>
        </row>
      </sheetData>
      <sheetData sheetId="2367">
        <row r="1">
          <cell r="R1">
            <v>1.1032381499999999</v>
          </cell>
        </row>
      </sheetData>
      <sheetData sheetId="2368">
        <row r="1">
          <cell r="R1">
            <v>1.1032381499999999</v>
          </cell>
        </row>
      </sheetData>
      <sheetData sheetId="2369">
        <row r="1">
          <cell r="R1">
            <v>1.1032381499999999</v>
          </cell>
        </row>
      </sheetData>
      <sheetData sheetId="2370">
        <row r="1">
          <cell r="R1">
            <v>1.1032381499999999</v>
          </cell>
        </row>
      </sheetData>
      <sheetData sheetId="2371">
        <row r="1">
          <cell r="R1">
            <v>1.1032381499999999</v>
          </cell>
        </row>
      </sheetData>
      <sheetData sheetId="2372">
        <row r="1">
          <cell r="R1">
            <v>1.1032381499999999</v>
          </cell>
        </row>
      </sheetData>
      <sheetData sheetId="2373">
        <row r="1">
          <cell r="R1">
            <v>1.1032381499999999</v>
          </cell>
        </row>
      </sheetData>
      <sheetData sheetId="2374">
        <row r="1">
          <cell r="R1">
            <v>1.1032381499999999</v>
          </cell>
        </row>
      </sheetData>
      <sheetData sheetId="2375">
        <row r="1">
          <cell r="R1">
            <v>1.1032381499999999</v>
          </cell>
        </row>
      </sheetData>
      <sheetData sheetId="2376">
        <row r="1">
          <cell r="R1">
            <v>1.1032381499999999</v>
          </cell>
        </row>
      </sheetData>
      <sheetData sheetId="2377">
        <row r="1">
          <cell r="R1">
            <v>1.1032381499999999</v>
          </cell>
        </row>
      </sheetData>
      <sheetData sheetId="2378">
        <row r="1">
          <cell r="R1">
            <v>1.1032381499999999</v>
          </cell>
        </row>
      </sheetData>
      <sheetData sheetId="2379">
        <row r="1">
          <cell r="R1">
            <v>1.1032381499999999</v>
          </cell>
        </row>
      </sheetData>
      <sheetData sheetId="2380">
        <row r="1">
          <cell r="R1">
            <v>1.1032381499999999</v>
          </cell>
        </row>
      </sheetData>
      <sheetData sheetId="2381">
        <row r="1">
          <cell r="R1">
            <v>1.1032381499999999</v>
          </cell>
        </row>
      </sheetData>
      <sheetData sheetId="2382">
        <row r="1">
          <cell r="R1">
            <v>1.1032381499999999</v>
          </cell>
        </row>
      </sheetData>
      <sheetData sheetId="2383">
        <row r="1">
          <cell r="R1">
            <v>1.1032381499999999</v>
          </cell>
        </row>
      </sheetData>
      <sheetData sheetId="2384">
        <row r="1">
          <cell r="R1">
            <v>1.1032381499999999</v>
          </cell>
        </row>
      </sheetData>
      <sheetData sheetId="2385">
        <row r="1">
          <cell r="R1">
            <v>1.1032381499999999</v>
          </cell>
        </row>
      </sheetData>
      <sheetData sheetId="2386">
        <row r="1">
          <cell r="R1">
            <v>1.1032381499999999</v>
          </cell>
        </row>
      </sheetData>
      <sheetData sheetId="2387">
        <row r="1">
          <cell r="R1">
            <v>1.1032381499999999</v>
          </cell>
        </row>
      </sheetData>
      <sheetData sheetId="2388">
        <row r="1">
          <cell r="R1">
            <v>1.1032381499999999</v>
          </cell>
        </row>
      </sheetData>
      <sheetData sheetId="2389">
        <row r="1">
          <cell r="R1">
            <v>1.1032381499999999</v>
          </cell>
        </row>
      </sheetData>
      <sheetData sheetId="2390">
        <row r="1">
          <cell r="R1">
            <v>1.1032381499999999</v>
          </cell>
        </row>
      </sheetData>
      <sheetData sheetId="2391">
        <row r="1">
          <cell r="R1">
            <v>1.1032381499999999</v>
          </cell>
        </row>
      </sheetData>
      <sheetData sheetId="2392">
        <row r="1">
          <cell r="R1">
            <v>1.1032381499999999</v>
          </cell>
        </row>
      </sheetData>
      <sheetData sheetId="2393">
        <row r="1">
          <cell r="R1">
            <v>1.1032381499999999</v>
          </cell>
        </row>
      </sheetData>
      <sheetData sheetId="2394">
        <row r="1">
          <cell r="R1">
            <v>1.1032381499999999</v>
          </cell>
        </row>
      </sheetData>
      <sheetData sheetId="2395">
        <row r="1">
          <cell r="R1">
            <v>1.1032381499999999</v>
          </cell>
        </row>
      </sheetData>
      <sheetData sheetId="2396">
        <row r="1">
          <cell r="R1">
            <v>1.1032381499999999</v>
          </cell>
        </row>
      </sheetData>
      <sheetData sheetId="2397">
        <row r="1">
          <cell r="R1">
            <v>1.1032381499999999</v>
          </cell>
        </row>
      </sheetData>
      <sheetData sheetId="2398">
        <row r="1">
          <cell r="R1">
            <v>1.1032381499999999</v>
          </cell>
        </row>
      </sheetData>
      <sheetData sheetId="2399">
        <row r="1">
          <cell r="R1">
            <v>1.1032381499999999</v>
          </cell>
        </row>
      </sheetData>
      <sheetData sheetId="2400">
        <row r="1">
          <cell r="R1">
            <v>1.1032381499999999</v>
          </cell>
        </row>
      </sheetData>
      <sheetData sheetId="2401">
        <row r="1">
          <cell r="R1">
            <v>1.1032381499999999</v>
          </cell>
        </row>
      </sheetData>
      <sheetData sheetId="2402">
        <row r="1">
          <cell r="R1">
            <v>1.1032381499999999</v>
          </cell>
        </row>
      </sheetData>
      <sheetData sheetId="2403">
        <row r="1">
          <cell r="R1">
            <v>1.1032381499999999</v>
          </cell>
        </row>
      </sheetData>
      <sheetData sheetId="2404">
        <row r="1">
          <cell r="R1">
            <v>1.1032381499999999</v>
          </cell>
        </row>
      </sheetData>
      <sheetData sheetId="2405">
        <row r="1">
          <cell r="R1">
            <v>1.1032381499999999</v>
          </cell>
        </row>
      </sheetData>
      <sheetData sheetId="2406">
        <row r="1">
          <cell r="R1">
            <v>1.1032381499999999</v>
          </cell>
        </row>
      </sheetData>
      <sheetData sheetId="2407">
        <row r="1">
          <cell r="R1">
            <v>1.1032381499999999</v>
          </cell>
        </row>
      </sheetData>
      <sheetData sheetId="2408">
        <row r="1">
          <cell r="R1">
            <v>1.1032381499999999</v>
          </cell>
        </row>
      </sheetData>
      <sheetData sheetId="2409">
        <row r="1">
          <cell r="R1">
            <v>1.1032381499999999</v>
          </cell>
        </row>
      </sheetData>
      <sheetData sheetId="2410">
        <row r="1">
          <cell r="R1">
            <v>1.1032381499999999</v>
          </cell>
        </row>
      </sheetData>
      <sheetData sheetId="2411">
        <row r="1">
          <cell r="R1">
            <v>1.1032381499999999</v>
          </cell>
        </row>
      </sheetData>
      <sheetData sheetId="2412">
        <row r="1">
          <cell r="R1">
            <v>1.1032381499999999</v>
          </cell>
        </row>
      </sheetData>
      <sheetData sheetId="2413">
        <row r="1">
          <cell r="R1">
            <v>1.1032381499999999</v>
          </cell>
        </row>
      </sheetData>
      <sheetData sheetId="2414">
        <row r="1">
          <cell r="R1">
            <v>1.1032381499999999</v>
          </cell>
        </row>
      </sheetData>
      <sheetData sheetId="2415">
        <row r="1">
          <cell r="R1">
            <v>1.1032381499999999</v>
          </cell>
        </row>
      </sheetData>
      <sheetData sheetId="2416">
        <row r="1">
          <cell r="R1">
            <v>1.1032381499999999</v>
          </cell>
        </row>
      </sheetData>
      <sheetData sheetId="2417">
        <row r="1">
          <cell r="R1">
            <v>1.1032381499999999</v>
          </cell>
        </row>
      </sheetData>
      <sheetData sheetId="2418">
        <row r="1">
          <cell r="R1">
            <v>1.1032381499999999</v>
          </cell>
        </row>
      </sheetData>
      <sheetData sheetId="2419">
        <row r="1">
          <cell r="R1">
            <v>1.1032381499999999</v>
          </cell>
        </row>
      </sheetData>
      <sheetData sheetId="2420">
        <row r="1">
          <cell r="R1">
            <v>1.1032381499999999</v>
          </cell>
        </row>
      </sheetData>
      <sheetData sheetId="2421">
        <row r="1">
          <cell r="R1">
            <v>1.1032381499999999</v>
          </cell>
        </row>
      </sheetData>
      <sheetData sheetId="2422">
        <row r="1">
          <cell r="R1">
            <v>1.1032381499999999</v>
          </cell>
        </row>
      </sheetData>
      <sheetData sheetId="2423">
        <row r="1">
          <cell r="R1">
            <v>1.1032381499999999</v>
          </cell>
        </row>
      </sheetData>
      <sheetData sheetId="2424">
        <row r="1">
          <cell r="R1">
            <v>1.1032381499999999</v>
          </cell>
        </row>
      </sheetData>
      <sheetData sheetId="2425">
        <row r="1">
          <cell r="R1">
            <v>1.1032381499999999</v>
          </cell>
        </row>
      </sheetData>
      <sheetData sheetId="2426">
        <row r="1">
          <cell r="R1">
            <v>1.1032381499999999</v>
          </cell>
        </row>
      </sheetData>
      <sheetData sheetId="2427">
        <row r="1">
          <cell r="R1">
            <v>1.1032381499999999</v>
          </cell>
        </row>
      </sheetData>
      <sheetData sheetId="2428">
        <row r="1">
          <cell r="R1">
            <v>1.1032381499999999</v>
          </cell>
        </row>
      </sheetData>
      <sheetData sheetId="2429">
        <row r="1">
          <cell r="R1">
            <v>1.1032381499999999</v>
          </cell>
        </row>
      </sheetData>
      <sheetData sheetId="2430">
        <row r="1">
          <cell r="R1">
            <v>1.1032381499999999</v>
          </cell>
        </row>
      </sheetData>
      <sheetData sheetId="2431">
        <row r="1">
          <cell r="R1">
            <v>1.1032381499999999</v>
          </cell>
        </row>
      </sheetData>
      <sheetData sheetId="2432">
        <row r="1">
          <cell r="R1">
            <v>1.1032381499999999</v>
          </cell>
        </row>
      </sheetData>
      <sheetData sheetId="2433">
        <row r="1">
          <cell r="R1">
            <v>1.1032381499999999</v>
          </cell>
        </row>
      </sheetData>
      <sheetData sheetId="2434">
        <row r="1">
          <cell r="R1">
            <v>1.1032381499999999</v>
          </cell>
        </row>
      </sheetData>
      <sheetData sheetId="2435">
        <row r="1">
          <cell r="R1">
            <v>1.1032381499999999</v>
          </cell>
        </row>
      </sheetData>
      <sheetData sheetId="2436">
        <row r="1">
          <cell r="R1">
            <v>1.1032381499999999</v>
          </cell>
        </row>
      </sheetData>
      <sheetData sheetId="2437">
        <row r="1">
          <cell r="R1">
            <v>1.1032381499999999</v>
          </cell>
        </row>
      </sheetData>
      <sheetData sheetId="2438">
        <row r="1">
          <cell r="R1">
            <v>1.1032381499999999</v>
          </cell>
        </row>
      </sheetData>
      <sheetData sheetId="2439">
        <row r="1">
          <cell r="R1">
            <v>1.1032381499999999</v>
          </cell>
        </row>
      </sheetData>
      <sheetData sheetId="2440">
        <row r="1">
          <cell r="R1">
            <v>1.1032381499999999</v>
          </cell>
        </row>
      </sheetData>
      <sheetData sheetId="2441">
        <row r="1">
          <cell r="R1">
            <v>1.1032381499999999</v>
          </cell>
        </row>
      </sheetData>
      <sheetData sheetId="2442">
        <row r="1">
          <cell r="R1">
            <v>1.1032381499999999</v>
          </cell>
        </row>
      </sheetData>
      <sheetData sheetId="2443">
        <row r="1">
          <cell r="R1">
            <v>1.1032381499999999</v>
          </cell>
        </row>
      </sheetData>
      <sheetData sheetId="2444">
        <row r="1">
          <cell r="R1">
            <v>1.1032381499999999</v>
          </cell>
        </row>
      </sheetData>
      <sheetData sheetId="2445">
        <row r="1">
          <cell r="R1">
            <v>1.1032381499999999</v>
          </cell>
        </row>
      </sheetData>
      <sheetData sheetId="2446">
        <row r="1">
          <cell r="R1">
            <v>1.1032381499999999</v>
          </cell>
        </row>
      </sheetData>
      <sheetData sheetId="2447">
        <row r="1">
          <cell r="R1">
            <v>1.1032381499999999</v>
          </cell>
        </row>
      </sheetData>
      <sheetData sheetId="2448">
        <row r="1">
          <cell r="R1">
            <v>1.1032381499999999</v>
          </cell>
        </row>
      </sheetData>
      <sheetData sheetId="2449">
        <row r="1">
          <cell r="R1">
            <v>1.1032381499999999</v>
          </cell>
        </row>
      </sheetData>
      <sheetData sheetId="2450">
        <row r="1">
          <cell r="R1">
            <v>1.1032381499999999</v>
          </cell>
        </row>
      </sheetData>
      <sheetData sheetId="2451">
        <row r="1">
          <cell r="R1">
            <v>1.1032381499999999</v>
          </cell>
        </row>
      </sheetData>
      <sheetData sheetId="2452">
        <row r="1">
          <cell r="R1">
            <v>1.1032381499999999</v>
          </cell>
        </row>
      </sheetData>
      <sheetData sheetId="2453">
        <row r="1">
          <cell r="R1">
            <v>1.1032381499999999</v>
          </cell>
        </row>
      </sheetData>
      <sheetData sheetId="2454">
        <row r="1">
          <cell r="R1">
            <v>1.1032381499999999</v>
          </cell>
        </row>
      </sheetData>
      <sheetData sheetId="2455">
        <row r="1">
          <cell r="R1">
            <v>1.1032381499999999</v>
          </cell>
        </row>
      </sheetData>
      <sheetData sheetId="2456">
        <row r="1">
          <cell r="R1">
            <v>1.1032381499999999</v>
          </cell>
        </row>
      </sheetData>
      <sheetData sheetId="2457">
        <row r="1">
          <cell r="R1">
            <v>1.1032381499999999</v>
          </cell>
        </row>
      </sheetData>
      <sheetData sheetId="2458">
        <row r="1">
          <cell r="R1">
            <v>1.1032381499999999</v>
          </cell>
        </row>
      </sheetData>
      <sheetData sheetId="2459">
        <row r="1">
          <cell r="R1">
            <v>1.1032381499999999</v>
          </cell>
        </row>
      </sheetData>
      <sheetData sheetId="2460">
        <row r="1">
          <cell r="R1">
            <v>1.1032381499999999</v>
          </cell>
        </row>
      </sheetData>
      <sheetData sheetId="2461">
        <row r="1">
          <cell r="R1">
            <v>1.1032381499999999</v>
          </cell>
        </row>
      </sheetData>
      <sheetData sheetId="2462">
        <row r="1">
          <cell r="R1">
            <v>1.1032381499999999</v>
          </cell>
        </row>
      </sheetData>
      <sheetData sheetId="2463">
        <row r="1">
          <cell r="R1">
            <v>1.1032381499999999</v>
          </cell>
        </row>
      </sheetData>
      <sheetData sheetId="2464">
        <row r="1">
          <cell r="R1">
            <v>1.1032381499999999</v>
          </cell>
        </row>
      </sheetData>
      <sheetData sheetId="2465">
        <row r="1">
          <cell r="R1">
            <v>1.1032381499999999</v>
          </cell>
        </row>
      </sheetData>
      <sheetData sheetId="2466">
        <row r="1">
          <cell r="R1">
            <v>1.1032381499999999</v>
          </cell>
        </row>
      </sheetData>
      <sheetData sheetId="2467">
        <row r="1">
          <cell r="R1">
            <v>1.1032381499999999</v>
          </cell>
        </row>
      </sheetData>
      <sheetData sheetId="2468">
        <row r="1">
          <cell r="R1">
            <v>1.1032381499999999</v>
          </cell>
        </row>
      </sheetData>
      <sheetData sheetId="2469">
        <row r="1">
          <cell r="R1">
            <v>1.1032381499999999</v>
          </cell>
        </row>
      </sheetData>
      <sheetData sheetId="2470">
        <row r="1">
          <cell r="R1">
            <v>1.1032381499999999</v>
          </cell>
        </row>
      </sheetData>
      <sheetData sheetId="2471">
        <row r="1">
          <cell r="R1">
            <v>1.1032381499999999</v>
          </cell>
        </row>
      </sheetData>
      <sheetData sheetId="2472">
        <row r="1">
          <cell r="R1">
            <v>1.1032381499999999</v>
          </cell>
        </row>
      </sheetData>
      <sheetData sheetId="2473">
        <row r="1">
          <cell r="R1">
            <v>1.1032381499999999</v>
          </cell>
        </row>
      </sheetData>
      <sheetData sheetId="2474">
        <row r="1">
          <cell r="R1">
            <v>1.1032381499999999</v>
          </cell>
        </row>
      </sheetData>
      <sheetData sheetId="2475">
        <row r="1">
          <cell r="R1">
            <v>1.1032381499999999</v>
          </cell>
        </row>
      </sheetData>
      <sheetData sheetId="2476">
        <row r="1">
          <cell r="R1">
            <v>1.1032381499999999</v>
          </cell>
        </row>
      </sheetData>
      <sheetData sheetId="2477">
        <row r="1">
          <cell r="R1">
            <v>1.1032381499999999</v>
          </cell>
        </row>
      </sheetData>
      <sheetData sheetId="2478">
        <row r="1">
          <cell r="R1">
            <v>1.1032381499999999</v>
          </cell>
        </row>
      </sheetData>
      <sheetData sheetId="2479">
        <row r="1">
          <cell r="R1">
            <v>1.1032381499999999</v>
          </cell>
        </row>
      </sheetData>
      <sheetData sheetId="2480">
        <row r="1">
          <cell r="R1">
            <v>1.1032381499999999</v>
          </cell>
        </row>
      </sheetData>
      <sheetData sheetId="2481">
        <row r="1">
          <cell r="R1">
            <v>1.1032381499999999</v>
          </cell>
        </row>
      </sheetData>
      <sheetData sheetId="2482">
        <row r="1">
          <cell r="R1">
            <v>1.1032381499999999</v>
          </cell>
        </row>
      </sheetData>
      <sheetData sheetId="2483">
        <row r="1">
          <cell r="R1">
            <v>1.1032381499999999</v>
          </cell>
        </row>
      </sheetData>
      <sheetData sheetId="2484">
        <row r="1">
          <cell r="R1">
            <v>1.1032381499999999</v>
          </cell>
        </row>
      </sheetData>
      <sheetData sheetId="2485">
        <row r="1">
          <cell r="R1">
            <v>1.1032381499999999</v>
          </cell>
        </row>
      </sheetData>
      <sheetData sheetId="2486">
        <row r="1">
          <cell r="R1">
            <v>1.1032381499999999</v>
          </cell>
        </row>
      </sheetData>
      <sheetData sheetId="2487">
        <row r="1">
          <cell r="R1">
            <v>1.1032381499999999</v>
          </cell>
        </row>
      </sheetData>
      <sheetData sheetId="2488">
        <row r="1">
          <cell r="R1">
            <v>1.1032381499999999</v>
          </cell>
        </row>
      </sheetData>
      <sheetData sheetId="2489">
        <row r="1">
          <cell r="R1">
            <v>1.1032381499999999</v>
          </cell>
        </row>
      </sheetData>
      <sheetData sheetId="2490">
        <row r="1">
          <cell r="R1">
            <v>1.1032381499999999</v>
          </cell>
        </row>
      </sheetData>
      <sheetData sheetId="2491">
        <row r="1">
          <cell r="R1">
            <v>1.1032381499999999</v>
          </cell>
        </row>
      </sheetData>
      <sheetData sheetId="2492">
        <row r="1">
          <cell r="R1">
            <v>1.1032381499999999</v>
          </cell>
        </row>
      </sheetData>
      <sheetData sheetId="2493">
        <row r="1">
          <cell r="R1">
            <v>1.1032381499999999</v>
          </cell>
        </row>
      </sheetData>
      <sheetData sheetId="2494">
        <row r="1">
          <cell r="R1">
            <v>1.1032381499999999</v>
          </cell>
        </row>
      </sheetData>
      <sheetData sheetId="2495">
        <row r="1">
          <cell r="R1">
            <v>1.1032381499999999</v>
          </cell>
        </row>
      </sheetData>
      <sheetData sheetId="2496">
        <row r="1">
          <cell r="R1">
            <v>1.1032381499999999</v>
          </cell>
        </row>
      </sheetData>
      <sheetData sheetId="2497">
        <row r="1">
          <cell r="R1">
            <v>1.1032381499999999</v>
          </cell>
        </row>
      </sheetData>
      <sheetData sheetId="2498">
        <row r="1">
          <cell r="R1">
            <v>1.1032381499999999</v>
          </cell>
        </row>
      </sheetData>
      <sheetData sheetId="2499">
        <row r="1">
          <cell r="R1">
            <v>1.1032381499999999</v>
          </cell>
        </row>
      </sheetData>
      <sheetData sheetId="2500">
        <row r="1">
          <cell r="R1">
            <v>1.1032381499999999</v>
          </cell>
        </row>
      </sheetData>
      <sheetData sheetId="2501">
        <row r="1">
          <cell r="R1">
            <v>1.1032381499999999</v>
          </cell>
        </row>
      </sheetData>
      <sheetData sheetId="2502">
        <row r="1">
          <cell r="R1">
            <v>1.1032381499999999</v>
          </cell>
        </row>
      </sheetData>
      <sheetData sheetId="2503">
        <row r="1">
          <cell r="R1">
            <v>1.1032381499999999</v>
          </cell>
        </row>
      </sheetData>
      <sheetData sheetId="2504">
        <row r="1">
          <cell r="R1">
            <v>1.1032381499999999</v>
          </cell>
        </row>
      </sheetData>
      <sheetData sheetId="2505">
        <row r="1">
          <cell r="R1">
            <v>1.1032381499999999</v>
          </cell>
        </row>
      </sheetData>
      <sheetData sheetId="2506">
        <row r="1">
          <cell r="R1">
            <v>1.1032381499999999</v>
          </cell>
        </row>
      </sheetData>
      <sheetData sheetId="2507">
        <row r="1">
          <cell r="R1">
            <v>1.1032381499999999</v>
          </cell>
        </row>
      </sheetData>
      <sheetData sheetId="2508">
        <row r="1">
          <cell r="R1">
            <v>1.1032381499999999</v>
          </cell>
        </row>
      </sheetData>
      <sheetData sheetId="2509">
        <row r="1">
          <cell r="R1">
            <v>1.1032381499999999</v>
          </cell>
        </row>
      </sheetData>
      <sheetData sheetId="2510">
        <row r="1">
          <cell r="R1">
            <v>1.1032381499999999</v>
          </cell>
        </row>
      </sheetData>
      <sheetData sheetId="2511">
        <row r="1">
          <cell r="R1">
            <v>1.1032381499999999</v>
          </cell>
        </row>
      </sheetData>
      <sheetData sheetId="2512">
        <row r="1">
          <cell r="R1">
            <v>1.1032381499999999</v>
          </cell>
        </row>
      </sheetData>
      <sheetData sheetId="2513">
        <row r="1">
          <cell r="R1">
            <v>1.1032381499999999</v>
          </cell>
        </row>
      </sheetData>
      <sheetData sheetId="2514">
        <row r="1">
          <cell r="R1">
            <v>1.1032381499999999</v>
          </cell>
        </row>
      </sheetData>
      <sheetData sheetId="2515">
        <row r="1">
          <cell r="R1">
            <v>1.1032381499999999</v>
          </cell>
        </row>
      </sheetData>
      <sheetData sheetId="2516">
        <row r="1">
          <cell r="R1">
            <v>1.1032381499999999</v>
          </cell>
        </row>
      </sheetData>
      <sheetData sheetId="2517">
        <row r="1">
          <cell r="R1">
            <v>1.1032381499999999</v>
          </cell>
        </row>
      </sheetData>
      <sheetData sheetId="2518">
        <row r="1">
          <cell r="R1">
            <v>1.1032381499999999</v>
          </cell>
        </row>
      </sheetData>
      <sheetData sheetId="2519">
        <row r="1">
          <cell r="R1">
            <v>1.1032381499999999</v>
          </cell>
        </row>
      </sheetData>
      <sheetData sheetId="2520">
        <row r="1">
          <cell r="R1">
            <v>1.1032381499999999</v>
          </cell>
        </row>
      </sheetData>
      <sheetData sheetId="2521">
        <row r="1">
          <cell r="R1">
            <v>1.1032381499999999</v>
          </cell>
        </row>
      </sheetData>
      <sheetData sheetId="2522">
        <row r="1">
          <cell r="R1">
            <v>1.1032381499999999</v>
          </cell>
        </row>
      </sheetData>
      <sheetData sheetId="2523">
        <row r="1">
          <cell r="R1">
            <v>1.1032381499999999</v>
          </cell>
        </row>
      </sheetData>
      <sheetData sheetId="2524">
        <row r="1">
          <cell r="R1">
            <v>1.1032381499999999</v>
          </cell>
        </row>
      </sheetData>
      <sheetData sheetId="2525">
        <row r="1">
          <cell r="R1">
            <v>1.1032381499999999</v>
          </cell>
        </row>
      </sheetData>
      <sheetData sheetId="2526">
        <row r="1">
          <cell r="R1">
            <v>1.1032381499999999</v>
          </cell>
        </row>
      </sheetData>
      <sheetData sheetId="2527">
        <row r="1">
          <cell r="R1">
            <v>1.1032381499999999</v>
          </cell>
        </row>
      </sheetData>
      <sheetData sheetId="2528">
        <row r="1">
          <cell r="R1">
            <v>1.1032381499999999</v>
          </cell>
        </row>
      </sheetData>
      <sheetData sheetId="2529">
        <row r="1">
          <cell r="R1">
            <v>1.1032381499999999</v>
          </cell>
        </row>
      </sheetData>
      <sheetData sheetId="2530">
        <row r="1">
          <cell r="R1">
            <v>1.1032381499999999</v>
          </cell>
        </row>
      </sheetData>
      <sheetData sheetId="2531">
        <row r="1">
          <cell r="R1">
            <v>1.1032381499999999</v>
          </cell>
        </row>
      </sheetData>
      <sheetData sheetId="2532">
        <row r="1">
          <cell r="R1">
            <v>1.1032381499999999</v>
          </cell>
        </row>
      </sheetData>
      <sheetData sheetId="2533">
        <row r="1">
          <cell r="R1">
            <v>1.1032381499999999</v>
          </cell>
        </row>
      </sheetData>
      <sheetData sheetId="2534">
        <row r="1">
          <cell r="R1">
            <v>1.1032381499999999</v>
          </cell>
        </row>
      </sheetData>
      <sheetData sheetId="2535">
        <row r="1">
          <cell r="R1">
            <v>1.1032381499999999</v>
          </cell>
        </row>
      </sheetData>
      <sheetData sheetId="2536">
        <row r="1">
          <cell r="R1">
            <v>1.1032381499999999</v>
          </cell>
        </row>
      </sheetData>
      <sheetData sheetId="2537">
        <row r="1">
          <cell r="R1">
            <v>1.1032381499999999</v>
          </cell>
        </row>
      </sheetData>
      <sheetData sheetId="2538">
        <row r="1">
          <cell r="R1">
            <v>1.1032381499999999</v>
          </cell>
        </row>
      </sheetData>
      <sheetData sheetId="2539">
        <row r="1">
          <cell r="R1">
            <v>1.1032381499999999</v>
          </cell>
        </row>
      </sheetData>
      <sheetData sheetId="2540">
        <row r="1">
          <cell r="R1">
            <v>1.1032381499999999</v>
          </cell>
        </row>
      </sheetData>
      <sheetData sheetId="2541">
        <row r="1">
          <cell r="R1">
            <v>1.1032381499999999</v>
          </cell>
        </row>
      </sheetData>
      <sheetData sheetId="2542">
        <row r="1">
          <cell r="R1">
            <v>1.1032381499999999</v>
          </cell>
        </row>
      </sheetData>
      <sheetData sheetId="2543">
        <row r="1">
          <cell r="R1">
            <v>1.1032381499999999</v>
          </cell>
        </row>
      </sheetData>
      <sheetData sheetId="2544">
        <row r="1">
          <cell r="R1">
            <v>1.1032381499999999</v>
          </cell>
        </row>
      </sheetData>
      <sheetData sheetId="2545">
        <row r="1">
          <cell r="R1">
            <v>1.1032381499999999</v>
          </cell>
        </row>
      </sheetData>
      <sheetData sheetId="2546">
        <row r="1">
          <cell r="R1">
            <v>1.1032381499999999</v>
          </cell>
        </row>
      </sheetData>
      <sheetData sheetId="2547">
        <row r="1">
          <cell r="R1">
            <v>1.1032381499999999</v>
          </cell>
        </row>
      </sheetData>
      <sheetData sheetId="2548">
        <row r="1">
          <cell r="R1">
            <v>1.1032381499999999</v>
          </cell>
        </row>
      </sheetData>
      <sheetData sheetId="2549">
        <row r="1">
          <cell r="R1">
            <v>1.1032381499999999</v>
          </cell>
        </row>
      </sheetData>
      <sheetData sheetId="2550">
        <row r="1">
          <cell r="R1">
            <v>1.1032381499999999</v>
          </cell>
        </row>
      </sheetData>
      <sheetData sheetId="2551">
        <row r="1">
          <cell r="R1">
            <v>1.1032381499999999</v>
          </cell>
        </row>
      </sheetData>
      <sheetData sheetId="2552">
        <row r="1">
          <cell r="R1">
            <v>1.1032381499999999</v>
          </cell>
        </row>
      </sheetData>
      <sheetData sheetId="2553">
        <row r="1">
          <cell r="R1">
            <v>1.1032381499999999</v>
          </cell>
        </row>
      </sheetData>
      <sheetData sheetId="2554">
        <row r="1">
          <cell r="R1">
            <v>1.1032381499999999</v>
          </cell>
        </row>
      </sheetData>
      <sheetData sheetId="2555">
        <row r="1">
          <cell r="R1">
            <v>1.1032381499999999</v>
          </cell>
        </row>
      </sheetData>
      <sheetData sheetId="2556">
        <row r="1">
          <cell r="R1">
            <v>1.1032381499999999</v>
          </cell>
        </row>
      </sheetData>
      <sheetData sheetId="2557">
        <row r="1">
          <cell r="R1">
            <v>1.1032381499999999</v>
          </cell>
        </row>
      </sheetData>
      <sheetData sheetId="2558">
        <row r="1">
          <cell r="R1">
            <v>1.1032381499999999</v>
          </cell>
        </row>
      </sheetData>
      <sheetData sheetId="2559">
        <row r="1">
          <cell r="R1">
            <v>1.1032381499999999</v>
          </cell>
        </row>
      </sheetData>
      <sheetData sheetId="2560">
        <row r="1">
          <cell r="R1">
            <v>1.1032381499999999</v>
          </cell>
        </row>
      </sheetData>
      <sheetData sheetId="2561">
        <row r="1">
          <cell r="R1">
            <v>1.1032381499999999</v>
          </cell>
        </row>
      </sheetData>
      <sheetData sheetId="2562">
        <row r="1">
          <cell r="R1">
            <v>1.1032381499999999</v>
          </cell>
        </row>
      </sheetData>
      <sheetData sheetId="2563">
        <row r="1">
          <cell r="R1">
            <v>1.1032381499999999</v>
          </cell>
        </row>
      </sheetData>
      <sheetData sheetId="2564">
        <row r="1">
          <cell r="R1">
            <v>1.1032381499999999</v>
          </cell>
        </row>
      </sheetData>
      <sheetData sheetId="2565">
        <row r="1">
          <cell r="R1">
            <v>1.1032381499999999</v>
          </cell>
        </row>
      </sheetData>
      <sheetData sheetId="2566">
        <row r="1">
          <cell r="R1">
            <v>1.1032381499999999</v>
          </cell>
        </row>
      </sheetData>
      <sheetData sheetId="2567">
        <row r="1">
          <cell r="R1">
            <v>1.1032381499999999</v>
          </cell>
        </row>
      </sheetData>
      <sheetData sheetId="2568">
        <row r="1">
          <cell r="R1">
            <v>1.1032381499999999</v>
          </cell>
        </row>
      </sheetData>
      <sheetData sheetId="2569">
        <row r="1">
          <cell r="R1">
            <v>1.1032381499999999</v>
          </cell>
        </row>
      </sheetData>
      <sheetData sheetId="2570">
        <row r="1">
          <cell r="R1">
            <v>1.1032381499999999</v>
          </cell>
        </row>
      </sheetData>
      <sheetData sheetId="2571">
        <row r="1">
          <cell r="R1">
            <v>1.1032381499999999</v>
          </cell>
        </row>
      </sheetData>
      <sheetData sheetId="2572">
        <row r="1">
          <cell r="R1">
            <v>1.1032381499999999</v>
          </cell>
        </row>
      </sheetData>
      <sheetData sheetId="2573">
        <row r="1">
          <cell r="R1">
            <v>1.1032381499999999</v>
          </cell>
        </row>
      </sheetData>
      <sheetData sheetId="2574">
        <row r="1">
          <cell r="R1">
            <v>1.1032381499999999</v>
          </cell>
        </row>
      </sheetData>
      <sheetData sheetId="2575">
        <row r="1">
          <cell r="R1">
            <v>1.1032381499999999</v>
          </cell>
        </row>
      </sheetData>
      <sheetData sheetId="2576">
        <row r="1">
          <cell r="R1">
            <v>1.1032381499999999</v>
          </cell>
        </row>
      </sheetData>
      <sheetData sheetId="2577">
        <row r="1">
          <cell r="R1">
            <v>1.1032381499999999</v>
          </cell>
        </row>
      </sheetData>
      <sheetData sheetId="2578">
        <row r="1">
          <cell r="R1">
            <v>1.1032381499999999</v>
          </cell>
        </row>
      </sheetData>
      <sheetData sheetId="2579">
        <row r="1">
          <cell r="R1">
            <v>1.1032381499999999</v>
          </cell>
        </row>
      </sheetData>
      <sheetData sheetId="2580">
        <row r="1">
          <cell r="R1">
            <v>1.1032381499999999</v>
          </cell>
        </row>
      </sheetData>
      <sheetData sheetId="2581">
        <row r="1">
          <cell r="R1">
            <v>1.1032381499999999</v>
          </cell>
        </row>
      </sheetData>
      <sheetData sheetId="2582">
        <row r="1">
          <cell r="R1">
            <v>1.1032381499999999</v>
          </cell>
        </row>
      </sheetData>
      <sheetData sheetId="2583">
        <row r="1">
          <cell r="R1">
            <v>1.1032381499999999</v>
          </cell>
        </row>
      </sheetData>
      <sheetData sheetId="2584">
        <row r="1">
          <cell r="R1">
            <v>1.1032381499999999</v>
          </cell>
        </row>
      </sheetData>
      <sheetData sheetId="2585">
        <row r="1">
          <cell r="R1">
            <v>1.1032381499999999</v>
          </cell>
        </row>
      </sheetData>
      <sheetData sheetId="2586">
        <row r="1">
          <cell r="R1">
            <v>1.1032381499999999</v>
          </cell>
        </row>
      </sheetData>
      <sheetData sheetId="2587">
        <row r="1">
          <cell r="R1">
            <v>1.1032381499999999</v>
          </cell>
        </row>
      </sheetData>
      <sheetData sheetId="2588">
        <row r="1">
          <cell r="R1">
            <v>1.1032381499999999</v>
          </cell>
        </row>
      </sheetData>
      <sheetData sheetId="2589">
        <row r="1">
          <cell r="R1">
            <v>1.1032381499999999</v>
          </cell>
        </row>
      </sheetData>
      <sheetData sheetId="2590">
        <row r="1">
          <cell r="R1">
            <v>1.1032381499999999</v>
          </cell>
        </row>
      </sheetData>
      <sheetData sheetId="2591">
        <row r="1">
          <cell r="R1">
            <v>1.1032381499999999</v>
          </cell>
        </row>
      </sheetData>
      <sheetData sheetId="2592">
        <row r="1">
          <cell r="R1">
            <v>1.1032381499999999</v>
          </cell>
        </row>
      </sheetData>
      <sheetData sheetId="2593">
        <row r="1">
          <cell r="R1">
            <v>1.1032381499999999</v>
          </cell>
        </row>
      </sheetData>
      <sheetData sheetId="2594">
        <row r="1">
          <cell r="R1">
            <v>1.1032381499999999</v>
          </cell>
        </row>
      </sheetData>
      <sheetData sheetId="2595">
        <row r="1">
          <cell r="R1">
            <v>1.1032381499999999</v>
          </cell>
        </row>
      </sheetData>
      <sheetData sheetId="2596">
        <row r="1">
          <cell r="R1">
            <v>1.1032381499999999</v>
          </cell>
        </row>
      </sheetData>
      <sheetData sheetId="2597">
        <row r="1">
          <cell r="R1">
            <v>1.1032381499999999</v>
          </cell>
        </row>
      </sheetData>
      <sheetData sheetId="2598">
        <row r="1">
          <cell r="R1">
            <v>1.1032381499999999</v>
          </cell>
        </row>
      </sheetData>
      <sheetData sheetId="2599">
        <row r="1">
          <cell r="R1">
            <v>1.1032381499999999</v>
          </cell>
        </row>
      </sheetData>
      <sheetData sheetId="2600">
        <row r="1">
          <cell r="R1">
            <v>1.1032381499999999</v>
          </cell>
        </row>
      </sheetData>
      <sheetData sheetId="2601">
        <row r="1">
          <cell r="R1">
            <v>1.1032381499999999</v>
          </cell>
        </row>
      </sheetData>
      <sheetData sheetId="2602">
        <row r="1">
          <cell r="R1">
            <v>1.1032381499999999</v>
          </cell>
        </row>
      </sheetData>
      <sheetData sheetId="2603">
        <row r="1">
          <cell r="R1">
            <v>1.1032381499999999</v>
          </cell>
        </row>
      </sheetData>
      <sheetData sheetId="2604">
        <row r="1">
          <cell r="R1">
            <v>1.1032381499999999</v>
          </cell>
        </row>
      </sheetData>
      <sheetData sheetId="2605">
        <row r="1">
          <cell r="R1">
            <v>1.1032381499999999</v>
          </cell>
        </row>
      </sheetData>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ow r="1">
          <cell r="R1">
            <v>1.1032381499999999</v>
          </cell>
        </row>
      </sheetData>
      <sheetData sheetId="2699">
        <row r="1">
          <cell r="R1">
            <v>1.1032381499999999</v>
          </cell>
        </row>
      </sheetData>
      <sheetData sheetId="2700">
        <row r="1">
          <cell r="R1">
            <v>1.1032381499999999</v>
          </cell>
        </row>
      </sheetData>
      <sheetData sheetId="2701">
        <row r="1">
          <cell r="R1">
            <v>1.1032381499999999</v>
          </cell>
        </row>
      </sheetData>
      <sheetData sheetId="2702">
        <row r="1">
          <cell r="R1">
            <v>1.1032381499999999</v>
          </cell>
        </row>
      </sheetData>
      <sheetData sheetId="2703">
        <row r="1">
          <cell r="R1">
            <v>1.1032381499999999</v>
          </cell>
        </row>
      </sheetData>
      <sheetData sheetId="2704">
        <row r="1">
          <cell r="R1">
            <v>1.1032381499999999</v>
          </cell>
        </row>
      </sheetData>
      <sheetData sheetId="2705">
        <row r="1">
          <cell r="R1">
            <v>1.1032381499999999</v>
          </cell>
        </row>
      </sheetData>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ow r="1">
          <cell r="R1">
            <v>1.1032381499999999</v>
          </cell>
        </row>
      </sheetData>
      <sheetData sheetId="2964">
        <row r="1">
          <cell r="R1">
            <v>1.1032381499999999</v>
          </cell>
        </row>
      </sheetData>
      <sheetData sheetId="2965">
        <row r="1">
          <cell r="R1">
            <v>1.1032381499999999</v>
          </cell>
        </row>
      </sheetData>
      <sheetData sheetId="2966">
        <row r="1">
          <cell r="R1">
            <v>1.1032381499999999</v>
          </cell>
        </row>
      </sheetData>
      <sheetData sheetId="2967">
        <row r="1">
          <cell r="R1">
            <v>1.1032381499999999</v>
          </cell>
        </row>
      </sheetData>
      <sheetData sheetId="2968">
        <row r="1">
          <cell r="R1">
            <v>1.1032381499999999</v>
          </cell>
        </row>
      </sheetData>
      <sheetData sheetId="2969">
        <row r="1">
          <cell r="R1">
            <v>1.1032381499999999</v>
          </cell>
        </row>
      </sheetData>
      <sheetData sheetId="2970">
        <row r="1">
          <cell r="R1">
            <v>1.1032381499999999</v>
          </cell>
        </row>
      </sheetData>
      <sheetData sheetId="2971">
        <row r="1">
          <cell r="R1">
            <v>1.1032381499999999</v>
          </cell>
        </row>
      </sheetData>
      <sheetData sheetId="2972">
        <row r="1">
          <cell r="R1">
            <v>1.1032381499999999</v>
          </cell>
        </row>
      </sheetData>
      <sheetData sheetId="2973">
        <row r="1">
          <cell r="R1">
            <v>1.1032381499999999</v>
          </cell>
        </row>
      </sheetData>
      <sheetData sheetId="2974">
        <row r="1">
          <cell r="R1">
            <v>1.1032381499999999</v>
          </cell>
        </row>
      </sheetData>
      <sheetData sheetId="2975">
        <row r="1">
          <cell r="R1">
            <v>1.1032381499999999</v>
          </cell>
        </row>
      </sheetData>
      <sheetData sheetId="2976">
        <row r="1">
          <cell r="R1">
            <v>1.1032381499999999</v>
          </cell>
        </row>
      </sheetData>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tement"/>
      <sheetName val="Buy vs. Lease Car"/>
      <sheetName val="Statement (2)"/>
      <sheetName val="Unis (Claim No.2)"/>
      <sheetName val="Sheet1"/>
      <sheetName val="Claim Form"/>
      <sheetName val="Contract Including VAT"/>
      <sheetName val="Steel Pipe"/>
      <sheetName val="External PVC, PPR, HDPE"/>
      <sheetName val="Internal PVC, PPR, HDPE"/>
      <sheetName val="DETAIL "/>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fico"/>
      <sheetName val="tifico[NO]"/>
      <sheetName val="tifico[Ext]"/>
      <sheetName val="Sheet1"/>
      <sheetName val="H-BHN"/>
      <sheetName val="A-BANTU"/>
      <sheetName val="Tifico-newoffice,R1"/>
      <sheetName val="ME-PLUMBING"/>
      <sheetName val="REKAP"/>
      <sheetName val="Material"/>
      <sheetName val="AC"/>
      <sheetName val="BAG-2"/>
      <sheetName val="D &amp; W sizes"/>
      <sheetName val="COVERUSRP"/>
      <sheetName val="SITE"/>
      <sheetName val="ESCOND"/>
      <sheetName val="BQUSRP"/>
      <sheetName val="tifico_NO_"/>
      <sheetName val="tifico_Ext_"/>
      <sheetName val="BQ"/>
      <sheetName val="Cover Daf-2"/>
      <sheetName val="SEX"/>
      <sheetName val="Analisa HS"/>
      <sheetName val="Urai _Resap pengikat"/>
      <sheetName val="STAF"/>
      <sheetName val="Elektrikal"/>
      <sheetName val="mat-me pipa"/>
      <sheetName val="DAF_1"/>
      <sheetName val="Isolasi Luar Dalam"/>
      <sheetName val="Isolasi Luar"/>
      <sheetName val="A"/>
      <sheetName val="PEF29_CD(IDR)"/>
      <sheetName val="Currency Rate"/>
      <sheetName val="atap"/>
      <sheetName val="TOWN"/>
      <sheetName val="B _ Norelec"/>
      <sheetName val="villa"/>
      <sheetName val="Data"/>
      <sheetName val="Group"/>
      <sheetName val="DAF-1"/>
      <sheetName val="escon"/>
      <sheetName val="Pile"/>
      <sheetName val="Piping"/>
      <sheetName val="Elec-ins"/>
      <sheetName val="Temporary"/>
      <sheetName val="Notes"/>
      <sheetName val="Rekap Direct Cost"/>
      <sheetName val="Bill No 6 Koord _ Attendance"/>
      <sheetName val="HRG BHN"/>
      <sheetName val="Daf 1"/>
      <sheetName val="SPM062"/>
      <sheetName val="STR"/>
      <sheetName val="Analisa"/>
      <sheetName val="WH-Rev"/>
      <sheetName val="WMS-INT"/>
      <sheetName val="Slab"/>
      <sheetName val="Master"/>
      <sheetName val="covere"/>
      <sheetName val="Mob"/>
      <sheetName val="D7"/>
      <sheetName val="D_&amp;_W_sizes"/>
      <sheetName val="Urai__Resap_pengikat"/>
      <sheetName val="B___Norelec"/>
      <sheetName val="Cover_Daf-2"/>
      <sheetName val="Analisa_HS"/>
      <sheetName val="Currency_Rate"/>
      <sheetName val="mat-me_pipa"/>
      <sheetName val="Isolasi_Luar_Dalam"/>
      <sheetName val="Isolasi_Luar"/>
      <sheetName val="Rekap_Direct_Cost"/>
      <sheetName val="Bill_No_6_Koord___Attendance"/>
      <sheetName val="HRG_BHN"/>
      <sheetName val="2-Genset print"/>
      <sheetName val="MOW 45%"/>
      <sheetName val="MOS 55%"/>
      <sheetName val="BAG_2"/>
      <sheetName val=" UPAH"/>
      <sheetName val="B - Norelec"/>
      <sheetName val="DAFT_ALAT,UPAH &amp; MAT"/>
      <sheetName val="Harga ME "/>
      <sheetName val="SITE-E"/>
      <sheetName val="H_BHN"/>
      <sheetName val="負荷集計（断熱不燃）"/>
      <sheetName val="upah"/>
      <sheetName val="Pipe"/>
      <sheetName val="CONS."/>
      <sheetName val="SALING"/>
      <sheetName val="UNIT_P"/>
      <sheetName val="F&amp;S"/>
      <sheetName val="Duc-3"/>
      <sheetName val="January 2015"/>
      <sheetName val="SAT-BHN"/>
      <sheetName val="Basic Price"/>
      <sheetName val="plumbing"/>
      <sheetName val="Cover"/>
      <sheetName val="H.Satuan"/>
      <sheetName val="HARGA MATERIAL"/>
      <sheetName val="BQ ARS"/>
      <sheetName val="Steel-Twr"/>
      <sheetName val="DETAIL RAP"/>
      <sheetName val="BQ PENGURANGAN SALURAN"/>
      <sheetName val="Week9-Feb    "/>
      <sheetName val="01A- RAB"/>
      <sheetName val="I-ME"/>
      <sheetName val="TOSHIBA-Structure"/>
      <sheetName val="D HARGA"/>
      <sheetName val="harsat"/>
      <sheetName val="Panel,feeder,elek"/>
      <sheetName val="INDEKS"/>
      <sheetName val="JABATAN"/>
      <sheetName val="Analisa Harga"/>
      <sheetName val="Bahan"/>
      <sheetName val="Bill No 6 Koord &amp; Attendance"/>
      <sheetName val="#REF!"/>
      <sheetName val="Analisa Gabungan"/>
      <sheetName val="Sub"/>
      <sheetName val="Volume"/>
      <sheetName val="AnalisaSIPIL RIIL"/>
      <sheetName val="304-06"/>
      <sheetName val="BOQ"/>
      <sheetName val="CH"/>
      <sheetName val="Duc_3"/>
      <sheetName val="bahan "/>
      <sheetName val="I-KAMAR"/>
      <sheetName val="SAP"/>
      <sheetName val="125x125"/>
      <sheetName val="Cac HS hieu chinh"/>
      <sheetName val="FitOutConfCentre"/>
      <sheetName val="PKK"/>
      <sheetName val=""/>
      <sheetName val="Earthwork"/>
      <sheetName val="Sheet2"/>
      <sheetName val="L_TIGA"/>
      <sheetName val="L-TIGA"/>
      <sheetName val="PERSIAPAN"/>
      <sheetName val="Pln Pdt"/>
      <sheetName val="Estimate"/>
      <sheetName val="Steel Pipe"/>
      <sheetName val="External PVC, PPR, HDPE"/>
      <sheetName val="Internal PVC, PPR, HDPE"/>
      <sheetName val="GI Sheet"/>
      <sheetName val="外気負荷"/>
      <sheetName val="indirect"/>
      <sheetName val="BQ (by owner)"/>
      <sheetName val="rab me (fisik)"/>
      <sheetName val="rab me (by owner) "/>
      <sheetName val="Form I"/>
      <sheetName val="Cover Daf_2"/>
      <sheetName val="AC_C"/>
      <sheetName val="FAB별"/>
      <sheetName val="Markup"/>
      <sheetName val="B1form (2)"/>
      <sheetName val="FR"/>
      <sheetName val="D_&amp;_W_sizes1"/>
      <sheetName val="Cover_Daf-21"/>
      <sheetName val="Analisa_HS1"/>
      <sheetName val="Urai__Resap_pengikat1"/>
      <sheetName val="mat-me_pipa1"/>
      <sheetName val="Isolasi_Luar_Dalam1"/>
      <sheetName val="Isolasi_Luar1"/>
      <sheetName val="Currency_Rate1"/>
      <sheetName val="B___Norelec1"/>
      <sheetName val="Rekap_Direct_Cost1"/>
      <sheetName val="Bill_No_6_Koord___Attendance1"/>
      <sheetName val="HRG_BHN1"/>
      <sheetName val="2-Genset_print"/>
      <sheetName val="MOW_45%"/>
      <sheetName val="MOS_55%"/>
      <sheetName val="_UPAH"/>
      <sheetName val="B_-_Norelec"/>
      <sheetName val="DAFT_ALAT,UPAH_&amp;_MAT"/>
      <sheetName val="Harga_ME_"/>
      <sheetName val="CONS_"/>
      <sheetName val="January_2015"/>
      <sheetName val="Basic_Price"/>
      <sheetName val="H_Satuan"/>
      <sheetName val="HARGA_MATERIAL"/>
      <sheetName val="BQ_ARS"/>
      <sheetName val="DETAIL_RAP"/>
      <sheetName val="BQ_PENGURANGAN_SALURAN"/>
      <sheetName val="Week9-Feb____"/>
      <sheetName val="01A-_RAB"/>
      <sheetName val="D_HARGA"/>
      <sheetName val="Analisa_Harga"/>
      <sheetName val="Bill_No_6_Koord_&amp;_Attendance"/>
      <sheetName val="Analisa_Gabungan"/>
      <sheetName val="AnalisaSIPIL_RIIL"/>
      <sheetName val="Cac_HS_hieu_chinh"/>
      <sheetName val="Koefisien"/>
      <sheetName val="D4"/>
      <sheetName val="D6"/>
      <sheetName val="D8"/>
      <sheetName val="REK"/>
      <sheetName val="Sum"/>
      <sheetName val="2.2"/>
      <sheetName val="Analisa Upah &amp; Bahan Plum"/>
      <sheetName val="kWINTANSI"/>
      <sheetName val="SPK"/>
      <sheetName val="CIVIL-1"/>
      <sheetName val="Analisa &amp; Upah"/>
      <sheetName val="PO-2"/>
      <sheetName val="AT 2"/>
      <sheetName val="HB "/>
      <sheetName val="ANAL.BOW"/>
      <sheetName val="Summary"/>
      <sheetName val="Code"/>
      <sheetName val="Cash2"/>
      <sheetName val="Z"/>
      <sheetName val="LEGEND"/>
      <sheetName val="QMCT"/>
      <sheetName val="BG"/>
      <sheetName val="04 - XUONG DET B"/>
      <sheetName val="CTGX"/>
      <sheetName val="CTG-1"/>
      <sheetName val="264"/>
      <sheetName val="Div26 - Elect"/>
      <sheetName val="Quantity"/>
      <sheetName val="概総括1"/>
      <sheetName val="____"/>
      <sheetName val=""/>
      <sheetName val="RAB AR&amp;STR"/>
      <sheetName val="DCost"/>
      <sheetName val="Rates"/>
      <sheetName val="MEP SUM"/>
      <sheetName val="SGC-Rate"/>
      <sheetName val="Project Data"/>
      <sheetName val="Gia"/>
      <sheetName val="TINH GIA - SAN XUAT Vertico"/>
      <sheetName val="Main"/>
      <sheetName val="집계표"/>
      <sheetName val="실행철강하도"/>
      <sheetName val="갑지"/>
      <sheetName val="차액보증"/>
      <sheetName val="D_&amp;_W_sizes2"/>
      <sheetName val="Cover_Daf-22"/>
      <sheetName val="Analisa_HS2"/>
      <sheetName val="Urai__Resap_pengikat2"/>
      <sheetName val="mat-me_pipa2"/>
      <sheetName val="Isolasi_Luar_Dalam2"/>
      <sheetName val="Isolasi_Luar2"/>
      <sheetName val="Currency_Rate2"/>
      <sheetName val="B___Norelec2"/>
      <sheetName val="Rekap_Direct_Cost2"/>
      <sheetName val="Bill_No_6_Koord___Attendance2"/>
      <sheetName val="HRG_BHN2"/>
      <sheetName val="2-Genset_print1"/>
      <sheetName val="MOW_45%1"/>
      <sheetName val="MOS_55%1"/>
      <sheetName val="_UPAH1"/>
      <sheetName val="B_-_Norelec1"/>
      <sheetName val="DAFT_ALAT,UPAH_&amp;_MAT1"/>
      <sheetName val="Harga_ME_1"/>
      <sheetName val="CONS_1"/>
      <sheetName val="January_20151"/>
      <sheetName val="Basic_Price1"/>
      <sheetName val="H_Satuan1"/>
      <sheetName val="HARGA_MATERIAL1"/>
      <sheetName val="BQ_ARS1"/>
      <sheetName val="DETAIL_RAP1"/>
      <sheetName val="BQ_PENGURANGAN_SALURAN1"/>
      <sheetName val="Week9-Feb____1"/>
      <sheetName val="01A-_RAB1"/>
      <sheetName val="D_HARGA1"/>
      <sheetName val="Analisa_Harga1"/>
      <sheetName val="Bill_No_6_Koord_&amp;_Attendance1"/>
      <sheetName val="Analisa_Gabungan1"/>
      <sheetName val="AnalisaSIPIL_RIIL1"/>
      <sheetName val="bahan_"/>
      <sheetName val="Cac_HS_hieu_chinh1"/>
      <sheetName val="Pln_Pdt"/>
      <sheetName val="Steel_Pipe"/>
      <sheetName val="External_PVC,_PPR,_HDPE"/>
      <sheetName val="Internal_PVC,_PPR,_HDPE"/>
      <sheetName val="GI_Sheet"/>
      <sheetName val="BQ_(by_owner)"/>
      <sheetName val="rab_me_(fisik)"/>
      <sheetName val="rab_me_(by_owner)_"/>
      <sheetName val="Form_I"/>
      <sheetName val="Cover_Daf_2"/>
      <sheetName val="05. Data_Cash Flow"/>
      <sheetName val="工艺分类库"/>
      <sheetName val="MTP"/>
      <sheetName val="입찰안"/>
      <sheetName val="Input"/>
      <sheetName val="MTO REV_2_ARMOR_"/>
      <sheetName val="B1form_(2)"/>
      <sheetName val="2_2"/>
      <sheetName val="Analisa_Upah_&amp;_Bahan_Plum"/>
      <sheetName val="Analisa_&amp;_Upah"/>
      <sheetName val="AT_2"/>
      <sheetName val="HB_"/>
      <sheetName val="ANAL_BOW"/>
      <sheetName val="配管単価"/>
      <sheetName val="Kuantitas &amp; Harga"/>
      <sheetName val="Item-DATA"/>
      <sheetName val="NSA fr Revit"/>
      <sheetName val="SUM-AIR-Submit"/>
      <sheetName val="限界利益表(半期別)"/>
      <sheetName val="機種マスタ"/>
      <sheetName val="Sheet"/>
      <sheetName val="Beam"/>
      <sheetName val="Bill rekap"/>
      <sheetName val="Kolom UT"/>
      <sheetName val="Faktor"/>
      <sheetName val="struktur"/>
      <sheetName val="#REF"/>
      <sheetName val="BookJHFGJGXBGCCNCVCCVVCVCC2"/>
      <sheetName val="_REF"/>
      <sheetName val="dg-VTu"/>
      <sheetName val="MTP1"/>
      <sheetName val="MeKong - Penetration"/>
      <sheetName val="Dist. Perform - Ctns.sales in "/>
      <sheetName val="Dist. Perform - Value.sales in"/>
      <sheetName val="Dist. Perform - Value.sales Out"/>
      <sheetName val="Head Count"/>
      <sheetName val="Sales Result For Month"/>
      <sheetName val="XL4Poppy"/>
      <sheetName val="MTO REV.2(ARMOR)"/>
      <sheetName val="DN"/>
      <sheetName val="VP"/>
      <sheetName val="KD"/>
      <sheetName val="DD"/>
      <sheetName val="CT"/>
      <sheetName val="PX"/>
      <sheetName val="GR"/>
      <sheetName val="00000000"/>
      <sheetName val="DS CHU Phuc"/>
      <sheetName val="DS THI AT"/>
      <sheetName val="Bien Ban"/>
      <sheetName val="材労機単価"/>
      <sheetName val="LME"/>
      <sheetName val="6MONTHS"/>
      <sheetName val="BC Ton Kho New"/>
      <sheetName val="BC Cua GSBH New"/>
      <sheetName val="10000000"/>
      <sheetName val="PTTL"/>
      <sheetName val="CHITIET VL-NC-TT -1p"/>
      <sheetName val="CHITIET VL-NC-TT-3p"/>
      <sheetName val="Gia_GC_Satthep"/>
      <sheetName val="Ref"/>
      <sheetName val="dongia (2)"/>
      <sheetName val="PNT-QUOT-#3"/>
      <sheetName val="COAT&amp;WRAP-QIOT-#3"/>
      <sheetName val="ESTI."/>
      <sheetName val="DI-ESTI"/>
      <sheetName val="DS CHU Ph_x0001__x0000_"/>
      <sheetName val="CT Thang Mo"/>
      <sheetName val="CT  PL"/>
      <sheetName val="DTKLg"/>
      <sheetName val="VL"/>
      <sheetName val="PTVTu"/>
      <sheetName val="THKP-Full"/>
      <sheetName val="KLg"/>
      <sheetName val="Chitiet"/>
      <sheetName val="Dongia"/>
      <sheetName val="CHITIET VL-NC"/>
      <sheetName val="DON GIA"/>
      <sheetName val="khongin"/>
      <sheetName val="Dgia vat tu"/>
      <sheetName val="Don gia_III"/>
      <sheetName val="Chuso"/>
      <sheetName val="Bhyt t1"/>
      <sheetName val="MTO_REV_2(ARMOR)"/>
      <sheetName val="MeKong_-_Penetration"/>
      <sheetName val="Dist__Perform_-_Ctns_sales_in_"/>
      <sheetName val="Dist__Perform_-_Value_sales_in"/>
      <sheetName val="Dist__Perform_-_Value_sales_Out"/>
      <sheetName val="Head_Count"/>
      <sheetName val="Sales_Result_For_Month"/>
      <sheetName val="DS_CHU_Phuc"/>
      <sheetName val="DS_THI_AT"/>
      <sheetName val="Bien_Ban"/>
      <sheetName val="DS CHU Ph_x0001_?"/>
      <sheetName val="vªÄ"/>
      <sheetName val="ZC³"/>
      <sheetName val="Øü"/>
      <sheetName val="PL_VÆQ"/>
      <sheetName val="PL_DUO_2Q"/>
      <sheetName val="Leave Statistic Report"/>
      <sheetName val="Database"/>
      <sheetName val="—˜‰vˆ•ªˆÄ"/>
      <sheetName val="ŒˆŽZC³"/>
      <sheetName val="ŽØ“ü"/>
      <sheetName val="PL_VŽ–‹ÆQŒˆ"/>
      <sheetName val="PL_DUO_2QŒˆ"/>
      <sheetName val="dongia_(2)"/>
      <sheetName val="Leave_Statistic_Report"/>
      <sheetName val="VC"/>
      <sheetName val="gVL"/>
      <sheetName val="Sheet3"/>
      <sheetName val="GiaVL"/>
      <sheetName val="ND"/>
      <sheetName val="Cp&gt;10-Ln&lt;10"/>
      <sheetName val="Ln&lt;20"/>
      <sheetName val="EIRR&gt;1&lt;1"/>
      <sheetName val="EIRR&gt; 2"/>
      <sheetName val="EIRR&lt;2"/>
      <sheetName val="bieu_solieu"/>
      <sheetName val="DS CHU Ph_x0001__"/>
      <sheetName val="Chiet tinh dz35"/>
      <sheetName val="Tke"/>
      <sheetName val="DS CHU Ph_x005f_x0001__x005f_x0000_"/>
      <sheetName val="DS CHU Ph_x005f_x0001_?"/>
      <sheetName val="DS CHU Ph_x005f_x0001_"/>
      <sheetName val="DS CHU Ph_x005f_x0001__"/>
      <sheetName val="Vat tu XD"/>
      <sheetName val="DS CHU Ph_x005f_x005f_x005f_x0001__x005f_x005f_x0"/>
      <sheetName val="DS CHU Ph_x005f_x005f_x005f_x0001__"/>
      <sheetName val="DS CHU Ph_x005f_x005f_x005f_x0001_"/>
      <sheetName val="ShªYÞ_x0000_"/>
      <sheetName val="04_-_XUONG_DET_B"/>
      <sheetName val="Div26_-_Elect"/>
      <sheetName val="Project_Data"/>
      <sheetName val="eq_data"/>
      <sheetName val="TN"/>
      <sheetName val="BeachFrontVilla "/>
      <sheetName val="KCT"/>
      <sheetName val="F4-F7"/>
      <sheetName val="SPS"/>
      <sheetName val="전기"/>
      <sheetName val="TINH_GIA_-_SAN_XUAT_Vertico"/>
      <sheetName val="MEP_SUM"/>
      <sheetName val="RAB_AR&amp;STR"/>
      <sheetName val="Contents"/>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Thuc thanh"/>
      <sheetName val="CỘT + VÁCH B1-B2"/>
      <sheetName val="Harga satuan"/>
      <sheetName val="基本ﾃﾞｰﾀ"/>
      <sheetName val="電気設備表"/>
      <sheetName val="Ｎｏ.13"/>
      <sheetName val="Str A"/>
      <sheetName val="Rekap Prelim"/>
      <sheetName val="Div3"/>
      <sheetName val="基本"/>
      <sheetName val="予算票"/>
      <sheetName val="Bill 2"/>
      <sheetName val="CHÀO GIÁ KL CÁC TUYẾN CÒN LẠI"/>
      <sheetName val=" TNT K.Lượng các tuyến còn lại"/>
      <sheetName val="KL TNT Khu thấp tầng"/>
      <sheetName val="KL. HG ĐIỆN còn lại"/>
      <sheetName val="KHỐI LƯỢNG HỐ VAN"/>
      <sheetName val="Cash flow"/>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D_&amp;_W_sizes3"/>
      <sheetName val="Cover_Daf-23"/>
      <sheetName val="Analisa_HS3"/>
      <sheetName val="Urai__Resap_pengikat3"/>
      <sheetName val="mat-me_pipa3"/>
      <sheetName val="Isolasi_Luar_Dalam3"/>
      <sheetName val="Isolasi_Luar3"/>
      <sheetName val="Currency_Rate3"/>
      <sheetName val="B___Norelec3"/>
      <sheetName val="Rekap_Direct_Cost3"/>
      <sheetName val="Bill_No_6_Koord___Attendance3"/>
      <sheetName val="HRG_BHN3"/>
      <sheetName val="2-Genset_print2"/>
      <sheetName val="MOW_45%2"/>
      <sheetName val="MOS_55%2"/>
      <sheetName val="_UPAH2"/>
      <sheetName val="B_-_Norelec2"/>
      <sheetName val="DAFT_ALAT,UPAH_&amp;_MAT2"/>
      <sheetName val="Harga_ME_2"/>
      <sheetName val="CONS_2"/>
      <sheetName val="January_20152"/>
      <sheetName val="Basic_Price2"/>
      <sheetName val="H_Satuan2"/>
      <sheetName val="HARGA_MATERIAL2"/>
      <sheetName val="BQ_ARS2"/>
      <sheetName val="DETAIL_RAP2"/>
      <sheetName val="BQ_PENGURANGAN_SALURAN2"/>
      <sheetName val="Week9-Feb____2"/>
      <sheetName val="01A-_RAB2"/>
      <sheetName val="Cac_HS_hieu_chinh2"/>
      <sheetName val="AnalisaSIPIL_RIIL2"/>
      <sheetName val="D_HARGA2"/>
      <sheetName val="Analisa_Harga2"/>
      <sheetName val="Bill_No_6_Koord_&amp;_Attendance2"/>
      <sheetName val="Analisa_Gabungan2"/>
      <sheetName val="bahan_1"/>
      <sheetName val="Pln_Pdt1"/>
      <sheetName val="Steel_Pipe1"/>
      <sheetName val="External_PVC,_PPR,_HDPE1"/>
      <sheetName val="Internal_PVC,_PPR,_HDPE1"/>
      <sheetName val="GI_Sheet1"/>
      <sheetName val="BQ_(by_owner)1"/>
      <sheetName val="rab_me_(fisik)1"/>
      <sheetName val="rab_me_(by_owner)_1"/>
      <sheetName val="Form_I1"/>
      <sheetName val="Cover_Daf_21"/>
      <sheetName val="B1form_(2)1"/>
      <sheetName val="2_21"/>
      <sheetName val="Analisa_Upah_&amp;_Bahan_Plum1"/>
      <sheetName val="Analisa_&amp;_Upah1"/>
      <sheetName val="AT_21"/>
      <sheetName val="HB_1"/>
      <sheetName val="ANAL_BOW1"/>
      <sheetName val="Div26_-_Elect1"/>
      <sheetName val="MEP_SUM1"/>
      <sheetName val="04_-_XUONG_DET_B1"/>
      <sheetName val="Project_Data1"/>
      <sheetName val="TINH_GIA_-_SAN_XUAT_Vertico1"/>
      <sheetName val="RAB_AR&amp;STR1"/>
      <sheetName val="05__Data_Cash_Flow"/>
      <sheetName val="MTO_REV_2_ARMOR_"/>
      <sheetName val="NSA_fr_Revit"/>
      <sheetName val="BeachFrontVilla_"/>
      <sheetName val="Kuantitas_&amp;_Harga"/>
      <sheetName val="MeKong_-_Penetration1"/>
      <sheetName val="Dist__Perform_-_Ctns_sales_in_1"/>
      <sheetName val="Dist__Perform_-_Value_sales_in1"/>
      <sheetName val="Dist__Perform_-_Value_sales_Ou1"/>
      <sheetName val="Head_Count1"/>
      <sheetName val="Sales_Result_For_Month1"/>
      <sheetName val="MTO_REV_2(ARMOR)1"/>
      <sheetName val="DS_CHU_Phuc1"/>
      <sheetName val="DS_THI_AT1"/>
      <sheetName val="Bien_Ban1"/>
      <sheetName val="BC_Ton_Kho_New"/>
      <sheetName val="BC_Cua_GSBH_New"/>
      <sheetName val="CHITIET_VL-NC-TT_-1p"/>
      <sheetName val="CHITIET_VL-NC-TT-3p"/>
      <sheetName val="dongia_(2)1"/>
      <sheetName val="ESTI_"/>
      <sheetName val="DS_CHU_Ph"/>
      <sheetName val="CT_Thang_Mo"/>
      <sheetName val="CT__PL"/>
      <sheetName val="CHITIET_VL-NC"/>
      <sheetName val="DON_GIA"/>
      <sheetName val="Dgia_vat_tu"/>
      <sheetName val="Don_gia_III"/>
      <sheetName val="Bhyt_t1"/>
      <sheetName val="DS_CHU_Ph?"/>
      <sheetName val="Leave_Statistic_Report1"/>
      <sheetName val="EIRR&gt;_2"/>
      <sheetName val="DS_CHU_Ph_"/>
      <sheetName val="Chiet_tinh_dz35"/>
      <sheetName val="DS_CHU_Ph_x005f_x0001__x005f_x0000_"/>
      <sheetName val="DS_CHU_Ph_x005f_x0001_?"/>
      <sheetName val="DS_CHU_Ph_x005f_x0001_"/>
      <sheetName val="DS_CHU_Ph_x005f_x0001__"/>
      <sheetName val="Vat_tu_XD"/>
      <sheetName val="DS_CHU_Ph_x005f_x005f_x005f_x0001__x005f_x005f_x0"/>
      <sheetName val="DS_CHU_Ph_x005f_x005f_x005f_x0001__"/>
      <sheetName val="DS_CHU_Ph_x005f_x005f_x005f_x0001_"/>
      <sheetName val="GFA_HQ_Building"/>
      <sheetName val="GFA_Conference"/>
      <sheetName val="Thuc_thanh"/>
      <sheetName val="CỘT_+_VÁCH_B1-B2"/>
      <sheetName val="Bill_rekap"/>
      <sheetName val="Kolom_UT"/>
      <sheetName val="Harga_satuan"/>
      <sheetName val="D_&amp;_W_sizes4"/>
      <sheetName val="Cover_Daf-24"/>
      <sheetName val="Analisa_HS4"/>
      <sheetName val="CFS3"/>
      <sheetName val="Sheet129"/>
      <sheetName val="Sheet22"/>
      <sheetName val="Urai__Resap_pengikat4"/>
      <sheetName val="mat-me_pipa4"/>
      <sheetName val="Isolasi_Luar_Dalam4"/>
      <sheetName val="đọc số"/>
      <sheetName val="Isolasi_Luar4"/>
      <sheetName val="Currency_Rate4"/>
      <sheetName val="B___Norelec4"/>
      <sheetName val="Rekap_Direct_Cost4"/>
      <sheetName val="Bill_No_6_Koord___Attendance4"/>
      <sheetName val="HRG_BHN4"/>
      <sheetName val="2-Genset_print3"/>
      <sheetName val="MOW_45%3"/>
      <sheetName val="MOS_55%3"/>
      <sheetName val="_UPAH3"/>
      <sheetName val="B_-_Norelec3"/>
      <sheetName val="DAFT_ALAT,UPAH_&amp;_MAT3"/>
      <sheetName val="Harga_ME_3"/>
      <sheetName val="CONS_3"/>
      <sheetName val="January_20153"/>
      <sheetName val="Basic_Price3"/>
      <sheetName val="H_Satuan3"/>
      <sheetName val="HARGA_MATERIAL3"/>
      <sheetName val="BQ_ARS3"/>
      <sheetName val="DETAIL_RAP3"/>
      <sheetName val="BQ_PENGURANGAN_SALURAN3"/>
      <sheetName val="Week9-Feb____3"/>
      <sheetName val="01A-_RAB3"/>
      <sheetName val="Cac_HS_hieu_chinh3"/>
      <sheetName val="AnalisaSIPIL_RIIL3"/>
      <sheetName val="D_HARGA3"/>
      <sheetName val="Analisa_Harga3"/>
      <sheetName val="Bill_No_6_Koord_&amp;_Attendance3"/>
      <sheetName val="Analisa_Gabungan3"/>
      <sheetName val="bahan_2"/>
      <sheetName val="Pln_Pdt2"/>
      <sheetName val="Steel_Pipe2"/>
      <sheetName val="External_PVC,_PPR,_HDPE2"/>
      <sheetName val="Internal_PVC,_PPR,_HDPE2"/>
      <sheetName val="GI_Sheet2"/>
      <sheetName val="BQ_(by_owner)2"/>
      <sheetName val="rab_me_(fisik)2"/>
      <sheetName val="rab_me_(by_owner)_2"/>
      <sheetName val="Form_I2"/>
      <sheetName val="Cover_Daf_22"/>
      <sheetName val="B1form_(2)2"/>
      <sheetName val="Div26_-_Elect2"/>
      <sheetName val="2_22"/>
      <sheetName val="Analisa_Upah_&amp;_Bahan_Plum2"/>
      <sheetName val="Analisa_&amp;_Upah2"/>
      <sheetName val="AT_22"/>
      <sheetName val="HB_2"/>
      <sheetName val="ANAL_BOW2"/>
      <sheetName val="MEP_SUM2"/>
      <sheetName val="04_-_XUONG_DET_B2"/>
      <sheetName val="Project_Data2"/>
      <sheetName val="TINH_GIA_-_SAN_XUAT_Vertico2"/>
      <sheetName val="RAB_AR&amp;STR2"/>
      <sheetName val="05__Data_Cash_Flow1"/>
      <sheetName val="MTO_REV_2_ARMOR_1"/>
      <sheetName val="BeachFrontVilla_1"/>
      <sheetName val="NSA_fr_Revit1"/>
      <sheetName val="Kuantitas_&amp;_Harga1"/>
      <sheetName val="MeKong_-_Penetration2"/>
      <sheetName val="Dist__Perform_-_Ctns_sales_in_2"/>
      <sheetName val="Dist__Perform_-_Value_sales_in2"/>
      <sheetName val="Dist__Perform_-_Value_sales_Ou2"/>
      <sheetName val="Head_Count2"/>
      <sheetName val="Sales_Result_For_Month2"/>
      <sheetName val="MTO_REV_2(ARMOR)2"/>
      <sheetName val="DS_CHU_Phuc2"/>
      <sheetName val="DS_THI_AT2"/>
      <sheetName val="Bien_Ban2"/>
      <sheetName val="BC_Ton_Kho_New1"/>
      <sheetName val="BC_Cua_GSBH_New1"/>
      <sheetName val="CHITIET_VL-NC-TT_-1p1"/>
      <sheetName val="CHITIET_VL-NC-TT-3p1"/>
      <sheetName val="dongia_(2)2"/>
      <sheetName val="ESTI_1"/>
      <sheetName val="CT_Thang_Mo1"/>
      <sheetName val="CT__PL1"/>
      <sheetName val="CHITIET_VL-NC1"/>
      <sheetName val="DON_GIA1"/>
      <sheetName val="Dgia_vat_tu1"/>
      <sheetName val="Don_gia_III1"/>
      <sheetName val="Bhyt_t11"/>
      <sheetName val="Leave_Statistic_Report2"/>
      <sheetName val="EIRR&gt;_21"/>
      <sheetName val="Chiet_tinh_dz351"/>
      <sheetName val="DS_CHU_Ph_x005f_x0001__x005f_x0000_1"/>
      <sheetName val="DS_CHU_Ph_x005f_x0001_?1"/>
      <sheetName val="DS_CHU_Ph_x005f_x0001_1"/>
      <sheetName val="DS_CHU_Ph_x005f_x0001__1"/>
      <sheetName val="Vat_tu_XD1"/>
      <sheetName val="DS_CHU_Ph_x005f_x005f_x005f_x0001__x005f_x005f_x1"/>
      <sheetName val="DS_CHU_Ph_x005f_x005f_x005f_x0001__1"/>
      <sheetName val="DS_CHU_Ph_x005f_x005f_x005f_x0001_1"/>
      <sheetName val="GFA_HQ_Building1"/>
      <sheetName val="GFA_Conference1"/>
      <sheetName val="Thuc_thanh1"/>
      <sheetName val="CỘT_+_VÁCH_B1-B21"/>
      <sheetName val="Bill_rekap1"/>
      <sheetName val="Kolom_UT1"/>
      <sheetName val="Harga_satuan1"/>
      <sheetName val="Architectural（建築）"/>
      <sheetName val="Measured Qty Demarcation"/>
      <sheetName val="Floor Area 24 June 2019"/>
      <sheetName val="Floor Area 31 July 2019"/>
      <sheetName val="Floor Area 12 July 2019"/>
      <sheetName val="Exchange rate 2019.07"/>
      <sheetName val="datbhn"/>
      <sheetName val="lamp2"/>
      <sheetName val="Har Sat"/>
      <sheetName val="ocean voyage"/>
      <sheetName val="Hargamat"/>
      <sheetName val="6_9D_W"/>
      <sheetName val="6_10__I"/>
      <sheetName val="2_12PA"/>
      <sheetName val="2_1P"/>
      <sheetName val="2_3C"/>
      <sheetName val="2_4F"/>
      <sheetName val="kin_OLP_xxx"/>
      <sheetName val="Goc CC"/>
      <sheetName val="노임단가"/>
      <sheetName val="SUM-PRO (3)"/>
      <sheetName val="electrical"/>
      <sheetName val="KL THÉP MÓNG,DẦM, SÀN, CỘT B2"/>
      <sheetName val="THKLTT THÉP B2"/>
      <sheetName val="Detail RAM DỐC B1-L1"/>
      <sheetName val="DS CHU Ph_x005f_x0001__x0"/>
      <sheetName val="DS CHU Ph_x005f_x005f_x00"/>
      <sheetName val="DS_CHU_Ph_x005f_x0001__x0"/>
      <sheetName val="DS_CHU_Ph_x005f_x005f_x00"/>
      <sheetName val="ShªYÞ?"/>
      <sheetName val="NVN Hotel"/>
      <sheetName val="Doi so"/>
      <sheetName val="NET-A2"/>
      <sheetName val="RECAP"/>
      <sheetName val="表紙"/>
      <sheetName val="内訳書"/>
      <sheetName val="rab"/>
      <sheetName val="railing"/>
      <sheetName val="BasicPrice"/>
      <sheetName val="H.SAT"/>
      <sheetName val="Rekap Biaya"/>
      <sheetName val="SAT_BHN"/>
      <sheetName val="HD Alat"/>
      <sheetName val="HD Bahan"/>
      <sheetName val="PRD 01-3"/>
      <sheetName val="HD Upah"/>
      <sheetName val="D.BOARD"/>
      <sheetName val="UPY"/>
      <sheetName val="anal-drainase,tanah&amp;ps batu"/>
      <sheetName val="anal-beton"/>
      <sheetName val="anal-aspal"/>
      <sheetName val="anal-mos"/>
      <sheetName val="mob-demob"/>
      <sheetName val="HARGA DASAR"/>
      <sheetName val="RPP01-6"/>
      <sheetName val="REKAP.1"/>
      <sheetName val="LOADDAT"/>
      <sheetName val="Harga Upah"/>
      <sheetName val="ANALISA HARGA SATUAN"/>
      <sheetName val="DS CHU Ph_x005f_x005f_x005f_x005f_x005f_x005f_x00"/>
      <sheetName val="Priced BOQ"/>
      <sheetName val="Bangia"/>
      <sheetName val="keo"/>
      <sheetName val="토공"/>
      <sheetName val="실행"/>
      <sheetName val="D_&amp;_W_sizes5"/>
      <sheetName val="Cover_Daf-25"/>
      <sheetName val="Analisa_HS5"/>
      <sheetName val="Urai__Resap_pengikat5"/>
      <sheetName val="mat-me_pipa5"/>
      <sheetName val="Isolasi_Luar_Dalam5"/>
      <sheetName val="Isolasi_Luar5"/>
      <sheetName val="Currency_Rate5"/>
      <sheetName val="B___Norelec5"/>
      <sheetName val="HRG_BHN5"/>
      <sheetName val="Rekap_Direct_Cost5"/>
      <sheetName val="Bill_No_6_Koord___Attendance5"/>
      <sheetName val="Cac_HS_hieu_chinh4"/>
      <sheetName val="2-Genset_print4"/>
      <sheetName val="MOW_45%4"/>
      <sheetName val="MOS_55%4"/>
      <sheetName val="_UPAH4"/>
      <sheetName val="B_-_Norelec4"/>
      <sheetName val="DAFT_ALAT,UPAH_&amp;_MAT4"/>
      <sheetName val="Harga_ME_4"/>
      <sheetName val="CONS_4"/>
      <sheetName val="January_20154"/>
      <sheetName val="Basic_Price4"/>
      <sheetName val="H_Satuan4"/>
      <sheetName val="HARGA_MATERIAL4"/>
      <sheetName val="BQ_ARS4"/>
      <sheetName val="DETAIL_RAP4"/>
      <sheetName val="BQ_PENGURANGAN_SALURAN4"/>
      <sheetName val="Week9-Feb____4"/>
      <sheetName val="01A-_RAB4"/>
      <sheetName val="D_HARGA4"/>
      <sheetName val="Analisa_Harga4"/>
      <sheetName val="Bill_No_6_Koord_&amp;_Attendance4"/>
      <sheetName val="Analisa_Gabungan4"/>
      <sheetName val="AnalisaSIPIL_RIIL4"/>
      <sheetName val="bahan_3"/>
      <sheetName val="Pln_Pdt3"/>
      <sheetName val="Steel_Pipe3"/>
      <sheetName val="External_PVC,_PPR,_HDPE3"/>
      <sheetName val="Internal_PVC,_PPR,_HDPE3"/>
      <sheetName val="GI_Sheet3"/>
      <sheetName val="BQ_(by_owner)3"/>
      <sheetName val="rab_me_(fisik)3"/>
      <sheetName val="rab_me_(by_owner)_3"/>
      <sheetName val="Form_I3"/>
      <sheetName val="Cover_Daf_23"/>
      <sheetName val="Div26_-_Elect3"/>
      <sheetName val="B1form_(2)3"/>
      <sheetName val="04_-_XUONG_DET_B3"/>
      <sheetName val="2_23"/>
      <sheetName val="Analisa_Upah_&amp;_Bahan_Plum3"/>
      <sheetName val="Analisa_&amp;_Upah3"/>
      <sheetName val="AT_23"/>
      <sheetName val="HB_3"/>
      <sheetName val="ANAL_BOW3"/>
      <sheetName val="MEP_SUM3"/>
      <sheetName val="Project_Data3"/>
      <sheetName val="TINH_GIA_-_SAN_XUAT_Vertico3"/>
      <sheetName val="RAB_AR&amp;STR3"/>
      <sheetName val="05__Data_Cash_Flow2"/>
      <sheetName val="MTO_REV_2_ARMOR_2"/>
      <sheetName val="NSA_fr_Revit2"/>
      <sheetName val="BeachFrontVilla_2"/>
      <sheetName val="Kuantitas_&amp;_Harga2"/>
      <sheetName val="MeKong_-_Penetration3"/>
      <sheetName val="Dist__Perform_-_Ctns_sales_in_3"/>
      <sheetName val="Dist__Perform_-_Value_sales_in3"/>
      <sheetName val="Dist__Perform_-_Value_sales_Ou3"/>
      <sheetName val="Head_Count3"/>
      <sheetName val="Sales_Result_For_Month3"/>
      <sheetName val="MTO_REV_2(ARMOR)3"/>
      <sheetName val="DS_CHU_Phuc3"/>
      <sheetName val="DS_THI_AT3"/>
      <sheetName val="Bien_Ban3"/>
      <sheetName val="BC_Ton_Kho_New2"/>
      <sheetName val="BC_Cua_GSBH_New2"/>
      <sheetName val="CHITIET_VL-NC-TT_-1p2"/>
      <sheetName val="CHITIET_VL-NC-TT-3p2"/>
      <sheetName val="dongia_(2)3"/>
      <sheetName val="ESTI_2"/>
      <sheetName val="CT_Thang_Mo2"/>
      <sheetName val="CT__PL2"/>
      <sheetName val="CHITIET_VL-NC2"/>
      <sheetName val="DON_GIA2"/>
      <sheetName val="Dgia_vat_tu2"/>
      <sheetName val="Don_gia_III2"/>
      <sheetName val="Bhyt_t12"/>
      <sheetName val="Leave_Statistic_Report3"/>
      <sheetName val="EIRR&gt;_22"/>
      <sheetName val="Chiet_tinh_dz352"/>
      <sheetName val="DS_CHU_Ph_x005f_x0001__x005f_x0000_2"/>
      <sheetName val="DS_CHU_Ph_x005f_x0001_?2"/>
      <sheetName val="DS_CHU_Ph_x005f_x0001_2"/>
      <sheetName val="DS_CHU_Ph_x005f_x0001__2"/>
      <sheetName val="Vat_tu_XD2"/>
      <sheetName val="DS_CHU_Ph_x005f_x005f_x005f_x0001__x005f_x005f_x2"/>
      <sheetName val="DS_CHU_Ph_x005f_x005f_x005f_x0001__2"/>
      <sheetName val="DS_CHU_Ph_x005f_x005f_x005f_x0001_2"/>
      <sheetName val="Thuc_thanh2"/>
      <sheetName val="GFA_HQ_Building2"/>
      <sheetName val="GFA_Conference2"/>
      <sheetName val="CỘT_+_VÁCH_B1-B22"/>
      <sheetName val="Bill_rekap2"/>
      <sheetName val="Kolom_UT2"/>
      <sheetName val="Harga_satuan2"/>
      <sheetName val="CHÀO_GIÁ_KL_CÁC_TUYẾN_CÒN_LẠI"/>
      <sheetName val="_TNT_K_Lượng_các_tuyến_còn_lại"/>
      <sheetName val="KL_TNT_Khu_thấp_tầng"/>
      <sheetName val="KL__HG_ĐIỆN_còn_lại"/>
      <sheetName val="KHỐI_LƯỢNG_HỐ_VAN"/>
      <sheetName val="Ｎｏ_13"/>
      <sheetName val="Str_A"/>
      <sheetName val="Rekap_Prelim"/>
      <sheetName val="Measured_Qty_Demarcation"/>
      <sheetName val="Floor_Area_24_June_2019"/>
      <sheetName val="Floor_Area_31_July_2019"/>
      <sheetName val="Floor_Area_12_July_2019"/>
      <sheetName val="Exchange_rate_2019_07"/>
      <sheetName val="Bill_2"/>
      <sheetName val="đọc_số"/>
      <sheetName val="DS_CHU_Ph_x005f_x0001__x01"/>
      <sheetName val="DS_CHU_Ph_x005f_x005f_x001"/>
      <sheetName val="NVN_Hotel"/>
      <sheetName val="Doi_so"/>
      <sheetName val="TTL"/>
      <sheetName val="Cable ko co giap bao ve "/>
      <sheetName val="E-cable"/>
      <sheetName val="BẢNG TỔNG HỢP"/>
      <sheetName val="HÀNG RÀO"/>
      <sheetName val="NHÀ XƯỞNG"/>
      <sheetName val="NHÀ VĂN PHÒNG"/>
      <sheetName val="NHÀ BẾP"/>
      <sheetName val="NHÀ XE Ô TÔ"/>
      <sheetName val="BỂ NƯỚC NGẦM"/>
      <sheetName val="NHÀ BẢO VỆ"/>
      <sheetName val="CỘT CỜ"/>
      <sheetName val="TRẠM ĐIỆN"/>
      <sheetName val="KHO HOÁ CHẤT"/>
      <sheetName val="NHÀ RÁC"/>
      <sheetName val="KHU HÚT THUỐC"/>
      <sheetName val="MÁI NỐI VP+ BẾP"/>
      <sheetName val="BỂ TỰ HOẠI"/>
      <sheetName val="THƯ VIỆN MẪU"/>
      <sheetName val="TABLE"/>
      <sheetName val="General"/>
      <sheetName val="DS_CHU_Ph_x0001__x0000_"/>
      <sheetName val="DS_CHU_Ph_x0001_?"/>
      <sheetName val="DS_CHU_Ph_x0001__"/>
      <sheetName val="DS_CHU_Ph_x0001__x0000_1"/>
      <sheetName val="DS_CHU_Ph_x0001_?1"/>
      <sheetName val="DS_CHU_Ph_x0001__1"/>
      <sheetName val="DS CHU Ph_x0001__x0"/>
      <sheetName val="DS_CHU_Ph_x0001__x0"/>
      <sheetName val="DS_CHU_Ph_x0001__x0000_2"/>
      <sheetName val="DS_CHU_Ph_x0001_?2"/>
      <sheetName val="DS_CHU_Ph_x0001__2"/>
      <sheetName val="DS_CHU_Ph_x0001__x01"/>
      <sheetName val="DS_CHU_Ph_x005f_x0001__x1"/>
      <sheetName val="DS CHU Ph_x00"/>
      <sheetName val="DS_CHU_Ph_x00"/>
      <sheetName val="DS_CHU_Ph_x005f_x0001__x2"/>
      <sheetName val="DS_CHU_Ph_x001"/>
      <sheetName val="Air parameters"/>
      <sheetName val="TT04"/>
      <sheetName val="Bill of Qty MEP"/>
      <sheetName val="HĐ"/>
      <sheetName val="KL_THÉP_MÓNG,DẦM,_SÀN,_CỘT_B2"/>
      <sheetName val="THKLTT_THÉP_B2"/>
      <sheetName val="Detail_RAM_DỐC_B1-L1"/>
      <sheetName val="Cash_flow"/>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DS_CHU_Ph_x005f_x005f_x005f_x005f_x005f_x005f_x00"/>
      <sheetName val="Priced_BOQ"/>
      <sheetName val="Worksheet"/>
      <sheetName val="Cash Flow bulanan"/>
      <sheetName val="LMBAR ASISTENSI"/>
      <sheetName val="Terbilang"/>
      <sheetName val="bobot pembesian"/>
      <sheetName val="AHSP"/>
      <sheetName val="BACK UP"/>
      <sheetName val="HSPBJ"/>
      <sheetName val="SCHEDULE"/>
      <sheetName val="DoorAcc"/>
      <sheetName val="HARGA KONSULTAN 2016"/>
      <sheetName val="A.6."/>
      <sheetName val="B.6."/>
      <sheetName val="C.6."/>
      <sheetName val="D.6."/>
      <sheetName val="E.6."/>
      <sheetName val="6."/>
      <sheetName val="F.6."/>
      <sheetName val="G.6."/>
      <sheetName val="H.6."/>
      <sheetName val="I.6."/>
      <sheetName val="J.6."/>
      <sheetName val="K.6."/>
      <sheetName val="L.6."/>
      <sheetName val="M.6."/>
      <sheetName val="LS"/>
      <sheetName val="EE"/>
      <sheetName val="April 2019"/>
      <sheetName val="Kabel"/>
      <sheetName val="PERF TEST Pre MP"/>
      <sheetName val="Anls"/>
      <sheetName val="RAPlenk"/>
      <sheetName val="Sal"/>
      <sheetName val="ANALIS"/>
      <sheetName val="BASIC"/>
      <sheetName val="harga bahan"/>
      <sheetName val="NOTE"/>
      <sheetName val="ShªYÞ_"/>
      <sheetName val="D_&amp;_W_sizes6"/>
      <sheetName val="Cover_Daf-26"/>
      <sheetName val="Analisa_HS6"/>
      <sheetName val="Urai__Resap_pengikat6"/>
      <sheetName val="mat-me_pipa6"/>
      <sheetName val="Isolasi_Luar_Dalam6"/>
      <sheetName val="Isolasi_Luar6"/>
      <sheetName val="Currency_Rate6"/>
      <sheetName val="B___Norelec6"/>
      <sheetName val="HRG_BHN6"/>
      <sheetName val="Rekap_Direct_Cost6"/>
      <sheetName val="Bill_No_6_Koord___Attendance6"/>
      <sheetName val="Cac_HS_hieu_chinh5"/>
      <sheetName val="2-Genset_print5"/>
      <sheetName val="MOW_45%5"/>
      <sheetName val="MOS_55%5"/>
      <sheetName val="_UPAH5"/>
      <sheetName val="B_-_Norelec5"/>
      <sheetName val="DAFT_ALAT,UPAH_&amp;_MAT5"/>
      <sheetName val="Harga_ME_5"/>
      <sheetName val="CONS_5"/>
      <sheetName val="January_20155"/>
      <sheetName val="Basic_Price5"/>
      <sheetName val="H_Satuan5"/>
      <sheetName val="HARGA_MATERIAL5"/>
      <sheetName val="BQ_ARS5"/>
      <sheetName val="DETAIL_RAP5"/>
      <sheetName val="BQ_PENGURANGAN_SALURAN5"/>
      <sheetName val="Week9-Feb____5"/>
      <sheetName val="01A-_RAB5"/>
      <sheetName val="AnalisaSIPIL_RIIL5"/>
      <sheetName val="D_HARGA5"/>
      <sheetName val="Analisa_Harga5"/>
      <sheetName val="Bill_No_6_Koord_&amp;_Attendance5"/>
      <sheetName val="Analisa_Gabungan5"/>
      <sheetName val="bahan_4"/>
      <sheetName val="Pln_Pdt4"/>
      <sheetName val="Steel_Pipe4"/>
      <sheetName val="External_PVC,_PPR,_HDPE4"/>
      <sheetName val="Internal_PVC,_PPR,_HDPE4"/>
      <sheetName val="GI_Sheet4"/>
      <sheetName val="BQ_(by_owner)4"/>
      <sheetName val="rab_me_(fisik)4"/>
      <sheetName val="rab_me_(by_owner)_4"/>
      <sheetName val="Form_I4"/>
      <sheetName val="Cover_Daf_24"/>
      <sheetName val="B1form_(2)4"/>
      <sheetName val="Div26_-_Elect4"/>
      <sheetName val="04_-_XUONG_DET_B4"/>
      <sheetName val="2_24"/>
      <sheetName val="Analisa_Upah_&amp;_Bahan_Plum4"/>
      <sheetName val="Analisa_&amp;_Upah4"/>
      <sheetName val="AT_24"/>
      <sheetName val="HB_4"/>
      <sheetName val="ANAL_BOW4"/>
      <sheetName val="Project_Data4"/>
      <sheetName val="RAB_AR&amp;STR4"/>
      <sheetName val="TINH_GIA_-_SAN_XUAT_Vertico4"/>
      <sheetName val="MEP_SUM4"/>
      <sheetName val="05__Data_Cash_Flow3"/>
      <sheetName val="NSA_fr_Revit3"/>
      <sheetName val="MTO_REV_2_ARMOR_3"/>
      <sheetName val="BeachFrontVilla_3"/>
      <sheetName val="Kuantitas_&amp;_Harga3"/>
      <sheetName val="Thuc_thanh3"/>
      <sheetName val="MeKong_-_Penetration4"/>
      <sheetName val="Dist__Perform_-_Ctns_sales_in_4"/>
      <sheetName val="Dist__Perform_-_Value_sales_in4"/>
      <sheetName val="Dist__Perform_-_Value_sales_Ou4"/>
      <sheetName val="Head_Count4"/>
      <sheetName val="Sales_Result_For_Month4"/>
      <sheetName val="MTO_REV_2(ARMOR)4"/>
      <sheetName val="DS_CHU_Phuc4"/>
      <sheetName val="DS_THI_AT4"/>
      <sheetName val="Bien_Ban4"/>
      <sheetName val="BC_Ton_Kho_New3"/>
      <sheetName val="BC_Cua_GSBH_New3"/>
      <sheetName val="CHITIET_VL-NC-TT_-1p3"/>
      <sheetName val="CHITIET_VL-NC-TT-3p3"/>
      <sheetName val="dongia_(2)4"/>
      <sheetName val="ESTI_3"/>
      <sheetName val="CT_Thang_Mo3"/>
      <sheetName val="CT__PL3"/>
      <sheetName val="CHITIET_VL-NC3"/>
      <sheetName val="DON_GIA3"/>
      <sheetName val="Dgia_vat_tu3"/>
      <sheetName val="Don_gia_III3"/>
      <sheetName val="Bhyt_t13"/>
      <sheetName val="Leave_Statistic_Report4"/>
      <sheetName val="EIRR&gt;_23"/>
      <sheetName val="Chiet_tinh_dz353"/>
      <sheetName val="DS_CHU_Ph_x005f_x0001__x005f_x0000_3"/>
      <sheetName val="DS_CHU_Ph_x005f_x0001_?3"/>
      <sheetName val="DS_CHU_Ph_x005f_x0001_3"/>
      <sheetName val="DS_CHU_Ph_x005f_x0001__3"/>
      <sheetName val="Vat_tu_XD3"/>
      <sheetName val="DS_CHU_Ph_x005f_x005f_x005f_x0001__x005f_x005f_x3"/>
      <sheetName val="DS_CHU_Ph_x005f_x005f_x005f_x0001__3"/>
      <sheetName val="DS_CHU_Ph_x005f_x005f_x005f_x0001_3"/>
      <sheetName val="GFA_HQ_Building3"/>
      <sheetName val="GFA_Conference3"/>
      <sheetName val="CỘT_+_VÁCH_B1-B23"/>
      <sheetName val="Bill_rekap3"/>
      <sheetName val="Kolom_UT3"/>
      <sheetName val="Harga_satuan3"/>
      <sheetName val="Str_A1"/>
      <sheetName val="Rekap_Prelim1"/>
      <sheetName val="Ｎｏ_131"/>
      <sheetName val="CHÀO_GIÁ_KL_CÁC_TUYẾN_CÒN_LẠI1"/>
      <sheetName val="_TNT_K_Lượng_các_tuyến_còn_lại1"/>
      <sheetName val="KL_TNT_Khu_thấp_tầng1"/>
      <sheetName val="KL__HG_ĐIỆN_còn_lại1"/>
      <sheetName val="KHỐI_LƯỢNG_HỐ_VAN1"/>
      <sheetName val="Measured_Qty_Demarcation1"/>
      <sheetName val="Floor_Area_24_June_20191"/>
      <sheetName val="Floor_Area_31_July_20191"/>
      <sheetName val="Floor_Area_12_July_20191"/>
      <sheetName val="Exchange_rate_2019_071"/>
      <sheetName val="Bill_21"/>
      <sheetName val="đọc_số1"/>
      <sheetName val="DS_CHU_Ph_x005f_x0001__x02"/>
      <sheetName val="DS_CHU_Ph_x005f_x005f_x002"/>
      <sheetName val="NVN_Hotel1"/>
      <sheetName val="Doi_so1"/>
      <sheetName val="SUM-PRO_(3)"/>
      <sheetName val="Har_Sat"/>
      <sheetName val="ocean_voyage"/>
      <sheetName val="Goc_CC"/>
      <sheetName val="Cable_ko_co_giap_bao_ve_"/>
      <sheetName val="H_SAT"/>
      <sheetName val="Rekap_Biaya"/>
      <sheetName val="HD_Alat"/>
      <sheetName val="HD_Bahan"/>
      <sheetName val="PRD_01-3"/>
      <sheetName val="HD_Upah"/>
      <sheetName val="D_BOARD"/>
      <sheetName val="anal-drainase,tanah&amp;ps_batu"/>
      <sheetName val="HARGA_DASAR"/>
      <sheetName val="REKAP_1"/>
      <sheetName val="Harga_Upah"/>
      <sheetName val="ANALISA_HARGA_SATUAN"/>
      <sheetName val="입찰내역 발주처 양식"/>
      <sheetName val="DS_CHU_Ph2"/>
      <sheetName val="DS_CHU_Ph?2"/>
      <sheetName val="DS_CHU_Ph_2"/>
      <sheetName val="BẢNG_TỔNG_HỢP"/>
      <sheetName val="HÀNG_RÀO"/>
      <sheetName val="NHÀ_XƯỞNG"/>
      <sheetName val="NHÀ_VĂN_PHÒNG"/>
      <sheetName val="NHÀ_BẾP"/>
      <sheetName val="NHÀ_XE_Ô_TÔ"/>
      <sheetName val="BỂ_NƯỚC_NGẦM"/>
      <sheetName val="NHÀ_BẢO_VỆ"/>
      <sheetName val="CỘT_CỜ"/>
      <sheetName val="TRẠM_ĐIỆN"/>
      <sheetName val="KHO_HOÁ_CHẤT"/>
      <sheetName val="NHÀ_RÁC"/>
      <sheetName val="KHU_HÚT_THUỐC"/>
      <sheetName val="MÁI_NỐI_VP+_BẾP"/>
      <sheetName val="BỂ_TỰ_HOẠI"/>
      <sheetName val="THƯ_VIỆN_MẪU"/>
      <sheetName val="DS_CHU_Ph1"/>
      <sheetName val="DS_CHU_Ph?1"/>
      <sheetName val="DS_CHU_Ph_1"/>
      <sheetName val="DS_CHU_Ph_x01"/>
      <sheetName val="DS_CHU_Ph_x0"/>
      <sheetName val="BQ External"/>
      <sheetName val="DONVIBAN"/>
      <sheetName val="NGUON"/>
      <sheetName val="IGETA_Elec BOQ"/>
      <sheetName val="Maker List"/>
      <sheetName val="Request Builder"/>
      <sheetName val="INFO "/>
      <sheetName val="DS_CHU_Ph_x0001__x1"/>
      <sheetName val="DS_CHU_Ph_x0001__x2"/>
      <sheetName val="Takeoff"/>
      <sheetName val="tra_vat_lieu"/>
      <sheetName val="BOQ-E(1).Net"/>
      <sheetName val="Factor"/>
      <sheetName val="CTG"/>
      <sheetName val="wk prgs"/>
      <sheetName val="BOQ-1"/>
      <sheetName val="경비2내역"/>
      <sheetName val="LKVL-CK-HT-GD1"/>
      <sheetName val="TONG HOP VL-NC"/>
      <sheetName val="TONGKE3p "/>
      <sheetName val="TH VL, NC, DDHT Thanhphuoc"/>
      <sheetName val="DG"/>
      <sheetName val="TNHCHINH"/>
      <sheetName val="Tiepdia"/>
      <sheetName val="TDTKP"/>
      <sheetName val="VCV-BE-TONG"/>
      <sheetName val="조명시설"/>
      <sheetName val="D_&amp;_W_sizes7"/>
      <sheetName val="Cover_Daf-27"/>
      <sheetName val="Analisa_HS7"/>
      <sheetName val="Urai__Resap_pengikat7"/>
      <sheetName val="mat-me_pipa7"/>
      <sheetName val="Isolasi_Luar_Dalam7"/>
      <sheetName val="Isolasi_Luar7"/>
      <sheetName val="Currency_Rate7"/>
      <sheetName val="B___Norelec7"/>
      <sheetName val="HRG_BHN7"/>
      <sheetName val="Rekap_Direct_Cost7"/>
      <sheetName val="Bill_No_6_Koord___Attendance7"/>
      <sheetName val="Cac_HS_hieu_chinh6"/>
      <sheetName val="2-Genset_print6"/>
      <sheetName val="MOW_45%6"/>
      <sheetName val="MOS_55%6"/>
      <sheetName val="_UPAH6"/>
      <sheetName val="B_-_Norelec6"/>
      <sheetName val="DAFT_ALAT,UPAH_&amp;_MAT6"/>
      <sheetName val="Harga_ME_6"/>
      <sheetName val="CONS_6"/>
      <sheetName val="January_20156"/>
      <sheetName val="Basic_Price6"/>
      <sheetName val="H_Satuan6"/>
      <sheetName val="HARGA_MATERIAL6"/>
      <sheetName val="BQ_ARS6"/>
      <sheetName val="DETAIL_RAP6"/>
      <sheetName val="BQ_PENGURANGAN_SALURAN6"/>
      <sheetName val="Week9-Feb____6"/>
      <sheetName val="01A-_RAB6"/>
      <sheetName val="D_HARGA6"/>
      <sheetName val="Analisa_Harga6"/>
      <sheetName val="Bill_No_6_Koord_&amp;_Attendance6"/>
      <sheetName val="Analisa_Gabungan6"/>
      <sheetName val="AnalisaSIPIL_RIIL6"/>
      <sheetName val="bahan_5"/>
      <sheetName val="Pln_Pdt5"/>
      <sheetName val="Steel_Pipe5"/>
      <sheetName val="External_PVC,_PPR,_HDPE5"/>
      <sheetName val="Internal_PVC,_PPR,_HDPE5"/>
      <sheetName val="GI_Sheet5"/>
      <sheetName val="BQ_(by_owner)5"/>
      <sheetName val="rab_me_(fisik)5"/>
      <sheetName val="rab_me_(by_owner)_5"/>
      <sheetName val="Form_I5"/>
      <sheetName val="Cover_Daf_25"/>
      <sheetName val="B1form_(2)5"/>
      <sheetName val="2_25"/>
      <sheetName val="Analisa_Upah_&amp;_Bahan_Plum5"/>
      <sheetName val="Analisa_&amp;_Upah5"/>
      <sheetName val="AT_25"/>
      <sheetName val="HB_5"/>
      <sheetName val="ANAL_BOW5"/>
      <sheetName val="Div26_-_Elect5"/>
      <sheetName val="MEP_SUM5"/>
      <sheetName val="04_-_XUONG_DET_B5"/>
      <sheetName val="Project_Data5"/>
      <sheetName val="RAB_AR&amp;STR5"/>
      <sheetName val="TINH_GIA_-_SAN_XUAT_Vertico5"/>
      <sheetName val="05__Data_Cash_Flow4"/>
      <sheetName val="BeachFrontVilla_4"/>
      <sheetName val="MTO_REV_2_ARMOR_4"/>
      <sheetName val="NSA_fr_Revit4"/>
      <sheetName val="Kuantitas_&amp;_Harga4"/>
      <sheetName val="MeKong_-_Penetration5"/>
      <sheetName val="Dist__Perform_-_Ctns_sales_in_5"/>
      <sheetName val="Dist__Perform_-_Value_sales_in5"/>
      <sheetName val="Dist__Perform_-_Value_sales_Ou5"/>
      <sheetName val="Head_Count5"/>
      <sheetName val="Sales_Result_For_Month5"/>
      <sheetName val="MTO_REV_2(ARMOR)5"/>
      <sheetName val="DS_CHU_Phuc5"/>
      <sheetName val="DS_THI_AT5"/>
      <sheetName val="Bien_Ban5"/>
      <sheetName val="BC_Ton_Kho_New4"/>
      <sheetName val="BC_Cua_GSBH_New4"/>
      <sheetName val="CHITIET_VL-NC-TT_-1p4"/>
      <sheetName val="CHITIET_VL-NC-TT-3p4"/>
      <sheetName val="dongia_(2)5"/>
      <sheetName val="ESTI_4"/>
      <sheetName val="DS_CHU_Ph3"/>
      <sheetName val="CT_Thang_Mo4"/>
      <sheetName val="CT__PL4"/>
      <sheetName val="CHITIET_VL-NC4"/>
      <sheetName val="DON_GIA4"/>
      <sheetName val="Dgia_vat_tu4"/>
      <sheetName val="Don_gia_III4"/>
      <sheetName val="Bhyt_t14"/>
      <sheetName val="DS_CHU_Ph?3"/>
      <sheetName val="Leave_Statistic_Report5"/>
      <sheetName val="EIRR&gt;_24"/>
      <sheetName val="DS_CHU_Ph_3"/>
      <sheetName val="Chiet_tinh_dz354"/>
      <sheetName val="DS_CHU_Ph_x005f_x0001__x005f_x0000_4"/>
      <sheetName val="DS_CHU_Ph_x005f_x0001_?4"/>
      <sheetName val="DS_CHU_Ph_x005f_x0001_4"/>
      <sheetName val="DS_CHU_Ph_x005f_x0001__4"/>
      <sheetName val="Vat_tu_XD4"/>
      <sheetName val="DS_CHU_Ph_x005f_x005f_x005f_x0001__x005f_x005f_x4"/>
      <sheetName val="DS_CHU_Ph_x005f_x005f_x005f_x0001__4"/>
      <sheetName val="DS_CHU_Ph_x005f_x005f_x005f_x0001_4"/>
      <sheetName val="GFA_HQ_Building4"/>
      <sheetName val="GFA_Conference4"/>
      <sheetName val="Thuc_thanh4"/>
      <sheetName val="CỘT_+_VÁCH_B1-B24"/>
      <sheetName val="Bill_rekap4"/>
      <sheetName val="Kolom_UT4"/>
      <sheetName val="Harga_satuan4"/>
      <sheetName val="CHÀO_GIÁ_KL_CÁC_TUYẾN_CÒN_LẠI2"/>
      <sheetName val="_TNT_K_Lượng_các_tuyến_còn_lại2"/>
      <sheetName val="KL_TNT_Khu_thấp_tầng2"/>
      <sheetName val="KL__HG_ĐIỆN_còn_lại2"/>
      <sheetName val="KHỐI_LƯỢNG_HỐ_VAN2"/>
      <sheetName val="Ｎｏ_132"/>
      <sheetName val="Str_A2"/>
      <sheetName val="Rekap_Prelim2"/>
      <sheetName val="Bill_22"/>
      <sheetName val="Measured_Qty_Demarcation2"/>
      <sheetName val="Floor_Area_24_June_20192"/>
      <sheetName val="Floor_Area_31_July_20192"/>
      <sheetName val="Floor_Area_12_July_20192"/>
      <sheetName val="Exchange_rate_2019_072"/>
      <sheetName val="đọc_số2"/>
      <sheetName val="KL_THÉP_MÓNG,DẦM,_SÀN,_CỘT_B21"/>
      <sheetName val="THKLTT_THÉP_B21"/>
      <sheetName val="Detail_RAM_DỐC_B1-L11"/>
      <sheetName val="DS_CHU_Ph_x005f_x0001__x03"/>
      <sheetName val="DS_CHU_Ph_x005f_x005f_x003"/>
      <sheetName val="Cash_flow1"/>
      <sheetName val="1_Quotation(見積決裁書）_1"/>
      <sheetName val="2_Operation(実施計画書）1"/>
      <sheetName val="3_Summary_of_Cost_1"/>
      <sheetName val="4_Ｓｐｅｃｉａｌ_Material1"/>
      <sheetName val="6_Ｃｏｍｍｏｎ_Material1"/>
      <sheetName val="9_Indirect_budget1"/>
      <sheetName val="TOP_1"/>
      <sheetName val="Detail_E1"/>
      <sheetName val="NVN_Hotel2"/>
      <sheetName val="Doi_so2"/>
      <sheetName val="DS_CHU_Ph_x005f_x005f_x005f_x005f_x005f_x005f_x01"/>
      <sheetName val="Priced_BOQ1"/>
      <sheetName val="SUM-PRO_(3)1"/>
      <sheetName val="Har_Sat1"/>
      <sheetName val="ocean_voyage1"/>
      <sheetName val="Goc_CC1"/>
      <sheetName val="H_SAT1"/>
      <sheetName val="Rekap_Biaya1"/>
      <sheetName val="HD_Alat1"/>
      <sheetName val="HD_Bahan1"/>
      <sheetName val="PRD_01-31"/>
      <sheetName val="HD_Upah1"/>
      <sheetName val="D_BOARD1"/>
      <sheetName val="anal-drainase,tanah&amp;ps_batu1"/>
      <sheetName val="HARGA_DASAR1"/>
      <sheetName val="REKAP_11"/>
      <sheetName val="Cable_ko_co_giap_bao_ve_1"/>
      <sheetName val="Harga_Upah1"/>
      <sheetName val="ANALISA_HARGA_SATUAN1"/>
      <sheetName val="DS_CHU_Ph_x02"/>
      <sheetName val="DS_CHU_Ph_x002"/>
      <sheetName val="Cash_Flow_bulanan"/>
      <sheetName val="LMBAR_ASISTENSI"/>
      <sheetName val="bobot_pembesian"/>
      <sheetName val="BACK_UP"/>
      <sheetName val="HARGA_KONSULTAN_2016"/>
      <sheetName val="A_6_"/>
      <sheetName val="B_6_"/>
      <sheetName val="C_6_"/>
      <sheetName val="D_6_"/>
      <sheetName val="E_6_"/>
      <sheetName val="6_"/>
      <sheetName val="F_6_"/>
      <sheetName val="G_6_"/>
      <sheetName val="H_6_"/>
      <sheetName val="I_6_"/>
      <sheetName val="J_6_"/>
      <sheetName val="K_6_"/>
      <sheetName val="L_6_"/>
      <sheetName val="M_6_"/>
      <sheetName val="BẢNG_TỔNG_HỢP1"/>
      <sheetName val="HÀNG_RÀO1"/>
      <sheetName val="NHÀ_XƯỞNG1"/>
      <sheetName val="NHÀ_VĂN_PHÒNG1"/>
      <sheetName val="NHÀ_BẾP1"/>
      <sheetName val="NHÀ_XE_Ô_TÔ1"/>
      <sheetName val="BỂ_NƯỚC_NGẦM1"/>
      <sheetName val="NHÀ_BẢO_VỆ1"/>
      <sheetName val="CỘT_CỜ1"/>
      <sheetName val="TRẠM_ĐIỆN1"/>
      <sheetName val="KHO_HOÁ_CHẤT1"/>
      <sheetName val="NHÀ_RÁC1"/>
      <sheetName val="KHU_HÚT_THUỐC1"/>
      <sheetName val="MÁI_NỐI_VP+_BẾP1"/>
      <sheetName val="BỂ_TỰ_HOẠI1"/>
      <sheetName val="THƯ_VIỆN_MẪU1"/>
      <sheetName val="입찰내역_발주처_양식"/>
      <sheetName val="BQ_External"/>
      <sheetName val="April_2019"/>
      <sheetName val="PERF_TEST_Pre_MP"/>
      <sheetName val="Air_parameters"/>
      <sheetName val="Bill_of_Qty_MEP"/>
      <sheetName val="harga_bahan"/>
      <sheetName val="IGETA_Elec_BOQ"/>
      <sheetName val="Maker_List"/>
      <sheetName val="Request_Builder"/>
      <sheetName val="INFO_"/>
      <sheetName val="BOQ-E(1)_Net"/>
      <sheetName val="DS_CHU_Ph_x1"/>
      <sheetName val="DS_CHU_Ph_x2"/>
      <sheetName val="wk_prgs"/>
      <sheetName val="TONG_HOP_VL-NC"/>
      <sheetName val="TONGKE3p_"/>
      <sheetName val="TH_VL,_NC,_DDHT_Thanhphuoc"/>
      <sheetName val="Bldg"/>
      <sheetName val="B"/>
      <sheetName val="Peralatan"/>
      <sheetName val="RAB1"/>
      <sheetName val="hs-str"/>
      <sheetName val="Budget Sheet"/>
      <sheetName val="工数データ"/>
      <sheetName val="Recovered_Sheet1"/>
      <sheetName val="Recovered_Sheet5"/>
      <sheetName val="Recovered_Sheet9"/>
      <sheetName val="Recovered_Sheet74"/>
      <sheetName val="Recovered_Sheet13"/>
      <sheetName val="Recovered_Sheet15"/>
      <sheetName val="Recovered_Sheet45"/>
      <sheetName val="Recovered_Sheet21"/>
      <sheetName val="Recovered_Sheet50"/>
      <sheetName val="Recovered_Sheet51"/>
      <sheetName val="Recovered_Sheet8"/>
      <sheetName val="Recovered_Sheet58"/>
      <sheetName val="Recovered_Sheet59"/>
      <sheetName val="Recovered_Sheet65"/>
      <sheetName val="Recovered_Sheet69"/>
      <sheetName val="Recovered_Sheet72"/>
      <sheetName val="Recovered_Sheet28"/>
      <sheetName val="Recovered_Sheet39"/>
      <sheetName val="Recovered_Sheet40"/>
      <sheetName val="Recovered_Sheet41"/>
      <sheetName val="Recovered_Sheet42"/>
      <sheetName val="Recovered_Sheet43"/>
      <sheetName val="Recovered_Sheet44"/>
      <sheetName val="Recovered_Sheet46"/>
      <sheetName val="Recovered_Sheet47"/>
      <sheetName val="Recovered_Sheet48"/>
      <sheetName val="Recovered_Sheet49"/>
      <sheetName val="Recovered_Sheet52"/>
      <sheetName val="Recovered_Sheet53"/>
      <sheetName val="Recovered_Sheet54"/>
      <sheetName val="Recovered_Sheet55"/>
      <sheetName val="Recovered_Sheet56"/>
      <sheetName val="Recovered_Sheet57"/>
      <sheetName val="Recovered_Sheet37"/>
      <sheetName val="Recovered_Sheet38"/>
      <sheetName val="Recovered_Sheet63"/>
      <sheetName val="Recovered_Sheet64"/>
      <sheetName val="Recovered_Sheet6"/>
      <sheetName val="Recovered_Sheet12"/>
      <sheetName val="Recovered_Sheet11"/>
      <sheetName val="Recovered_Sheet32"/>
      <sheetName val="Recovered_Sheet10"/>
      <sheetName val="Recovered_Sheet18"/>
      <sheetName val="Recovered_Sheet7"/>
      <sheetName val="Tai khoan"/>
      <sheetName val="2.1 受電設備棟"/>
      <sheetName val="2.2 受・防火水槽"/>
      <sheetName val="2.3 排水処理設備棟"/>
      <sheetName val="2.4 倉庫棟"/>
      <sheetName val="2.5 守衛棟"/>
      <sheetName val="HVAC"/>
      <sheetName val="ELEC"/>
      <sheetName val="P&amp;S"/>
      <sheetName val="Changelog"/>
      <sheetName val="Electrikal"/>
      <sheetName val="Elektronik"/>
      <sheetName val="Fire Fighting"/>
      <sheetName val="Item Kompensasi"/>
      <sheetName val="Sheet9"/>
      <sheetName val="BQMPALOC"/>
      <sheetName val="TJ1Q47"/>
      <sheetName val="COSTING Option 1"/>
      <sheetName val="Master 1.0"/>
      <sheetName val="FA"/>
      <sheetName val="Rek-Mec"/>
      <sheetName val="Prod"/>
      <sheetName val="Hsatuan-OK"/>
      <sheetName val="Upah&amp;Bahan"/>
      <sheetName val="GRAND REKAPITULASI"/>
      <sheetName val="RAB_G.ADM. PUSAT_(1)"/>
      <sheetName val="RAB_SPORT CLUB_(14)"/>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JAD-PEL"/>
      <sheetName val="MAPDC"/>
      <sheetName val="APX4A+B"/>
      <sheetName val="RKP"/>
      <sheetName val="Perm. Test"/>
      <sheetName val="Upah_APBD1"/>
      <sheetName val="Current Sheet"/>
      <sheetName val="Tables"/>
      <sheetName val="2a. V2.1 history"/>
      <sheetName val="ctTBA"/>
      <sheetName val="DTICH_OLD"/>
      <sheetName val="07.HT PODIUM"/>
      <sheetName val="05.KC THAN_OK"/>
      <sheetName val="08.HT CANHO_OK"/>
      <sheetName val="04.KC HAM"/>
      <sheetName val="INDEX"/>
      <sheetName val="BOQ-M"/>
      <sheetName val="Harga "/>
      <sheetName val="Mat"/>
      <sheetName val="An.Ars"/>
      <sheetName val="WI"/>
      <sheetName val="Pas. Bata Trasram"/>
      <sheetName val="Pas. Bata"/>
      <sheetName val="Plstern dan Acian Trasram"/>
      <sheetName val="Railing Tangga Depan"/>
      <sheetName val="Railing Void"/>
      <sheetName val="Tanggul Janitor + Wudlu"/>
      <sheetName val="API Table"/>
      <sheetName val="4-Basic Price"/>
      <sheetName val="TPVI"/>
      <sheetName val="PEK. AIR BERSIH"/>
      <sheetName val="KOLAM RENANG"/>
      <sheetName val="PEK. AIR KOTOR"/>
      <sheetName val="VENT"/>
      <sheetName val="AC "/>
      <sheetName val="APAR"/>
      <sheetName val="SPR"/>
      <sheetName val="HYD"/>
      <sheetName val="EL"/>
      <sheetName val="Sheet12"/>
      <sheetName val="REKAB ME"/>
      <sheetName val="AIR BERSIH"/>
      <sheetName val="AIR KOTOR"/>
      <sheetName val="SPRINKLER"/>
      <sheetName val="HYDRANT"/>
      <sheetName val="List material"/>
      <sheetName val="DS CHU Ph_x005f_x0001__x005f_x005f_x0"/>
      <sheetName val="DS_CHU_Ph_x005f_x0001__x005f_x005f_x0"/>
      <sheetName val="DS_CHU_Ph_x005f_x0001__x005f_x005f_x1"/>
      <sheetName val="DS_CHU_Ph_x005f_x0001__x005f_x005f_x2"/>
      <sheetName val="DS_CHU_Ph_x005f_x0001__x005f_x005f_x3"/>
      <sheetName val="予算総括表"/>
      <sheetName val="予算書全体 "/>
      <sheetName val="注文工事費内訳"/>
      <sheetName val="01.空港工事"/>
      <sheetName val="02.航空灯火"/>
      <sheetName val="03.建築工事"/>
      <sheetName val="03.建築コード・棟別"/>
      <sheetName val="a.新設ﾀｰﾐﾅﾙ"/>
      <sheetName val="b.Utility棟"/>
      <sheetName val="c.Sewage"/>
      <sheetName val="d.既存ターミナル"/>
      <sheetName val="e.Existing substation"/>
      <sheetName val="04.電気工事"/>
      <sheetName val="05.設備工事"/>
      <sheetName val="06.保安機材"/>
      <sheetName val="07.共通仮設費"/>
      <sheetName val="08.材料費"/>
      <sheetName val="50～74.現場管理費"/>
      <sheetName val="1).建設機械費"/>
      <sheetName val="2).資機材"/>
      <sheetName val="3).クレーン50t損料・保管料"/>
      <sheetName val="4).油脂燃料"/>
      <sheetName val="5).海上輸送保険料"/>
      <sheetName val="6).人員計画"/>
      <sheetName val="7).第3国労務単価"/>
      <sheetName val="8).現地労務"/>
      <sheetName val="8)-1現地労務単価"/>
      <sheetName val="9).プラント（原石）計画"/>
      <sheetName val="10).舗装面積"/>
      <sheetName val="11).工程"/>
      <sheetName val="12).海上輸送計画"/>
      <sheetName val="13).主要材料単価"/>
      <sheetName val="14)代価1～50"/>
      <sheetName val="15)代価(仮設)"/>
      <sheetName val="Kombito"/>
      <sheetName val="Pump棟"/>
      <sheetName val="Titinge配水池"/>
      <sheetName val="Skyline配水池"/>
      <sheetName val="Panatina配水池"/>
      <sheetName val="Westkolala配水池"/>
      <sheetName val="Auki電気棟"/>
      <sheetName val="代価51～100"/>
      <sheetName val="代価101～"/>
      <sheetName val="SCDCEquipments List"/>
      <sheetName val="GeneralFeedDevices_Labels"/>
      <sheetName val="집계표(OPTION)"/>
      <sheetName val="M"/>
      <sheetName val="PNTEXT"/>
      <sheetName val="PO"/>
      <sheetName val="Doha WBS Clean"/>
      <sheetName val="ｺﾝY条件BD"/>
      <sheetName val="TT35"/>
      <sheetName val="chitimc"/>
      <sheetName val="giathanh1"/>
      <sheetName val="THPDMoi  (2)"/>
      <sheetName val="gtrinh"/>
      <sheetName val="phuluc1"/>
      <sheetName val="lam-moi"/>
      <sheetName val="thao-go"/>
      <sheetName val="TONGKE-HT"/>
      <sheetName val="dtxl"/>
      <sheetName val="t-h HA THE"/>
      <sheetName val="TONG HOP VL-NC TT"/>
      <sheetName val="TH XL"/>
      <sheetName val="TDTKP1"/>
      <sheetName val="KPVC-BD "/>
      <sheetName val="Bang 3_Chi tiet phan Dz"/>
      <sheetName val="매부"/>
      <sheetName val="현관"/>
      <sheetName val="인원"/>
      <sheetName val="THKL"/>
      <sheetName val="rekap.c"/>
      <sheetName val="ShªYÞ_x005f_x0000_"/>
      <sheetName val="DS CHU Ph_x005f_x005f_x005f_x0001__x0"/>
      <sheetName val="DS CHU Ph_x005f_x005f_x005f_x005f_x00"/>
      <sheetName val="DS_CHU_Ph_x005f_x005f_x005f_x0001__x0"/>
      <sheetName val="DS_CHU_Ph_x005f_x005f_x005f_x005f_x00"/>
      <sheetName val="DS_CHU_Ph_x005f_x005f_x005f_x0001__x01"/>
      <sheetName val="DS_CHU_Ph_x005f_x005f_x005f_x005f_x001"/>
      <sheetName val="DS_CHU_Ph_x005f_x005f_x005f_x0001__x1"/>
      <sheetName val="harga"/>
      <sheetName val="BHN&amp;UPAH"/>
      <sheetName val="Cashflow Analysis"/>
      <sheetName val="D_&amp;_W_sizes8"/>
      <sheetName val="Cover_Daf-28"/>
      <sheetName val="Analisa_HS8"/>
      <sheetName val="Urai__Resap_pengikat8"/>
      <sheetName val="mat-me_pipa8"/>
      <sheetName val="Isolasi_Luar_Dalam8"/>
      <sheetName val="Isolasi_Luar8"/>
      <sheetName val="Currency_Rate8"/>
      <sheetName val="B___Norelec8"/>
      <sheetName val="HRG_BHN8"/>
      <sheetName val="Rekap_Direct_Cost8"/>
      <sheetName val="Bill_No_6_Koord___Attendance8"/>
      <sheetName val="2-Genset_print7"/>
      <sheetName val="MOW_45%7"/>
      <sheetName val="MOS_55%7"/>
      <sheetName val="_UPAH7"/>
      <sheetName val="B_-_Norelec7"/>
      <sheetName val="DAFT_ALAT,UPAH_&amp;_MAT7"/>
      <sheetName val="Harga_ME_7"/>
      <sheetName val="CONS_7"/>
      <sheetName val="January_20157"/>
      <sheetName val="Basic_Price7"/>
      <sheetName val="H_Satuan7"/>
      <sheetName val="HARGA_MATERIAL7"/>
      <sheetName val="BQ_ARS7"/>
      <sheetName val="DETAIL_RAP7"/>
      <sheetName val="BQ_PENGURANGAN_SALURAN7"/>
      <sheetName val="Week9-Feb____7"/>
      <sheetName val="01A-_RAB7"/>
      <sheetName val="D_HARGA7"/>
      <sheetName val="Analisa_Harga7"/>
      <sheetName val="Bill_No_6_Koord_&amp;_Attendance7"/>
      <sheetName val="Analisa_Gabungan7"/>
      <sheetName val="AnalisaSIPIL_RIIL7"/>
      <sheetName val="bahan_6"/>
      <sheetName val="Cac_HS_hieu_chinh7"/>
      <sheetName val="Pln_Pdt6"/>
      <sheetName val="BQ_(by_owner)6"/>
      <sheetName val="rab_me_(fisik)6"/>
      <sheetName val="rab_me_(by_owner)_6"/>
      <sheetName val="Form_I6"/>
      <sheetName val="Cover_Daf_26"/>
      <sheetName val="B1form_(2)6"/>
      <sheetName val="Steel_Pipe6"/>
      <sheetName val="External_PVC,_PPR,_HDPE6"/>
      <sheetName val="Internal_PVC,_PPR,_HDPE6"/>
      <sheetName val="GI_Sheet6"/>
      <sheetName val="2_26"/>
      <sheetName val="Analisa_Upah_&amp;_Bahan_Plum6"/>
      <sheetName val="Analisa_&amp;_Upah6"/>
      <sheetName val="AT_26"/>
      <sheetName val="HB_6"/>
      <sheetName val="ANAL_BOW6"/>
      <sheetName val="04_-_XUONG_DET_B6"/>
      <sheetName val="Div26_-_Elect6"/>
      <sheetName val="Project_Data6"/>
      <sheetName val="RAB_AR&amp;STR6"/>
      <sheetName val="MEP_SUM6"/>
      <sheetName val="TINH_GIA_-_SAN_XUAT_Vertico6"/>
      <sheetName val="MTO_REV_2_ARMOR_5"/>
      <sheetName val="05__Data_Cash_Flow5"/>
      <sheetName val="Kuantitas_&amp;_Harga5"/>
      <sheetName val="Bill_rekap5"/>
      <sheetName val="Kolom_UT5"/>
      <sheetName val="Harga_satuan5"/>
      <sheetName val="BeachFrontVilla_5"/>
      <sheetName val="Bill_23"/>
      <sheetName val="Str_A3"/>
      <sheetName val="Rekap_Prelim3"/>
      <sheetName val="NSA_fr_Revit5"/>
      <sheetName val="Thuc_thanh5"/>
      <sheetName val="MeKong_-_Penetration6"/>
      <sheetName val="Dist__Perform_-_Ctns_sales_in_6"/>
      <sheetName val="Dist__Perform_-_Value_sales_in6"/>
      <sheetName val="Dist__Perform_-_Value_sales_Ou6"/>
      <sheetName val="Head_Count6"/>
      <sheetName val="Sales_Result_For_Month6"/>
      <sheetName val="MTO_REV_2(ARMOR)6"/>
      <sheetName val="DS_CHU_Phuc6"/>
      <sheetName val="DS_THI_AT6"/>
      <sheetName val="Bien_Ban6"/>
      <sheetName val="BC_Ton_Kho_New5"/>
      <sheetName val="BC_Cua_GSBH_New5"/>
      <sheetName val="CHITIET_VL-NC-TT_-1p5"/>
      <sheetName val="CHITIET_VL-NC-TT-3p5"/>
      <sheetName val="dongia_(2)6"/>
      <sheetName val="ESTI_5"/>
      <sheetName val="CT_Thang_Mo5"/>
      <sheetName val="CT__PL5"/>
      <sheetName val="CHITIET_VL-NC5"/>
      <sheetName val="DON_GIA5"/>
      <sheetName val="Dgia_vat_tu5"/>
      <sheetName val="Don_gia_III5"/>
      <sheetName val="Bhyt_t15"/>
      <sheetName val="Leave_Statistic_Report6"/>
      <sheetName val="EIRR&gt;_25"/>
      <sheetName val="Chiet_tinh_dz355"/>
      <sheetName val="DS_CHU_Ph_x005f_x0001__x005f_x0000_5"/>
      <sheetName val="DS_CHU_Ph_x005f_x0001_?5"/>
      <sheetName val="DS_CHU_Ph_x005f_x0001_5"/>
      <sheetName val="DS_CHU_Ph_x005f_x0001__5"/>
      <sheetName val="Vat_tu_XD5"/>
      <sheetName val="DS_CHU_Ph_x005f_x005f_x005f_x0001__x005f_x005f_x5"/>
      <sheetName val="DS_CHU_Ph_x005f_x005f_x005f_x0001__5"/>
      <sheetName val="DS_CHU_Ph_x005f_x005f_x005f_x0001_5"/>
      <sheetName val="Ｎｏ_133"/>
      <sheetName val="GFA_HQ_Building5"/>
      <sheetName val="GFA_Conference5"/>
      <sheetName val="CỘT_+_VÁCH_B1-B25"/>
      <sheetName val="Cash_flow2"/>
      <sheetName val="1_Quotation(見積決裁書）_2"/>
      <sheetName val="2_Operation(実施計画書）2"/>
      <sheetName val="3_Summary_of_Cost_2"/>
      <sheetName val="4_Ｓｐｅｃｉａｌ_Material2"/>
      <sheetName val="6_Ｃｏｍｍｏｎ_Material2"/>
      <sheetName val="9_Indirect_budget2"/>
      <sheetName val="TOP_2"/>
      <sheetName val="Detail_E2"/>
      <sheetName val="ocean_voyage2"/>
      <sheetName val="Har_Sat2"/>
      <sheetName val="H_SAT2"/>
      <sheetName val="Rekap_Biaya2"/>
      <sheetName val="HD_Alat2"/>
      <sheetName val="HD_Bahan2"/>
      <sheetName val="PRD_01-32"/>
      <sheetName val="HD_Upah2"/>
      <sheetName val="D_BOARD2"/>
      <sheetName val="anal-drainase,tanah&amp;ps_batu2"/>
      <sheetName val="HARGA_DASAR2"/>
      <sheetName val="REKAP_12"/>
      <sheetName val="Goc_CC2"/>
      <sheetName val="SUM-PRO_(3)2"/>
      <sheetName val="KL_THÉP_MÓNG,DẦM,_SÀN,_CỘT_B22"/>
      <sheetName val="THKLTT_THÉP_B22"/>
      <sheetName val="Detail_RAM_DỐC_B1-L12"/>
      <sheetName val="D_&amp;_W_sizes10"/>
      <sheetName val="Cover_Daf-210"/>
      <sheetName val="Analisa_HS10"/>
      <sheetName val="Urai__Resap_pengikat10"/>
      <sheetName val="mat-me_pipa10"/>
      <sheetName val="Isolasi_Luar_Dalam10"/>
      <sheetName val="Isolasi_Luar10"/>
      <sheetName val="Currency_Rate10"/>
      <sheetName val="B___Norelec10"/>
      <sheetName val="HRG_BHN10"/>
      <sheetName val="Rekap_Direct_Cost10"/>
      <sheetName val="Bill_No_6_Koord___Attendance10"/>
      <sheetName val="2-Genset_print9"/>
      <sheetName val="MOW_45%9"/>
      <sheetName val="MOS_55%9"/>
      <sheetName val="_UPAH9"/>
      <sheetName val="B_-_Norelec9"/>
      <sheetName val="DAFT_ALAT,UPAH_&amp;_MAT9"/>
      <sheetName val="Harga_ME_9"/>
      <sheetName val="CONS_9"/>
      <sheetName val="January_20159"/>
      <sheetName val="Basic_Price9"/>
      <sheetName val="H_Satuan9"/>
      <sheetName val="HARGA_MATERIAL9"/>
      <sheetName val="BQ_ARS9"/>
      <sheetName val="DETAIL_RAP9"/>
      <sheetName val="BQ_PENGURANGAN_SALURAN9"/>
      <sheetName val="Week9-Feb____9"/>
      <sheetName val="01A-_RAB9"/>
      <sheetName val="D_HARGA9"/>
      <sheetName val="Analisa_Harga9"/>
      <sheetName val="Bill_No_6_Koord_&amp;_Attendance9"/>
      <sheetName val="Analisa_Gabungan9"/>
      <sheetName val="AnalisaSIPIL_RIIL9"/>
      <sheetName val="bahan_8"/>
      <sheetName val="Cac_HS_hieu_chinh9"/>
      <sheetName val="Pln_Pdt8"/>
      <sheetName val="BQ_(by_owner)8"/>
      <sheetName val="rab_me_(fisik)8"/>
      <sheetName val="rab_me_(by_owner)_8"/>
      <sheetName val="Form_I8"/>
      <sheetName val="Cover_Daf_28"/>
      <sheetName val="B1form_(2)8"/>
      <sheetName val="Steel_Pipe8"/>
      <sheetName val="External_PVC,_PPR,_HDPE8"/>
      <sheetName val="Internal_PVC,_PPR,_HDPE8"/>
      <sheetName val="GI_Sheet8"/>
      <sheetName val="2_28"/>
      <sheetName val="Analisa_Upah_&amp;_Bahan_Plum8"/>
      <sheetName val="Analisa_&amp;_Upah8"/>
      <sheetName val="AT_28"/>
      <sheetName val="HB_8"/>
      <sheetName val="ANAL_BOW8"/>
      <sheetName val="04_-_XUONG_DET_B8"/>
      <sheetName val="Div26_-_Elect8"/>
      <sheetName val="Project_Data8"/>
      <sheetName val="RAB_AR&amp;STR8"/>
      <sheetName val="MEP_SUM8"/>
      <sheetName val="TINH_GIA_-_SAN_XUAT_Vertico8"/>
      <sheetName val="MTO_REV_2_ARMOR_7"/>
      <sheetName val="05__Data_Cash_Flow7"/>
      <sheetName val="Kuantitas_&amp;_Harga7"/>
      <sheetName val="Bill_rekap7"/>
      <sheetName val="Kolom_UT7"/>
      <sheetName val="NSA_fr_Revit7"/>
      <sheetName val="BeachFrontVilla_7"/>
      <sheetName val="Thuc_thanh7"/>
      <sheetName val="MeKong_-_Penetration8"/>
      <sheetName val="Dist__Perform_-_Ctns_sales_in_8"/>
      <sheetName val="Dist__Perform_-_Value_sales_in8"/>
      <sheetName val="Dist__Perform_-_Value_sales_Ou8"/>
      <sheetName val="Head_Count8"/>
      <sheetName val="Sales_Result_For_Month8"/>
      <sheetName val="MTO_REV_2(ARMOR)8"/>
      <sheetName val="DS_CHU_Phuc8"/>
      <sheetName val="DS_THI_AT8"/>
      <sheetName val="Bien_Ban8"/>
      <sheetName val="BC_Ton_Kho_New7"/>
      <sheetName val="BC_Cua_GSBH_New7"/>
      <sheetName val="CHITIET_VL-NC-TT_-1p7"/>
      <sheetName val="CHITIET_VL-NC-TT-3p7"/>
      <sheetName val="dongia_(2)8"/>
      <sheetName val="ESTI_7"/>
      <sheetName val="CT_Thang_Mo7"/>
      <sheetName val="CT__PL7"/>
      <sheetName val="CHITIET_VL-NC7"/>
      <sheetName val="DON_GIA7"/>
      <sheetName val="Dgia_vat_tu7"/>
      <sheetName val="Don_gia_III7"/>
      <sheetName val="Bhyt_t17"/>
      <sheetName val="Leave_Statistic_Report8"/>
      <sheetName val="EIRR&gt;_27"/>
      <sheetName val="Chiet_tinh_dz357"/>
      <sheetName val="DS_CHU_Ph_x005f_x0001__x005f_x0000_7"/>
      <sheetName val="DS_CHU_Ph_x005f_x0001_?7"/>
      <sheetName val="DS_CHU_Ph_x005f_x0001_7"/>
      <sheetName val="DS_CHU_Ph_x005f_x0001__7"/>
      <sheetName val="Vat_tu_XD7"/>
      <sheetName val="DS_CHU_Ph_x005f_x005f_x005f_x0001__x005f_x005f_x7"/>
      <sheetName val="DS_CHU_Ph_x005f_x005f_x005f_x0001__7"/>
      <sheetName val="DS_CHU_Ph_x005f_x005f_x005f_x0001_7"/>
      <sheetName val="Harga_satuan7"/>
      <sheetName val="Str_A5"/>
      <sheetName val="Rekap_Prelim5"/>
      <sheetName val="Bill_25"/>
      <sheetName val="Ｎｏ_135"/>
      <sheetName val="GFA_HQ_Building7"/>
      <sheetName val="GFA_Conference7"/>
      <sheetName val="CỘT_+_VÁCH_B1-B27"/>
      <sheetName val="CHÀO_GIÁ_KL_CÁC_TUYẾN_CÒN_LẠI4"/>
      <sheetName val="_TNT_K_Lượng_các_tuyến_còn_lại4"/>
      <sheetName val="KL_TNT_Khu_thấp_tầng4"/>
      <sheetName val="KL__HG_ĐIỆN_còn_lại4"/>
      <sheetName val="KHỐI_LƯỢNG_HỐ_VAN4"/>
      <sheetName val="đọc_số4"/>
      <sheetName val="Cash_flow4"/>
      <sheetName val="1_Quotation(見積決裁書）_4"/>
      <sheetName val="2_Operation(実施計画書）4"/>
      <sheetName val="3_Summary_of_Cost_4"/>
      <sheetName val="4_Ｓｐｅｃｉａｌ_Material4"/>
      <sheetName val="6_Ｃｏｍｍｏｎ_Material4"/>
      <sheetName val="9_Indirect_budget4"/>
      <sheetName val="TOP_4"/>
      <sheetName val="Detail_E4"/>
      <sheetName val="ocean_voyage4"/>
      <sheetName val="Har_Sat4"/>
      <sheetName val="H_SAT4"/>
      <sheetName val="Rekap_Biaya4"/>
      <sheetName val="HD_Alat4"/>
      <sheetName val="HD_Bahan4"/>
      <sheetName val="PRD_01-34"/>
      <sheetName val="HD_Upah4"/>
      <sheetName val="D_BOARD4"/>
      <sheetName val="anal-drainase,tanah&amp;ps_batu4"/>
      <sheetName val="HARGA_DASAR4"/>
      <sheetName val="REKAP_14"/>
      <sheetName val="Measured_Qty_Demarcation3"/>
      <sheetName val="Floor_Area_24_June_20193"/>
      <sheetName val="Floor_Area_31_July_20193"/>
      <sheetName val="Floor_Area_12_July_20193"/>
      <sheetName val="Exchange_rate_2019_073"/>
      <sheetName val="Goc_CC3"/>
      <sheetName val="SUM-PRO_(3)3"/>
      <sheetName val="KL_THÉP_MÓNG,DẦM,_SÀN,_CỘT_B23"/>
      <sheetName val="THKLTT_THÉP_B23"/>
      <sheetName val="Detail_RAM_DỐC_B1-L13"/>
      <sheetName val="DS_CHU_Ph_x005f_x0001__x04"/>
      <sheetName val="DS_CHU_Ph_x005f_x005f_x004"/>
      <sheetName val="NVN_Hotel3"/>
      <sheetName val="Doi_so3"/>
      <sheetName val="D_&amp;_W_sizes9"/>
      <sheetName val="Cover_Daf-29"/>
      <sheetName val="Analisa_HS9"/>
      <sheetName val="Urai__Resap_pengikat9"/>
      <sheetName val="mat-me_pipa9"/>
      <sheetName val="Isolasi_Luar_Dalam9"/>
      <sheetName val="Isolasi_Luar9"/>
      <sheetName val="Currency_Rate9"/>
      <sheetName val="B___Norelec9"/>
      <sheetName val="HRG_BHN9"/>
      <sheetName val="Rekap_Direct_Cost9"/>
      <sheetName val="Bill_No_6_Koord___Attendance9"/>
      <sheetName val="2-Genset_print8"/>
      <sheetName val="MOW_45%8"/>
      <sheetName val="MOS_55%8"/>
      <sheetName val="_UPAH8"/>
      <sheetName val="B_-_Norelec8"/>
      <sheetName val="DAFT_ALAT,UPAH_&amp;_MAT8"/>
      <sheetName val="Harga_ME_8"/>
      <sheetName val="CONS_8"/>
      <sheetName val="January_20158"/>
      <sheetName val="Basic_Price8"/>
      <sheetName val="H_Satuan8"/>
      <sheetName val="HARGA_MATERIAL8"/>
      <sheetName val="BQ_ARS8"/>
      <sheetName val="DETAIL_RAP8"/>
      <sheetName val="BQ_PENGURANGAN_SALURAN8"/>
      <sheetName val="Week9-Feb____8"/>
      <sheetName val="01A-_RAB8"/>
      <sheetName val="D_HARGA8"/>
      <sheetName val="Analisa_Harga8"/>
      <sheetName val="Bill_No_6_Koord_&amp;_Attendance8"/>
      <sheetName val="Analisa_Gabungan8"/>
      <sheetName val="AnalisaSIPIL_RIIL8"/>
      <sheetName val="bahan_7"/>
      <sheetName val="Cac_HS_hieu_chinh8"/>
      <sheetName val="Pln_Pdt7"/>
      <sheetName val="BQ_(by_owner)7"/>
      <sheetName val="rab_me_(fisik)7"/>
      <sheetName val="rab_me_(by_owner)_7"/>
      <sheetName val="Form_I7"/>
      <sheetName val="Cover_Daf_27"/>
      <sheetName val="B1form_(2)7"/>
      <sheetName val="Steel_Pipe7"/>
      <sheetName val="External_PVC,_PPR,_HDPE7"/>
      <sheetName val="Internal_PVC,_PPR,_HDPE7"/>
      <sheetName val="GI_Sheet7"/>
      <sheetName val="2_27"/>
      <sheetName val="Analisa_Upah_&amp;_Bahan_Plum7"/>
      <sheetName val="Analisa_&amp;_Upah7"/>
      <sheetName val="AT_27"/>
      <sheetName val="HB_7"/>
      <sheetName val="ANAL_BOW7"/>
      <sheetName val="04_-_XUONG_DET_B7"/>
      <sheetName val="Div26_-_Elect7"/>
      <sheetName val="Project_Data7"/>
      <sheetName val="RAB_AR&amp;STR7"/>
      <sheetName val="MEP_SUM7"/>
      <sheetName val="TINH_GIA_-_SAN_XUAT_Vertico7"/>
      <sheetName val="MTO_REV_2_ARMOR_6"/>
      <sheetName val="05__Data_Cash_Flow6"/>
      <sheetName val="Kuantitas_&amp;_Harga6"/>
      <sheetName val="Bill_rekap6"/>
      <sheetName val="Kolom_UT6"/>
      <sheetName val="NSA_fr_Revit6"/>
      <sheetName val="BeachFrontVilla_6"/>
      <sheetName val="Thuc_thanh6"/>
      <sheetName val="MeKong_-_Penetration7"/>
      <sheetName val="Dist__Perform_-_Ctns_sales_in_7"/>
      <sheetName val="Dist__Perform_-_Value_sales_in7"/>
      <sheetName val="Dist__Perform_-_Value_sales_Ou7"/>
      <sheetName val="Head_Count7"/>
      <sheetName val="Sales_Result_For_Month7"/>
      <sheetName val="MTO_REV_2(ARMOR)7"/>
      <sheetName val="DS_CHU_Phuc7"/>
      <sheetName val="DS_THI_AT7"/>
      <sheetName val="Bien_Ban7"/>
      <sheetName val="BC_Ton_Kho_New6"/>
      <sheetName val="BC_Cua_GSBH_New6"/>
      <sheetName val="CHITIET_VL-NC-TT_-1p6"/>
      <sheetName val="CHITIET_VL-NC-TT-3p6"/>
      <sheetName val="dongia_(2)7"/>
      <sheetName val="ESTI_6"/>
      <sheetName val="CT_Thang_Mo6"/>
      <sheetName val="CT__PL6"/>
      <sheetName val="CHITIET_VL-NC6"/>
      <sheetName val="DON_GIA6"/>
      <sheetName val="Dgia_vat_tu6"/>
      <sheetName val="Don_gia_III6"/>
      <sheetName val="Bhyt_t16"/>
      <sheetName val="Leave_Statistic_Report7"/>
      <sheetName val="EIRR&gt;_26"/>
      <sheetName val="Chiet_tinh_dz356"/>
      <sheetName val="DS_CHU_Ph_x005f_x0001__x005f_x0000_6"/>
      <sheetName val="DS_CHU_Ph_x005f_x0001_?6"/>
      <sheetName val="DS_CHU_Ph_x005f_x0001_6"/>
      <sheetName val="DS_CHU_Ph_x005f_x0001__6"/>
      <sheetName val="Vat_tu_XD6"/>
      <sheetName val="DS_CHU_Ph_x005f_x005f_x005f_x0001__x005f_x005f_x6"/>
      <sheetName val="DS_CHU_Ph_x005f_x005f_x005f_x0001__6"/>
      <sheetName val="DS_CHU_Ph_x005f_x005f_x005f_x0001_6"/>
      <sheetName val="Harga_satuan6"/>
      <sheetName val="Str_A4"/>
      <sheetName val="Rekap_Prelim4"/>
      <sheetName val="Bill_24"/>
      <sheetName val="Ｎｏ_134"/>
      <sheetName val="GFA_HQ_Building6"/>
      <sheetName val="GFA_Conference6"/>
      <sheetName val="CỘT_+_VÁCH_B1-B26"/>
      <sheetName val="CHÀO_GIÁ_KL_CÁC_TUYẾN_CÒN_LẠI3"/>
      <sheetName val="_TNT_K_Lượng_các_tuyến_còn_lại3"/>
      <sheetName val="KL_TNT_Khu_thấp_tầng3"/>
      <sheetName val="KL__HG_ĐIỆN_còn_lại3"/>
      <sheetName val="KHỐI_LƯỢNG_HỐ_VAN3"/>
      <sheetName val="đọc_số3"/>
      <sheetName val="Cash_flow3"/>
      <sheetName val="1_Quotation(見積決裁書）_3"/>
      <sheetName val="2_Operation(実施計画書）3"/>
      <sheetName val="3_Summary_of_Cost_3"/>
      <sheetName val="4_Ｓｐｅｃｉａｌ_Material3"/>
      <sheetName val="6_Ｃｏｍｍｏｎ_Material3"/>
      <sheetName val="9_Indirect_budget3"/>
      <sheetName val="TOP_3"/>
      <sheetName val="Detail_E3"/>
      <sheetName val="ocean_voyage3"/>
      <sheetName val="Har_Sat3"/>
      <sheetName val="H_SAT3"/>
      <sheetName val="Rekap_Biaya3"/>
      <sheetName val="HD_Alat3"/>
      <sheetName val="HD_Bahan3"/>
      <sheetName val="PRD_01-33"/>
      <sheetName val="HD_Upah3"/>
      <sheetName val="D_BOARD3"/>
      <sheetName val="anal-drainase,tanah&amp;ps_batu3"/>
      <sheetName val="HARGA_DASAR3"/>
      <sheetName val="REKAP_13"/>
      <sheetName val="D_&amp;_W_sizes11"/>
      <sheetName val="Cover_Daf-211"/>
      <sheetName val="Analisa_HS11"/>
      <sheetName val="Urai__Resap_pengikat11"/>
      <sheetName val="mat-me_pipa11"/>
      <sheetName val="Isolasi_Luar_Dalam11"/>
      <sheetName val="Isolasi_Luar11"/>
      <sheetName val="Currency_Rate11"/>
      <sheetName val="B___Norelec11"/>
      <sheetName val="HRG_BHN11"/>
      <sheetName val="Rekap_Direct_Cost11"/>
      <sheetName val="Bill_No_6_Koord___Attendance11"/>
      <sheetName val="2-Genset_print10"/>
      <sheetName val="MOW_45%10"/>
      <sheetName val="MOS_55%10"/>
      <sheetName val="_UPAH10"/>
      <sheetName val="B_-_Norelec10"/>
      <sheetName val="DAFT_ALAT,UPAH_&amp;_MAT10"/>
      <sheetName val="Harga_ME_10"/>
      <sheetName val="CONS_10"/>
      <sheetName val="January_201510"/>
      <sheetName val="Basic_Price10"/>
      <sheetName val="H_Satuan10"/>
      <sheetName val="HARGA_MATERIAL10"/>
      <sheetName val="BQ_ARS10"/>
      <sheetName val="DETAIL_RAP10"/>
      <sheetName val="BQ_PENGURANGAN_SALURAN10"/>
      <sheetName val="Week9-Feb____10"/>
      <sheetName val="01A-_RAB10"/>
      <sheetName val="D_HARGA10"/>
      <sheetName val="Analisa_Harga10"/>
      <sheetName val="Bill_No_6_Koord_&amp;_Attendance10"/>
      <sheetName val="Analisa_Gabungan10"/>
      <sheetName val="AnalisaSIPIL_RIIL10"/>
      <sheetName val="bahan_9"/>
      <sheetName val="Cac_HS_hieu_chinh10"/>
      <sheetName val="Pln_Pdt9"/>
      <sheetName val="BQ_(by_owner)9"/>
      <sheetName val="rab_me_(fisik)9"/>
      <sheetName val="rab_me_(by_owner)_9"/>
      <sheetName val="Form_I9"/>
      <sheetName val="Cover_Daf_29"/>
      <sheetName val="B1form_(2)9"/>
      <sheetName val="Steel_Pipe9"/>
      <sheetName val="External_PVC,_PPR,_HDPE9"/>
      <sheetName val="Internal_PVC,_PPR,_HDPE9"/>
      <sheetName val="GI_Sheet9"/>
      <sheetName val="2_29"/>
      <sheetName val="Analisa_Upah_&amp;_Bahan_Plum9"/>
      <sheetName val="Analisa_&amp;_Upah9"/>
      <sheetName val="AT_29"/>
      <sheetName val="HB_9"/>
      <sheetName val="ANAL_BOW9"/>
      <sheetName val="04_-_XUONG_DET_B9"/>
      <sheetName val="Div26_-_Elect9"/>
      <sheetName val="Project_Data9"/>
      <sheetName val="RAB_AR&amp;STR9"/>
      <sheetName val="MEP_SUM9"/>
      <sheetName val="TINH_GIA_-_SAN_XUAT_Vertico9"/>
      <sheetName val="MTO_REV_2_ARMOR_8"/>
      <sheetName val="05__Data_Cash_Flow8"/>
      <sheetName val="D_&amp;_W_sizes12"/>
      <sheetName val="Cover_Daf-212"/>
      <sheetName val="Analisa_HS12"/>
      <sheetName val="Urai__Resap_pengikat12"/>
      <sheetName val="mat-me_pipa12"/>
      <sheetName val="Isolasi_Luar_Dalam12"/>
      <sheetName val="Isolasi_Luar12"/>
      <sheetName val="Currency_Rate12"/>
      <sheetName val="B___Norelec12"/>
      <sheetName val="HRG_BHN12"/>
      <sheetName val="Rekap_Direct_Cost12"/>
      <sheetName val="Bill_No_6_Koord___Attendance12"/>
      <sheetName val="2-Genset_print11"/>
      <sheetName val="MOW_45%11"/>
      <sheetName val="MOS_55%11"/>
      <sheetName val="_UPAH11"/>
      <sheetName val="B_-_Norelec11"/>
      <sheetName val="DAFT_ALAT,UPAH_&amp;_MAT11"/>
      <sheetName val="Harga_ME_11"/>
      <sheetName val="CONS_11"/>
      <sheetName val="January_201511"/>
      <sheetName val="Basic_Price11"/>
      <sheetName val="H_Satuan11"/>
      <sheetName val="HARGA_MATERIAL11"/>
      <sheetName val="BQ_ARS11"/>
      <sheetName val="DETAIL_RAP11"/>
      <sheetName val="BQ_PENGURANGAN_SALURAN11"/>
      <sheetName val="Week9-Feb____11"/>
      <sheetName val="01A-_RAB11"/>
      <sheetName val="D_HARGA11"/>
      <sheetName val="Analisa_Harga11"/>
      <sheetName val="Bill_No_6_Koord_&amp;_Attendance11"/>
      <sheetName val="Analisa_Gabungan11"/>
      <sheetName val="AnalisaSIPIL_RIIL11"/>
      <sheetName val="bahan_10"/>
      <sheetName val="Cac_HS_hieu_chinh11"/>
      <sheetName val="Pln_Pdt10"/>
      <sheetName val="BQ_(by_owner)10"/>
      <sheetName val="rab_me_(fisik)10"/>
      <sheetName val="rab_me_(by_owner)_10"/>
      <sheetName val="Form_I10"/>
      <sheetName val="Cover_Daf_210"/>
      <sheetName val="B1form_(2)10"/>
      <sheetName val="Steel_Pipe10"/>
      <sheetName val="External_PVC,_PPR,_HDPE10"/>
      <sheetName val="Internal_PVC,_PPR,_HDPE10"/>
      <sheetName val="GI_Sheet10"/>
      <sheetName val="2_210"/>
      <sheetName val="Analisa_Upah_&amp;_Bahan_Plum10"/>
      <sheetName val="Analisa_&amp;_Upah10"/>
      <sheetName val="AT_210"/>
      <sheetName val="HB_10"/>
      <sheetName val="ANAL_BOW10"/>
      <sheetName val="04_-_XUONG_DET_B10"/>
      <sheetName val="Div26_-_Elect10"/>
      <sheetName val="Project_Data10"/>
      <sheetName val="RAB_AR&amp;STR10"/>
      <sheetName val="MEP_SUM10"/>
      <sheetName val="TINH_GIA_-_SAN_XUAT_Vertico10"/>
      <sheetName val="MTO_REV_2_ARMOR_9"/>
      <sheetName val="05__Data_Cash_Flow9"/>
      <sheetName val="Kuantitas_&amp;_Harga8"/>
      <sheetName val="Bill_rekap8"/>
      <sheetName val="Kolom_UT8"/>
      <sheetName val="Harga_satuan8"/>
      <sheetName val="BeachFrontVilla_8"/>
      <sheetName val="Bill_26"/>
      <sheetName val="Str_A6"/>
      <sheetName val="Rekap_Prelim6"/>
      <sheetName val="NSA_fr_Revit8"/>
      <sheetName val="Thuc_thanh8"/>
      <sheetName val="MeKong_-_Penetration9"/>
      <sheetName val="Dist__Perform_-_Ctns_sales_in_9"/>
      <sheetName val="Dist__Perform_-_Value_sales_in9"/>
      <sheetName val="Dist__Perform_-_Value_sales_Ou9"/>
      <sheetName val="Head_Count9"/>
      <sheetName val="Sales_Result_For_Month9"/>
      <sheetName val="MTO_REV_2(ARMOR)9"/>
      <sheetName val="DS_CHU_Phuc9"/>
      <sheetName val="DS_THI_AT9"/>
      <sheetName val="Bien_Ban9"/>
      <sheetName val="BC_Ton_Kho_New8"/>
      <sheetName val="BC_Cua_GSBH_New8"/>
      <sheetName val="CHITIET_VL-NC-TT_-1p8"/>
      <sheetName val="CHITIET_VL-NC-TT-3p8"/>
      <sheetName val="dongia_(2)9"/>
      <sheetName val="ESTI_8"/>
      <sheetName val="CT_Thang_Mo8"/>
      <sheetName val="CT__PL8"/>
      <sheetName val="CHITIET_VL-NC8"/>
      <sheetName val="DON_GIA8"/>
      <sheetName val="Dgia_vat_tu8"/>
      <sheetName val="Don_gia_III8"/>
      <sheetName val="Bhyt_t18"/>
      <sheetName val="Leave_Statistic_Report9"/>
      <sheetName val="EIRR&gt;_28"/>
      <sheetName val="Chiet_tinh_dz358"/>
      <sheetName val="DS_CHU_Ph_x005f_x0001__x005f_x0000_8"/>
      <sheetName val="DS_CHU_Ph_x005f_x0001_?8"/>
      <sheetName val="DS_CHU_Ph_x005f_x0001_8"/>
      <sheetName val="DS_CHU_Ph_x005f_x0001__8"/>
      <sheetName val="Vat_tu_XD8"/>
      <sheetName val="DS_CHU_Ph_x005f_x005f_x005f_x0001__x005f_x005f_x8"/>
      <sheetName val="DS_CHU_Ph_x005f_x005f_x005f_x0001__8"/>
      <sheetName val="DS_CHU_Ph_x005f_x005f_x005f_x0001_8"/>
      <sheetName val="Ｎｏ_136"/>
      <sheetName val="GFA_HQ_Building8"/>
      <sheetName val="GFA_Conference8"/>
      <sheetName val="CỘT_+_VÁCH_B1-B28"/>
      <sheetName val="CHÀO_GIÁ_KL_CÁC_TUYẾN_CÒN_LẠI5"/>
      <sheetName val="_TNT_K_Lượng_các_tuyến_còn_lại5"/>
      <sheetName val="KL_TNT_Khu_thấp_tầng5"/>
      <sheetName val="KL__HG_ĐIỆN_còn_lại5"/>
      <sheetName val="KHỐI_LƯỢNG_HỐ_VAN5"/>
      <sheetName val="đọc_số5"/>
      <sheetName val="Cash_flow5"/>
      <sheetName val="1_Quotation(見積決裁書）_5"/>
      <sheetName val="2_Operation(実施計画書）5"/>
      <sheetName val="3_Summary_of_Cost_5"/>
      <sheetName val="4_Ｓｐｅｃｉａｌ_Material5"/>
      <sheetName val="6_Ｃｏｍｍｏｎ_Material5"/>
      <sheetName val="9_Indirect_budget5"/>
      <sheetName val="TOP_5"/>
      <sheetName val="Detail_E5"/>
      <sheetName val="ocean_voyage5"/>
      <sheetName val="Har_Sat5"/>
      <sheetName val="H_SAT5"/>
      <sheetName val="Rekap_Biaya5"/>
      <sheetName val="HD_Alat5"/>
      <sheetName val="HD_Bahan5"/>
      <sheetName val="PRD_01-35"/>
      <sheetName val="HD_Upah5"/>
      <sheetName val="D_BOARD5"/>
      <sheetName val="anal-drainase,tanah&amp;ps_batu5"/>
      <sheetName val="HARGA_DASAR5"/>
      <sheetName val="REKAP_15"/>
      <sheetName val="Measured_Qty_Demarcation4"/>
      <sheetName val="Floor_Area_24_June_20194"/>
      <sheetName val="Floor_Area_31_July_20194"/>
      <sheetName val="Floor_Area_12_July_20194"/>
      <sheetName val="Exchange_rate_2019_074"/>
      <sheetName val="Goc_CC4"/>
      <sheetName val="SUM-PRO_(3)4"/>
      <sheetName val="KL_THÉP_MÓNG,DẦM,_SÀN,_CỘT_B24"/>
      <sheetName val="THKLTT_THÉP_B24"/>
      <sheetName val="Detail_RAM_DỐC_B1-L14"/>
      <sheetName val="DS_CHU_Ph_x005f_x0001__x05"/>
      <sheetName val="DS_CHU_Ph_x005f_x005f_x005"/>
      <sheetName val="NVN_Hotel4"/>
      <sheetName val="Doi_so4"/>
      <sheetName val="CFquarterly"/>
      <sheetName val="CFmonthly1"/>
      <sheetName val="sch1"/>
      <sheetName val="sch2"/>
      <sheetName val="sch3"/>
      <sheetName val="Notes to CF"/>
      <sheetName val="actual"/>
      <sheetName val="CashBal-31Oct"/>
      <sheetName val="Supporting"/>
      <sheetName val="Cost (60M)-1st"/>
      <sheetName val="Refin Cost (180M) (2)"/>
      <sheetName val="Interest LTL"/>
      <sheetName val="CIT"/>
      <sheetName val="Recon"/>
      <sheetName val="RW Collection"/>
      <sheetName val="KC-moi"/>
      <sheetName val="6PILE  (돌출)"/>
      <sheetName val="유림골조"/>
      <sheetName val="BASE"/>
      <sheetName val="Fill this out first..."/>
      <sheetName val="Daftar Harga"/>
      <sheetName val="PAD-F"/>
      <sheetName val="SDE"/>
      <sheetName val="ARITMATIK"/>
      <sheetName val="REKAP BQ "/>
      <sheetName val="ana_str"/>
      <sheetName val="NP (2)"/>
      <sheetName val="Hrg.Sat"/>
      <sheetName val="Div2"/>
      <sheetName val="Meto"/>
      <sheetName val="Manpower (M)"/>
      <sheetName val="MANPOWER SCHEDULE-E"/>
      <sheetName val="BOQ-M.Net"/>
      <sheetName val="BQ-LYMAN RESIDENCE"/>
      <sheetName val="alat"/>
      <sheetName val="Estim"/>
      <sheetName val="an. harga baja"/>
      <sheetName val="BOQ STR PAINTING"/>
      <sheetName val="Plumbing(A) ok"/>
      <sheetName val="BQ-Str"/>
      <sheetName val="Rangka atap"/>
      <sheetName val="BREAKDOWN"/>
      <sheetName val="BAG-III"/>
      <sheetName val="Analisa  _2_"/>
      <sheetName val="DS_CHU_Ph_x005f_x005f_x005f_x005f_x005f_x005f_x02"/>
      <sheetName val="Priced_BOQ2"/>
      <sheetName val="Harga_Upah2"/>
      <sheetName val="ANALISA_HARGA_SATUAN2"/>
      <sheetName val="Cable_ko_co_giap_bao_ve_2"/>
      <sheetName val="DS_CHU_Ph_x003"/>
      <sheetName val="BẢNG_TỔNG_HỢP2"/>
      <sheetName val="HÀNG_RÀO2"/>
      <sheetName val="NHÀ_XƯỞNG2"/>
      <sheetName val="NHÀ_VĂN_PHÒNG2"/>
      <sheetName val="NHÀ_BẾP2"/>
      <sheetName val="NHÀ_XE_Ô_TÔ2"/>
      <sheetName val="BỂ_NƯỚC_NGẦM2"/>
      <sheetName val="NHÀ_BẢO_VỆ2"/>
      <sheetName val="CỘT_CỜ2"/>
      <sheetName val="TRẠM_ĐIỆN2"/>
      <sheetName val="KHO_HOÁ_CHẤT2"/>
      <sheetName val="NHÀ_RÁC2"/>
      <sheetName val="KHU_HÚT_THUỐC2"/>
      <sheetName val="MÁI_NỐI_VP+_BẾP2"/>
      <sheetName val="BỂ_TỰ_HOẠI2"/>
      <sheetName val="THƯ_VIỆN_MẪU2"/>
      <sheetName val="Cash_Flow_bulanan1"/>
      <sheetName val="LMBAR_ASISTENSI1"/>
      <sheetName val="bobot_pembesian1"/>
      <sheetName val="BACK_UP1"/>
      <sheetName val="HARGA_KONSULTAN_20161"/>
      <sheetName val="A_6_1"/>
      <sheetName val="B_6_1"/>
      <sheetName val="C_6_1"/>
      <sheetName val="D_6_1"/>
      <sheetName val="E_6_1"/>
      <sheetName val="6_1"/>
      <sheetName val="F_6_1"/>
      <sheetName val="G_6_1"/>
      <sheetName val="H_6_1"/>
      <sheetName val="I_6_1"/>
      <sheetName val="J_6_1"/>
      <sheetName val="K_6_1"/>
      <sheetName val="L_6_1"/>
      <sheetName val="M_6_1"/>
      <sheetName val="입찰내역_발주처_양식1"/>
      <sheetName val="BQ_External1"/>
      <sheetName val="April_20191"/>
      <sheetName val="PERF_TEST_Pre_MP1"/>
      <sheetName val="Air_parameters1"/>
      <sheetName val="Bill_of_Qty_MEP1"/>
      <sheetName val="harga_bahan1"/>
      <sheetName val="BOQ-E(1)_Net1"/>
      <sheetName val="IGETA_Elec_BOQ1"/>
      <sheetName val="Maker_List1"/>
      <sheetName val="Request_Builder1"/>
      <sheetName val="INFO_1"/>
      <sheetName val="wk_prgs1"/>
      <sheetName val="TONG_HOP_VL-NC1"/>
      <sheetName val="TONGKE3p_1"/>
      <sheetName val="TH_VL,_NC,_DDHT_Thanhphuoc1"/>
      <sheetName val="Budget_Sheet"/>
      <sheetName val="Tai_khoan"/>
      <sheetName val="2_1_受電設備棟"/>
      <sheetName val="2_2_受・防火水槽"/>
      <sheetName val="2_3_排水処理設備棟"/>
      <sheetName val="2_4_倉庫棟"/>
      <sheetName val="2_5_守衛棟"/>
      <sheetName val="Current_Sheet"/>
      <sheetName val="Fire_Fighting"/>
      <sheetName val="Item_Kompensasi"/>
      <sheetName val="COSTING_Option_1"/>
      <sheetName val="Master_1_0"/>
      <sheetName val="GRAND_REKAPITULASI"/>
      <sheetName val="RAB_G_ADM__PUSAT_(1)"/>
      <sheetName val="RAB_SPORT_CLUB_(14)"/>
      <sheetName val="RAB_RMH__PENJAGA_(18)"/>
      <sheetName val="RAB_POS_JAGA_(19__A_)"/>
      <sheetName val="RAB_POS_JAGA_(19__B_)"/>
      <sheetName val="RAB_R__POMPA_(20)"/>
      <sheetName val="RAB_R__KELAS_(2_A)"/>
      <sheetName val="RAB_R__KELAS_(2_B)"/>
      <sheetName val="RAB_AULA_UTAMA_(5)"/>
      <sheetName val="RAB_AULA_SEDANG_(6)"/>
      <sheetName val="RAB_ASRAMA_(7__B_)"/>
      <sheetName val="RAB_ASRAMA_(7__C_)"/>
      <sheetName val="RAB_ASRAMA_(7__D_)"/>
      <sheetName val="RAB_R__MAKAN_(8)"/>
      <sheetName val="RAB_GUEST_HOUSE_(9__A_)"/>
      <sheetName val="RAB_GUEST_HOUSE_(9__B_)"/>
      <sheetName val="Perm__Test"/>
      <sheetName val="07_HT_PODIUM"/>
      <sheetName val="05_KC_THAN_OK"/>
      <sheetName val="08_HT_CANHO_OK"/>
      <sheetName val="04_KC_HAM"/>
      <sheetName val="Harga_"/>
      <sheetName val="주식"/>
      <sheetName val="Cam xoa"/>
      <sheetName val="SGC RATE"/>
      <sheetName val="DFA"/>
      <sheetName val="Dinh muc CP KTCB khac"/>
      <sheetName val="TH May TC"/>
      <sheetName val="KLDT DIEN"/>
      <sheetName val="PTVT DIEN"/>
      <sheetName val="TH kinh phi"/>
      <sheetName val="Thong ke thiet bi"/>
      <sheetName val="TH vat tu"/>
      <sheetName val="Agg Halus &amp; Kasar"/>
      <sheetName val="Urugan Pasir"/>
      <sheetName val="Galian 1"/>
      <sheetName val="A_BANTU"/>
      <sheetName val="Metod TWR"/>
      <sheetName val="bhn_Non Lokal"/>
      <sheetName val="anal rab"/>
      <sheetName val="UPH,BHN,ALT"/>
      <sheetName val="H.Material, Upah &amp; Alat"/>
      <sheetName val="Analisa H.Sat.Pek."/>
      <sheetName val="Uraian Analisa Alat (3)"/>
      <sheetName val="rab_analisa"/>
      <sheetName val="Anl"/>
      <sheetName val="Ars"/>
      <sheetName val="TOWER 12TON"/>
      <sheetName val="TOWER 10TON"/>
      <sheetName val="공문"/>
      <sheetName val="마감사양"/>
      <sheetName val="CAPVC"/>
      <sheetName val="Schedule S-Curve Revision#3"/>
      <sheetName val="Land Dev't. Ph-1"/>
      <sheetName val="Hac.Lots"/>
      <sheetName val="4-Lane bridge"/>
      <sheetName val="Res.Lots"/>
      <sheetName val="Spine Road"/>
      <sheetName val="기성내역"/>
      <sheetName val="T K"/>
      <sheetName val="Duc_bk"/>
      <sheetName val="Areas"/>
      <sheetName val="VCThuy"/>
      <sheetName val="부산제일극장"/>
      <sheetName val="IBASE"/>
      <sheetName val="ANALISA PEK.UMUM"/>
      <sheetName val="TinhGiaNC"/>
      <sheetName val="cuoc13"/>
      <sheetName val="tuong"/>
      <sheetName val="Cashflows"/>
      <sheetName val="DT-XL"/>
      <sheetName val="Summary_Unit"/>
      <sheetName val="7.공정표"/>
      <sheetName val="ALAT1"/>
      <sheetName val="Analisa-1"/>
      <sheetName val="analisa new"/>
      <sheetName val="8LT 12"/>
      <sheetName val="EE-PROP"/>
      <sheetName val="RAP"/>
      <sheetName val="Curves"/>
      <sheetName val="Heads"/>
      <sheetName val="Dbase"/>
      <sheetName val="Page 2"/>
      <sheetName val="MixBed"/>
      <sheetName val="CondPol"/>
      <sheetName val="Sch"/>
      <sheetName val="Gen"/>
      <sheetName val="Konfirm"/>
      <sheetName val="kalibrasi-Tank"/>
      <sheetName val="BoQ(APBN)"/>
      <sheetName val="Rekapitulasi"/>
      <sheetName val="Unit Rate"/>
      <sheetName val="3-DIV2"/>
      <sheetName val="hp pu"/>
      <sheetName val="R P"/>
      <sheetName val="BK04"/>
      <sheetName val="GAEYO"/>
      <sheetName val="Du lieu TKT"/>
      <sheetName val="TEN CONG TRINH"/>
      <sheetName val="침하계"/>
      <sheetName val="THVT"/>
      <sheetName val="날개벽수량표"/>
      <sheetName val="개산공사비"/>
      <sheetName val="대비"/>
      <sheetName val="KUNGDEVI"/>
    </sheetNames>
    <sheetDataSet>
      <sheetData sheetId="0">
        <row r="43">
          <cell r="H43">
            <v>0</v>
          </cell>
        </row>
      </sheetData>
      <sheetData sheetId="1">
        <row r="43">
          <cell r="H43">
            <v>0</v>
          </cell>
        </row>
      </sheetData>
      <sheetData sheetId="2">
        <row r="43">
          <cell r="H43">
            <v>0</v>
          </cell>
        </row>
      </sheetData>
      <sheetData sheetId="3">
        <row r="43">
          <cell r="H43">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ow r="43">
          <cell r="H43">
            <v>0</v>
          </cell>
        </row>
      </sheetData>
      <sheetData sheetId="234">
        <row r="43">
          <cell r="H43">
            <v>0</v>
          </cell>
        </row>
      </sheetData>
      <sheetData sheetId="235">
        <row r="43">
          <cell r="H43">
            <v>0</v>
          </cell>
        </row>
      </sheetData>
      <sheetData sheetId="236">
        <row r="43">
          <cell r="H43">
            <v>0</v>
          </cell>
        </row>
      </sheetData>
      <sheetData sheetId="237">
        <row r="43">
          <cell r="H43">
            <v>0</v>
          </cell>
        </row>
      </sheetData>
      <sheetData sheetId="238">
        <row r="43">
          <cell r="H43">
            <v>0</v>
          </cell>
        </row>
      </sheetData>
      <sheetData sheetId="239">
        <row r="43">
          <cell r="H43">
            <v>0</v>
          </cell>
        </row>
      </sheetData>
      <sheetData sheetId="240">
        <row r="43">
          <cell r="H43">
            <v>0</v>
          </cell>
        </row>
      </sheetData>
      <sheetData sheetId="241">
        <row r="43">
          <cell r="H43">
            <v>0</v>
          </cell>
        </row>
      </sheetData>
      <sheetData sheetId="242">
        <row r="43">
          <cell r="H43">
            <v>0</v>
          </cell>
        </row>
      </sheetData>
      <sheetData sheetId="243">
        <row r="43">
          <cell r="H43">
            <v>0</v>
          </cell>
        </row>
      </sheetData>
      <sheetData sheetId="244">
        <row r="43">
          <cell r="H43">
            <v>0</v>
          </cell>
        </row>
      </sheetData>
      <sheetData sheetId="245">
        <row r="43">
          <cell r="H43">
            <v>0</v>
          </cell>
        </row>
      </sheetData>
      <sheetData sheetId="246">
        <row r="43">
          <cell r="H43">
            <v>0</v>
          </cell>
        </row>
      </sheetData>
      <sheetData sheetId="247">
        <row r="43">
          <cell r="H43">
            <v>0</v>
          </cell>
        </row>
      </sheetData>
      <sheetData sheetId="248">
        <row r="43">
          <cell r="H43">
            <v>0</v>
          </cell>
        </row>
      </sheetData>
      <sheetData sheetId="249">
        <row r="43">
          <cell r="H43">
            <v>0</v>
          </cell>
        </row>
      </sheetData>
      <sheetData sheetId="250">
        <row r="43">
          <cell r="H43">
            <v>0</v>
          </cell>
        </row>
      </sheetData>
      <sheetData sheetId="251">
        <row r="43">
          <cell r="H43">
            <v>0</v>
          </cell>
        </row>
      </sheetData>
      <sheetData sheetId="252">
        <row r="43">
          <cell r="H43">
            <v>0</v>
          </cell>
        </row>
      </sheetData>
      <sheetData sheetId="253">
        <row r="43">
          <cell r="H43">
            <v>0</v>
          </cell>
        </row>
      </sheetData>
      <sheetData sheetId="254">
        <row r="43">
          <cell r="H43">
            <v>0</v>
          </cell>
        </row>
      </sheetData>
      <sheetData sheetId="255">
        <row r="43">
          <cell r="H43">
            <v>0</v>
          </cell>
        </row>
      </sheetData>
      <sheetData sheetId="256">
        <row r="43">
          <cell r="H43">
            <v>0</v>
          </cell>
        </row>
      </sheetData>
      <sheetData sheetId="257">
        <row r="43">
          <cell r="H43">
            <v>0</v>
          </cell>
        </row>
      </sheetData>
      <sheetData sheetId="258">
        <row r="43">
          <cell r="H43">
            <v>0</v>
          </cell>
        </row>
      </sheetData>
      <sheetData sheetId="259">
        <row r="43">
          <cell r="H43">
            <v>0</v>
          </cell>
        </row>
      </sheetData>
      <sheetData sheetId="260">
        <row r="43">
          <cell r="H43">
            <v>0</v>
          </cell>
        </row>
      </sheetData>
      <sheetData sheetId="261">
        <row r="43">
          <cell r="H43">
            <v>0</v>
          </cell>
        </row>
      </sheetData>
      <sheetData sheetId="262">
        <row r="43">
          <cell r="H43">
            <v>0</v>
          </cell>
        </row>
      </sheetData>
      <sheetData sheetId="263">
        <row r="43">
          <cell r="H43">
            <v>0</v>
          </cell>
        </row>
      </sheetData>
      <sheetData sheetId="264">
        <row r="43">
          <cell r="H43">
            <v>0</v>
          </cell>
        </row>
      </sheetData>
      <sheetData sheetId="265">
        <row r="43">
          <cell r="H43">
            <v>0</v>
          </cell>
        </row>
      </sheetData>
      <sheetData sheetId="266">
        <row r="43">
          <cell r="H43">
            <v>0</v>
          </cell>
        </row>
      </sheetData>
      <sheetData sheetId="267">
        <row r="43">
          <cell r="H43">
            <v>0</v>
          </cell>
        </row>
      </sheetData>
      <sheetData sheetId="268">
        <row r="43">
          <cell r="H43">
            <v>0</v>
          </cell>
        </row>
      </sheetData>
      <sheetData sheetId="269">
        <row r="43">
          <cell r="H43">
            <v>0</v>
          </cell>
        </row>
      </sheetData>
      <sheetData sheetId="270">
        <row r="43">
          <cell r="H43">
            <v>0</v>
          </cell>
        </row>
      </sheetData>
      <sheetData sheetId="271">
        <row r="43">
          <cell r="H43">
            <v>0</v>
          </cell>
        </row>
      </sheetData>
      <sheetData sheetId="272">
        <row r="43">
          <cell r="H43">
            <v>0</v>
          </cell>
        </row>
      </sheetData>
      <sheetData sheetId="273">
        <row r="43">
          <cell r="H43">
            <v>0</v>
          </cell>
        </row>
      </sheetData>
      <sheetData sheetId="274">
        <row r="43">
          <cell r="H43">
            <v>0</v>
          </cell>
        </row>
      </sheetData>
      <sheetData sheetId="275">
        <row r="43">
          <cell r="H43">
            <v>0</v>
          </cell>
        </row>
      </sheetData>
      <sheetData sheetId="276">
        <row r="43">
          <cell r="H43">
            <v>0</v>
          </cell>
        </row>
      </sheetData>
      <sheetData sheetId="277">
        <row r="43">
          <cell r="H43">
            <v>0</v>
          </cell>
        </row>
      </sheetData>
      <sheetData sheetId="278">
        <row r="43">
          <cell r="H43">
            <v>0</v>
          </cell>
        </row>
      </sheetData>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ow r="43">
          <cell r="H43">
            <v>0</v>
          </cell>
        </row>
      </sheetData>
      <sheetData sheetId="352">
        <row r="43">
          <cell r="H43">
            <v>0</v>
          </cell>
        </row>
      </sheetData>
      <sheetData sheetId="353">
        <row r="43">
          <cell r="H43">
            <v>0</v>
          </cell>
        </row>
      </sheetData>
      <sheetData sheetId="354">
        <row r="43">
          <cell r="H43">
            <v>0</v>
          </cell>
        </row>
      </sheetData>
      <sheetData sheetId="355">
        <row r="43">
          <cell r="H43">
            <v>0</v>
          </cell>
        </row>
      </sheetData>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ow r="43">
          <cell r="H43">
            <v>0</v>
          </cell>
        </row>
      </sheetData>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ow r="43">
          <cell r="H43">
            <v>0</v>
          </cell>
        </row>
      </sheetData>
      <sheetData sheetId="406" refreshError="1"/>
      <sheetData sheetId="407" refreshError="1"/>
      <sheetData sheetId="408" refreshError="1"/>
      <sheetData sheetId="409">
        <row r="43">
          <cell r="H43">
            <v>0</v>
          </cell>
        </row>
      </sheetData>
      <sheetData sheetId="410">
        <row r="43">
          <cell r="H43">
            <v>0</v>
          </cell>
        </row>
      </sheetData>
      <sheetData sheetId="411">
        <row r="43">
          <cell r="H43">
            <v>0</v>
          </cell>
        </row>
      </sheetData>
      <sheetData sheetId="412">
        <row r="43">
          <cell r="H43">
            <v>0</v>
          </cell>
        </row>
      </sheetData>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43">
          <cell r="H43">
            <v>0</v>
          </cell>
        </row>
      </sheetData>
      <sheetData sheetId="465">
        <row r="43">
          <cell r="H43">
            <v>0</v>
          </cell>
        </row>
      </sheetData>
      <sheetData sheetId="466">
        <row r="43">
          <cell r="H43">
            <v>0</v>
          </cell>
        </row>
      </sheetData>
      <sheetData sheetId="467">
        <row r="43">
          <cell r="H43">
            <v>0</v>
          </cell>
        </row>
      </sheetData>
      <sheetData sheetId="468">
        <row r="43">
          <cell r="H43">
            <v>0</v>
          </cell>
        </row>
      </sheetData>
      <sheetData sheetId="469">
        <row r="43">
          <cell r="H43">
            <v>0</v>
          </cell>
        </row>
      </sheetData>
      <sheetData sheetId="470">
        <row r="43">
          <cell r="H43">
            <v>0</v>
          </cell>
        </row>
      </sheetData>
      <sheetData sheetId="471">
        <row r="43">
          <cell r="H43">
            <v>0</v>
          </cell>
        </row>
      </sheetData>
      <sheetData sheetId="472">
        <row r="43">
          <cell r="H43">
            <v>0</v>
          </cell>
        </row>
      </sheetData>
      <sheetData sheetId="473">
        <row r="43">
          <cell r="H43">
            <v>0</v>
          </cell>
        </row>
      </sheetData>
      <sheetData sheetId="474">
        <row r="43">
          <cell r="H43">
            <v>0</v>
          </cell>
        </row>
      </sheetData>
      <sheetData sheetId="475">
        <row r="43">
          <cell r="H43">
            <v>0</v>
          </cell>
        </row>
      </sheetData>
      <sheetData sheetId="476">
        <row r="43">
          <cell r="H43">
            <v>0</v>
          </cell>
        </row>
      </sheetData>
      <sheetData sheetId="477">
        <row r="43">
          <cell r="H43">
            <v>0</v>
          </cell>
        </row>
      </sheetData>
      <sheetData sheetId="478">
        <row r="43">
          <cell r="H43">
            <v>0</v>
          </cell>
        </row>
      </sheetData>
      <sheetData sheetId="479">
        <row r="43">
          <cell r="H43">
            <v>0</v>
          </cell>
        </row>
      </sheetData>
      <sheetData sheetId="480">
        <row r="43">
          <cell r="H43">
            <v>0</v>
          </cell>
        </row>
      </sheetData>
      <sheetData sheetId="481">
        <row r="43">
          <cell r="H43">
            <v>0</v>
          </cell>
        </row>
      </sheetData>
      <sheetData sheetId="482">
        <row r="43">
          <cell r="H43">
            <v>0</v>
          </cell>
        </row>
      </sheetData>
      <sheetData sheetId="483">
        <row r="43">
          <cell r="H43">
            <v>0</v>
          </cell>
        </row>
      </sheetData>
      <sheetData sheetId="484">
        <row r="43">
          <cell r="H43">
            <v>0</v>
          </cell>
        </row>
      </sheetData>
      <sheetData sheetId="485">
        <row r="43">
          <cell r="H43">
            <v>0</v>
          </cell>
        </row>
      </sheetData>
      <sheetData sheetId="486">
        <row r="43">
          <cell r="H43">
            <v>0</v>
          </cell>
        </row>
      </sheetData>
      <sheetData sheetId="487">
        <row r="43">
          <cell r="H43">
            <v>0</v>
          </cell>
        </row>
      </sheetData>
      <sheetData sheetId="488">
        <row r="43">
          <cell r="H43">
            <v>0</v>
          </cell>
        </row>
      </sheetData>
      <sheetData sheetId="489">
        <row r="43">
          <cell r="H43">
            <v>0</v>
          </cell>
        </row>
      </sheetData>
      <sheetData sheetId="490">
        <row r="43">
          <cell r="H43">
            <v>0</v>
          </cell>
        </row>
      </sheetData>
      <sheetData sheetId="491">
        <row r="43">
          <cell r="H43">
            <v>0</v>
          </cell>
        </row>
      </sheetData>
      <sheetData sheetId="492">
        <row r="43">
          <cell r="H43">
            <v>0</v>
          </cell>
        </row>
      </sheetData>
      <sheetData sheetId="493">
        <row r="43">
          <cell r="H43">
            <v>0</v>
          </cell>
        </row>
      </sheetData>
      <sheetData sheetId="494">
        <row r="43">
          <cell r="H43">
            <v>0</v>
          </cell>
        </row>
      </sheetData>
      <sheetData sheetId="495">
        <row r="43">
          <cell r="H43">
            <v>0</v>
          </cell>
        </row>
      </sheetData>
      <sheetData sheetId="496">
        <row r="43">
          <cell r="H43">
            <v>0</v>
          </cell>
        </row>
      </sheetData>
      <sheetData sheetId="497">
        <row r="43">
          <cell r="H43">
            <v>0</v>
          </cell>
        </row>
      </sheetData>
      <sheetData sheetId="498">
        <row r="43">
          <cell r="H43">
            <v>0</v>
          </cell>
        </row>
      </sheetData>
      <sheetData sheetId="499">
        <row r="43">
          <cell r="H43">
            <v>0</v>
          </cell>
        </row>
      </sheetData>
      <sheetData sheetId="500">
        <row r="43">
          <cell r="H43">
            <v>0</v>
          </cell>
        </row>
      </sheetData>
      <sheetData sheetId="501">
        <row r="43">
          <cell r="H43">
            <v>0</v>
          </cell>
        </row>
      </sheetData>
      <sheetData sheetId="502">
        <row r="43">
          <cell r="H43">
            <v>0</v>
          </cell>
        </row>
      </sheetData>
      <sheetData sheetId="503">
        <row r="43">
          <cell r="H43">
            <v>0</v>
          </cell>
        </row>
      </sheetData>
      <sheetData sheetId="504">
        <row r="43">
          <cell r="H43">
            <v>0</v>
          </cell>
        </row>
      </sheetData>
      <sheetData sheetId="505">
        <row r="43">
          <cell r="H43">
            <v>0</v>
          </cell>
        </row>
      </sheetData>
      <sheetData sheetId="506">
        <row r="43">
          <cell r="H43">
            <v>0</v>
          </cell>
        </row>
      </sheetData>
      <sheetData sheetId="507">
        <row r="43">
          <cell r="H43">
            <v>0</v>
          </cell>
        </row>
      </sheetData>
      <sheetData sheetId="508">
        <row r="43">
          <cell r="H43">
            <v>0</v>
          </cell>
        </row>
      </sheetData>
      <sheetData sheetId="509">
        <row r="43">
          <cell r="H43">
            <v>0</v>
          </cell>
        </row>
      </sheetData>
      <sheetData sheetId="510">
        <row r="43">
          <cell r="H43">
            <v>0</v>
          </cell>
        </row>
      </sheetData>
      <sheetData sheetId="511">
        <row r="43">
          <cell r="H43">
            <v>0</v>
          </cell>
        </row>
      </sheetData>
      <sheetData sheetId="512">
        <row r="43">
          <cell r="H43">
            <v>0</v>
          </cell>
        </row>
      </sheetData>
      <sheetData sheetId="513">
        <row r="43">
          <cell r="H43">
            <v>0</v>
          </cell>
        </row>
      </sheetData>
      <sheetData sheetId="514">
        <row r="43">
          <cell r="H43">
            <v>0</v>
          </cell>
        </row>
      </sheetData>
      <sheetData sheetId="515">
        <row r="43">
          <cell r="H43">
            <v>0</v>
          </cell>
        </row>
      </sheetData>
      <sheetData sheetId="516">
        <row r="43">
          <cell r="H43">
            <v>0</v>
          </cell>
        </row>
      </sheetData>
      <sheetData sheetId="517">
        <row r="43">
          <cell r="H43">
            <v>0</v>
          </cell>
        </row>
      </sheetData>
      <sheetData sheetId="518">
        <row r="43">
          <cell r="H43">
            <v>0</v>
          </cell>
        </row>
      </sheetData>
      <sheetData sheetId="519">
        <row r="43">
          <cell r="H43">
            <v>0</v>
          </cell>
        </row>
      </sheetData>
      <sheetData sheetId="520">
        <row r="43">
          <cell r="H43">
            <v>0</v>
          </cell>
        </row>
      </sheetData>
      <sheetData sheetId="521">
        <row r="43">
          <cell r="H43">
            <v>0</v>
          </cell>
        </row>
      </sheetData>
      <sheetData sheetId="522">
        <row r="43">
          <cell r="H43">
            <v>0</v>
          </cell>
        </row>
      </sheetData>
      <sheetData sheetId="523">
        <row r="43">
          <cell r="H43">
            <v>0</v>
          </cell>
        </row>
      </sheetData>
      <sheetData sheetId="524">
        <row r="43">
          <cell r="H43">
            <v>0</v>
          </cell>
        </row>
      </sheetData>
      <sheetData sheetId="525">
        <row r="43">
          <cell r="H43">
            <v>0</v>
          </cell>
        </row>
      </sheetData>
      <sheetData sheetId="526">
        <row r="43">
          <cell r="H43">
            <v>0</v>
          </cell>
        </row>
      </sheetData>
      <sheetData sheetId="527">
        <row r="43">
          <cell r="H43">
            <v>0</v>
          </cell>
        </row>
      </sheetData>
      <sheetData sheetId="528">
        <row r="43">
          <cell r="H43">
            <v>0</v>
          </cell>
        </row>
      </sheetData>
      <sheetData sheetId="529">
        <row r="43">
          <cell r="H43">
            <v>0</v>
          </cell>
        </row>
      </sheetData>
      <sheetData sheetId="530">
        <row r="43">
          <cell r="H43">
            <v>0</v>
          </cell>
        </row>
      </sheetData>
      <sheetData sheetId="531">
        <row r="43">
          <cell r="H43">
            <v>0</v>
          </cell>
        </row>
      </sheetData>
      <sheetData sheetId="532">
        <row r="43">
          <cell r="H43">
            <v>0</v>
          </cell>
        </row>
      </sheetData>
      <sheetData sheetId="533">
        <row r="43">
          <cell r="H43">
            <v>0</v>
          </cell>
        </row>
      </sheetData>
      <sheetData sheetId="534">
        <row r="43">
          <cell r="H43">
            <v>0</v>
          </cell>
        </row>
      </sheetData>
      <sheetData sheetId="535">
        <row r="43">
          <cell r="H43">
            <v>0</v>
          </cell>
        </row>
      </sheetData>
      <sheetData sheetId="536">
        <row r="43">
          <cell r="H43">
            <v>0</v>
          </cell>
        </row>
      </sheetData>
      <sheetData sheetId="537">
        <row r="43">
          <cell r="H43">
            <v>0</v>
          </cell>
        </row>
      </sheetData>
      <sheetData sheetId="538">
        <row r="43">
          <cell r="H43">
            <v>0</v>
          </cell>
        </row>
      </sheetData>
      <sheetData sheetId="539">
        <row r="43">
          <cell r="H43">
            <v>0</v>
          </cell>
        </row>
      </sheetData>
      <sheetData sheetId="540">
        <row r="43">
          <cell r="H43">
            <v>0</v>
          </cell>
        </row>
      </sheetData>
      <sheetData sheetId="541">
        <row r="43">
          <cell r="H43">
            <v>0</v>
          </cell>
        </row>
      </sheetData>
      <sheetData sheetId="542">
        <row r="43">
          <cell r="H43">
            <v>0</v>
          </cell>
        </row>
      </sheetData>
      <sheetData sheetId="543">
        <row r="43">
          <cell r="H43">
            <v>0</v>
          </cell>
        </row>
      </sheetData>
      <sheetData sheetId="544">
        <row r="43">
          <cell r="H43">
            <v>0</v>
          </cell>
        </row>
      </sheetData>
      <sheetData sheetId="545">
        <row r="43">
          <cell r="H43">
            <v>0</v>
          </cell>
        </row>
      </sheetData>
      <sheetData sheetId="546">
        <row r="43">
          <cell r="H43">
            <v>0</v>
          </cell>
        </row>
      </sheetData>
      <sheetData sheetId="547">
        <row r="43">
          <cell r="H43">
            <v>0</v>
          </cell>
        </row>
      </sheetData>
      <sheetData sheetId="548">
        <row r="43">
          <cell r="H43">
            <v>0</v>
          </cell>
        </row>
      </sheetData>
      <sheetData sheetId="549">
        <row r="43">
          <cell r="H43">
            <v>0</v>
          </cell>
        </row>
      </sheetData>
      <sheetData sheetId="550">
        <row r="43">
          <cell r="H43">
            <v>0</v>
          </cell>
        </row>
      </sheetData>
      <sheetData sheetId="551">
        <row r="43">
          <cell r="H43">
            <v>0</v>
          </cell>
        </row>
      </sheetData>
      <sheetData sheetId="552">
        <row r="43">
          <cell r="H43">
            <v>0</v>
          </cell>
        </row>
      </sheetData>
      <sheetData sheetId="553">
        <row r="43">
          <cell r="H43">
            <v>0</v>
          </cell>
        </row>
      </sheetData>
      <sheetData sheetId="554">
        <row r="43">
          <cell r="H43">
            <v>0</v>
          </cell>
        </row>
      </sheetData>
      <sheetData sheetId="555">
        <row r="43">
          <cell r="H43">
            <v>0</v>
          </cell>
        </row>
      </sheetData>
      <sheetData sheetId="556">
        <row r="43">
          <cell r="H43">
            <v>0</v>
          </cell>
        </row>
      </sheetData>
      <sheetData sheetId="557">
        <row r="43">
          <cell r="H43">
            <v>0</v>
          </cell>
        </row>
      </sheetData>
      <sheetData sheetId="558">
        <row r="43">
          <cell r="H43">
            <v>0</v>
          </cell>
        </row>
      </sheetData>
      <sheetData sheetId="559">
        <row r="43">
          <cell r="H43">
            <v>0</v>
          </cell>
        </row>
      </sheetData>
      <sheetData sheetId="560">
        <row r="43">
          <cell r="H43">
            <v>0</v>
          </cell>
        </row>
      </sheetData>
      <sheetData sheetId="561">
        <row r="43">
          <cell r="H43">
            <v>0</v>
          </cell>
        </row>
      </sheetData>
      <sheetData sheetId="562">
        <row r="43">
          <cell r="H43">
            <v>0</v>
          </cell>
        </row>
      </sheetData>
      <sheetData sheetId="563">
        <row r="43">
          <cell r="H43">
            <v>0</v>
          </cell>
        </row>
      </sheetData>
      <sheetData sheetId="564">
        <row r="43">
          <cell r="H43">
            <v>0</v>
          </cell>
        </row>
      </sheetData>
      <sheetData sheetId="565">
        <row r="43">
          <cell r="H43">
            <v>0</v>
          </cell>
        </row>
      </sheetData>
      <sheetData sheetId="566">
        <row r="43">
          <cell r="H43">
            <v>0</v>
          </cell>
        </row>
      </sheetData>
      <sheetData sheetId="567">
        <row r="43">
          <cell r="H43">
            <v>0</v>
          </cell>
        </row>
      </sheetData>
      <sheetData sheetId="568">
        <row r="43">
          <cell r="H43">
            <v>0</v>
          </cell>
        </row>
      </sheetData>
      <sheetData sheetId="569">
        <row r="43">
          <cell r="H43">
            <v>0</v>
          </cell>
        </row>
      </sheetData>
      <sheetData sheetId="570">
        <row r="43">
          <cell r="H43">
            <v>0</v>
          </cell>
        </row>
      </sheetData>
      <sheetData sheetId="571">
        <row r="43">
          <cell r="H43">
            <v>0</v>
          </cell>
        </row>
      </sheetData>
      <sheetData sheetId="572">
        <row r="43">
          <cell r="H43">
            <v>0</v>
          </cell>
        </row>
      </sheetData>
      <sheetData sheetId="573">
        <row r="43">
          <cell r="H43">
            <v>0</v>
          </cell>
        </row>
      </sheetData>
      <sheetData sheetId="574">
        <row r="43">
          <cell r="H43">
            <v>0</v>
          </cell>
        </row>
      </sheetData>
      <sheetData sheetId="575">
        <row r="43">
          <cell r="H43">
            <v>0</v>
          </cell>
        </row>
      </sheetData>
      <sheetData sheetId="576">
        <row r="43">
          <cell r="H43">
            <v>0</v>
          </cell>
        </row>
      </sheetData>
      <sheetData sheetId="577">
        <row r="43">
          <cell r="H43">
            <v>0</v>
          </cell>
        </row>
      </sheetData>
      <sheetData sheetId="578">
        <row r="43">
          <cell r="H43">
            <v>0</v>
          </cell>
        </row>
      </sheetData>
      <sheetData sheetId="579">
        <row r="43">
          <cell r="H43">
            <v>0</v>
          </cell>
        </row>
      </sheetData>
      <sheetData sheetId="580">
        <row r="43">
          <cell r="H43">
            <v>0</v>
          </cell>
        </row>
      </sheetData>
      <sheetData sheetId="581">
        <row r="43">
          <cell r="H43">
            <v>0</v>
          </cell>
        </row>
      </sheetData>
      <sheetData sheetId="582">
        <row r="43">
          <cell r="H43">
            <v>0</v>
          </cell>
        </row>
      </sheetData>
      <sheetData sheetId="583">
        <row r="43">
          <cell r="H43">
            <v>0</v>
          </cell>
        </row>
      </sheetData>
      <sheetData sheetId="584">
        <row r="43">
          <cell r="H43">
            <v>0</v>
          </cell>
        </row>
      </sheetData>
      <sheetData sheetId="585">
        <row r="43">
          <cell r="H43">
            <v>0</v>
          </cell>
        </row>
      </sheetData>
      <sheetData sheetId="586">
        <row r="43">
          <cell r="H43">
            <v>0</v>
          </cell>
        </row>
      </sheetData>
      <sheetData sheetId="587">
        <row r="43">
          <cell r="H43">
            <v>0</v>
          </cell>
        </row>
      </sheetData>
      <sheetData sheetId="588">
        <row r="43">
          <cell r="H43">
            <v>0</v>
          </cell>
        </row>
      </sheetData>
      <sheetData sheetId="589">
        <row r="43">
          <cell r="H43">
            <v>0</v>
          </cell>
        </row>
      </sheetData>
      <sheetData sheetId="590">
        <row r="43">
          <cell r="H43">
            <v>0</v>
          </cell>
        </row>
      </sheetData>
      <sheetData sheetId="591" refreshError="1"/>
      <sheetData sheetId="592">
        <row r="43">
          <cell r="H43">
            <v>0</v>
          </cell>
        </row>
      </sheetData>
      <sheetData sheetId="593">
        <row r="43">
          <cell r="H43">
            <v>0</v>
          </cell>
        </row>
      </sheetData>
      <sheetData sheetId="594">
        <row r="43">
          <cell r="H43">
            <v>0</v>
          </cell>
        </row>
      </sheetData>
      <sheetData sheetId="595">
        <row r="43">
          <cell r="H43">
            <v>0</v>
          </cell>
        </row>
      </sheetData>
      <sheetData sheetId="596">
        <row r="43">
          <cell r="H43">
            <v>0</v>
          </cell>
        </row>
      </sheetData>
      <sheetData sheetId="597" refreshError="1"/>
      <sheetData sheetId="598">
        <row r="43">
          <cell r="H43">
            <v>0</v>
          </cell>
        </row>
      </sheetData>
      <sheetData sheetId="599">
        <row r="43">
          <cell r="H43">
            <v>0</v>
          </cell>
        </row>
      </sheetData>
      <sheetData sheetId="600">
        <row r="43">
          <cell r="H43">
            <v>0</v>
          </cell>
        </row>
      </sheetData>
      <sheetData sheetId="601">
        <row r="43">
          <cell r="H43">
            <v>0</v>
          </cell>
        </row>
      </sheetData>
      <sheetData sheetId="602">
        <row r="43">
          <cell r="H43">
            <v>0</v>
          </cell>
        </row>
      </sheetData>
      <sheetData sheetId="603">
        <row r="43">
          <cell r="H43">
            <v>0</v>
          </cell>
        </row>
      </sheetData>
      <sheetData sheetId="604">
        <row r="43">
          <cell r="H43">
            <v>0</v>
          </cell>
        </row>
      </sheetData>
      <sheetData sheetId="605">
        <row r="43">
          <cell r="H43">
            <v>0</v>
          </cell>
        </row>
      </sheetData>
      <sheetData sheetId="606">
        <row r="43">
          <cell r="H43">
            <v>0</v>
          </cell>
        </row>
      </sheetData>
      <sheetData sheetId="607">
        <row r="43">
          <cell r="H43">
            <v>0</v>
          </cell>
        </row>
      </sheetData>
      <sheetData sheetId="608">
        <row r="43">
          <cell r="H43">
            <v>0</v>
          </cell>
        </row>
      </sheetData>
      <sheetData sheetId="609">
        <row r="43">
          <cell r="H43">
            <v>0</v>
          </cell>
        </row>
      </sheetData>
      <sheetData sheetId="610">
        <row r="43">
          <cell r="H43">
            <v>0</v>
          </cell>
        </row>
      </sheetData>
      <sheetData sheetId="611">
        <row r="43">
          <cell r="H43">
            <v>0</v>
          </cell>
        </row>
      </sheetData>
      <sheetData sheetId="612">
        <row r="43">
          <cell r="H43">
            <v>0</v>
          </cell>
        </row>
      </sheetData>
      <sheetData sheetId="613">
        <row r="43">
          <cell r="H43">
            <v>0</v>
          </cell>
        </row>
      </sheetData>
      <sheetData sheetId="614">
        <row r="43">
          <cell r="H43">
            <v>0</v>
          </cell>
        </row>
      </sheetData>
      <sheetData sheetId="615">
        <row r="43">
          <cell r="H43">
            <v>0</v>
          </cell>
        </row>
      </sheetData>
      <sheetData sheetId="616">
        <row r="43">
          <cell r="H43">
            <v>0</v>
          </cell>
        </row>
      </sheetData>
      <sheetData sheetId="617">
        <row r="43">
          <cell r="H43">
            <v>0</v>
          </cell>
        </row>
      </sheetData>
      <sheetData sheetId="618">
        <row r="43">
          <cell r="H43">
            <v>0</v>
          </cell>
        </row>
      </sheetData>
      <sheetData sheetId="619">
        <row r="43">
          <cell r="H43">
            <v>0</v>
          </cell>
        </row>
      </sheetData>
      <sheetData sheetId="620">
        <row r="43">
          <cell r="H43">
            <v>0</v>
          </cell>
        </row>
      </sheetData>
      <sheetData sheetId="621">
        <row r="43">
          <cell r="H43">
            <v>0</v>
          </cell>
        </row>
      </sheetData>
      <sheetData sheetId="622">
        <row r="43">
          <cell r="H43">
            <v>0</v>
          </cell>
        </row>
      </sheetData>
      <sheetData sheetId="623">
        <row r="43">
          <cell r="H43">
            <v>0</v>
          </cell>
        </row>
      </sheetData>
      <sheetData sheetId="624">
        <row r="43">
          <cell r="H43">
            <v>0</v>
          </cell>
        </row>
      </sheetData>
      <sheetData sheetId="625">
        <row r="43">
          <cell r="H43">
            <v>0</v>
          </cell>
        </row>
      </sheetData>
      <sheetData sheetId="626">
        <row r="43">
          <cell r="H43">
            <v>0</v>
          </cell>
        </row>
      </sheetData>
      <sheetData sheetId="627">
        <row r="43">
          <cell r="H43">
            <v>0</v>
          </cell>
        </row>
      </sheetData>
      <sheetData sheetId="628">
        <row r="43">
          <cell r="H43">
            <v>0</v>
          </cell>
        </row>
      </sheetData>
      <sheetData sheetId="629">
        <row r="43">
          <cell r="H43">
            <v>0</v>
          </cell>
        </row>
      </sheetData>
      <sheetData sheetId="630">
        <row r="43">
          <cell r="H43">
            <v>0</v>
          </cell>
        </row>
      </sheetData>
      <sheetData sheetId="631">
        <row r="43">
          <cell r="H43">
            <v>0</v>
          </cell>
        </row>
      </sheetData>
      <sheetData sheetId="632">
        <row r="43">
          <cell r="H43">
            <v>0</v>
          </cell>
        </row>
      </sheetData>
      <sheetData sheetId="633">
        <row r="43">
          <cell r="H43">
            <v>0</v>
          </cell>
        </row>
      </sheetData>
      <sheetData sheetId="634">
        <row r="43">
          <cell r="H43">
            <v>0</v>
          </cell>
        </row>
      </sheetData>
      <sheetData sheetId="635">
        <row r="43">
          <cell r="H43">
            <v>0</v>
          </cell>
        </row>
      </sheetData>
      <sheetData sheetId="636">
        <row r="43">
          <cell r="H43">
            <v>0</v>
          </cell>
        </row>
      </sheetData>
      <sheetData sheetId="637">
        <row r="43">
          <cell r="H43">
            <v>0</v>
          </cell>
        </row>
      </sheetData>
      <sheetData sheetId="638">
        <row r="43">
          <cell r="H43">
            <v>0</v>
          </cell>
        </row>
      </sheetData>
      <sheetData sheetId="639">
        <row r="43">
          <cell r="H43">
            <v>0</v>
          </cell>
        </row>
      </sheetData>
      <sheetData sheetId="640">
        <row r="43">
          <cell r="H43">
            <v>0</v>
          </cell>
        </row>
      </sheetData>
      <sheetData sheetId="641">
        <row r="43">
          <cell r="H43">
            <v>0</v>
          </cell>
        </row>
      </sheetData>
      <sheetData sheetId="642">
        <row r="43">
          <cell r="H43">
            <v>0</v>
          </cell>
        </row>
      </sheetData>
      <sheetData sheetId="643">
        <row r="43">
          <cell r="H43">
            <v>0</v>
          </cell>
        </row>
      </sheetData>
      <sheetData sheetId="644">
        <row r="43">
          <cell r="H43">
            <v>0</v>
          </cell>
        </row>
      </sheetData>
      <sheetData sheetId="645">
        <row r="43">
          <cell r="H43">
            <v>0</v>
          </cell>
        </row>
      </sheetData>
      <sheetData sheetId="646">
        <row r="43">
          <cell r="H43">
            <v>0</v>
          </cell>
        </row>
      </sheetData>
      <sheetData sheetId="647">
        <row r="43">
          <cell r="H43">
            <v>0</v>
          </cell>
        </row>
      </sheetData>
      <sheetData sheetId="648">
        <row r="43">
          <cell r="H43">
            <v>0</v>
          </cell>
        </row>
      </sheetData>
      <sheetData sheetId="649">
        <row r="43">
          <cell r="H43">
            <v>0</v>
          </cell>
        </row>
      </sheetData>
      <sheetData sheetId="650">
        <row r="43">
          <cell r="H43">
            <v>0</v>
          </cell>
        </row>
      </sheetData>
      <sheetData sheetId="651">
        <row r="43">
          <cell r="H43">
            <v>0</v>
          </cell>
        </row>
      </sheetData>
      <sheetData sheetId="652">
        <row r="43">
          <cell r="H43">
            <v>0</v>
          </cell>
        </row>
      </sheetData>
      <sheetData sheetId="653">
        <row r="43">
          <cell r="H43">
            <v>0</v>
          </cell>
        </row>
      </sheetData>
      <sheetData sheetId="654">
        <row r="43">
          <cell r="H43">
            <v>0</v>
          </cell>
        </row>
      </sheetData>
      <sheetData sheetId="655">
        <row r="43">
          <cell r="H43">
            <v>0</v>
          </cell>
        </row>
      </sheetData>
      <sheetData sheetId="656">
        <row r="43">
          <cell r="H43">
            <v>0</v>
          </cell>
        </row>
      </sheetData>
      <sheetData sheetId="657">
        <row r="43">
          <cell r="H43">
            <v>0</v>
          </cell>
        </row>
      </sheetData>
      <sheetData sheetId="658">
        <row r="43">
          <cell r="H43">
            <v>0</v>
          </cell>
        </row>
      </sheetData>
      <sheetData sheetId="659">
        <row r="43">
          <cell r="H43">
            <v>0</v>
          </cell>
        </row>
      </sheetData>
      <sheetData sheetId="660">
        <row r="43">
          <cell r="H43">
            <v>0</v>
          </cell>
        </row>
      </sheetData>
      <sheetData sheetId="661">
        <row r="43">
          <cell r="H43">
            <v>0</v>
          </cell>
        </row>
      </sheetData>
      <sheetData sheetId="662">
        <row r="43">
          <cell r="H43">
            <v>0</v>
          </cell>
        </row>
      </sheetData>
      <sheetData sheetId="663">
        <row r="43">
          <cell r="H43">
            <v>0</v>
          </cell>
        </row>
      </sheetData>
      <sheetData sheetId="664">
        <row r="43">
          <cell r="H43">
            <v>0</v>
          </cell>
        </row>
      </sheetData>
      <sheetData sheetId="665">
        <row r="43">
          <cell r="H43">
            <v>0</v>
          </cell>
        </row>
      </sheetData>
      <sheetData sheetId="666">
        <row r="43">
          <cell r="H43">
            <v>0</v>
          </cell>
        </row>
      </sheetData>
      <sheetData sheetId="667">
        <row r="43">
          <cell r="H43">
            <v>0</v>
          </cell>
        </row>
      </sheetData>
      <sheetData sheetId="668">
        <row r="43">
          <cell r="H43">
            <v>0</v>
          </cell>
        </row>
      </sheetData>
      <sheetData sheetId="669">
        <row r="43">
          <cell r="H43">
            <v>0</v>
          </cell>
        </row>
      </sheetData>
      <sheetData sheetId="670">
        <row r="43">
          <cell r="H43">
            <v>0</v>
          </cell>
        </row>
      </sheetData>
      <sheetData sheetId="671">
        <row r="43">
          <cell r="H43">
            <v>0</v>
          </cell>
        </row>
      </sheetData>
      <sheetData sheetId="672">
        <row r="43">
          <cell r="H43">
            <v>0</v>
          </cell>
        </row>
      </sheetData>
      <sheetData sheetId="673">
        <row r="43">
          <cell r="H43">
            <v>0</v>
          </cell>
        </row>
      </sheetData>
      <sheetData sheetId="674">
        <row r="43">
          <cell r="H43">
            <v>0</v>
          </cell>
        </row>
      </sheetData>
      <sheetData sheetId="675">
        <row r="43">
          <cell r="H43">
            <v>0</v>
          </cell>
        </row>
      </sheetData>
      <sheetData sheetId="676">
        <row r="43">
          <cell r="H43">
            <v>0</v>
          </cell>
        </row>
      </sheetData>
      <sheetData sheetId="677">
        <row r="43">
          <cell r="H43">
            <v>0</v>
          </cell>
        </row>
      </sheetData>
      <sheetData sheetId="678">
        <row r="43">
          <cell r="H43">
            <v>0</v>
          </cell>
        </row>
      </sheetData>
      <sheetData sheetId="679">
        <row r="43">
          <cell r="H43">
            <v>0</v>
          </cell>
        </row>
      </sheetData>
      <sheetData sheetId="680">
        <row r="43">
          <cell r="H43">
            <v>0</v>
          </cell>
        </row>
      </sheetData>
      <sheetData sheetId="681">
        <row r="43">
          <cell r="H43">
            <v>0</v>
          </cell>
        </row>
      </sheetData>
      <sheetData sheetId="682">
        <row r="43">
          <cell r="H43">
            <v>0</v>
          </cell>
        </row>
      </sheetData>
      <sheetData sheetId="683">
        <row r="43">
          <cell r="H43">
            <v>0</v>
          </cell>
        </row>
      </sheetData>
      <sheetData sheetId="684">
        <row r="43">
          <cell r="H43">
            <v>0</v>
          </cell>
        </row>
      </sheetData>
      <sheetData sheetId="685">
        <row r="43">
          <cell r="H43">
            <v>0</v>
          </cell>
        </row>
      </sheetData>
      <sheetData sheetId="686">
        <row r="43">
          <cell r="H43">
            <v>0</v>
          </cell>
        </row>
      </sheetData>
      <sheetData sheetId="687">
        <row r="43">
          <cell r="H43">
            <v>0</v>
          </cell>
        </row>
      </sheetData>
      <sheetData sheetId="688">
        <row r="43">
          <cell r="H43">
            <v>0</v>
          </cell>
        </row>
      </sheetData>
      <sheetData sheetId="689">
        <row r="43">
          <cell r="H43">
            <v>0</v>
          </cell>
        </row>
      </sheetData>
      <sheetData sheetId="690">
        <row r="43">
          <cell r="H43">
            <v>0</v>
          </cell>
        </row>
      </sheetData>
      <sheetData sheetId="691">
        <row r="43">
          <cell r="H43">
            <v>0</v>
          </cell>
        </row>
      </sheetData>
      <sheetData sheetId="692">
        <row r="43">
          <cell r="H43">
            <v>0</v>
          </cell>
        </row>
      </sheetData>
      <sheetData sheetId="693">
        <row r="43">
          <cell r="H43">
            <v>0</v>
          </cell>
        </row>
      </sheetData>
      <sheetData sheetId="694">
        <row r="43">
          <cell r="H43">
            <v>0</v>
          </cell>
        </row>
      </sheetData>
      <sheetData sheetId="695">
        <row r="43">
          <cell r="H43">
            <v>0</v>
          </cell>
        </row>
      </sheetData>
      <sheetData sheetId="696">
        <row r="43">
          <cell r="H43">
            <v>0</v>
          </cell>
        </row>
      </sheetData>
      <sheetData sheetId="697">
        <row r="43">
          <cell r="H43">
            <v>0</v>
          </cell>
        </row>
      </sheetData>
      <sheetData sheetId="698">
        <row r="43">
          <cell r="H43">
            <v>0</v>
          </cell>
        </row>
      </sheetData>
      <sheetData sheetId="699">
        <row r="43">
          <cell r="H43">
            <v>0</v>
          </cell>
        </row>
      </sheetData>
      <sheetData sheetId="700">
        <row r="43">
          <cell r="H43">
            <v>0</v>
          </cell>
        </row>
      </sheetData>
      <sheetData sheetId="701">
        <row r="43">
          <cell r="H43">
            <v>0</v>
          </cell>
        </row>
      </sheetData>
      <sheetData sheetId="702">
        <row r="43">
          <cell r="H43">
            <v>0</v>
          </cell>
        </row>
      </sheetData>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ow r="43">
          <cell r="H43">
            <v>0</v>
          </cell>
        </row>
      </sheetData>
      <sheetData sheetId="720">
        <row r="43">
          <cell r="H43">
            <v>0</v>
          </cell>
        </row>
      </sheetData>
      <sheetData sheetId="721">
        <row r="43">
          <cell r="H43">
            <v>0</v>
          </cell>
        </row>
      </sheetData>
      <sheetData sheetId="722" refreshError="1"/>
      <sheetData sheetId="723" refreshError="1"/>
      <sheetData sheetId="724" refreshError="1"/>
      <sheetData sheetId="725" refreshError="1"/>
      <sheetData sheetId="726" refreshError="1"/>
      <sheetData sheetId="727">
        <row r="43">
          <cell r="H43">
            <v>0</v>
          </cell>
        </row>
      </sheetData>
      <sheetData sheetId="728" refreshError="1"/>
      <sheetData sheetId="729" refreshError="1"/>
      <sheetData sheetId="730" refreshError="1"/>
      <sheetData sheetId="731">
        <row r="43">
          <cell r="H43">
            <v>0</v>
          </cell>
        </row>
      </sheetData>
      <sheetData sheetId="732">
        <row r="43">
          <cell r="H43">
            <v>0</v>
          </cell>
        </row>
      </sheetData>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ow r="43">
          <cell r="H43">
            <v>0</v>
          </cell>
        </row>
      </sheetData>
      <sheetData sheetId="758">
        <row r="43">
          <cell r="H43">
            <v>0</v>
          </cell>
        </row>
      </sheetData>
      <sheetData sheetId="759" refreshError="1"/>
      <sheetData sheetId="760">
        <row r="43">
          <cell r="H43">
            <v>0</v>
          </cell>
        </row>
      </sheetData>
      <sheetData sheetId="761">
        <row r="43">
          <cell r="H43">
            <v>0</v>
          </cell>
        </row>
      </sheetData>
      <sheetData sheetId="762">
        <row r="43">
          <cell r="H43">
            <v>0</v>
          </cell>
        </row>
      </sheetData>
      <sheetData sheetId="763">
        <row r="43">
          <cell r="H43">
            <v>0</v>
          </cell>
        </row>
      </sheetData>
      <sheetData sheetId="764">
        <row r="43">
          <cell r="H43">
            <v>0</v>
          </cell>
        </row>
      </sheetData>
      <sheetData sheetId="765">
        <row r="43">
          <cell r="H43">
            <v>0</v>
          </cell>
        </row>
      </sheetData>
      <sheetData sheetId="766">
        <row r="43">
          <cell r="H43">
            <v>0</v>
          </cell>
        </row>
      </sheetData>
      <sheetData sheetId="767">
        <row r="43">
          <cell r="H43">
            <v>0</v>
          </cell>
        </row>
      </sheetData>
      <sheetData sheetId="768">
        <row r="43">
          <cell r="H43">
            <v>0</v>
          </cell>
        </row>
      </sheetData>
      <sheetData sheetId="769">
        <row r="43">
          <cell r="H43">
            <v>0</v>
          </cell>
        </row>
      </sheetData>
      <sheetData sheetId="770">
        <row r="43">
          <cell r="H43">
            <v>0</v>
          </cell>
        </row>
      </sheetData>
      <sheetData sheetId="771">
        <row r="43">
          <cell r="H43">
            <v>0</v>
          </cell>
        </row>
      </sheetData>
      <sheetData sheetId="772">
        <row r="43">
          <cell r="H43">
            <v>0</v>
          </cell>
        </row>
      </sheetData>
      <sheetData sheetId="773">
        <row r="43">
          <cell r="H43">
            <v>0</v>
          </cell>
        </row>
      </sheetData>
      <sheetData sheetId="774">
        <row r="43">
          <cell r="H43">
            <v>0</v>
          </cell>
        </row>
      </sheetData>
      <sheetData sheetId="775">
        <row r="43">
          <cell r="H43">
            <v>0</v>
          </cell>
        </row>
      </sheetData>
      <sheetData sheetId="776">
        <row r="43">
          <cell r="H43">
            <v>0</v>
          </cell>
        </row>
      </sheetData>
      <sheetData sheetId="777">
        <row r="43">
          <cell r="H43">
            <v>0</v>
          </cell>
        </row>
      </sheetData>
      <sheetData sheetId="778">
        <row r="43">
          <cell r="H43">
            <v>0</v>
          </cell>
        </row>
      </sheetData>
      <sheetData sheetId="779">
        <row r="43">
          <cell r="H43">
            <v>0</v>
          </cell>
        </row>
      </sheetData>
      <sheetData sheetId="780">
        <row r="43">
          <cell r="H43">
            <v>0</v>
          </cell>
        </row>
      </sheetData>
      <sheetData sheetId="781">
        <row r="43">
          <cell r="H43">
            <v>0</v>
          </cell>
        </row>
      </sheetData>
      <sheetData sheetId="782">
        <row r="43">
          <cell r="H43">
            <v>0</v>
          </cell>
        </row>
      </sheetData>
      <sheetData sheetId="783">
        <row r="43">
          <cell r="H43">
            <v>0</v>
          </cell>
        </row>
      </sheetData>
      <sheetData sheetId="784">
        <row r="43">
          <cell r="H43">
            <v>0</v>
          </cell>
        </row>
      </sheetData>
      <sheetData sheetId="785">
        <row r="43">
          <cell r="H43">
            <v>0</v>
          </cell>
        </row>
      </sheetData>
      <sheetData sheetId="786">
        <row r="43">
          <cell r="H43">
            <v>0</v>
          </cell>
        </row>
      </sheetData>
      <sheetData sheetId="787">
        <row r="43">
          <cell r="H43">
            <v>0</v>
          </cell>
        </row>
      </sheetData>
      <sheetData sheetId="788">
        <row r="43">
          <cell r="H43">
            <v>0</v>
          </cell>
        </row>
      </sheetData>
      <sheetData sheetId="789">
        <row r="43">
          <cell r="H43">
            <v>0</v>
          </cell>
        </row>
      </sheetData>
      <sheetData sheetId="790">
        <row r="43">
          <cell r="H43">
            <v>0</v>
          </cell>
        </row>
      </sheetData>
      <sheetData sheetId="791">
        <row r="43">
          <cell r="H43">
            <v>0</v>
          </cell>
        </row>
      </sheetData>
      <sheetData sheetId="792">
        <row r="43">
          <cell r="H43">
            <v>0</v>
          </cell>
        </row>
      </sheetData>
      <sheetData sheetId="793">
        <row r="43">
          <cell r="H43">
            <v>0</v>
          </cell>
        </row>
      </sheetData>
      <sheetData sheetId="794">
        <row r="43">
          <cell r="H43">
            <v>0</v>
          </cell>
        </row>
      </sheetData>
      <sheetData sheetId="795">
        <row r="43">
          <cell r="H43">
            <v>0</v>
          </cell>
        </row>
      </sheetData>
      <sheetData sheetId="796">
        <row r="43">
          <cell r="H43">
            <v>0</v>
          </cell>
        </row>
      </sheetData>
      <sheetData sheetId="797">
        <row r="43">
          <cell r="H43">
            <v>0</v>
          </cell>
        </row>
      </sheetData>
      <sheetData sheetId="798">
        <row r="43">
          <cell r="H43">
            <v>0</v>
          </cell>
        </row>
      </sheetData>
      <sheetData sheetId="799">
        <row r="43">
          <cell r="H43">
            <v>0</v>
          </cell>
        </row>
      </sheetData>
      <sheetData sheetId="800">
        <row r="43">
          <cell r="H43">
            <v>0</v>
          </cell>
        </row>
      </sheetData>
      <sheetData sheetId="801">
        <row r="43">
          <cell r="H43">
            <v>0</v>
          </cell>
        </row>
      </sheetData>
      <sheetData sheetId="802">
        <row r="43">
          <cell r="H43">
            <v>0</v>
          </cell>
        </row>
      </sheetData>
      <sheetData sheetId="803">
        <row r="43">
          <cell r="H43">
            <v>0</v>
          </cell>
        </row>
      </sheetData>
      <sheetData sheetId="804">
        <row r="43">
          <cell r="H43">
            <v>0</v>
          </cell>
        </row>
      </sheetData>
      <sheetData sheetId="805">
        <row r="43">
          <cell r="H43">
            <v>0</v>
          </cell>
        </row>
      </sheetData>
      <sheetData sheetId="806">
        <row r="43">
          <cell r="H43">
            <v>0</v>
          </cell>
        </row>
      </sheetData>
      <sheetData sheetId="807">
        <row r="43">
          <cell r="H43">
            <v>0</v>
          </cell>
        </row>
      </sheetData>
      <sheetData sheetId="808">
        <row r="43">
          <cell r="H43">
            <v>0</v>
          </cell>
        </row>
      </sheetData>
      <sheetData sheetId="809">
        <row r="43">
          <cell r="H43">
            <v>0</v>
          </cell>
        </row>
      </sheetData>
      <sheetData sheetId="810">
        <row r="43">
          <cell r="H43">
            <v>0</v>
          </cell>
        </row>
      </sheetData>
      <sheetData sheetId="811">
        <row r="43">
          <cell r="H43">
            <v>0</v>
          </cell>
        </row>
      </sheetData>
      <sheetData sheetId="812">
        <row r="43">
          <cell r="H43">
            <v>0</v>
          </cell>
        </row>
      </sheetData>
      <sheetData sheetId="813">
        <row r="43">
          <cell r="H43">
            <v>0</v>
          </cell>
        </row>
      </sheetData>
      <sheetData sheetId="814">
        <row r="43">
          <cell r="H43">
            <v>0</v>
          </cell>
        </row>
      </sheetData>
      <sheetData sheetId="815">
        <row r="43">
          <cell r="H43">
            <v>0</v>
          </cell>
        </row>
      </sheetData>
      <sheetData sheetId="816">
        <row r="43">
          <cell r="H43">
            <v>0</v>
          </cell>
        </row>
      </sheetData>
      <sheetData sheetId="817">
        <row r="43">
          <cell r="H43">
            <v>0</v>
          </cell>
        </row>
      </sheetData>
      <sheetData sheetId="818">
        <row r="43">
          <cell r="H43">
            <v>0</v>
          </cell>
        </row>
      </sheetData>
      <sheetData sheetId="819">
        <row r="43">
          <cell r="H43">
            <v>0</v>
          </cell>
        </row>
      </sheetData>
      <sheetData sheetId="820">
        <row r="43">
          <cell r="H43">
            <v>0</v>
          </cell>
        </row>
      </sheetData>
      <sheetData sheetId="821">
        <row r="43">
          <cell r="H43">
            <v>0</v>
          </cell>
        </row>
      </sheetData>
      <sheetData sheetId="822">
        <row r="43">
          <cell r="H43">
            <v>0</v>
          </cell>
        </row>
      </sheetData>
      <sheetData sheetId="823">
        <row r="43">
          <cell r="H43">
            <v>0</v>
          </cell>
        </row>
      </sheetData>
      <sheetData sheetId="824">
        <row r="43">
          <cell r="H43">
            <v>0</v>
          </cell>
        </row>
      </sheetData>
      <sheetData sheetId="825">
        <row r="43">
          <cell r="H43">
            <v>0</v>
          </cell>
        </row>
      </sheetData>
      <sheetData sheetId="826">
        <row r="43">
          <cell r="H43">
            <v>0</v>
          </cell>
        </row>
      </sheetData>
      <sheetData sheetId="827">
        <row r="43">
          <cell r="H43">
            <v>0</v>
          </cell>
        </row>
      </sheetData>
      <sheetData sheetId="828">
        <row r="43">
          <cell r="H43">
            <v>0</v>
          </cell>
        </row>
      </sheetData>
      <sheetData sheetId="829">
        <row r="43">
          <cell r="H43">
            <v>0</v>
          </cell>
        </row>
      </sheetData>
      <sheetData sheetId="830">
        <row r="43">
          <cell r="H43">
            <v>0</v>
          </cell>
        </row>
      </sheetData>
      <sheetData sheetId="831">
        <row r="43">
          <cell r="H43">
            <v>0</v>
          </cell>
        </row>
      </sheetData>
      <sheetData sheetId="832">
        <row r="43">
          <cell r="H43">
            <v>0</v>
          </cell>
        </row>
      </sheetData>
      <sheetData sheetId="833">
        <row r="43">
          <cell r="H43">
            <v>0</v>
          </cell>
        </row>
      </sheetData>
      <sheetData sheetId="834">
        <row r="43">
          <cell r="H43">
            <v>0</v>
          </cell>
        </row>
      </sheetData>
      <sheetData sheetId="835">
        <row r="43">
          <cell r="H43">
            <v>0</v>
          </cell>
        </row>
      </sheetData>
      <sheetData sheetId="836">
        <row r="43">
          <cell r="H43">
            <v>0</v>
          </cell>
        </row>
      </sheetData>
      <sheetData sheetId="837">
        <row r="43">
          <cell r="H43">
            <v>0</v>
          </cell>
        </row>
      </sheetData>
      <sheetData sheetId="838">
        <row r="43">
          <cell r="H43">
            <v>0</v>
          </cell>
        </row>
      </sheetData>
      <sheetData sheetId="839">
        <row r="43">
          <cell r="H43">
            <v>0</v>
          </cell>
        </row>
      </sheetData>
      <sheetData sheetId="840">
        <row r="43">
          <cell r="H43">
            <v>0</v>
          </cell>
        </row>
      </sheetData>
      <sheetData sheetId="841">
        <row r="43">
          <cell r="H43">
            <v>0</v>
          </cell>
        </row>
      </sheetData>
      <sheetData sheetId="842">
        <row r="43">
          <cell r="H43">
            <v>0</v>
          </cell>
        </row>
      </sheetData>
      <sheetData sheetId="843">
        <row r="43">
          <cell r="H43">
            <v>0</v>
          </cell>
        </row>
      </sheetData>
      <sheetData sheetId="844">
        <row r="43">
          <cell r="H43">
            <v>0</v>
          </cell>
        </row>
      </sheetData>
      <sheetData sheetId="845">
        <row r="43">
          <cell r="H43">
            <v>0</v>
          </cell>
        </row>
      </sheetData>
      <sheetData sheetId="846">
        <row r="43">
          <cell r="H43">
            <v>0</v>
          </cell>
        </row>
      </sheetData>
      <sheetData sheetId="847">
        <row r="43">
          <cell r="H43">
            <v>0</v>
          </cell>
        </row>
      </sheetData>
      <sheetData sheetId="848">
        <row r="43">
          <cell r="H43">
            <v>0</v>
          </cell>
        </row>
      </sheetData>
      <sheetData sheetId="849">
        <row r="43">
          <cell r="H43">
            <v>0</v>
          </cell>
        </row>
      </sheetData>
      <sheetData sheetId="850">
        <row r="43">
          <cell r="H43">
            <v>0</v>
          </cell>
        </row>
      </sheetData>
      <sheetData sheetId="851">
        <row r="43">
          <cell r="H43">
            <v>0</v>
          </cell>
        </row>
      </sheetData>
      <sheetData sheetId="852">
        <row r="43">
          <cell r="H43">
            <v>0</v>
          </cell>
        </row>
      </sheetData>
      <sheetData sheetId="853">
        <row r="43">
          <cell r="H43">
            <v>0</v>
          </cell>
        </row>
      </sheetData>
      <sheetData sheetId="854">
        <row r="43">
          <cell r="H43">
            <v>0</v>
          </cell>
        </row>
      </sheetData>
      <sheetData sheetId="855">
        <row r="43">
          <cell r="H43">
            <v>0</v>
          </cell>
        </row>
      </sheetData>
      <sheetData sheetId="856">
        <row r="43">
          <cell r="H43">
            <v>0</v>
          </cell>
        </row>
      </sheetData>
      <sheetData sheetId="857">
        <row r="43">
          <cell r="H43">
            <v>0</v>
          </cell>
        </row>
      </sheetData>
      <sheetData sheetId="858">
        <row r="43">
          <cell r="H43">
            <v>0</v>
          </cell>
        </row>
      </sheetData>
      <sheetData sheetId="859">
        <row r="43">
          <cell r="H43">
            <v>0</v>
          </cell>
        </row>
      </sheetData>
      <sheetData sheetId="860">
        <row r="43">
          <cell r="H43">
            <v>0</v>
          </cell>
        </row>
      </sheetData>
      <sheetData sheetId="861">
        <row r="43">
          <cell r="H43">
            <v>0</v>
          </cell>
        </row>
      </sheetData>
      <sheetData sheetId="862">
        <row r="43">
          <cell r="H43">
            <v>0</v>
          </cell>
        </row>
      </sheetData>
      <sheetData sheetId="863">
        <row r="43">
          <cell r="H43">
            <v>0</v>
          </cell>
        </row>
      </sheetData>
      <sheetData sheetId="864">
        <row r="43">
          <cell r="H43">
            <v>0</v>
          </cell>
        </row>
      </sheetData>
      <sheetData sheetId="865">
        <row r="43">
          <cell r="H43">
            <v>0</v>
          </cell>
        </row>
      </sheetData>
      <sheetData sheetId="866">
        <row r="43">
          <cell r="H43">
            <v>0</v>
          </cell>
        </row>
      </sheetData>
      <sheetData sheetId="867">
        <row r="43">
          <cell r="H43">
            <v>0</v>
          </cell>
        </row>
      </sheetData>
      <sheetData sheetId="868">
        <row r="43">
          <cell r="H43">
            <v>0</v>
          </cell>
        </row>
      </sheetData>
      <sheetData sheetId="869">
        <row r="43">
          <cell r="H43">
            <v>0</v>
          </cell>
        </row>
      </sheetData>
      <sheetData sheetId="870">
        <row r="43">
          <cell r="H43">
            <v>0</v>
          </cell>
        </row>
      </sheetData>
      <sheetData sheetId="871">
        <row r="43">
          <cell r="H43">
            <v>0</v>
          </cell>
        </row>
      </sheetData>
      <sheetData sheetId="872">
        <row r="43">
          <cell r="H43">
            <v>0</v>
          </cell>
        </row>
      </sheetData>
      <sheetData sheetId="873">
        <row r="43">
          <cell r="H43">
            <v>0</v>
          </cell>
        </row>
      </sheetData>
      <sheetData sheetId="874">
        <row r="43">
          <cell r="H43">
            <v>0</v>
          </cell>
        </row>
      </sheetData>
      <sheetData sheetId="875">
        <row r="43">
          <cell r="H43">
            <v>0</v>
          </cell>
        </row>
      </sheetData>
      <sheetData sheetId="876">
        <row r="43">
          <cell r="H43">
            <v>0</v>
          </cell>
        </row>
      </sheetData>
      <sheetData sheetId="877">
        <row r="43">
          <cell r="H43">
            <v>0</v>
          </cell>
        </row>
      </sheetData>
      <sheetData sheetId="878">
        <row r="43">
          <cell r="H43">
            <v>0</v>
          </cell>
        </row>
      </sheetData>
      <sheetData sheetId="879">
        <row r="43">
          <cell r="H43">
            <v>0</v>
          </cell>
        </row>
      </sheetData>
      <sheetData sheetId="880">
        <row r="43">
          <cell r="H43">
            <v>0</v>
          </cell>
        </row>
      </sheetData>
      <sheetData sheetId="881">
        <row r="43">
          <cell r="H43">
            <v>0</v>
          </cell>
        </row>
      </sheetData>
      <sheetData sheetId="882">
        <row r="43">
          <cell r="H43">
            <v>0</v>
          </cell>
        </row>
      </sheetData>
      <sheetData sheetId="883">
        <row r="43">
          <cell r="H43">
            <v>0</v>
          </cell>
        </row>
      </sheetData>
      <sheetData sheetId="884">
        <row r="43">
          <cell r="H43">
            <v>0</v>
          </cell>
        </row>
      </sheetData>
      <sheetData sheetId="885">
        <row r="43">
          <cell r="H43">
            <v>0</v>
          </cell>
        </row>
      </sheetData>
      <sheetData sheetId="886" refreshError="1"/>
      <sheetData sheetId="887" refreshError="1"/>
      <sheetData sheetId="888" refreshError="1"/>
      <sheetData sheetId="889">
        <row r="43">
          <cell r="H43">
            <v>0</v>
          </cell>
        </row>
      </sheetData>
      <sheetData sheetId="890">
        <row r="43">
          <cell r="H43">
            <v>0</v>
          </cell>
        </row>
      </sheetData>
      <sheetData sheetId="891">
        <row r="43">
          <cell r="H43">
            <v>0</v>
          </cell>
        </row>
      </sheetData>
      <sheetData sheetId="892">
        <row r="43">
          <cell r="H43">
            <v>0</v>
          </cell>
        </row>
      </sheetData>
      <sheetData sheetId="893">
        <row r="43">
          <cell r="H43">
            <v>0</v>
          </cell>
        </row>
      </sheetData>
      <sheetData sheetId="894">
        <row r="43">
          <cell r="H43">
            <v>0</v>
          </cell>
        </row>
      </sheetData>
      <sheetData sheetId="895">
        <row r="43">
          <cell r="H43">
            <v>0</v>
          </cell>
        </row>
      </sheetData>
      <sheetData sheetId="896">
        <row r="43">
          <cell r="H43">
            <v>0</v>
          </cell>
        </row>
      </sheetData>
      <sheetData sheetId="897">
        <row r="43">
          <cell r="H43">
            <v>0</v>
          </cell>
        </row>
      </sheetData>
      <sheetData sheetId="898">
        <row r="43">
          <cell r="H43">
            <v>0</v>
          </cell>
        </row>
      </sheetData>
      <sheetData sheetId="899">
        <row r="43">
          <cell r="H43">
            <v>0</v>
          </cell>
        </row>
      </sheetData>
      <sheetData sheetId="900">
        <row r="43">
          <cell r="H43">
            <v>0</v>
          </cell>
        </row>
      </sheetData>
      <sheetData sheetId="901">
        <row r="43">
          <cell r="H43">
            <v>0</v>
          </cell>
        </row>
      </sheetData>
      <sheetData sheetId="902">
        <row r="43">
          <cell r="H43">
            <v>0</v>
          </cell>
        </row>
      </sheetData>
      <sheetData sheetId="903">
        <row r="43">
          <cell r="H43">
            <v>0</v>
          </cell>
        </row>
      </sheetData>
      <sheetData sheetId="904">
        <row r="43">
          <cell r="H43">
            <v>0</v>
          </cell>
        </row>
      </sheetData>
      <sheetData sheetId="905" refreshError="1"/>
      <sheetData sheetId="906" refreshError="1"/>
      <sheetData sheetId="907">
        <row r="43">
          <cell r="H43">
            <v>0</v>
          </cell>
        </row>
      </sheetData>
      <sheetData sheetId="908">
        <row r="43">
          <cell r="H43">
            <v>0</v>
          </cell>
        </row>
      </sheetData>
      <sheetData sheetId="909">
        <row r="43">
          <cell r="H43">
            <v>0</v>
          </cell>
        </row>
      </sheetData>
      <sheetData sheetId="910">
        <row r="43">
          <cell r="H43">
            <v>0</v>
          </cell>
        </row>
      </sheetData>
      <sheetData sheetId="911">
        <row r="43">
          <cell r="H43">
            <v>0</v>
          </cell>
        </row>
      </sheetData>
      <sheetData sheetId="912">
        <row r="43">
          <cell r="H43">
            <v>0</v>
          </cell>
        </row>
      </sheetData>
      <sheetData sheetId="913" refreshError="1"/>
      <sheetData sheetId="914" refreshError="1"/>
      <sheetData sheetId="915" refreshError="1"/>
      <sheetData sheetId="916" refreshError="1"/>
      <sheetData sheetId="917" refreshError="1"/>
      <sheetData sheetId="918">
        <row r="43">
          <cell r="H43">
            <v>0</v>
          </cell>
        </row>
      </sheetData>
      <sheetData sheetId="919" refreshError="1"/>
      <sheetData sheetId="920" refreshError="1"/>
      <sheetData sheetId="921" refreshError="1"/>
      <sheetData sheetId="922" refreshError="1"/>
      <sheetData sheetId="923">
        <row r="43">
          <cell r="H43">
            <v>0</v>
          </cell>
        </row>
      </sheetData>
      <sheetData sheetId="924" refreshError="1"/>
      <sheetData sheetId="925" refreshError="1"/>
      <sheetData sheetId="926" refreshError="1"/>
      <sheetData sheetId="927">
        <row r="43">
          <cell r="H43">
            <v>0</v>
          </cell>
        </row>
      </sheetData>
      <sheetData sheetId="928">
        <row r="43">
          <cell r="H43">
            <v>0</v>
          </cell>
        </row>
      </sheetData>
      <sheetData sheetId="929">
        <row r="43">
          <cell r="H43">
            <v>0</v>
          </cell>
        </row>
      </sheetData>
      <sheetData sheetId="930">
        <row r="43">
          <cell r="H43">
            <v>0</v>
          </cell>
        </row>
      </sheetData>
      <sheetData sheetId="931">
        <row r="43">
          <cell r="H43">
            <v>0</v>
          </cell>
        </row>
      </sheetData>
      <sheetData sheetId="932">
        <row r="43">
          <cell r="H43">
            <v>0</v>
          </cell>
        </row>
      </sheetData>
      <sheetData sheetId="933">
        <row r="43">
          <cell r="H43">
            <v>0</v>
          </cell>
        </row>
      </sheetData>
      <sheetData sheetId="934">
        <row r="43">
          <cell r="H43">
            <v>0</v>
          </cell>
        </row>
      </sheetData>
      <sheetData sheetId="935">
        <row r="43">
          <cell r="H43">
            <v>0</v>
          </cell>
        </row>
      </sheetData>
      <sheetData sheetId="936">
        <row r="43">
          <cell r="H43">
            <v>0</v>
          </cell>
        </row>
      </sheetData>
      <sheetData sheetId="937">
        <row r="43">
          <cell r="H43">
            <v>0</v>
          </cell>
        </row>
      </sheetData>
      <sheetData sheetId="938">
        <row r="43">
          <cell r="H43">
            <v>0</v>
          </cell>
        </row>
      </sheetData>
      <sheetData sheetId="939">
        <row r="43">
          <cell r="H43">
            <v>0</v>
          </cell>
        </row>
      </sheetData>
      <sheetData sheetId="940">
        <row r="43">
          <cell r="H43">
            <v>0</v>
          </cell>
        </row>
      </sheetData>
      <sheetData sheetId="941">
        <row r="43">
          <cell r="H43">
            <v>0</v>
          </cell>
        </row>
      </sheetData>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ow r="43">
          <cell r="H43">
            <v>0</v>
          </cell>
        </row>
      </sheetData>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ow r="43">
          <cell r="H43">
            <v>0</v>
          </cell>
        </row>
      </sheetData>
      <sheetData sheetId="981">
        <row r="43">
          <cell r="H43">
            <v>0</v>
          </cell>
        </row>
      </sheetData>
      <sheetData sheetId="982">
        <row r="43">
          <cell r="H43">
            <v>0</v>
          </cell>
        </row>
      </sheetData>
      <sheetData sheetId="983">
        <row r="43">
          <cell r="H43">
            <v>0</v>
          </cell>
        </row>
      </sheetData>
      <sheetData sheetId="984">
        <row r="43">
          <cell r="H43">
            <v>0</v>
          </cell>
        </row>
      </sheetData>
      <sheetData sheetId="985">
        <row r="43">
          <cell r="H43">
            <v>0</v>
          </cell>
        </row>
      </sheetData>
      <sheetData sheetId="986">
        <row r="43">
          <cell r="H43">
            <v>0</v>
          </cell>
        </row>
      </sheetData>
      <sheetData sheetId="987">
        <row r="43">
          <cell r="H43">
            <v>0</v>
          </cell>
        </row>
      </sheetData>
      <sheetData sheetId="988">
        <row r="43">
          <cell r="H43">
            <v>0</v>
          </cell>
        </row>
      </sheetData>
      <sheetData sheetId="989">
        <row r="43">
          <cell r="H43">
            <v>0</v>
          </cell>
        </row>
      </sheetData>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ow r="43">
          <cell r="H43">
            <v>0</v>
          </cell>
        </row>
      </sheetData>
      <sheetData sheetId="1123">
        <row r="43">
          <cell r="H43">
            <v>0</v>
          </cell>
        </row>
      </sheetData>
      <sheetData sheetId="1124">
        <row r="43">
          <cell r="H43">
            <v>0</v>
          </cell>
        </row>
      </sheetData>
      <sheetData sheetId="1125">
        <row r="43">
          <cell r="H43">
            <v>0</v>
          </cell>
        </row>
      </sheetData>
      <sheetData sheetId="1126">
        <row r="43">
          <cell r="H43">
            <v>0</v>
          </cell>
        </row>
      </sheetData>
      <sheetData sheetId="1127">
        <row r="43">
          <cell r="H43">
            <v>0</v>
          </cell>
        </row>
      </sheetData>
      <sheetData sheetId="1128">
        <row r="43">
          <cell r="H43">
            <v>0</v>
          </cell>
        </row>
      </sheetData>
      <sheetData sheetId="1129">
        <row r="43">
          <cell r="H43">
            <v>0</v>
          </cell>
        </row>
      </sheetData>
      <sheetData sheetId="1130">
        <row r="43">
          <cell r="H43">
            <v>0</v>
          </cell>
        </row>
      </sheetData>
      <sheetData sheetId="1131">
        <row r="43">
          <cell r="H43">
            <v>0</v>
          </cell>
        </row>
      </sheetData>
      <sheetData sheetId="1132">
        <row r="43">
          <cell r="H43">
            <v>0</v>
          </cell>
        </row>
      </sheetData>
      <sheetData sheetId="1133">
        <row r="43">
          <cell r="H43">
            <v>0</v>
          </cell>
        </row>
      </sheetData>
      <sheetData sheetId="1134">
        <row r="43">
          <cell r="H43">
            <v>0</v>
          </cell>
        </row>
      </sheetData>
      <sheetData sheetId="1135">
        <row r="43">
          <cell r="H43">
            <v>0</v>
          </cell>
        </row>
      </sheetData>
      <sheetData sheetId="1136">
        <row r="43">
          <cell r="H43">
            <v>0</v>
          </cell>
        </row>
      </sheetData>
      <sheetData sheetId="1137">
        <row r="43">
          <cell r="H43">
            <v>0</v>
          </cell>
        </row>
      </sheetData>
      <sheetData sheetId="1138">
        <row r="43">
          <cell r="H43">
            <v>0</v>
          </cell>
        </row>
      </sheetData>
      <sheetData sheetId="1139">
        <row r="43">
          <cell r="H43">
            <v>0</v>
          </cell>
        </row>
      </sheetData>
      <sheetData sheetId="1140">
        <row r="43">
          <cell r="H43">
            <v>0</v>
          </cell>
        </row>
      </sheetData>
      <sheetData sheetId="1141">
        <row r="43">
          <cell r="H43">
            <v>0</v>
          </cell>
        </row>
      </sheetData>
      <sheetData sheetId="1142">
        <row r="43">
          <cell r="H43">
            <v>0</v>
          </cell>
        </row>
      </sheetData>
      <sheetData sheetId="1143">
        <row r="43">
          <cell r="H43">
            <v>0</v>
          </cell>
        </row>
      </sheetData>
      <sheetData sheetId="1144">
        <row r="43">
          <cell r="H43">
            <v>0</v>
          </cell>
        </row>
      </sheetData>
      <sheetData sheetId="1145">
        <row r="43">
          <cell r="H43">
            <v>0</v>
          </cell>
        </row>
      </sheetData>
      <sheetData sheetId="1146" refreshError="1"/>
      <sheetData sheetId="1147" refreshError="1"/>
      <sheetData sheetId="1148" refreshError="1"/>
      <sheetData sheetId="1149">
        <row r="43">
          <cell r="H43">
            <v>0</v>
          </cell>
        </row>
      </sheetData>
      <sheetData sheetId="1150">
        <row r="43">
          <cell r="H43">
            <v>0</v>
          </cell>
        </row>
      </sheetData>
      <sheetData sheetId="1151">
        <row r="43">
          <cell r="H43">
            <v>0</v>
          </cell>
        </row>
      </sheetData>
      <sheetData sheetId="1152">
        <row r="43">
          <cell r="H43">
            <v>0</v>
          </cell>
        </row>
      </sheetData>
      <sheetData sheetId="1153">
        <row r="43">
          <cell r="H43">
            <v>0</v>
          </cell>
        </row>
      </sheetData>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ow r="43">
          <cell r="H43">
            <v>0</v>
          </cell>
        </row>
      </sheetData>
      <sheetData sheetId="1174">
        <row r="43">
          <cell r="H43">
            <v>0</v>
          </cell>
        </row>
      </sheetData>
      <sheetData sheetId="1175">
        <row r="43">
          <cell r="H43">
            <v>0</v>
          </cell>
        </row>
      </sheetData>
      <sheetData sheetId="1176">
        <row r="43">
          <cell r="H43">
            <v>0</v>
          </cell>
        </row>
      </sheetData>
      <sheetData sheetId="1177">
        <row r="43">
          <cell r="H43">
            <v>0</v>
          </cell>
        </row>
      </sheetData>
      <sheetData sheetId="1178">
        <row r="43">
          <cell r="H43">
            <v>0</v>
          </cell>
        </row>
      </sheetData>
      <sheetData sheetId="1179">
        <row r="43">
          <cell r="H43">
            <v>0</v>
          </cell>
        </row>
      </sheetData>
      <sheetData sheetId="1180">
        <row r="43">
          <cell r="H43">
            <v>0</v>
          </cell>
        </row>
      </sheetData>
      <sheetData sheetId="1181">
        <row r="43">
          <cell r="H43">
            <v>0</v>
          </cell>
        </row>
      </sheetData>
      <sheetData sheetId="1182">
        <row r="43">
          <cell r="H43">
            <v>0</v>
          </cell>
        </row>
      </sheetData>
      <sheetData sheetId="1183">
        <row r="43">
          <cell r="H43">
            <v>0</v>
          </cell>
        </row>
      </sheetData>
      <sheetData sheetId="1184">
        <row r="43">
          <cell r="H43">
            <v>0</v>
          </cell>
        </row>
      </sheetData>
      <sheetData sheetId="1185">
        <row r="43">
          <cell r="H43">
            <v>0</v>
          </cell>
        </row>
      </sheetData>
      <sheetData sheetId="1186">
        <row r="43">
          <cell r="H43">
            <v>0</v>
          </cell>
        </row>
      </sheetData>
      <sheetData sheetId="1187">
        <row r="43">
          <cell r="H43">
            <v>0</v>
          </cell>
        </row>
      </sheetData>
      <sheetData sheetId="1188">
        <row r="43">
          <cell r="H43">
            <v>0</v>
          </cell>
        </row>
      </sheetData>
      <sheetData sheetId="1189">
        <row r="43">
          <cell r="H43">
            <v>0</v>
          </cell>
        </row>
      </sheetData>
      <sheetData sheetId="1190">
        <row r="43">
          <cell r="H43">
            <v>0</v>
          </cell>
        </row>
      </sheetData>
      <sheetData sheetId="1191">
        <row r="43">
          <cell r="H43">
            <v>0</v>
          </cell>
        </row>
      </sheetData>
      <sheetData sheetId="1192">
        <row r="43">
          <cell r="H43">
            <v>0</v>
          </cell>
        </row>
      </sheetData>
      <sheetData sheetId="1193">
        <row r="43">
          <cell r="H43">
            <v>0</v>
          </cell>
        </row>
      </sheetData>
      <sheetData sheetId="1194">
        <row r="43">
          <cell r="H43">
            <v>0</v>
          </cell>
        </row>
      </sheetData>
      <sheetData sheetId="1195">
        <row r="43">
          <cell r="H43">
            <v>0</v>
          </cell>
        </row>
      </sheetData>
      <sheetData sheetId="1196">
        <row r="43">
          <cell r="H43">
            <v>0</v>
          </cell>
        </row>
      </sheetData>
      <sheetData sheetId="1197">
        <row r="43">
          <cell r="H43">
            <v>0</v>
          </cell>
        </row>
      </sheetData>
      <sheetData sheetId="1198">
        <row r="43">
          <cell r="H43">
            <v>0</v>
          </cell>
        </row>
      </sheetData>
      <sheetData sheetId="1199">
        <row r="43">
          <cell r="H43">
            <v>0</v>
          </cell>
        </row>
      </sheetData>
      <sheetData sheetId="1200">
        <row r="43">
          <cell r="H43">
            <v>0</v>
          </cell>
        </row>
      </sheetData>
      <sheetData sheetId="1201">
        <row r="43">
          <cell r="H43">
            <v>0</v>
          </cell>
        </row>
      </sheetData>
      <sheetData sheetId="1202">
        <row r="43">
          <cell r="H43">
            <v>0</v>
          </cell>
        </row>
      </sheetData>
      <sheetData sheetId="1203">
        <row r="43">
          <cell r="H43">
            <v>0</v>
          </cell>
        </row>
      </sheetData>
      <sheetData sheetId="1204">
        <row r="43">
          <cell r="H43">
            <v>0</v>
          </cell>
        </row>
      </sheetData>
      <sheetData sheetId="1205">
        <row r="43">
          <cell r="H43">
            <v>0</v>
          </cell>
        </row>
      </sheetData>
      <sheetData sheetId="1206">
        <row r="43">
          <cell r="H43">
            <v>0</v>
          </cell>
        </row>
      </sheetData>
      <sheetData sheetId="1207">
        <row r="43">
          <cell r="H43">
            <v>0</v>
          </cell>
        </row>
      </sheetData>
      <sheetData sheetId="1208">
        <row r="43">
          <cell r="H43">
            <v>0</v>
          </cell>
        </row>
      </sheetData>
      <sheetData sheetId="1209">
        <row r="43">
          <cell r="H43">
            <v>0</v>
          </cell>
        </row>
      </sheetData>
      <sheetData sheetId="1210">
        <row r="43">
          <cell r="H43">
            <v>0</v>
          </cell>
        </row>
      </sheetData>
      <sheetData sheetId="1211">
        <row r="43">
          <cell r="H43">
            <v>0</v>
          </cell>
        </row>
      </sheetData>
      <sheetData sheetId="1212">
        <row r="43">
          <cell r="H43">
            <v>0</v>
          </cell>
        </row>
      </sheetData>
      <sheetData sheetId="1213">
        <row r="43">
          <cell r="H43">
            <v>0</v>
          </cell>
        </row>
      </sheetData>
      <sheetData sheetId="1214">
        <row r="43">
          <cell r="H43">
            <v>0</v>
          </cell>
        </row>
      </sheetData>
      <sheetData sheetId="1215">
        <row r="43">
          <cell r="H43">
            <v>0</v>
          </cell>
        </row>
      </sheetData>
      <sheetData sheetId="1216">
        <row r="43">
          <cell r="H43">
            <v>0</v>
          </cell>
        </row>
      </sheetData>
      <sheetData sheetId="1217">
        <row r="43">
          <cell r="H43">
            <v>0</v>
          </cell>
        </row>
      </sheetData>
      <sheetData sheetId="1218">
        <row r="43">
          <cell r="H43">
            <v>0</v>
          </cell>
        </row>
      </sheetData>
      <sheetData sheetId="1219">
        <row r="43">
          <cell r="H43">
            <v>0</v>
          </cell>
        </row>
      </sheetData>
      <sheetData sheetId="1220">
        <row r="43">
          <cell r="H43">
            <v>0</v>
          </cell>
        </row>
      </sheetData>
      <sheetData sheetId="1221">
        <row r="43">
          <cell r="H43">
            <v>0</v>
          </cell>
        </row>
      </sheetData>
      <sheetData sheetId="1222">
        <row r="43">
          <cell r="H43">
            <v>0</v>
          </cell>
        </row>
      </sheetData>
      <sheetData sheetId="1223">
        <row r="43">
          <cell r="H43">
            <v>0</v>
          </cell>
        </row>
      </sheetData>
      <sheetData sheetId="1224">
        <row r="43">
          <cell r="H43">
            <v>0</v>
          </cell>
        </row>
      </sheetData>
      <sheetData sheetId="1225">
        <row r="43">
          <cell r="H43">
            <v>0</v>
          </cell>
        </row>
      </sheetData>
      <sheetData sheetId="1226">
        <row r="43">
          <cell r="H43">
            <v>0</v>
          </cell>
        </row>
      </sheetData>
      <sheetData sheetId="1227">
        <row r="43">
          <cell r="H43">
            <v>0</v>
          </cell>
        </row>
      </sheetData>
      <sheetData sheetId="1228">
        <row r="43">
          <cell r="H43">
            <v>0</v>
          </cell>
        </row>
      </sheetData>
      <sheetData sheetId="1229">
        <row r="43">
          <cell r="H43">
            <v>0</v>
          </cell>
        </row>
      </sheetData>
      <sheetData sheetId="1230">
        <row r="43">
          <cell r="H43">
            <v>0</v>
          </cell>
        </row>
      </sheetData>
      <sheetData sheetId="1231">
        <row r="43">
          <cell r="H43">
            <v>0</v>
          </cell>
        </row>
      </sheetData>
      <sheetData sheetId="1232">
        <row r="43">
          <cell r="H43">
            <v>0</v>
          </cell>
        </row>
      </sheetData>
      <sheetData sheetId="1233">
        <row r="43">
          <cell r="H43">
            <v>0</v>
          </cell>
        </row>
      </sheetData>
      <sheetData sheetId="1234">
        <row r="43">
          <cell r="H43">
            <v>0</v>
          </cell>
        </row>
      </sheetData>
      <sheetData sheetId="1235">
        <row r="43">
          <cell r="H43">
            <v>0</v>
          </cell>
        </row>
      </sheetData>
      <sheetData sheetId="1236">
        <row r="43">
          <cell r="H43">
            <v>0</v>
          </cell>
        </row>
      </sheetData>
      <sheetData sheetId="1237">
        <row r="43">
          <cell r="H43">
            <v>0</v>
          </cell>
        </row>
      </sheetData>
      <sheetData sheetId="1238">
        <row r="43">
          <cell r="H43">
            <v>0</v>
          </cell>
        </row>
      </sheetData>
      <sheetData sheetId="1239">
        <row r="43">
          <cell r="H43">
            <v>0</v>
          </cell>
        </row>
      </sheetData>
      <sheetData sheetId="1240">
        <row r="43">
          <cell r="H43">
            <v>0</v>
          </cell>
        </row>
      </sheetData>
      <sheetData sheetId="1241">
        <row r="43">
          <cell r="H43">
            <v>0</v>
          </cell>
        </row>
      </sheetData>
      <sheetData sheetId="1242">
        <row r="43">
          <cell r="H43">
            <v>0</v>
          </cell>
        </row>
      </sheetData>
      <sheetData sheetId="1243">
        <row r="43">
          <cell r="H43">
            <v>0</v>
          </cell>
        </row>
      </sheetData>
      <sheetData sheetId="1244">
        <row r="43">
          <cell r="H43">
            <v>0</v>
          </cell>
        </row>
      </sheetData>
      <sheetData sheetId="1245">
        <row r="43">
          <cell r="H43">
            <v>0</v>
          </cell>
        </row>
      </sheetData>
      <sheetData sheetId="1246">
        <row r="43">
          <cell r="H43">
            <v>0</v>
          </cell>
        </row>
      </sheetData>
      <sheetData sheetId="1247">
        <row r="43">
          <cell r="H43">
            <v>0</v>
          </cell>
        </row>
      </sheetData>
      <sheetData sheetId="1248">
        <row r="43">
          <cell r="H43">
            <v>0</v>
          </cell>
        </row>
      </sheetData>
      <sheetData sheetId="1249">
        <row r="43">
          <cell r="H43">
            <v>0</v>
          </cell>
        </row>
      </sheetData>
      <sheetData sheetId="1250">
        <row r="43">
          <cell r="H43">
            <v>0</v>
          </cell>
        </row>
      </sheetData>
      <sheetData sheetId="1251">
        <row r="43">
          <cell r="H43">
            <v>0</v>
          </cell>
        </row>
      </sheetData>
      <sheetData sheetId="1252">
        <row r="43">
          <cell r="H43">
            <v>0</v>
          </cell>
        </row>
      </sheetData>
      <sheetData sheetId="1253">
        <row r="43">
          <cell r="H43">
            <v>0</v>
          </cell>
        </row>
      </sheetData>
      <sheetData sheetId="1254">
        <row r="43">
          <cell r="H43">
            <v>0</v>
          </cell>
        </row>
      </sheetData>
      <sheetData sheetId="1255">
        <row r="43">
          <cell r="H43">
            <v>0</v>
          </cell>
        </row>
      </sheetData>
      <sheetData sheetId="1256">
        <row r="43">
          <cell r="H43">
            <v>0</v>
          </cell>
        </row>
      </sheetData>
      <sheetData sheetId="1257">
        <row r="43">
          <cell r="H43">
            <v>0</v>
          </cell>
        </row>
      </sheetData>
      <sheetData sheetId="1258">
        <row r="43">
          <cell r="H43">
            <v>0</v>
          </cell>
        </row>
      </sheetData>
      <sheetData sheetId="1259">
        <row r="43">
          <cell r="H43">
            <v>0</v>
          </cell>
        </row>
      </sheetData>
      <sheetData sheetId="1260">
        <row r="43">
          <cell r="H43">
            <v>0</v>
          </cell>
        </row>
      </sheetData>
      <sheetData sheetId="1261">
        <row r="43">
          <cell r="H43">
            <v>0</v>
          </cell>
        </row>
      </sheetData>
      <sheetData sheetId="1262">
        <row r="43">
          <cell r="H43">
            <v>0</v>
          </cell>
        </row>
      </sheetData>
      <sheetData sheetId="1263">
        <row r="43">
          <cell r="H43">
            <v>0</v>
          </cell>
        </row>
      </sheetData>
      <sheetData sheetId="1264">
        <row r="43">
          <cell r="H43">
            <v>0</v>
          </cell>
        </row>
      </sheetData>
      <sheetData sheetId="1265">
        <row r="43">
          <cell r="H43">
            <v>0</v>
          </cell>
        </row>
      </sheetData>
      <sheetData sheetId="1266">
        <row r="43">
          <cell r="H43">
            <v>0</v>
          </cell>
        </row>
      </sheetData>
      <sheetData sheetId="1267">
        <row r="43">
          <cell r="H43">
            <v>0</v>
          </cell>
        </row>
      </sheetData>
      <sheetData sheetId="1268">
        <row r="43">
          <cell r="H43">
            <v>0</v>
          </cell>
        </row>
      </sheetData>
      <sheetData sheetId="1269">
        <row r="43">
          <cell r="H43">
            <v>0</v>
          </cell>
        </row>
      </sheetData>
      <sheetData sheetId="1270">
        <row r="43">
          <cell r="H43">
            <v>0</v>
          </cell>
        </row>
      </sheetData>
      <sheetData sheetId="1271">
        <row r="43">
          <cell r="H43">
            <v>0</v>
          </cell>
        </row>
      </sheetData>
      <sheetData sheetId="1272">
        <row r="43">
          <cell r="H43">
            <v>0</v>
          </cell>
        </row>
      </sheetData>
      <sheetData sheetId="1273">
        <row r="43">
          <cell r="H43">
            <v>0</v>
          </cell>
        </row>
      </sheetData>
      <sheetData sheetId="1274">
        <row r="43">
          <cell r="H43">
            <v>0</v>
          </cell>
        </row>
      </sheetData>
      <sheetData sheetId="1275">
        <row r="43">
          <cell r="H43">
            <v>0</v>
          </cell>
        </row>
      </sheetData>
      <sheetData sheetId="1276">
        <row r="43">
          <cell r="H43">
            <v>0</v>
          </cell>
        </row>
      </sheetData>
      <sheetData sheetId="1277">
        <row r="43">
          <cell r="H43">
            <v>0</v>
          </cell>
        </row>
      </sheetData>
      <sheetData sheetId="1278">
        <row r="43">
          <cell r="H43">
            <v>0</v>
          </cell>
        </row>
      </sheetData>
      <sheetData sheetId="1279">
        <row r="43">
          <cell r="H43">
            <v>0</v>
          </cell>
        </row>
      </sheetData>
      <sheetData sheetId="1280">
        <row r="43">
          <cell r="H43">
            <v>0</v>
          </cell>
        </row>
      </sheetData>
      <sheetData sheetId="1281">
        <row r="43">
          <cell r="H43">
            <v>0</v>
          </cell>
        </row>
      </sheetData>
      <sheetData sheetId="1282">
        <row r="43">
          <cell r="H43">
            <v>0</v>
          </cell>
        </row>
      </sheetData>
      <sheetData sheetId="1283">
        <row r="43">
          <cell r="H43">
            <v>0</v>
          </cell>
        </row>
      </sheetData>
      <sheetData sheetId="1284">
        <row r="43">
          <cell r="H43">
            <v>0</v>
          </cell>
        </row>
      </sheetData>
      <sheetData sheetId="1285">
        <row r="43">
          <cell r="H43">
            <v>0</v>
          </cell>
        </row>
      </sheetData>
      <sheetData sheetId="1286">
        <row r="43">
          <cell r="H43">
            <v>0</v>
          </cell>
        </row>
      </sheetData>
      <sheetData sheetId="1287">
        <row r="43">
          <cell r="H43">
            <v>0</v>
          </cell>
        </row>
      </sheetData>
      <sheetData sheetId="1288">
        <row r="43">
          <cell r="H43">
            <v>0</v>
          </cell>
        </row>
      </sheetData>
      <sheetData sheetId="1289">
        <row r="43">
          <cell r="H43">
            <v>0</v>
          </cell>
        </row>
      </sheetData>
      <sheetData sheetId="1290">
        <row r="43">
          <cell r="H43">
            <v>0</v>
          </cell>
        </row>
      </sheetData>
      <sheetData sheetId="1291">
        <row r="43">
          <cell r="H43">
            <v>0</v>
          </cell>
        </row>
      </sheetData>
      <sheetData sheetId="1292">
        <row r="43">
          <cell r="H43">
            <v>0</v>
          </cell>
        </row>
      </sheetData>
      <sheetData sheetId="1293">
        <row r="43">
          <cell r="H43">
            <v>0</v>
          </cell>
        </row>
      </sheetData>
      <sheetData sheetId="1294">
        <row r="43">
          <cell r="H43">
            <v>0</v>
          </cell>
        </row>
      </sheetData>
      <sheetData sheetId="1295">
        <row r="43">
          <cell r="H43">
            <v>0</v>
          </cell>
        </row>
      </sheetData>
      <sheetData sheetId="1296">
        <row r="43">
          <cell r="H43">
            <v>0</v>
          </cell>
        </row>
      </sheetData>
      <sheetData sheetId="1297">
        <row r="43">
          <cell r="H43">
            <v>0</v>
          </cell>
        </row>
      </sheetData>
      <sheetData sheetId="1298">
        <row r="43">
          <cell r="H43">
            <v>0</v>
          </cell>
        </row>
      </sheetData>
      <sheetData sheetId="1299">
        <row r="43">
          <cell r="H43">
            <v>0</v>
          </cell>
        </row>
      </sheetData>
      <sheetData sheetId="1300">
        <row r="43">
          <cell r="H43">
            <v>0</v>
          </cell>
        </row>
      </sheetData>
      <sheetData sheetId="1301">
        <row r="43">
          <cell r="H43">
            <v>0</v>
          </cell>
        </row>
      </sheetData>
      <sheetData sheetId="1302">
        <row r="43">
          <cell r="H43">
            <v>0</v>
          </cell>
        </row>
      </sheetData>
      <sheetData sheetId="1303">
        <row r="43">
          <cell r="H43">
            <v>0</v>
          </cell>
        </row>
      </sheetData>
      <sheetData sheetId="1304">
        <row r="43">
          <cell r="H43">
            <v>0</v>
          </cell>
        </row>
      </sheetData>
      <sheetData sheetId="1305">
        <row r="43">
          <cell r="H43">
            <v>0</v>
          </cell>
        </row>
      </sheetData>
      <sheetData sheetId="1306">
        <row r="43">
          <cell r="H43">
            <v>0</v>
          </cell>
        </row>
      </sheetData>
      <sheetData sheetId="1307">
        <row r="43">
          <cell r="H43">
            <v>0</v>
          </cell>
        </row>
      </sheetData>
      <sheetData sheetId="1308">
        <row r="43">
          <cell r="H43">
            <v>0</v>
          </cell>
        </row>
      </sheetData>
      <sheetData sheetId="1309">
        <row r="43">
          <cell r="H43">
            <v>0</v>
          </cell>
        </row>
      </sheetData>
      <sheetData sheetId="1310">
        <row r="43">
          <cell r="H43">
            <v>0</v>
          </cell>
        </row>
      </sheetData>
      <sheetData sheetId="1311">
        <row r="43">
          <cell r="H43">
            <v>0</v>
          </cell>
        </row>
      </sheetData>
      <sheetData sheetId="1312">
        <row r="43">
          <cell r="H43">
            <v>0</v>
          </cell>
        </row>
      </sheetData>
      <sheetData sheetId="1313">
        <row r="43">
          <cell r="H43">
            <v>0</v>
          </cell>
        </row>
      </sheetData>
      <sheetData sheetId="1314">
        <row r="43">
          <cell r="H43">
            <v>0</v>
          </cell>
        </row>
      </sheetData>
      <sheetData sheetId="1315">
        <row r="43">
          <cell r="H43">
            <v>0</v>
          </cell>
        </row>
      </sheetData>
      <sheetData sheetId="1316">
        <row r="43">
          <cell r="H43">
            <v>0</v>
          </cell>
        </row>
      </sheetData>
      <sheetData sheetId="1317">
        <row r="43">
          <cell r="H43">
            <v>0</v>
          </cell>
        </row>
      </sheetData>
      <sheetData sheetId="1318">
        <row r="43">
          <cell r="H43">
            <v>0</v>
          </cell>
        </row>
      </sheetData>
      <sheetData sheetId="1319">
        <row r="43">
          <cell r="H43">
            <v>0</v>
          </cell>
        </row>
      </sheetData>
      <sheetData sheetId="1320">
        <row r="43">
          <cell r="H43">
            <v>0</v>
          </cell>
        </row>
      </sheetData>
      <sheetData sheetId="1321">
        <row r="43">
          <cell r="H43">
            <v>0</v>
          </cell>
        </row>
      </sheetData>
      <sheetData sheetId="1322">
        <row r="43">
          <cell r="H43">
            <v>0</v>
          </cell>
        </row>
      </sheetData>
      <sheetData sheetId="1323">
        <row r="43">
          <cell r="H43">
            <v>0</v>
          </cell>
        </row>
      </sheetData>
      <sheetData sheetId="1324">
        <row r="43">
          <cell r="H43">
            <v>0</v>
          </cell>
        </row>
      </sheetData>
      <sheetData sheetId="1325">
        <row r="43">
          <cell r="H43">
            <v>0</v>
          </cell>
        </row>
      </sheetData>
      <sheetData sheetId="1326">
        <row r="43">
          <cell r="H43">
            <v>0</v>
          </cell>
        </row>
      </sheetData>
      <sheetData sheetId="1327">
        <row r="43">
          <cell r="H43">
            <v>0</v>
          </cell>
        </row>
      </sheetData>
      <sheetData sheetId="1328">
        <row r="43">
          <cell r="H43">
            <v>0</v>
          </cell>
        </row>
      </sheetData>
      <sheetData sheetId="1329">
        <row r="43">
          <cell r="H43">
            <v>0</v>
          </cell>
        </row>
      </sheetData>
      <sheetData sheetId="1330">
        <row r="43">
          <cell r="H43">
            <v>0</v>
          </cell>
        </row>
      </sheetData>
      <sheetData sheetId="1331">
        <row r="43">
          <cell r="H43">
            <v>0</v>
          </cell>
        </row>
      </sheetData>
      <sheetData sheetId="1332">
        <row r="43">
          <cell r="H43">
            <v>0</v>
          </cell>
        </row>
      </sheetData>
      <sheetData sheetId="1333">
        <row r="43">
          <cell r="H43">
            <v>0</v>
          </cell>
        </row>
      </sheetData>
      <sheetData sheetId="1334">
        <row r="43">
          <cell r="H43">
            <v>0</v>
          </cell>
        </row>
      </sheetData>
      <sheetData sheetId="1335">
        <row r="43">
          <cell r="H43">
            <v>0</v>
          </cell>
        </row>
      </sheetData>
      <sheetData sheetId="1336">
        <row r="43">
          <cell r="H43">
            <v>0</v>
          </cell>
        </row>
      </sheetData>
      <sheetData sheetId="1337">
        <row r="43">
          <cell r="H43">
            <v>0</v>
          </cell>
        </row>
      </sheetData>
      <sheetData sheetId="1338">
        <row r="43">
          <cell r="H43">
            <v>0</v>
          </cell>
        </row>
      </sheetData>
      <sheetData sheetId="1339">
        <row r="43">
          <cell r="H43">
            <v>0</v>
          </cell>
        </row>
      </sheetData>
      <sheetData sheetId="1340">
        <row r="43">
          <cell r="H43">
            <v>0</v>
          </cell>
        </row>
      </sheetData>
      <sheetData sheetId="1341">
        <row r="43">
          <cell r="H43">
            <v>0</v>
          </cell>
        </row>
      </sheetData>
      <sheetData sheetId="1342">
        <row r="43">
          <cell r="H43">
            <v>0</v>
          </cell>
        </row>
      </sheetData>
      <sheetData sheetId="1343">
        <row r="43">
          <cell r="H43">
            <v>0</v>
          </cell>
        </row>
      </sheetData>
      <sheetData sheetId="1344">
        <row r="43">
          <cell r="H43">
            <v>0</v>
          </cell>
        </row>
      </sheetData>
      <sheetData sheetId="1345">
        <row r="43">
          <cell r="H43">
            <v>0</v>
          </cell>
        </row>
      </sheetData>
      <sheetData sheetId="1346">
        <row r="43">
          <cell r="H43">
            <v>0</v>
          </cell>
        </row>
      </sheetData>
      <sheetData sheetId="1347">
        <row r="43">
          <cell r="H43">
            <v>0</v>
          </cell>
        </row>
      </sheetData>
      <sheetData sheetId="1348">
        <row r="43">
          <cell r="H43">
            <v>0</v>
          </cell>
        </row>
      </sheetData>
      <sheetData sheetId="1349">
        <row r="43">
          <cell r="H43">
            <v>0</v>
          </cell>
        </row>
      </sheetData>
      <sheetData sheetId="1350">
        <row r="43">
          <cell r="H43">
            <v>0</v>
          </cell>
        </row>
      </sheetData>
      <sheetData sheetId="1351">
        <row r="43">
          <cell r="H43">
            <v>0</v>
          </cell>
        </row>
      </sheetData>
      <sheetData sheetId="1352">
        <row r="43">
          <cell r="H43">
            <v>0</v>
          </cell>
        </row>
      </sheetData>
      <sheetData sheetId="1353">
        <row r="43">
          <cell r="H43">
            <v>0</v>
          </cell>
        </row>
      </sheetData>
      <sheetData sheetId="1354">
        <row r="43">
          <cell r="H43">
            <v>0</v>
          </cell>
        </row>
      </sheetData>
      <sheetData sheetId="1355">
        <row r="43">
          <cell r="H43">
            <v>0</v>
          </cell>
        </row>
      </sheetData>
      <sheetData sheetId="1356">
        <row r="43">
          <cell r="H43">
            <v>0</v>
          </cell>
        </row>
      </sheetData>
      <sheetData sheetId="1357">
        <row r="43">
          <cell r="H43">
            <v>0</v>
          </cell>
        </row>
      </sheetData>
      <sheetData sheetId="1358">
        <row r="43">
          <cell r="H43">
            <v>0</v>
          </cell>
        </row>
      </sheetData>
      <sheetData sheetId="1359">
        <row r="43">
          <cell r="H43">
            <v>0</v>
          </cell>
        </row>
      </sheetData>
      <sheetData sheetId="1360">
        <row r="43">
          <cell r="H43">
            <v>0</v>
          </cell>
        </row>
      </sheetData>
      <sheetData sheetId="1361">
        <row r="43">
          <cell r="H43">
            <v>0</v>
          </cell>
        </row>
      </sheetData>
      <sheetData sheetId="1362">
        <row r="43">
          <cell r="H43">
            <v>0</v>
          </cell>
        </row>
      </sheetData>
      <sheetData sheetId="1363">
        <row r="43">
          <cell r="H43">
            <v>0</v>
          </cell>
        </row>
      </sheetData>
      <sheetData sheetId="1364">
        <row r="43">
          <cell r="H43">
            <v>0</v>
          </cell>
        </row>
      </sheetData>
      <sheetData sheetId="1365">
        <row r="43">
          <cell r="H43">
            <v>0</v>
          </cell>
        </row>
      </sheetData>
      <sheetData sheetId="1366">
        <row r="43">
          <cell r="H43">
            <v>0</v>
          </cell>
        </row>
      </sheetData>
      <sheetData sheetId="1367">
        <row r="43">
          <cell r="H43">
            <v>0</v>
          </cell>
        </row>
      </sheetData>
      <sheetData sheetId="1368">
        <row r="43">
          <cell r="H43">
            <v>0</v>
          </cell>
        </row>
      </sheetData>
      <sheetData sheetId="1369">
        <row r="43">
          <cell r="H43">
            <v>0</v>
          </cell>
        </row>
      </sheetData>
      <sheetData sheetId="1370">
        <row r="43">
          <cell r="H43">
            <v>0</v>
          </cell>
        </row>
      </sheetData>
      <sheetData sheetId="1371">
        <row r="43">
          <cell r="H43">
            <v>0</v>
          </cell>
        </row>
      </sheetData>
      <sheetData sheetId="1372">
        <row r="43">
          <cell r="H43">
            <v>0</v>
          </cell>
        </row>
      </sheetData>
      <sheetData sheetId="1373">
        <row r="43">
          <cell r="H43">
            <v>0</v>
          </cell>
        </row>
      </sheetData>
      <sheetData sheetId="1374">
        <row r="43">
          <cell r="H43">
            <v>0</v>
          </cell>
        </row>
      </sheetData>
      <sheetData sheetId="1375">
        <row r="43">
          <cell r="H43">
            <v>0</v>
          </cell>
        </row>
      </sheetData>
      <sheetData sheetId="1376">
        <row r="43">
          <cell r="H43">
            <v>0</v>
          </cell>
        </row>
      </sheetData>
      <sheetData sheetId="1377">
        <row r="43">
          <cell r="H43">
            <v>0</v>
          </cell>
        </row>
      </sheetData>
      <sheetData sheetId="1378">
        <row r="43">
          <cell r="H43">
            <v>0</v>
          </cell>
        </row>
      </sheetData>
      <sheetData sheetId="1379">
        <row r="43">
          <cell r="H43">
            <v>0</v>
          </cell>
        </row>
      </sheetData>
      <sheetData sheetId="1380">
        <row r="43">
          <cell r="H43">
            <v>0</v>
          </cell>
        </row>
      </sheetData>
      <sheetData sheetId="1381">
        <row r="43">
          <cell r="H43">
            <v>0</v>
          </cell>
        </row>
      </sheetData>
      <sheetData sheetId="1382">
        <row r="43">
          <cell r="H43">
            <v>0</v>
          </cell>
        </row>
      </sheetData>
      <sheetData sheetId="1383">
        <row r="43">
          <cell r="H43">
            <v>0</v>
          </cell>
        </row>
      </sheetData>
      <sheetData sheetId="1384">
        <row r="43">
          <cell r="H43">
            <v>0</v>
          </cell>
        </row>
      </sheetData>
      <sheetData sheetId="1385">
        <row r="43">
          <cell r="H43">
            <v>0</v>
          </cell>
        </row>
      </sheetData>
      <sheetData sheetId="1386" refreshError="1"/>
      <sheetData sheetId="1387" refreshError="1"/>
      <sheetData sheetId="1388" refreshError="1"/>
      <sheetData sheetId="1389" refreshError="1"/>
      <sheetData sheetId="1390" refreshError="1"/>
      <sheetData sheetId="1391">
        <row r="43">
          <cell r="H43">
            <v>0</v>
          </cell>
        </row>
      </sheetData>
      <sheetData sheetId="1392">
        <row r="43">
          <cell r="H43">
            <v>0</v>
          </cell>
        </row>
      </sheetData>
      <sheetData sheetId="1393">
        <row r="43">
          <cell r="H43">
            <v>0</v>
          </cell>
        </row>
      </sheetData>
      <sheetData sheetId="1394">
        <row r="43">
          <cell r="H43">
            <v>0</v>
          </cell>
        </row>
      </sheetData>
      <sheetData sheetId="1395">
        <row r="43">
          <cell r="H43">
            <v>0</v>
          </cell>
        </row>
      </sheetData>
      <sheetData sheetId="1396">
        <row r="43">
          <cell r="H43">
            <v>0</v>
          </cell>
        </row>
      </sheetData>
      <sheetData sheetId="1397">
        <row r="43">
          <cell r="H43">
            <v>0</v>
          </cell>
        </row>
      </sheetData>
      <sheetData sheetId="1398">
        <row r="43">
          <cell r="H43">
            <v>0</v>
          </cell>
        </row>
      </sheetData>
      <sheetData sheetId="1399">
        <row r="43">
          <cell r="H43">
            <v>0</v>
          </cell>
        </row>
      </sheetData>
      <sheetData sheetId="1400">
        <row r="43">
          <cell r="H43">
            <v>0</v>
          </cell>
        </row>
      </sheetData>
      <sheetData sheetId="1401">
        <row r="43">
          <cell r="H43">
            <v>0</v>
          </cell>
        </row>
      </sheetData>
      <sheetData sheetId="1402">
        <row r="43">
          <cell r="H43">
            <v>0</v>
          </cell>
        </row>
      </sheetData>
      <sheetData sheetId="1403">
        <row r="43">
          <cell r="H43">
            <v>0</v>
          </cell>
        </row>
      </sheetData>
      <sheetData sheetId="1404">
        <row r="43">
          <cell r="H43">
            <v>0</v>
          </cell>
        </row>
      </sheetData>
      <sheetData sheetId="1405">
        <row r="43">
          <cell r="H43">
            <v>0</v>
          </cell>
        </row>
      </sheetData>
      <sheetData sheetId="1406">
        <row r="43">
          <cell r="H43">
            <v>0</v>
          </cell>
        </row>
      </sheetData>
      <sheetData sheetId="1407">
        <row r="43">
          <cell r="H43">
            <v>0</v>
          </cell>
        </row>
      </sheetData>
      <sheetData sheetId="1408">
        <row r="43">
          <cell r="H43">
            <v>0</v>
          </cell>
        </row>
      </sheetData>
      <sheetData sheetId="1409">
        <row r="43">
          <cell r="H43">
            <v>0</v>
          </cell>
        </row>
      </sheetData>
      <sheetData sheetId="1410">
        <row r="43">
          <cell r="H43">
            <v>0</v>
          </cell>
        </row>
      </sheetData>
      <sheetData sheetId="1411">
        <row r="43">
          <cell r="H43">
            <v>0</v>
          </cell>
        </row>
      </sheetData>
      <sheetData sheetId="1412">
        <row r="43">
          <cell r="H43">
            <v>0</v>
          </cell>
        </row>
      </sheetData>
      <sheetData sheetId="1413">
        <row r="43">
          <cell r="H43">
            <v>0</v>
          </cell>
        </row>
      </sheetData>
      <sheetData sheetId="1414">
        <row r="43">
          <cell r="H43">
            <v>0</v>
          </cell>
        </row>
      </sheetData>
      <sheetData sheetId="1415">
        <row r="43">
          <cell r="H43">
            <v>0</v>
          </cell>
        </row>
      </sheetData>
      <sheetData sheetId="1416">
        <row r="43">
          <cell r="H43">
            <v>0</v>
          </cell>
        </row>
      </sheetData>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ow r="43">
          <cell r="H43">
            <v>0</v>
          </cell>
        </row>
      </sheetData>
      <sheetData sheetId="1444">
        <row r="43">
          <cell r="H43">
            <v>0</v>
          </cell>
        </row>
      </sheetData>
      <sheetData sheetId="1445">
        <row r="43">
          <cell r="H43">
            <v>0</v>
          </cell>
        </row>
      </sheetData>
      <sheetData sheetId="1446">
        <row r="43">
          <cell r="H43">
            <v>0</v>
          </cell>
        </row>
      </sheetData>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ow r="43">
          <cell r="H43">
            <v>0</v>
          </cell>
        </row>
      </sheetData>
      <sheetData sheetId="1509" refreshError="1"/>
      <sheetData sheetId="1510"/>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ow r="43">
          <cell r="H43">
            <v>0</v>
          </cell>
        </row>
      </sheetData>
      <sheetData sheetId="1528">
        <row r="43">
          <cell r="H43">
            <v>0</v>
          </cell>
        </row>
      </sheetData>
      <sheetData sheetId="1529">
        <row r="43">
          <cell r="H43">
            <v>0</v>
          </cell>
        </row>
      </sheetData>
      <sheetData sheetId="1530">
        <row r="43">
          <cell r="H43">
            <v>0</v>
          </cell>
        </row>
      </sheetData>
      <sheetData sheetId="1531">
        <row r="43">
          <cell r="H43">
            <v>0</v>
          </cell>
        </row>
      </sheetData>
      <sheetData sheetId="1532">
        <row r="43">
          <cell r="H43">
            <v>0</v>
          </cell>
        </row>
      </sheetData>
      <sheetData sheetId="1533">
        <row r="43">
          <cell r="H43">
            <v>0</v>
          </cell>
        </row>
      </sheetData>
      <sheetData sheetId="1534">
        <row r="43">
          <cell r="H43">
            <v>0</v>
          </cell>
        </row>
      </sheetData>
      <sheetData sheetId="1535">
        <row r="43">
          <cell r="H43">
            <v>0</v>
          </cell>
        </row>
      </sheetData>
      <sheetData sheetId="1536">
        <row r="43">
          <cell r="H43">
            <v>0</v>
          </cell>
        </row>
      </sheetData>
      <sheetData sheetId="1537">
        <row r="43">
          <cell r="H43">
            <v>0</v>
          </cell>
        </row>
      </sheetData>
      <sheetData sheetId="1538">
        <row r="43">
          <cell r="H43">
            <v>0</v>
          </cell>
        </row>
      </sheetData>
      <sheetData sheetId="1539">
        <row r="43">
          <cell r="H43">
            <v>0</v>
          </cell>
        </row>
      </sheetData>
      <sheetData sheetId="1540">
        <row r="43">
          <cell r="H43">
            <v>0</v>
          </cell>
        </row>
      </sheetData>
      <sheetData sheetId="1541">
        <row r="43">
          <cell r="H43">
            <v>0</v>
          </cell>
        </row>
      </sheetData>
      <sheetData sheetId="1542">
        <row r="43">
          <cell r="H43">
            <v>0</v>
          </cell>
        </row>
      </sheetData>
      <sheetData sheetId="1543">
        <row r="43">
          <cell r="H43">
            <v>0</v>
          </cell>
        </row>
      </sheetData>
      <sheetData sheetId="1544">
        <row r="43">
          <cell r="H43">
            <v>0</v>
          </cell>
        </row>
      </sheetData>
      <sheetData sheetId="1545">
        <row r="43">
          <cell r="H43">
            <v>0</v>
          </cell>
        </row>
      </sheetData>
      <sheetData sheetId="1546">
        <row r="43">
          <cell r="H43">
            <v>0</v>
          </cell>
        </row>
      </sheetData>
      <sheetData sheetId="1547">
        <row r="43">
          <cell r="H43">
            <v>0</v>
          </cell>
        </row>
      </sheetData>
      <sheetData sheetId="1548">
        <row r="43">
          <cell r="H43">
            <v>0</v>
          </cell>
        </row>
      </sheetData>
      <sheetData sheetId="1549">
        <row r="43">
          <cell r="H43">
            <v>0</v>
          </cell>
        </row>
      </sheetData>
      <sheetData sheetId="1550">
        <row r="43">
          <cell r="H43">
            <v>0</v>
          </cell>
        </row>
      </sheetData>
      <sheetData sheetId="1551">
        <row r="43">
          <cell r="H43">
            <v>0</v>
          </cell>
        </row>
      </sheetData>
      <sheetData sheetId="1552">
        <row r="43">
          <cell r="H43">
            <v>0</v>
          </cell>
        </row>
      </sheetData>
      <sheetData sheetId="1553">
        <row r="43">
          <cell r="H43">
            <v>0</v>
          </cell>
        </row>
      </sheetData>
      <sheetData sheetId="1554">
        <row r="43">
          <cell r="H43">
            <v>0</v>
          </cell>
        </row>
      </sheetData>
      <sheetData sheetId="1555">
        <row r="43">
          <cell r="H43">
            <v>0</v>
          </cell>
        </row>
      </sheetData>
      <sheetData sheetId="1556">
        <row r="43">
          <cell r="H43">
            <v>0</v>
          </cell>
        </row>
      </sheetData>
      <sheetData sheetId="1557">
        <row r="43">
          <cell r="H43">
            <v>0</v>
          </cell>
        </row>
      </sheetData>
      <sheetData sheetId="1558">
        <row r="43">
          <cell r="H43">
            <v>0</v>
          </cell>
        </row>
      </sheetData>
      <sheetData sheetId="1559">
        <row r="43">
          <cell r="H43">
            <v>0</v>
          </cell>
        </row>
      </sheetData>
      <sheetData sheetId="1560">
        <row r="43">
          <cell r="H43">
            <v>0</v>
          </cell>
        </row>
      </sheetData>
      <sheetData sheetId="1561">
        <row r="43">
          <cell r="H43">
            <v>0</v>
          </cell>
        </row>
      </sheetData>
      <sheetData sheetId="1562">
        <row r="43">
          <cell r="H43">
            <v>0</v>
          </cell>
        </row>
      </sheetData>
      <sheetData sheetId="1563">
        <row r="43">
          <cell r="H43">
            <v>0</v>
          </cell>
        </row>
      </sheetData>
      <sheetData sheetId="1564">
        <row r="43">
          <cell r="H43">
            <v>0</v>
          </cell>
        </row>
      </sheetData>
      <sheetData sheetId="1565">
        <row r="43">
          <cell r="H43">
            <v>0</v>
          </cell>
        </row>
      </sheetData>
      <sheetData sheetId="1566">
        <row r="43">
          <cell r="H43">
            <v>0</v>
          </cell>
        </row>
      </sheetData>
      <sheetData sheetId="1567">
        <row r="43">
          <cell r="H43">
            <v>0</v>
          </cell>
        </row>
      </sheetData>
      <sheetData sheetId="1568">
        <row r="43">
          <cell r="H43">
            <v>0</v>
          </cell>
        </row>
      </sheetData>
      <sheetData sheetId="1569">
        <row r="43">
          <cell r="H43">
            <v>0</v>
          </cell>
        </row>
      </sheetData>
      <sheetData sheetId="1570">
        <row r="43">
          <cell r="H43">
            <v>0</v>
          </cell>
        </row>
      </sheetData>
      <sheetData sheetId="1571">
        <row r="43">
          <cell r="H43">
            <v>0</v>
          </cell>
        </row>
      </sheetData>
      <sheetData sheetId="1572">
        <row r="43">
          <cell r="H43">
            <v>0</v>
          </cell>
        </row>
      </sheetData>
      <sheetData sheetId="1573">
        <row r="43">
          <cell r="H43">
            <v>0</v>
          </cell>
        </row>
      </sheetData>
      <sheetData sheetId="1574">
        <row r="43">
          <cell r="H43">
            <v>0</v>
          </cell>
        </row>
      </sheetData>
      <sheetData sheetId="1575">
        <row r="43">
          <cell r="H43">
            <v>0</v>
          </cell>
        </row>
      </sheetData>
      <sheetData sheetId="1576" refreshError="1"/>
      <sheetData sheetId="1577" refreshError="1"/>
      <sheetData sheetId="1578" refreshError="1"/>
      <sheetData sheetId="1579" refreshError="1"/>
      <sheetData sheetId="1580">
        <row r="43">
          <cell r="H43">
            <v>0</v>
          </cell>
        </row>
      </sheetData>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ow r="43">
          <cell r="H43">
            <v>0</v>
          </cell>
        </row>
      </sheetData>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ow r="43">
          <cell r="H43">
            <v>0</v>
          </cell>
        </row>
      </sheetData>
      <sheetData sheetId="1616">
        <row r="43">
          <cell r="H43">
            <v>0</v>
          </cell>
        </row>
      </sheetData>
      <sheetData sheetId="1617">
        <row r="43">
          <cell r="H43">
            <v>0</v>
          </cell>
        </row>
      </sheetData>
      <sheetData sheetId="1618">
        <row r="43">
          <cell r="H43">
            <v>0</v>
          </cell>
        </row>
      </sheetData>
      <sheetData sheetId="1619">
        <row r="43">
          <cell r="H43">
            <v>0</v>
          </cell>
        </row>
      </sheetData>
      <sheetData sheetId="1620">
        <row r="43">
          <cell r="H43">
            <v>0</v>
          </cell>
        </row>
      </sheetData>
      <sheetData sheetId="1621">
        <row r="43">
          <cell r="H43">
            <v>0</v>
          </cell>
        </row>
      </sheetData>
      <sheetData sheetId="1622">
        <row r="43">
          <cell r="H43">
            <v>0</v>
          </cell>
        </row>
      </sheetData>
      <sheetData sheetId="1623">
        <row r="43">
          <cell r="H43">
            <v>0</v>
          </cell>
        </row>
      </sheetData>
      <sheetData sheetId="1624">
        <row r="43">
          <cell r="H43">
            <v>0</v>
          </cell>
        </row>
      </sheetData>
      <sheetData sheetId="1625">
        <row r="43">
          <cell r="H43">
            <v>0</v>
          </cell>
        </row>
      </sheetData>
      <sheetData sheetId="1626">
        <row r="43">
          <cell r="H43">
            <v>0</v>
          </cell>
        </row>
      </sheetData>
      <sheetData sheetId="1627">
        <row r="43">
          <cell r="H43">
            <v>0</v>
          </cell>
        </row>
      </sheetData>
      <sheetData sheetId="1628">
        <row r="43">
          <cell r="H43">
            <v>0</v>
          </cell>
        </row>
      </sheetData>
      <sheetData sheetId="1629"/>
      <sheetData sheetId="1630"/>
      <sheetData sheetId="1631">
        <row r="43">
          <cell r="H43">
            <v>0</v>
          </cell>
        </row>
      </sheetData>
      <sheetData sheetId="1632">
        <row r="43">
          <cell r="H43">
            <v>0</v>
          </cell>
        </row>
      </sheetData>
      <sheetData sheetId="1633">
        <row r="43">
          <cell r="H43">
            <v>0</v>
          </cell>
        </row>
      </sheetData>
      <sheetData sheetId="1634">
        <row r="43">
          <cell r="H43">
            <v>0</v>
          </cell>
        </row>
      </sheetData>
      <sheetData sheetId="1635">
        <row r="43">
          <cell r="H43">
            <v>0</v>
          </cell>
        </row>
      </sheetData>
      <sheetData sheetId="1636">
        <row r="43">
          <cell r="H43">
            <v>0</v>
          </cell>
        </row>
      </sheetData>
      <sheetData sheetId="1637">
        <row r="43">
          <cell r="H43">
            <v>0</v>
          </cell>
        </row>
      </sheetData>
      <sheetData sheetId="1638">
        <row r="43">
          <cell r="H43">
            <v>0</v>
          </cell>
        </row>
      </sheetData>
      <sheetData sheetId="1639">
        <row r="43">
          <cell r="H43">
            <v>0</v>
          </cell>
        </row>
      </sheetData>
      <sheetData sheetId="1640">
        <row r="43">
          <cell r="H43">
            <v>0</v>
          </cell>
        </row>
      </sheetData>
      <sheetData sheetId="1641">
        <row r="43">
          <cell r="H43">
            <v>0</v>
          </cell>
        </row>
      </sheetData>
      <sheetData sheetId="1642">
        <row r="43">
          <cell r="H43">
            <v>0</v>
          </cell>
        </row>
      </sheetData>
      <sheetData sheetId="1643">
        <row r="43">
          <cell r="H43">
            <v>0</v>
          </cell>
        </row>
      </sheetData>
      <sheetData sheetId="1644">
        <row r="43">
          <cell r="H43">
            <v>0</v>
          </cell>
        </row>
      </sheetData>
      <sheetData sheetId="1645">
        <row r="43">
          <cell r="H43">
            <v>0</v>
          </cell>
        </row>
      </sheetData>
      <sheetData sheetId="1646">
        <row r="43">
          <cell r="H43">
            <v>0</v>
          </cell>
        </row>
      </sheetData>
      <sheetData sheetId="1647">
        <row r="43">
          <cell r="H43">
            <v>0</v>
          </cell>
        </row>
      </sheetData>
      <sheetData sheetId="1648">
        <row r="43">
          <cell r="H43">
            <v>0</v>
          </cell>
        </row>
      </sheetData>
      <sheetData sheetId="1649">
        <row r="43">
          <cell r="H43">
            <v>0</v>
          </cell>
        </row>
      </sheetData>
      <sheetData sheetId="1650">
        <row r="43">
          <cell r="H43">
            <v>0</v>
          </cell>
        </row>
      </sheetData>
      <sheetData sheetId="1651">
        <row r="43">
          <cell r="H43">
            <v>0</v>
          </cell>
        </row>
      </sheetData>
      <sheetData sheetId="1652"/>
      <sheetData sheetId="1653">
        <row r="43">
          <cell r="H43">
            <v>0</v>
          </cell>
        </row>
      </sheetData>
      <sheetData sheetId="1654">
        <row r="43">
          <cell r="H43">
            <v>0</v>
          </cell>
        </row>
      </sheetData>
      <sheetData sheetId="1655">
        <row r="43">
          <cell r="H43">
            <v>0</v>
          </cell>
        </row>
      </sheetData>
      <sheetData sheetId="1656"/>
      <sheetData sheetId="1657"/>
      <sheetData sheetId="1658"/>
      <sheetData sheetId="1659">
        <row r="43">
          <cell r="H43">
            <v>0</v>
          </cell>
        </row>
      </sheetData>
      <sheetData sheetId="1660"/>
      <sheetData sheetId="1661"/>
      <sheetData sheetId="1662"/>
      <sheetData sheetId="1663">
        <row r="43">
          <cell r="H43">
            <v>0</v>
          </cell>
        </row>
      </sheetData>
      <sheetData sheetId="1664"/>
      <sheetData sheetId="1665">
        <row r="43">
          <cell r="H43">
            <v>0</v>
          </cell>
        </row>
      </sheetData>
      <sheetData sheetId="1666">
        <row r="43">
          <cell r="H43">
            <v>0</v>
          </cell>
        </row>
      </sheetData>
      <sheetData sheetId="1667">
        <row r="43">
          <cell r="H43">
            <v>0</v>
          </cell>
        </row>
      </sheetData>
      <sheetData sheetId="1668">
        <row r="43">
          <cell r="H43">
            <v>0</v>
          </cell>
        </row>
      </sheetData>
      <sheetData sheetId="1669"/>
      <sheetData sheetId="1670">
        <row r="43">
          <cell r="H43">
            <v>0</v>
          </cell>
        </row>
      </sheetData>
      <sheetData sheetId="1671">
        <row r="43">
          <cell r="H43">
            <v>0</v>
          </cell>
        </row>
      </sheetData>
      <sheetData sheetId="1672"/>
      <sheetData sheetId="1673">
        <row r="43">
          <cell r="H43">
            <v>0</v>
          </cell>
        </row>
      </sheetData>
      <sheetData sheetId="1674">
        <row r="43">
          <cell r="H43">
            <v>0</v>
          </cell>
        </row>
      </sheetData>
      <sheetData sheetId="1675">
        <row r="43">
          <cell r="H43">
            <v>0</v>
          </cell>
        </row>
      </sheetData>
      <sheetData sheetId="1676">
        <row r="43">
          <cell r="H43">
            <v>0</v>
          </cell>
        </row>
      </sheetData>
      <sheetData sheetId="1677">
        <row r="43">
          <cell r="H43">
            <v>0</v>
          </cell>
        </row>
      </sheetData>
      <sheetData sheetId="1678">
        <row r="43">
          <cell r="H43">
            <v>0</v>
          </cell>
        </row>
      </sheetData>
      <sheetData sheetId="1679">
        <row r="43">
          <cell r="H43">
            <v>0</v>
          </cell>
        </row>
      </sheetData>
      <sheetData sheetId="1680">
        <row r="43">
          <cell r="H43">
            <v>0</v>
          </cell>
        </row>
      </sheetData>
      <sheetData sheetId="1681">
        <row r="43">
          <cell r="H43">
            <v>0</v>
          </cell>
        </row>
      </sheetData>
      <sheetData sheetId="1682">
        <row r="43">
          <cell r="H43">
            <v>0</v>
          </cell>
        </row>
      </sheetData>
      <sheetData sheetId="1683">
        <row r="43">
          <cell r="H43">
            <v>0</v>
          </cell>
        </row>
      </sheetData>
      <sheetData sheetId="1684">
        <row r="43">
          <cell r="H43">
            <v>0</v>
          </cell>
        </row>
      </sheetData>
      <sheetData sheetId="1685">
        <row r="43">
          <cell r="H43">
            <v>0</v>
          </cell>
        </row>
      </sheetData>
      <sheetData sheetId="1686">
        <row r="43">
          <cell r="H43">
            <v>0</v>
          </cell>
        </row>
      </sheetData>
      <sheetData sheetId="1687">
        <row r="43">
          <cell r="H43">
            <v>0</v>
          </cell>
        </row>
      </sheetData>
      <sheetData sheetId="1688">
        <row r="43">
          <cell r="H43">
            <v>0</v>
          </cell>
        </row>
      </sheetData>
      <sheetData sheetId="1689">
        <row r="43">
          <cell r="H43">
            <v>0</v>
          </cell>
        </row>
      </sheetData>
      <sheetData sheetId="1690">
        <row r="43">
          <cell r="H43">
            <v>0</v>
          </cell>
        </row>
      </sheetData>
      <sheetData sheetId="1691">
        <row r="43">
          <cell r="H43">
            <v>0</v>
          </cell>
        </row>
      </sheetData>
      <sheetData sheetId="1692">
        <row r="43">
          <cell r="H43">
            <v>0</v>
          </cell>
        </row>
      </sheetData>
      <sheetData sheetId="1693">
        <row r="43">
          <cell r="H43">
            <v>0</v>
          </cell>
        </row>
      </sheetData>
      <sheetData sheetId="1694">
        <row r="43">
          <cell r="H43">
            <v>0</v>
          </cell>
        </row>
      </sheetData>
      <sheetData sheetId="1695">
        <row r="43">
          <cell r="H43">
            <v>0</v>
          </cell>
        </row>
      </sheetData>
      <sheetData sheetId="1696">
        <row r="43">
          <cell r="H43">
            <v>0</v>
          </cell>
        </row>
      </sheetData>
      <sheetData sheetId="1697">
        <row r="43">
          <cell r="H43">
            <v>0</v>
          </cell>
        </row>
      </sheetData>
      <sheetData sheetId="1698">
        <row r="43">
          <cell r="H43">
            <v>0</v>
          </cell>
        </row>
      </sheetData>
      <sheetData sheetId="1699">
        <row r="43">
          <cell r="H43">
            <v>0</v>
          </cell>
        </row>
      </sheetData>
      <sheetData sheetId="1700">
        <row r="43">
          <cell r="H43">
            <v>0</v>
          </cell>
        </row>
      </sheetData>
      <sheetData sheetId="1701">
        <row r="43">
          <cell r="H43">
            <v>0</v>
          </cell>
        </row>
      </sheetData>
      <sheetData sheetId="1702">
        <row r="43">
          <cell r="H43">
            <v>0</v>
          </cell>
        </row>
      </sheetData>
      <sheetData sheetId="1703">
        <row r="43">
          <cell r="H43">
            <v>0</v>
          </cell>
        </row>
      </sheetData>
      <sheetData sheetId="1704">
        <row r="43">
          <cell r="H43">
            <v>0</v>
          </cell>
        </row>
      </sheetData>
      <sheetData sheetId="1705">
        <row r="43">
          <cell r="H43">
            <v>0</v>
          </cell>
        </row>
      </sheetData>
      <sheetData sheetId="1706">
        <row r="43">
          <cell r="H43">
            <v>0</v>
          </cell>
        </row>
      </sheetData>
      <sheetData sheetId="1707">
        <row r="43">
          <cell r="H43">
            <v>0</v>
          </cell>
        </row>
      </sheetData>
      <sheetData sheetId="1708">
        <row r="43">
          <cell r="H43">
            <v>0</v>
          </cell>
        </row>
      </sheetData>
      <sheetData sheetId="1709">
        <row r="43">
          <cell r="H43">
            <v>0</v>
          </cell>
        </row>
      </sheetData>
      <sheetData sheetId="1710">
        <row r="43">
          <cell r="H43">
            <v>0</v>
          </cell>
        </row>
      </sheetData>
      <sheetData sheetId="1711">
        <row r="43">
          <cell r="H43">
            <v>0</v>
          </cell>
        </row>
      </sheetData>
      <sheetData sheetId="1712">
        <row r="43">
          <cell r="H43">
            <v>0</v>
          </cell>
        </row>
      </sheetData>
      <sheetData sheetId="1713">
        <row r="43">
          <cell r="H43">
            <v>0</v>
          </cell>
        </row>
      </sheetData>
      <sheetData sheetId="1714">
        <row r="43">
          <cell r="H43">
            <v>0</v>
          </cell>
        </row>
      </sheetData>
      <sheetData sheetId="1715">
        <row r="43">
          <cell r="H43">
            <v>0</v>
          </cell>
        </row>
      </sheetData>
      <sheetData sheetId="1716">
        <row r="43">
          <cell r="H43">
            <v>0</v>
          </cell>
        </row>
      </sheetData>
      <sheetData sheetId="1717">
        <row r="43">
          <cell r="H43">
            <v>0</v>
          </cell>
        </row>
      </sheetData>
      <sheetData sheetId="1718">
        <row r="43">
          <cell r="H43">
            <v>0</v>
          </cell>
        </row>
      </sheetData>
      <sheetData sheetId="1719">
        <row r="43">
          <cell r="H43">
            <v>0</v>
          </cell>
        </row>
      </sheetData>
      <sheetData sheetId="1720">
        <row r="43">
          <cell r="H43">
            <v>0</v>
          </cell>
        </row>
      </sheetData>
      <sheetData sheetId="1721">
        <row r="43">
          <cell r="H43">
            <v>0</v>
          </cell>
        </row>
      </sheetData>
      <sheetData sheetId="1722">
        <row r="43">
          <cell r="H43">
            <v>0</v>
          </cell>
        </row>
      </sheetData>
      <sheetData sheetId="1723">
        <row r="43">
          <cell r="H43">
            <v>0</v>
          </cell>
        </row>
      </sheetData>
      <sheetData sheetId="1724">
        <row r="43">
          <cell r="H43">
            <v>0</v>
          </cell>
        </row>
      </sheetData>
      <sheetData sheetId="1725">
        <row r="43">
          <cell r="H43">
            <v>0</v>
          </cell>
        </row>
      </sheetData>
      <sheetData sheetId="1726">
        <row r="43">
          <cell r="H43">
            <v>0</v>
          </cell>
        </row>
      </sheetData>
      <sheetData sheetId="1727">
        <row r="43">
          <cell r="H43">
            <v>0</v>
          </cell>
        </row>
      </sheetData>
      <sheetData sheetId="1728">
        <row r="43">
          <cell r="H43">
            <v>0</v>
          </cell>
        </row>
      </sheetData>
      <sheetData sheetId="1729">
        <row r="43">
          <cell r="H43">
            <v>0</v>
          </cell>
        </row>
      </sheetData>
      <sheetData sheetId="1730">
        <row r="43">
          <cell r="H43">
            <v>0</v>
          </cell>
        </row>
      </sheetData>
      <sheetData sheetId="1731">
        <row r="43">
          <cell r="H43">
            <v>0</v>
          </cell>
        </row>
      </sheetData>
      <sheetData sheetId="1732">
        <row r="43">
          <cell r="H43">
            <v>0</v>
          </cell>
        </row>
      </sheetData>
      <sheetData sheetId="1733">
        <row r="43">
          <cell r="H43">
            <v>0</v>
          </cell>
        </row>
      </sheetData>
      <sheetData sheetId="1734">
        <row r="43">
          <cell r="H43">
            <v>0</v>
          </cell>
        </row>
      </sheetData>
      <sheetData sheetId="1735">
        <row r="43">
          <cell r="H43">
            <v>0</v>
          </cell>
        </row>
      </sheetData>
      <sheetData sheetId="1736">
        <row r="43">
          <cell r="H43">
            <v>0</v>
          </cell>
        </row>
      </sheetData>
      <sheetData sheetId="1737">
        <row r="43">
          <cell r="H43">
            <v>0</v>
          </cell>
        </row>
      </sheetData>
      <sheetData sheetId="1738">
        <row r="43">
          <cell r="H43">
            <v>0</v>
          </cell>
        </row>
      </sheetData>
      <sheetData sheetId="1739">
        <row r="43">
          <cell r="H43">
            <v>0</v>
          </cell>
        </row>
      </sheetData>
      <sheetData sheetId="1740">
        <row r="43">
          <cell r="H43">
            <v>0</v>
          </cell>
        </row>
      </sheetData>
      <sheetData sheetId="1741">
        <row r="43">
          <cell r="H43">
            <v>0</v>
          </cell>
        </row>
      </sheetData>
      <sheetData sheetId="1742">
        <row r="43">
          <cell r="H43">
            <v>0</v>
          </cell>
        </row>
      </sheetData>
      <sheetData sheetId="1743">
        <row r="43">
          <cell r="H43">
            <v>0</v>
          </cell>
        </row>
      </sheetData>
      <sheetData sheetId="1744">
        <row r="43">
          <cell r="H43">
            <v>0</v>
          </cell>
        </row>
      </sheetData>
      <sheetData sheetId="1745">
        <row r="43">
          <cell r="H43">
            <v>0</v>
          </cell>
        </row>
      </sheetData>
      <sheetData sheetId="1746">
        <row r="43">
          <cell r="H43">
            <v>0</v>
          </cell>
        </row>
      </sheetData>
      <sheetData sheetId="1747">
        <row r="43">
          <cell r="H43">
            <v>0</v>
          </cell>
        </row>
      </sheetData>
      <sheetData sheetId="1748">
        <row r="43">
          <cell r="H43">
            <v>0</v>
          </cell>
        </row>
      </sheetData>
      <sheetData sheetId="1749">
        <row r="43">
          <cell r="H43">
            <v>0</v>
          </cell>
        </row>
      </sheetData>
      <sheetData sheetId="1750">
        <row r="43">
          <cell r="H43">
            <v>0</v>
          </cell>
        </row>
      </sheetData>
      <sheetData sheetId="1751">
        <row r="43">
          <cell r="H43">
            <v>0</v>
          </cell>
        </row>
      </sheetData>
      <sheetData sheetId="1752">
        <row r="43">
          <cell r="H43">
            <v>0</v>
          </cell>
        </row>
      </sheetData>
      <sheetData sheetId="1753">
        <row r="43">
          <cell r="H43">
            <v>0</v>
          </cell>
        </row>
      </sheetData>
      <sheetData sheetId="1754">
        <row r="43">
          <cell r="H43">
            <v>0</v>
          </cell>
        </row>
      </sheetData>
      <sheetData sheetId="1755">
        <row r="43">
          <cell r="H43">
            <v>0</v>
          </cell>
        </row>
      </sheetData>
      <sheetData sheetId="1756">
        <row r="43">
          <cell r="H43">
            <v>0</v>
          </cell>
        </row>
      </sheetData>
      <sheetData sheetId="1757">
        <row r="43">
          <cell r="H43">
            <v>0</v>
          </cell>
        </row>
      </sheetData>
      <sheetData sheetId="1758">
        <row r="43">
          <cell r="H43">
            <v>0</v>
          </cell>
        </row>
      </sheetData>
      <sheetData sheetId="1759">
        <row r="43">
          <cell r="H43">
            <v>0</v>
          </cell>
        </row>
      </sheetData>
      <sheetData sheetId="1760">
        <row r="43">
          <cell r="H43">
            <v>0</v>
          </cell>
        </row>
      </sheetData>
      <sheetData sheetId="1761">
        <row r="43">
          <cell r="H43">
            <v>0</v>
          </cell>
        </row>
      </sheetData>
      <sheetData sheetId="1762">
        <row r="43">
          <cell r="H43">
            <v>0</v>
          </cell>
        </row>
      </sheetData>
      <sheetData sheetId="1763">
        <row r="43">
          <cell r="H43">
            <v>0</v>
          </cell>
        </row>
      </sheetData>
      <sheetData sheetId="1764">
        <row r="43">
          <cell r="H43">
            <v>0</v>
          </cell>
        </row>
      </sheetData>
      <sheetData sheetId="1765">
        <row r="43">
          <cell r="H43">
            <v>0</v>
          </cell>
        </row>
      </sheetData>
      <sheetData sheetId="1766">
        <row r="43">
          <cell r="H43">
            <v>0</v>
          </cell>
        </row>
      </sheetData>
      <sheetData sheetId="1767">
        <row r="43">
          <cell r="H43">
            <v>0</v>
          </cell>
        </row>
      </sheetData>
      <sheetData sheetId="1768">
        <row r="43">
          <cell r="H43">
            <v>0</v>
          </cell>
        </row>
      </sheetData>
      <sheetData sheetId="1769">
        <row r="43">
          <cell r="H43">
            <v>0</v>
          </cell>
        </row>
      </sheetData>
      <sheetData sheetId="1770">
        <row r="43">
          <cell r="H43">
            <v>0</v>
          </cell>
        </row>
      </sheetData>
      <sheetData sheetId="1771">
        <row r="43">
          <cell r="H43">
            <v>0</v>
          </cell>
        </row>
      </sheetData>
      <sheetData sheetId="1772">
        <row r="43">
          <cell r="H43">
            <v>0</v>
          </cell>
        </row>
      </sheetData>
      <sheetData sheetId="1773">
        <row r="43">
          <cell r="H43">
            <v>0</v>
          </cell>
        </row>
      </sheetData>
      <sheetData sheetId="1774">
        <row r="43">
          <cell r="H43">
            <v>0</v>
          </cell>
        </row>
      </sheetData>
      <sheetData sheetId="1775">
        <row r="43">
          <cell r="H43">
            <v>0</v>
          </cell>
        </row>
      </sheetData>
      <sheetData sheetId="1776">
        <row r="43">
          <cell r="H43">
            <v>0</v>
          </cell>
        </row>
      </sheetData>
      <sheetData sheetId="1777">
        <row r="43">
          <cell r="H43">
            <v>0</v>
          </cell>
        </row>
      </sheetData>
      <sheetData sheetId="1778">
        <row r="43">
          <cell r="H43">
            <v>0</v>
          </cell>
        </row>
      </sheetData>
      <sheetData sheetId="1779">
        <row r="43">
          <cell r="H43">
            <v>0</v>
          </cell>
        </row>
      </sheetData>
      <sheetData sheetId="1780">
        <row r="43">
          <cell r="H43">
            <v>0</v>
          </cell>
        </row>
      </sheetData>
      <sheetData sheetId="1781">
        <row r="43">
          <cell r="H43">
            <v>0</v>
          </cell>
        </row>
      </sheetData>
      <sheetData sheetId="1782">
        <row r="43">
          <cell r="H43">
            <v>0</v>
          </cell>
        </row>
      </sheetData>
      <sheetData sheetId="1783">
        <row r="43">
          <cell r="H43">
            <v>0</v>
          </cell>
        </row>
      </sheetData>
      <sheetData sheetId="1784">
        <row r="43">
          <cell r="H43">
            <v>0</v>
          </cell>
        </row>
      </sheetData>
      <sheetData sheetId="1785">
        <row r="43">
          <cell r="H43">
            <v>0</v>
          </cell>
        </row>
      </sheetData>
      <sheetData sheetId="1786">
        <row r="43">
          <cell r="H43">
            <v>0</v>
          </cell>
        </row>
      </sheetData>
      <sheetData sheetId="1787">
        <row r="43">
          <cell r="H43">
            <v>0</v>
          </cell>
        </row>
      </sheetData>
      <sheetData sheetId="1788">
        <row r="43">
          <cell r="H43">
            <v>0</v>
          </cell>
        </row>
      </sheetData>
      <sheetData sheetId="1789">
        <row r="43">
          <cell r="H43">
            <v>0</v>
          </cell>
        </row>
      </sheetData>
      <sheetData sheetId="1790">
        <row r="43">
          <cell r="H43">
            <v>0</v>
          </cell>
        </row>
      </sheetData>
      <sheetData sheetId="1791">
        <row r="43">
          <cell r="H43">
            <v>0</v>
          </cell>
        </row>
      </sheetData>
      <sheetData sheetId="1792">
        <row r="43">
          <cell r="H43">
            <v>0</v>
          </cell>
        </row>
      </sheetData>
      <sheetData sheetId="1793">
        <row r="43">
          <cell r="H43">
            <v>0</v>
          </cell>
        </row>
      </sheetData>
      <sheetData sheetId="1794">
        <row r="43">
          <cell r="H43">
            <v>0</v>
          </cell>
        </row>
      </sheetData>
      <sheetData sheetId="1795">
        <row r="43">
          <cell r="H43">
            <v>0</v>
          </cell>
        </row>
      </sheetData>
      <sheetData sheetId="1796">
        <row r="43">
          <cell r="H43">
            <v>0</v>
          </cell>
        </row>
      </sheetData>
      <sheetData sheetId="1797">
        <row r="43">
          <cell r="H43">
            <v>0</v>
          </cell>
        </row>
      </sheetData>
      <sheetData sheetId="1798">
        <row r="43">
          <cell r="H43">
            <v>0</v>
          </cell>
        </row>
      </sheetData>
      <sheetData sheetId="1799">
        <row r="43">
          <cell r="H43">
            <v>0</v>
          </cell>
        </row>
      </sheetData>
      <sheetData sheetId="1800">
        <row r="43">
          <cell r="H43">
            <v>0</v>
          </cell>
        </row>
      </sheetData>
      <sheetData sheetId="1801">
        <row r="43">
          <cell r="H43">
            <v>0</v>
          </cell>
        </row>
      </sheetData>
      <sheetData sheetId="1802">
        <row r="43">
          <cell r="H43">
            <v>0</v>
          </cell>
        </row>
      </sheetData>
      <sheetData sheetId="1803">
        <row r="43">
          <cell r="H43">
            <v>0</v>
          </cell>
        </row>
      </sheetData>
      <sheetData sheetId="1804">
        <row r="43">
          <cell r="H43">
            <v>0</v>
          </cell>
        </row>
      </sheetData>
      <sheetData sheetId="1805">
        <row r="43">
          <cell r="H43">
            <v>0</v>
          </cell>
        </row>
      </sheetData>
      <sheetData sheetId="1806">
        <row r="43">
          <cell r="H43">
            <v>0</v>
          </cell>
        </row>
      </sheetData>
      <sheetData sheetId="1807">
        <row r="43">
          <cell r="H43">
            <v>0</v>
          </cell>
        </row>
      </sheetData>
      <sheetData sheetId="1808">
        <row r="43">
          <cell r="H43">
            <v>0</v>
          </cell>
        </row>
      </sheetData>
      <sheetData sheetId="1809">
        <row r="43">
          <cell r="H43">
            <v>0</v>
          </cell>
        </row>
      </sheetData>
      <sheetData sheetId="1810">
        <row r="43">
          <cell r="H43">
            <v>0</v>
          </cell>
        </row>
      </sheetData>
      <sheetData sheetId="1811">
        <row r="43">
          <cell r="H43">
            <v>0</v>
          </cell>
        </row>
      </sheetData>
      <sheetData sheetId="1812">
        <row r="43">
          <cell r="H43">
            <v>0</v>
          </cell>
        </row>
      </sheetData>
      <sheetData sheetId="1813">
        <row r="43">
          <cell r="H43">
            <v>0</v>
          </cell>
        </row>
      </sheetData>
      <sheetData sheetId="1814">
        <row r="43">
          <cell r="H43">
            <v>0</v>
          </cell>
        </row>
      </sheetData>
      <sheetData sheetId="1815">
        <row r="43">
          <cell r="H43">
            <v>0</v>
          </cell>
        </row>
      </sheetData>
      <sheetData sheetId="1816">
        <row r="43">
          <cell r="H43">
            <v>0</v>
          </cell>
        </row>
      </sheetData>
      <sheetData sheetId="1817">
        <row r="43">
          <cell r="H43">
            <v>0</v>
          </cell>
        </row>
      </sheetData>
      <sheetData sheetId="1818">
        <row r="43">
          <cell r="H43">
            <v>0</v>
          </cell>
        </row>
      </sheetData>
      <sheetData sheetId="1819">
        <row r="43">
          <cell r="H43">
            <v>0</v>
          </cell>
        </row>
      </sheetData>
      <sheetData sheetId="1820">
        <row r="43">
          <cell r="H43">
            <v>0</v>
          </cell>
        </row>
      </sheetData>
      <sheetData sheetId="1821">
        <row r="43">
          <cell r="H43">
            <v>0</v>
          </cell>
        </row>
      </sheetData>
      <sheetData sheetId="1822">
        <row r="43">
          <cell r="H43">
            <v>0</v>
          </cell>
        </row>
      </sheetData>
      <sheetData sheetId="1823">
        <row r="43">
          <cell r="H43">
            <v>0</v>
          </cell>
        </row>
      </sheetData>
      <sheetData sheetId="1824">
        <row r="43">
          <cell r="H43">
            <v>0</v>
          </cell>
        </row>
      </sheetData>
      <sheetData sheetId="1825">
        <row r="43">
          <cell r="H43">
            <v>0</v>
          </cell>
        </row>
      </sheetData>
      <sheetData sheetId="1826">
        <row r="43">
          <cell r="H43">
            <v>0</v>
          </cell>
        </row>
      </sheetData>
      <sheetData sheetId="1827">
        <row r="43">
          <cell r="H43">
            <v>0</v>
          </cell>
        </row>
      </sheetData>
      <sheetData sheetId="1828">
        <row r="43">
          <cell r="H43">
            <v>0</v>
          </cell>
        </row>
      </sheetData>
      <sheetData sheetId="1829">
        <row r="43">
          <cell r="H43">
            <v>0</v>
          </cell>
        </row>
      </sheetData>
      <sheetData sheetId="1830">
        <row r="43">
          <cell r="H43">
            <v>0</v>
          </cell>
        </row>
      </sheetData>
      <sheetData sheetId="1831">
        <row r="43">
          <cell r="H43">
            <v>0</v>
          </cell>
        </row>
      </sheetData>
      <sheetData sheetId="1832">
        <row r="43">
          <cell r="H43">
            <v>0</v>
          </cell>
        </row>
      </sheetData>
      <sheetData sheetId="1833">
        <row r="43">
          <cell r="H43">
            <v>0</v>
          </cell>
        </row>
      </sheetData>
      <sheetData sheetId="1834">
        <row r="43">
          <cell r="H43">
            <v>0</v>
          </cell>
        </row>
      </sheetData>
      <sheetData sheetId="1835">
        <row r="43">
          <cell r="H43">
            <v>0</v>
          </cell>
        </row>
      </sheetData>
      <sheetData sheetId="1836">
        <row r="43">
          <cell r="H43">
            <v>0</v>
          </cell>
        </row>
      </sheetData>
      <sheetData sheetId="1837">
        <row r="43">
          <cell r="H43">
            <v>0</v>
          </cell>
        </row>
      </sheetData>
      <sheetData sheetId="1838">
        <row r="43">
          <cell r="H43">
            <v>0</v>
          </cell>
        </row>
      </sheetData>
      <sheetData sheetId="1839">
        <row r="43">
          <cell r="H43">
            <v>0</v>
          </cell>
        </row>
      </sheetData>
      <sheetData sheetId="1840">
        <row r="43">
          <cell r="H43">
            <v>0</v>
          </cell>
        </row>
      </sheetData>
      <sheetData sheetId="1841">
        <row r="43">
          <cell r="H43">
            <v>0</v>
          </cell>
        </row>
      </sheetData>
      <sheetData sheetId="1842">
        <row r="43">
          <cell r="H43">
            <v>0</v>
          </cell>
        </row>
      </sheetData>
      <sheetData sheetId="1843">
        <row r="43">
          <cell r="H43">
            <v>0</v>
          </cell>
        </row>
      </sheetData>
      <sheetData sheetId="1844">
        <row r="43">
          <cell r="H43">
            <v>0</v>
          </cell>
        </row>
      </sheetData>
      <sheetData sheetId="1845">
        <row r="43">
          <cell r="H43">
            <v>0</v>
          </cell>
        </row>
      </sheetData>
      <sheetData sheetId="1846">
        <row r="43">
          <cell r="H43">
            <v>0</v>
          </cell>
        </row>
      </sheetData>
      <sheetData sheetId="1847">
        <row r="43">
          <cell r="H43">
            <v>0</v>
          </cell>
        </row>
      </sheetData>
      <sheetData sheetId="1848">
        <row r="43">
          <cell r="H43">
            <v>0</v>
          </cell>
        </row>
      </sheetData>
      <sheetData sheetId="1849">
        <row r="43">
          <cell r="H43">
            <v>0</v>
          </cell>
        </row>
      </sheetData>
      <sheetData sheetId="1850">
        <row r="43">
          <cell r="H43">
            <v>0</v>
          </cell>
        </row>
      </sheetData>
      <sheetData sheetId="1851">
        <row r="43">
          <cell r="H43">
            <v>0</v>
          </cell>
        </row>
      </sheetData>
      <sheetData sheetId="1852">
        <row r="43">
          <cell r="H43">
            <v>0</v>
          </cell>
        </row>
      </sheetData>
      <sheetData sheetId="1853">
        <row r="43">
          <cell r="H43">
            <v>0</v>
          </cell>
        </row>
      </sheetData>
      <sheetData sheetId="1854">
        <row r="43">
          <cell r="H43">
            <v>0</v>
          </cell>
        </row>
      </sheetData>
      <sheetData sheetId="1855">
        <row r="43">
          <cell r="H43">
            <v>0</v>
          </cell>
        </row>
      </sheetData>
      <sheetData sheetId="1856">
        <row r="43">
          <cell r="H43">
            <v>0</v>
          </cell>
        </row>
      </sheetData>
      <sheetData sheetId="1857">
        <row r="43">
          <cell r="H43">
            <v>0</v>
          </cell>
        </row>
      </sheetData>
      <sheetData sheetId="1858">
        <row r="43">
          <cell r="H43">
            <v>0</v>
          </cell>
        </row>
      </sheetData>
      <sheetData sheetId="1859">
        <row r="43">
          <cell r="H43">
            <v>0</v>
          </cell>
        </row>
      </sheetData>
      <sheetData sheetId="1860">
        <row r="43">
          <cell r="H43">
            <v>0</v>
          </cell>
        </row>
      </sheetData>
      <sheetData sheetId="1861">
        <row r="43">
          <cell r="H43">
            <v>0</v>
          </cell>
        </row>
      </sheetData>
      <sheetData sheetId="1862">
        <row r="43">
          <cell r="H43">
            <v>0</v>
          </cell>
        </row>
      </sheetData>
      <sheetData sheetId="1863">
        <row r="43">
          <cell r="H43">
            <v>0</v>
          </cell>
        </row>
      </sheetData>
      <sheetData sheetId="1864">
        <row r="43">
          <cell r="H43">
            <v>0</v>
          </cell>
        </row>
      </sheetData>
      <sheetData sheetId="1865">
        <row r="43">
          <cell r="H43">
            <v>0</v>
          </cell>
        </row>
      </sheetData>
      <sheetData sheetId="1866">
        <row r="43">
          <cell r="H43">
            <v>0</v>
          </cell>
        </row>
      </sheetData>
      <sheetData sheetId="1867">
        <row r="43">
          <cell r="H43">
            <v>0</v>
          </cell>
        </row>
      </sheetData>
      <sheetData sheetId="1868">
        <row r="43">
          <cell r="H43">
            <v>0</v>
          </cell>
        </row>
      </sheetData>
      <sheetData sheetId="1869">
        <row r="43">
          <cell r="H43">
            <v>0</v>
          </cell>
        </row>
      </sheetData>
      <sheetData sheetId="1870">
        <row r="43">
          <cell r="H43">
            <v>0</v>
          </cell>
        </row>
      </sheetData>
      <sheetData sheetId="1871">
        <row r="43">
          <cell r="H43">
            <v>0</v>
          </cell>
        </row>
      </sheetData>
      <sheetData sheetId="1872">
        <row r="43">
          <cell r="H43">
            <v>0</v>
          </cell>
        </row>
      </sheetData>
      <sheetData sheetId="1873">
        <row r="43">
          <cell r="H43">
            <v>0</v>
          </cell>
        </row>
      </sheetData>
      <sheetData sheetId="1874">
        <row r="43">
          <cell r="H43">
            <v>0</v>
          </cell>
        </row>
      </sheetData>
      <sheetData sheetId="1875">
        <row r="43">
          <cell r="H43">
            <v>0</v>
          </cell>
        </row>
      </sheetData>
      <sheetData sheetId="1876">
        <row r="43">
          <cell r="H43">
            <v>0</v>
          </cell>
        </row>
      </sheetData>
      <sheetData sheetId="1877">
        <row r="43">
          <cell r="H43">
            <v>0</v>
          </cell>
        </row>
      </sheetData>
      <sheetData sheetId="1878">
        <row r="43">
          <cell r="H43">
            <v>0</v>
          </cell>
        </row>
      </sheetData>
      <sheetData sheetId="1879">
        <row r="43">
          <cell r="H43">
            <v>0</v>
          </cell>
        </row>
      </sheetData>
      <sheetData sheetId="1880">
        <row r="43">
          <cell r="H43">
            <v>0</v>
          </cell>
        </row>
      </sheetData>
      <sheetData sheetId="1881">
        <row r="43">
          <cell r="H43">
            <v>0</v>
          </cell>
        </row>
      </sheetData>
      <sheetData sheetId="1882">
        <row r="43">
          <cell r="H43">
            <v>0</v>
          </cell>
        </row>
      </sheetData>
      <sheetData sheetId="1883">
        <row r="43">
          <cell r="H43">
            <v>0</v>
          </cell>
        </row>
      </sheetData>
      <sheetData sheetId="1884">
        <row r="43">
          <cell r="H43">
            <v>0</v>
          </cell>
        </row>
      </sheetData>
      <sheetData sheetId="1885">
        <row r="43">
          <cell r="H43">
            <v>0</v>
          </cell>
        </row>
      </sheetData>
      <sheetData sheetId="1886">
        <row r="43">
          <cell r="H43">
            <v>0</v>
          </cell>
        </row>
      </sheetData>
      <sheetData sheetId="1887">
        <row r="43">
          <cell r="H43">
            <v>0</v>
          </cell>
        </row>
      </sheetData>
      <sheetData sheetId="1888">
        <row r="43">
          <cell r="H43">
            <v>0</v>
          </cell>
        </row>
      </sheetData>
      <sheetData sheetId="1889">
        <row r="43">
          <cell r="H43">
            <v>0</v>
          </cell>
        </row>
      </sheetData>
      <sheetData sheetId="1890">
        <row r="43">
          <cell r="H43">
            <v>0</v>
          </cell>
        </row>
      </sheetData>
      <sheetData sheetId="1891">
        <row r="43">
          <cell r="H43">
            <v>0</v>
          </cell>
        </row>
      </sheetData>
      <sheetData sheetId="1892">
        <row r="43">
          <cell r="H43">
            <v>0</v>
          </cell>
        </row>
      </sheetData>
      <sheetData sheetId="1893">
        <row r="43">
          <cell r="H43">
            <v>0</v>
          </cell>
        </row>
      </sheetData>
      <sheetData sheetId="1894">
        <row r="43">
          <cell r="H43">
            <v>0</v>
          </cell>
        </row>
      </sheetData>
      <sheetData sheetId="1895">
        <row r="43">
          <cell r="H43">
            <v>0</v>
          </cell>
        </row>
      </sheetData>
      <sheetData sheetId="1896">
        <row r="43">
          <cell r="H43">
            <v>0</v>
          </cell>
        </row>
      </sheetData>
      <sheetData sheetId="1897">
        <row r="43">
          <cell r="H43">
            <v>0</v>
          </cell>
        </row>
      </sheetData>
      <sheetData sheetId="1898">
        <row r="43">
          <cell r="H43">
            <v>0</v>
          </cell>
        </row>
      </sheetData>
      <sheetData sheetId="1899">
        <row r="43">
          <cell r="H43">
            <v>0</v>
          </cell>
        </row>
      </sheetData>
      <sheetData sheetId="1900">
        <row r="43">
          <cell r="H43">
            <v>0</v>
          </cell>
        </row>
      </sheetData>
      <sheetData sheetId="1901">
        <row r="43">
          <cell r="H43">
            <v>0</v>
          </cell>
        </row>
      </sheetData>
      <sheetData sheetId="1902">
        <row r="43">
          <cell r="H43">
            <v>0</v>
          </cell>
        </row>
      </sheetData>
      <sheetData sheetId="1903">
        <row r="43">
          <cell r="H43">
            <v>0</v>
          </cell>
        </row>
      </sheetData>
      <sheetData sheetId="1904">
        <row r="43">
          <cell r="H43">
            <v>0</v>
          </cell>
        </row>
      </sheetData>
      <sheetData sheetId="1905">
        <row r="43">
          <cell r="H43">
            <v>0</v>
          </cell>
        </row>
      </sheetData>
      <sheetData sheetId="1906">
        <row r="43">
          <cell r="H43">
            <v>0</v>
          </cell>
        </row>
      </sheetData>
      <sheetData sheetId="1907">
        <row r="43">
          <cell r="H43">
            <v>0</v>
          </cell>
        </row>
      </sheetData>
      <sheetData sheetId="1908">
        <row r="43">
          <cell r="H43">
            <v>0</v>
          </cell>
        </row>
      </sheetData>
      <sheetData sheetId="1909">
        <row r="43">
          <cell r="H43">
            <v>0</v>
          </cell>
        </row>
      </sheetData>
      <sheetData sheetId="1910">
        <row r="43">
          <cell r="H43">
            <v>0</v>
          </cell>
        </row>
      </sheetData>
      <sheetData sheetId="1911">
        <row r="43">
          <cell r="H43">
            <v>0</v>
          </cell>
        </row>
      </sheetData>
      <sheetData sheetId="1912">
        <row r="43">
          <cell r="H43">
            <v>0</v>
          </cell>
        </row>
      </sheetData>
      <sheetData sheetId="1913">
        <row r="43">
          <cell r="H43">
            <v>0</v>
          </cell>
        </row>
      </sheetData>
      <sheetData sheetId="1914">
        <row r="43">
          <cell r="H43">
            <v>0</v>
          </cell>
        </row>
      </sheetData>
      <sheetData sheetId="1915">
        <row r="43">
          <cell r="H43">
            <v>0</v>
          </cell>
        </row>
      </sheetData>
      <sheetData sheetId="1916">
        <row r="43">
          <cell r="H43">
            <v>0</v>
          </cell>
        </row>
      </sheetData>
      <sheetData sheetId="1917">
        <row r="43">
          <cell r="H43">
            <v>0</v>
          </cell>
        </row>
      </sheetData>
      <sheetData sheetId="1918">
        <row r="43">
          <cell r="H43">
            <v>0</v>
          </cell>
        </row>
      </sheetData>
      <sheetData sheetId="1919">
        <row r="43">
          <cell r="H43">
            <v>0</v>
          </cell>
        </row>
      </sheetData>
      <sheetData sheetId="1920">
        <row r="43">
          <cell r="H43">
            <v>0</v>
          </cell>
        </row>
      </sheetData>
      <sheetData sheetId="1921">
        <row r="43">
          <cell r="H43">
            <v>0</v>
          </cell>
        </row>
      </sheetData>
      <sheetData sheetId="1922">
        <row r="43">
          <cell r="H43">
            <v>0</v>
          </cell>
        </row>
      </sheetData>
      <sheetData sheetId="1923">
        <row r="43">
          <cell r="H43">
            <v>0</v>
          </cell>
        </row>
      </sheetData>
      <sheetData sheetId="1924">
        <row r="43">
          <cell r="H43">
            <v>0</v>
          </cell>
        </row>
      </sheetData>
      <sheetData sheetId="1925">
        <row r="43">
          <cell r="H43">
            <v>0</v>
          </cell>
        </row>
      </sheetData>
      <sheetData sheetId="1926">
        <row r="43">
          <cell r="H43">
            <v>0</v>
          </cell>
        </row>
      </sheetData>
      <sheetData sheetId="1927">
        <row r="43">
          <cell r="H43">
            <v>0</v>
          </cell>
        </row>
      </sheetData>
      <sheetData sheetId="1928">
        <row r="43">
          <cell r="H43">
            <v>0</v>
          </cell>
        </row>
      </sheetData>
      <sheetData sheetId="1929">
        <row r="43">
          <cell r="H43">
            <v>0</v>
          </cell>
        </row>
      </sheetData>
      <sheetData sheetId="1930">
        <row r="43">
          <cell r="H43">
            <v>0</v>
          </cell>
        </row>
      </sheetData>
      <sheetData sheetId="1931">
        <row r="43">
          <cell r="H43">
            <v>0</v>
          </cell>
        </row>
      </sheetData>
      <sheetData sheetId="1932">
        <row r="43">
          <cell r="H43">
            <v>0</v>
          </cell>
        </row>
      </sheetData>
      <sheetData sheetId="1933">
        <row r="43">
          <cell r="H43">
            <v>0</v>
          </cell>
        </row>
      </sheetData>
      <sheetData sheetId="1934">
        <row r="43">
          <cell r="H43">
            <v>0</v>
          </cell>
        </row>
      </sheetData>
      <sheetData sheetId="1935">
        <row r="43">
          <cell r="H43">
            <v>0</v>
          </cell>
        </row>
      </sheetData>
      <sheetData sheetId="1936">
        <row r="43">
          <cell r="H43">
            <v>0</v>
          </cell>
        </row>
      </sheetData>
      <sheetData sheetId="1937">
        <row r="43">
          <cell r="H43">
            <v>0</v>
          </cell>
        </row>
      </sheetData>
      <sheetData sheetId="1938">
        <row r="43">
          <cell r="H43">
            <v>0</v>
          </cell>
        </row>
      </sheetData>
      <sheetData sheetId="1939">
        <row r="43">
          <cell r="H43">
            <v>0</v>
          </cell>
        </row>
      </sheetData>
      <sheetData sheetId="1940">
        <row r="43">
          <cell r="H43">
            <v>0</v>
          </cell>
        </row>
      </sheetData>
      <sheetData sheetId="1941">
        <row r="43">
          <cell r="H43">
            <v>0</v>
          </cell>
        </row>
      </sheetData>
      <sheetData sheetId="1942">
        <row r="43">
          <cell r="H43">
            <v>0</v>
          </cell>
        </row>
      </sheetData>
      <sheetData sheetId="1943">
        <row r="43">
          <cell r="H43">
            <v>0</v>
          </cell>
        </row>
      </sheetData>
      <sheetData sheetId="1944">
        <row r="43">
          <cell r="H43">
            <v>0</v>
          </cell>
        </row>
      </sheetData>
      <sheetData sheetId="1945">
        <row r="43">
          <cell r="H43">
            <v>0</v>
          </cell>
        </row>
      </sheetData>
      <sheetData sheetId="1946">
        <row r="43">
          <cell r="H43">
            <v>0</v>
          </cell>
        </row>
      </sheetData>
      <sheetData sheetId="1947">
        <row r="43">
          <cell r="H43">
            <v>0</v>
          </cell>
        </row>
      </sheetData>
      <sheetData sheetId="1948">
        <row r="43">
          <cell r="H43">
            <v>0</v>
          </cell>
        </row>
      </sheetData>
      <sheetData sheetId="1949">
        <row r="43">
          <cell r="H43">
            <v>0</v>
          </cell>
        </row>
      </sheetData>
      <sheetData sheetId="1950">
        <row r="43">
          <cell r="H43">
            <v>0</v>
          </cell>
        </row>
      </sheetData>
      <sheetData sheetId="1951">
        <row r="43">
          <cell r="H43">
            <v>0</v>
          </cell>
        </row>
      </sheetData>
      <sheetData sheetId="1952">
        <row r="43">
          <cell r="H43">
            <v>0</v>
          </cell>
        </row>
      </sheetData>
      <sheetData sheetId="1953">
        <row r="43">
          <cell r="H43">
            <v>0</v>
          </cell>
        </row>
      </sheetData>
      <sheetData sheetId="1954">
        <row r="43">
          <cell r="H43">
            <v>0</v>
          </cell>
        </row>
      </sheetData>
      <sheetData sheetId="1955">
        <row r="43">
          <cell r="H43">
            <v>0</v>
          </cell>
        </row>
      </sheetData>
      <sheetData sheetId="1956">
        <row r="43">
          <cell r="H43">
            <v>0</v>
          </cell>
        </row>
      </sheetData>
      <sheetData sheetId="1957">
        <row r="43">
          <cell r="H43">
            <v>0</v>
          </cell>
        </row>
      </sheetData>
      <sheetData sheetId="1958">
        <row r="43">
          <cell r="H43">
            <v>0</v>
          </cell>
        </row>
      </sheetData>
      <sheetData sheetId="1959">
        <row r="43">
          <cell r="H43">
            <v>0</v>
          </cell>
        </row>
      </sheetData>
      <sheetData sheetId="1960">
        <row r="43">
          <cell r="H43">
            <v>0</v>
          </cell>
        </row>
      </sheetData>
      <sheetData sheetId="1961">
        <row r="43">
          <cell r="H43">
            <v>0</v>
          </cell>
        </row>
      </sheetData>
      <sheetData sheetId="1962">
        <row r="43">
          <cell r="H43">
            <v>0</v>
          </cell>
        </row>
      </sheetData>
      <sheetData sheetId="1963">
        <row r="43">
          <cell r="H43">
            <v>0</v>
          </cell>
        </row>
      </sheetData>
      <sheetData sheetId="1964">
        <row r="43">
          <cell r="H43">
            <v>0</v>
          </cell>
        </row>
      </sheetData>
      <sheetData sheetId="1965">
        <row r="43">
          <cell r="H43">
            <v>0</v>
          </cell>
        </row>
      </sheetData>
      <sheetData sheetId="1966">
        <row r="43">
          <cell r="H43">
            <v>0</v>
          </cell>
        </row>
      </sheetData>
      <sheetData sheetId="1967">
        <row r="43">
          <cell r="H43">
            <v>0</v>
          </cell>
        </row>
      </sheetData>
      <sheetData sheetId="1968">
        <row r="43">
          <cell r="H43">
            <v>0</v>
          </cell>
        </row>
      </sheetData>
      <sheetData sheetId="1969">
        <row r="43">
          <cell r="H43">
            <v>0</v>
          </cell>
        </row>
      </sheetData>
      <sheetData sheetId="1970">
        <row r="43">
          <cell r="H43">
            <v>0</v>
          </cell>
        </row>
      </sheetData>
      <sheetData sheetId="1971">
        <row r="43">
          <cell r="H43">
            <v>0</v>
          </cell>
        </row>
      </sheetData>
      <sheetData sheetId="1972">
        <row r="43">
          <cell r="H43">
            <v>0</v>
          </cell>
        </row>
      </sheetData>
      <sheetData sheetId="1973">
        <row r="43">
          <cell r="H43">
            <v>0</v>
          </cell>
        </row>
      </sheetData>
      <sheetData sheetId="1974">
        <row r="43">
          <cell r="H43">
            <v>0</v>
          </cell>
        </row>
      </sheetData>
      <sheetData sheetId="1975">
        <row r="43">
          <cell r="H43">
            <v>0</v>
          </cell>
        </row>
      </sheetData>
      <sheetData sheetId="1976">
        <row r="43">
          <cell r="H43">
            <v>0</v>
          </cell>
        </row>
      </sheetData>
      <sheetData sheetId="1977">
        <row r="43">
          <cell r="H43">
            <v>0</v>
          </cell>
        </row>
      </sheetData>
      <sheetData sheetId="1978">
        <row r="43">
          <cell r="H43">
            <v>0</v>
          </cell>
        </row>
      </sheetData>
      <sheetData sheetId="1979">
        <row r="43">
          <cell r="H43">
            <v>0</v>
          </cell>
        </row>
      </sheetData>
      <sheetData sheetId="1980">
        <row r="43">
          <cell r="H43">
            <v>0</v>
          </cell>
        </row>
      </sheetData>
      <sheetData sheetId="1981">
        <row r="43">
          <cell r="H43">
            <v>0</v>
          </cell>
        </row>
      </sheetData>
      <sheetData sheetId="1982">
        <row r="43">
          <cell r="H43">
            <v>0</v>
          </cell>
        </row>
      </sheetData>
      <sheetData sheetId="1983">
        <row r="43">
          <cell r="H43">
            <v>0</v>
          </cell>
        </row>
      </sheetData>
      <sheetData sheetId="1984">
        <row r="43">
          <cell r="H43">
            <v>0</v>
          </cell>
        </row>
      </sheetData>
      <sheetData sheetId="1985">
        <row r="43">
          <cell r="H43">
            <v>0</v>
          </cell>
        </row>
      </sheetData>
      <sheetData sheetId="1986">
        <row r="43">
          <cell r="H43">
            <v>0</v>
          </cell>
        </row>
      </sheetData>
      <sheetData sheetId="1987">
        <row r="43">
          <cell r="H43">
            <v>0</v>
          </cell>
        </row>
      </sheetData>
      <sheetData sheetId="1988">
        <row r="43">
          <cell r="H43">
            <v>0</v>
          </cell>
        </row>
      </sheetData>
      <sheetData sheetId="1989">
        <row r="43">
          <cell r="H43">
            <v>0</v>
          </cell>
        </row>
      </sheetData>
      <sheetData sheetId="1990">
        <row r="43">
          <cell r="H43">
            <v>0</v>
          </cell>
        </row>
      </sheetData>
      <sheetData sheetId="1991">
        <row r="43">
          <cell r="H43">
            <v>0</v>
          </cell>
        </row>
      </sheetData>
      <sheetData sheetId="1992">
        <row r="43">
          <cell r="H43">
            <v>0</v>
          </cell>
        </row>
      </sheetData>
      <sheetData sheetId="1993">
        <row r="43">
          <cell r="H43">
            <v>0</v>
          </cell>
        </row>
      </sheetData>
      <sheetData sheetId="1994">
        <row r="43">
          <cell r="H43">
            <v>0</v>
          </cell>
        </row>
      </sheetData>
      <sheetData sheetId="1995">
        <row r="43">
          <cell r="H43">
            <v>0</v>
          </cell>
        </row>
      </sheetData>
      <sheetData sheetId="1996">
        <row r="43">
          <cell r="H43">
            <v>0</v>
          </cell>
        </row>
      </sheetData>
      <sheetData sheetId="1997">
        <row r="43">
          <cell r="H43">
            <v>0</v>
          </cell>
        </row>
      </sheetData>
      <sheetData sheetId="1998">
        <row r="43">
          <cell r="H43">
            <v>0</v>
          </cell>
        </row>
      </sheetData>
      <sheetData sheetId="1999">
        <row r="43">
          <cell r="H43">
            <v>0</v>
          </cell>
        </row>
      </sheetData>
      <sheetData sheetId="2000">
        <row r="43">
          <cell r="H43">
            <v>0</v>
          </cell>
        </row>
      </sheetData>
      <sheetData sheetId="2001">
        <row r="43">
          <cell r="H43">
            <v>0</v>
          </cell>
        </row>
      </sheetData>
      <sheetData sheetId="2002">
        <row r="43">
          <cell r="H43">
            <v>0</v>
          </cell>
        </row>
      </sheetData>
      <sheetData sheetId="2003">
        <row r="43">
          <cell r="H43">
            <v>0</v>
          </cell>
        </row>
      </sheetData>
      <sheetData sheetId="2004">
        <row r="43">
          <cell r="H43">
            <v>0</v>
          </cell>
        </row>
      </sheetData>
      <sheetData sheetId="2005">
        <row r="43">
          <cell r="H43">
            <v>0</v>
          </cell>
        </row>
      </sheetData>
      <sheetData sheetId="2006">
        <row r="43">
          <cell r="H43">
            <v>0</v>
          </cell>
        </row>
      </sheetData>
      <sheetData sheetId="2007">
        <row r="43">
          <cell r="H43">
            <v>0</v>
          </cell>
        </row>
      </sheetData>
      <sheetData sheetId="2008">
        <row r="43">
          <cell r="H43">
            <v>0</v>
          </cell>
        </row>
      </sheetData>
      <sheetData sheetId="2009">
        <row r="43">
          <cell r="H43">
            <v>0</v>
          </cell>
        </row>
      </sheetData>
      <sheetData sheetId="2010">
        <row r="43">
          <cell r="H43">
            <v>0</v>
          </cell>
        </row>
      </sheetData>
      <sheetData sheetId="2011">
        <row r="43">
          <cell r="H43">
            <v>0</v>
          </cell>
        </row>
      </sheetData>
      <sheetData sheetId="2012">
        <row r="43">
          <cell r="H43">
            <v>0</v>
          </cell>
        </row>
      </sheetData>
      <sheetData sheetId="2013">
        <row r="43">
          <cell r="H43">
            <v>0</v>
          </cell>
        </row>
      </sheetData>
      <sheetData sheetId="2014">
        <row r="43">
          <cell r="H43">
            <v>0</v>
          </cell>
        </row>
      </sheetData>
      <sheetData sheetId="2015">
        <row r="43">
          <cell r="H43">
            <v>0</v>
          </cell>
        </row>
      </sheetData>
      <sheetData sheetId="2016">
        <row r="43">
          <cell r="H43">
            <v>0</v>
          </cell>
        </row>
      </sheetData>
      <sheetData sheetId="2017">
        <row r="43">
          <cell r="H43">
            <v>0</v>
          </cell>
        </row>
      </sheetData>
      <sheetData sheetId="2018">
        <row r="43">
          <cell r="H43">
            <v>0</v>
          </cell>
        </row>
      </sheetData>
      <sheetData sheetId="2019">
        <row r="43">
          <cell r="H43">
            <v>0</v>
          </cell>
        </row>
      </sheetData>
      <sheetData sheetId="2020">
        <row r="43">
          <cell r="H43">
            <v>0</v>
          </cell>
        </row>
      </sheetData>
      <sheetData sheetId="2021">
        <row r="43">
          <cell r="H43">
            <v>0</v>
          </cell>
        </row>
      </sheetData>
      <sheetData sheetId="2022">
        <row r="43">
          <cell r="H43">
            <v>0</v>
          </cell>
        </row>
      </sheetData>
      <sheetData sheetId="2023">
        <row r="43">
          <cell r="H43">
            <v>0</v>
          </cell>
        </row>
      </sheetData>
      <sheetData sheetId="2024">
        <row r="43">
          <cell r="H43">
            <v>0</v>
          </cell>
        </row>
      </sheetData>
      <sheetData sheetId="2025">
        <row r="43">
          <cell r="H43">
            <v>0</v>
          </cell>
        </row>
      </sheetData>
      <sheetData sheetId="2026">
        <row r="43">
          <cell r="H43">
            <v>0</v>
          </cell>
        </row>
      </sheetData>
      <sheetData sheetId="2027">
        <row r="43">
          <cell r="H43">
            <v>0</v>
          </cell>
        </row>
      </sheetData>
      <sheetData sheetId="2028">
        <row r="43">
          <cell r="H43">
            <v>0</v>
          </cell>
        </row>
      </sheetData>
      <sheetData sheetId="2029">
        <row r="43">
          <cell r="H43">
            <v>0</v>
          </cell>
        </row>
      </sheetData>
      <sheetData sheetId="2030">
        <row r="43">
          <cell r="H43">
            <v>0</v>
          </cell>
        </row>
      </sheetData>
      <sheetData sheetId="2031">
        <row r="43">
          <cell r="H43">
            <v>0</v>
          </cell>
        </row>
      </sheetData>
      <sheetData sheetId="2032">
        <row r="43">
          <cell r="H43">
            <v>0</v>
          </cell>
        </row>
      </sheetData>
      <sheetData sheetId="2033">
        <row r="43">
          <cell r="H43">
            <v>0</v>
          </cell>
        </row>
      </sheetData>
      <sheetData sheetId="2034">
        <row r="43">
          <cell r="H43">
            <v>0</v>
          </cell>
        </row>
      </sheetData>
      <sheetData sheetId="2035">
        <row r="43">
          <cell r="H43">
            <v>0</v>
          </cell>
        </row>
      </sheetData>
      <sheetData sheetId="2036">
        <row r="43">
          <cell r="H43">
            <v>0</v>
          </cell>
        </row>
      </sheetData>
      <sheetData sheetId="2037">
        <row r="43">
          <cell r="H43">
            <v>0</v>
          </cell>
        </row>
      </sheetData>
      <sheetData sheetId="2038">
        <row r="43">
          <cell r="H43">
            <v>0</v>
          </cell>
        </row>
      </sheetData>
      <sheetData sheetId="2039">
        <row r="43">
          <cell r="H43">
            <v>0</v>
          </cell>
        </row>
      </sheetData>
      <sheetData sheetId="2040">
        <row r="43">
          <cell r="H43">
            <v>0</v>
          </cell>
        </row>
      </sheetData>
      <sheetData sheetId="2041">
        <row r="43">
          <cell r="H43">
            <v>0</v>
          </cell>
        </row>
      </sheetData>
      <sheetData sheetId="2042">
        <row r="43">
          <cell r="H43">
            <v>0</v>
          </cell>
        </row>
      </sheetData>
      <sheetData sheetId="2043">
        <row r="43">
          <cell r="H43">
            <v>0</v>
          </cell>
        </row>
      </sheetData>
      <sheetData sheetId="2044">
        <row r="43">
          <cell r="H43">
            <v>0</v>
          </cell>
        </row>
      </sheetData>
      <sheetData sheetId="2045">
        <row r="43">
          <cell r="H43">
            <v>0</v>
          </cell>
        </row>
      </sheetData>
      <sheetData sheetId="2046">
        <row r="43">
          <cell r="H43">
            <v>0</v>
          </cell>
        </row>
      </sheetData>
      <sheetData sheetId="2047">
        <row r="43">
          <cell r="H43">
            <v>0</v>
          </cell>
        </row>
      </sheetData>
      <sheetData sheetId="2048">
        <row r="43">
          <cell r="H43">
            <v>0</v>
          </cell>
        </row>
      </sheetData>
      <sheetData sheetId="2049">
        <row r="43">
          <cell r="H43">
            <v>0</v>
          </cell>
        </row>
      </sheetData>
      <sheetData sheetId="2050">
        <row r="43">
          <cell r="H43">
            <v>0</v>
          </cell>
        </row>
      </sheetData>
      <sheetData sheetId="2051">
        <row r="43">
          <cell r="H43">
            <v>0</v>
          </cell>
        </row>
      </sheetData>
      <sheetData sheetId="2052">
        <row r="43">
          <cell r="H43">
            <v>0</v>
          </cell>
        </row>
      </sheetData>
      <sheetData sheetId="2053">
        <row r="43">
          <cell r="H43">
            <v>0</v>
          </cell>
        </row>
      </sheetData>
      <sheetData sheetId="2054">
        <row r="43">
          <cell r="H43">
            <v>0</v>
          </cell>
        </row>
      </sheetData>
      <sheetData sheetId="2055">
        <row r="43">
          <cell r="H43">
            <v>0</v>
          </cell>
        </row>
      </sheetData>
      <sheetData sheetId="2056">
        <row r="43">
          <cell r="H43">
            <v>0</v>
          </cell>
        </row>
      </sheetData>
      <sheetData sheetId="2057">
        <row r="43">
          <cell r="H43">
            <v>0</v>
          </cell>
        </row>
      </sheetData>
      <sheetData sheetId="2058">
        <row r="43">
          <cell r="H43">
            <v>0</v>
          </cell>
        </row>
      </sheetData>
      <sheetData sheetId="2059">
        <row r="43">
          <cell r="H43">
            <v>0</v>
          </cell>
        </row>
      </sheetData>
      <sheetData sheetId="2060">
        <row r="43">
          <cell r="H43">
            <v>0</v>
          </cell>
        </row>
      </sheetData>
      <sheetData sheetId="2061">
        <row r="43">
          <cell r="H43">
            <v>0</v>
          </cell>
        </row>
      </sheetData>
      <sheetData sheetId="2062">
        <row r="43">
          <cell r="H43">
            <v>0</v>
          </cell>
        </row>
      </sheetData>
      <sheetData sheetId="2063">
        <row r="43">
          <cell r="H43">
            <v>0</v>
          </cell>
        </row>
      </sheetData>
      <sheetData sheetId="2064">
        <row r="43">
          <cell r="H43">
            <v>0</v>
          </cell>
        </row>
      </sheetData>
      <sheetData sheetId="2065">
        <row r="43">
          <cell r="H43">
            <v>0</v>
          </cell>
        </row>
      </sheetData>
      <sheetData sheetId="2066">
        <row r="43">
          <cell r="H43">
            <v>0</v>
          </cell>
        </row>
      </sheetData>
      <sheetData sheetId="2067">
        <row r="43">
          <cell r="H43">
            <v>0</v>
          </cell>
        </row>
      </sheetData>
      <sheetData sheetId="2068">
        <row r="43">
          <cell r="H43">
            <v>0</v>
          </cell>
        </row>
      </sheetData>
      <sheetData sheetId="2069">
        <row r="43">
          <cell r="H43">
            <v>0</v>
          </cell>
        </row>
      </sheetData>
      <sheetData sheetId="2070">
        <row r="43">
          <cell r="H43">
            <v>0</v>
          </cell>
        </row>
      </sheetData>
      <sheetData sheetId="2071">
        <row r="43">
          <cell r="H43">
            <v>0</v>
          </cell>
        </row>
      </sheetData>
      <sheetData sheetId="2072">
        <row r="43">
          <cell r="H43">
            <v>0</v>
          </cell>
        </row>
      </sheetData>
      <sheetData sheetId="2073">
        <row r="43">
          <cell r="H43">
            <v>0</v>
          </cell>
        </row>
      </sheetData>
      <sheetData sheetId="2074">
        <row r="43">
          <cell r="H43">
            <v>0</v>
          </cell>
        </row>
      </sheetData>
      <sheetData sheetId="2075">
        <row r="43">
          <cell r="H43">
            <v>0</v>
          </cell>
        </row>
      </sheetData>
      <sheetData sheetId="2076">
        <row r="43">
          <cell r="H43">
            <v>0</v>
          </cell>
        </row>
      </sheetData>
      <sheetData sheetId="2077">
        <row r="43">
          <cell r="H43">
            <v>0</v>
          </cell>
        </row>
      </sheetData>
      <sheetData sheetId="2078">
        <row r="43">
          <cell r="H43">
            <v>0</v>
          </cell>
        </row>
      </sheetData>
      <sheetData sheetId="2079">
        <row r="43">
          <cell r="H43">
            <v>0</v>
          </cell>
        </row>
      </sheetData>
      <sheetData sheetId="2080">
        <row r="43">
          <cell r="H43">
            <v>0</v>
          </cell>
        </row>
      </sheetData>
      <sheetData sheetId="2081">
        <row r="43">
          <cell r="H43">
            <v>0</v>
          </cell>
        </row>
      </sheetData>
      <sheetData sheetId="2082">
        <row r="43">
          <cell r="H43">
            <v>0</v>
          </cell>
        </row>
      </sheetData>
      <sheetData sheetId="2083">
        <row r="43">
          <cell r="H43">
            <v>0</v>
          </cell>
        </row>
      </sheetData>
      <sheetData sheetId="2084">
        <row r="43">
          <cell r="H43">
            <v>0</v>
          </cell>
        </row>
      </sheetData>
      <sheetData sheetId="2085">
        <row r="43">
          <cell r="H43">
            <v>0</v>
          </cell>
        </row>
      </sheetData>
      <sheetData sheetId="2086">
        <row r="43">
          <cell r="H43">
            <v>0</v>
          </cell>
        </row>
      </sheetData>
      <sheetData sheetId="2087">
        <row r="43">
          <cell r="H43">
            <v>0</v>
          </cell>
        </row>
      </sheetData>
      <sheetData sheetId="2088">
        <row r="43">
          <cell r="H43">
            <v>0</v>
          </cell>
        </row>
      </sheetData>
      <sheetData sheetId="2089">
        <row r="43">
          <cell r="H43">
            <v>0</v>
          </cell>
        </row>
      </sheetData>
      <sheetData sheetId="2090">
        <row r="43">
          <cell r="H43">
            <v>0</v>
          </cell>
        </row>
      </sheetData>
      <sheetData sheetId="2091">
        <row r="43">
          <cell r="H43">
            <v>0</v>
          </cell>
        </row>
      </sheetData>
      <sheetData sheetId="2092">
        <row r="43">
          <cell r="H43">
            <v>0</v>
          </cell>
        </row>
      </sheetData>
      <sheetData sheetId="2093">
        <row r="43">
          <cell r="H43">
            <v>0</v>
          </cell>
        </row>
      </sheetData>
      <sheetData sheetId="2094">
        <row r="43">
          <cell r="H43">
            <v>0</v>
          </cell>
        </row>
      </sheetData>
      <sheetData sheetId="2095">
        <row r="43">
          <cell r="H43">
            <v>0</v>
          </cell>
        </row>
      </sheetData>
      <sheetData sheetId="2096">
        <row r="43">
          <cell r="H43">
            <v>0</v>
          </cell>
        </row>
      </sheetData>
      <sheetData sheetId="2097"/>
      <sheetData sheetId="2098"/>
      <sheetData sheetId="2099"/>
      <sheetData sheetId="2100">
        <row r="43">
          <cell r="H43">
            <v>0</v>
          </cell>
        </row>
      </sheetData>
      <sheetData sheetId="2101">
        <row r="43">
          <cell r="H43">
            <v>0</v>
          </cell>
        </row>
      </sheetData>
      <sheetData sheetId="2102">
        <row r="43">
          <cell r="H43">
            <v>0</v>
          </cell>
        </row>
      </sheetData>
      <sheetData sheetId="2103">
        <row r="43">
          <cell r="H43">
            <v>0</v>
          </cell>
        </row>
      </sheetData>
      <sheetData sheetId="2104"/>
      <sheetData sheetId="2105"/>
      <sheetData sheetId="2106">
        <row r="43">
          <cell r="H43">
            <v>0</v>
          </cell>
        </row>
      </sheetData>
      <sheetData sheetId="2107"/>
      <sheetData sheetId="2108">
        <row r="43">
          <cell r="H43">
            <v>0</v>
          </cell>
        </row>
      </sheetData>
      <sheetData sheetId="2109"/>
      <sheetData sheetId="2110"/>
      <sheetData sheetId="2111">
        <row r="43">
          <cell r="H43">
            <v>0</v>
          </cell>
        </row>
      </sheetData>
      <sheetData sheetId="2112">
        <row r="43">
          <cell r="H43">
            <v>0</v>
          </cell>
        </row>
      </sheetData>
      <sheetData sheetId="2113">
        <row r="43">
          <cell r="H43">
            <v>0</v>
          </cell>
        </row>
      </sheetData>
      <sheetData sheetId="2114">
        <row r="43">
          <cell r="H43">
            <v>0</v>
          </cell>
        </row>
      </sheetData>
      <sheetData sheetId="2115">
        <row r="43">
          <cell r="H43">
            <v>0</v>
          </cell>
        </row>
      </sheetData>
      <sheetData sheetId="2116">
        <row r="43">
          <cell r="H43">
            <v>0</v>
          </cell>
        </row>
      </sheetData>
      <sheetData sheetId="2117">
        <row r="43">
          <cell r="H43">
            <v>0</v>
          </cell>
        </row>
      </sheetData>
      <sheetData sheetId="2118">
        <row r="43">
          <cell r="H43">
            <v>0</v>
          </cell>
        </row>
      </sheetData>
      <sheetData sheetId="2119">
        <row r="43">
          <cell r="H43">
            <v>0</v>
          </cell>
        </row>
      </sheetData>
      <sheetData sheetId="2120">
        <row r="43">
          <cell r="H43">
            <v>0</v>
          </cell>
        </row>
      </sheetData>
      <sheetData sheetId="2121">
        <row r="43">
          <cell r="H43">
            <v>0</v>
          </cell>
        </row>
      </sheetData>
      <sheetData sheetId="2122">
        <row r="43">
          <cell r="H43">
            <v>0</v>
          </cell>
        </row>
      </sheetData>
      <sheetData sheetId="2123">
        <row r="43">
          <cell r="H43">
            <v>0</v>
          </cell>
        </row>
      </sheetData>
      <sheetData sheetId="2124">
        <row r="43">
          <cell r="H43">
            <v>0</v>
          </cell>
        </row>
      </sheetData>
      <sheetData sheetId="2125">
        <row r="43">
          <cell r="H43">
            <v>0</v>
          </cell>
        </row>
      </sheetData>
      <sheetData sheetId="2126">
        <row r="43">
          <cell r="H43">
            <v>0</v>
          </cell>
        </row>
      </sheetData>
      <sheetData sheetId="2127">
        <row r="43">
          <cell r="H43">
            <v>0</v>
          </cell>
        </row>
      </sheetData>
      <sheetData sheetId="2128">
        <row r="43">
          <cell r="H43">
            <v>0</v>
          </cell>
        </row>
      </sheetData>
      <sheetData sheetId="2129">
        <row r="43">
          <cell r="H43">
            <v>0</v>
          </cell>
        </row>
      </sheetData>
      <sheetData sheetId="2130">
        <row r="43">
          <cell r="H43">
            <v>0</v>
          </cell>
        </row>
      </sheetData>
      <sheetData sheetId="2131">
        <row r="43">
          <cell r="H43">
            <v>0</v>
          </cell>
        </row>
      </sheetData>
      <sheetData sheetId="2132">
        <row r="43">
          <cell r="H43">
            <v>0</v>
          </cell>
        </row>
      </sheetData>
      <sheetData sheetId="2133">
        <row r="43">
          <cell r="H43">
            <v>0</v>
          </cell>
        </row>
      </sheetData>
      <sheetData sheetId="2134">
        <row r="43">
          <cell r="H43">
            <v>0</v>
          </cell>
        </row>
      </sheetData>
      <sheetData sheetId="2135">
        <row r="43">
          <cell r="H43">
            <v>0</v>
          </cell>
        </row>
      </sheetData>
      <sheetData sheetId="2136">
        <row r="43">
          <cell r="H43">
            <v>0</v>
          </cell>
        </row>
      </sheetData>
      <sheetData sheetId="2137"/>
      <sheetData sheetId="2138">
        <row r="43">
          <cell r="H43">
            <v>0</v>
          </cell>
        </row>
      </sheetData>
      <sheetData sheetId="2139">
        <row r="43">
          <cell r="H43">
            <v>0</v>
          </cell>
        </row>
      </sheetData>
      <sheetData sheetId="2140">
        <row r="43">
          <cell r="H43">
            <v>0</v>
          </cell>
        </row>
      </sheetData>
      <sheetData sheetId="2141">
        <row r="43">
          <cell r="H43">
            <v>0</v>
          </cell>
        </row>
      </sheetData>
      <sheetData sheetId="2142">
        <row r="43">
          <cell r="H43">
            <v>0</v>
          </cell>
        </row>
      </sheetData>
      <sheetData sheetId="2143">
        <row r="43">
          <cell r="H43">
            <v>0</v>
          </cell>
        </row>
      </sheetData>
      <sheetData sheetId="2144">
        <row r="43">
          <cell r="H43">
            <v>0</v>
          </cell>
        </row>
      </sheetData>
      <sheetData sheetId="2145">
        <row r="43">
          <cell r="H43">
            <v>0</v>
          </cell>
        </row>
      </sheetData>
      <sheetData sheetId="2146">
        <row r="43">
          <cell r="H43">
            <v>0</v>
          </cell>
        </row>
      </sheetData>
      <sheetData sheetId="2147">
        <row r="43">
          <cell r="H43">
            <v>0</v>
          </cell>
        </row>
      </sheetData>
      <sheetData sheetId="2148">
        <row r="43">
          <cell r="H43">
            <v>0</v>
          </cell>
        </row>
      </sheetData>
      <sheetData sheetId="2149">
        <row r="43">
          <cell r="H43">
            <v>0</v>
          </cell>
        </row>
      </sheetData>
      <sheetData sheetId="2150">
        <row r="43">
          <cell r="H43">
            <v>0</v>
          </cell>
        </row>
      </sheetData>
      <sheetData sheetId="2151">
        <row r="43">
          <cell r="H43">
            <v>0</v>
          </cell>
        </row>
      </sheetData>
      <sheetData sheetId="2152">
        <row r="43">
          <cell r="H43">
            <v>0</v>
          </cell>
        </row>
      </sheetData>
      <sheetData sheetId="2153">
        <row r="43">
          <cell r="H43">
            <v>0</v>
          </cell>
        </row>
      </sheetData>
      <sheetData sheetId="2154">
        <row r="43">
          <cell r="H43">
            <v>0</v>
          </cell>
        </row>
      </sheetData>
      <sheetData sheetId="2155">
        <row r="43">
          <cell r="H43">
            <v>0</v>
          </cell>
        </row>
      </sheetData>
      <sheetData sheetId="2156">
        <row r="43">
          <cell r="H43">
            <v>0</v>
          </cell>
        </row>
      </sheetData>
      <sheetData sheetId="2157">
        <row r="43">
          <cell r="H43">
            <v>0</v>
          </cell>
        </row>
      </sheetData>
      <sheetData sheetId="2158">
        <row r="43">
          <cell r="H43">
            <v>0</v>
          </cell>
        </row>
      </sheetData>
      <sheetData sheetId="2159"/>
      <sheetData sheetId="2160">
        <row r="43">
          <cell r="H43">
            <v>0</v>
          </cell>
        </row>
      </sheetData>
      <sheetData sheetId="2161"/>
      <sheetData sheetId="2162">
        <row r="43">
          <cell r="H43">
            <v>0</v>
          </cell>
        </row>
      </sheetData>
      <sheetData sheetId="2163">
        <row r="43">
          <cell r="H43">
            <v>0</v>
          </cell>
        </row>
      </sheetData>
      <sheetData sheetId="2164">
        <row r="43">
          <cell r="H43">
            <v>0</v>
          </cell>
        </row>
      </sheetData>
      <sheetData sheetId="2165">
        <row r="43">
          <cell r="H43">
            <v>0</v>
          </cell>
        </row>
      </sheetData>
      <sheetData sheetId="2166"/>
      <sheetData sheetId="2167">
        <row r="43">
          <cell r="H43">
            <v>0</v>
          </cell>
        </row>
      </sheetData>
      <sheetData sheetId="2168">
        <row r="43">
          <cell r="H43">
            <v>0</v>
          </cell>
        </row>
      </sheetData>
      <sheetData sheetId="2169">
        <row r="43">
          <cell r="H43">
            <v>0</v>
          </cell>
        </row>
      </sheetData>
      <sheetData sheetId="2170">
        <row r="43">
          <cell r="H43">
            <v>0</v>
          </cell>
        </row>
      </sheetData>
      <sheetData sheetId="2171"/>
      <sheetData sheetId="2172"/>
      <sheetData sheetId="2173">
        <row r="43">
          <cell r="H43">
            <v>0</v>
          </cell>
        </row>
      </sheetData>
      <sheetData sheetId="2174">
        <row r="43">
          <cell r="H43">
            <v>0</v>
          </cell>
        </row>
      </sheetData>
      <sheetData sheetId="2175">
        <row r="43">
          <cell r="H43">
            <v>0</v>
          </cell>
        </row>
      </sheetData>
      <sheetData sheetId="2176">
        <row r="43">
          <cell r="H43">
            <v>0</v>
          </cell>
        </row>
      </sheetData>
      <sheetData sheetId="2177">
        <row r="43">
          <cell r="H43">
            <v>0</v>
          </cell>
        </row>
      </sheetData>
      <sheetData sheetId="2178">
        <row r="43">
          <cell r="H43">
            <v>0</v>
          </cell>
        </row>
      </sheetData>
      <sheetData sheetId="2179">
        <row r="43">
          <cell r="H43">
            <v>0</v>
          </cell>
        </row>
      </sheetData>
      <sheetData sheetId="2180">
        <row r="43">
          <cell r="H43">
            <v>0</v>
          </cell>
        </row>
      </sheetData>
      <sheetData sheetId="2181">
        <row r="43">
          <cell r="H43">
            <v>0</v>
          </cell>
        </row>
      </sheetData>
      <sheetData sheetId="2182">
        <row r="43">
          <cell r="H43">
            <v>0</v>
          </cell>
        </row>
      </sheetData>
      <sheetData sheetId="2183">
        <row r="43">
          <cell r="H43">
            <v>0</v>
          </cell>
        </row>
      </sheetData>
      <sheetData sheetId="2184">
        <row r="43">
          <cell r="H43">
            <v>0</v>
          </cell>
        </row>
      </sheetData>
      <sheetData sheetId="2185">
        <row r="43">
          <cell r="H43">
            <v>0</v>
          </cell>
        </row>
      </sheetData>
      <sheetData sheetId="2186">
        <row r="43">
          <cell r="H43">
            <v>0</v>
          </cell>
        </row>
      </sheetData>
      <sheetData sheetId="2187">
        <row r="43">
          <cell r="H43">
            <v>0</v>
          </cell>
        </row>
      </sheetData>
      <sheetData sheetId="2188">
        <row r="43">
          <cell r="H43">
            <v>0</v>
          </cell>
        </row>
      </sheetData>
      <sheetData sheetId="2189">
        <row r="43">
          <cell r="H43">
            <v>0</v>
          </cell>
        </row>
      </sheetData>
      <sheetData sheetId="2190">
        <row r="43">
          <cell r="H43">
            <v>0</v>
          </cell>
        </row>
      </sheetData>
      <sheetData sheetId="2191">
        <row r="43">
          <cell r="H43">
            <v>0</v>
          </cell>
        </row>
      </sheetData>
      <sheetData sheetId="2192">
        <row r="43">
          <cell r="H43">
            <v>0</v>
          </cell>
        </row>
      </sheetData>
      <sheetData sheetId="2193">
        <row r="43">
          <cell r="H43">
            <v>0</v>
          </cell>
        </row>
      </sheetData>
      <sheetData sheetId="2194">
        <row r="43">
          <cell r="H43">
            <v>0</v>
          </cell>
        </row>
      </sheetData>
      <sheetData sheetId="2195">
        <row r="43">
          <cell r="H43">
            <v>0</v>
          </cell>
        </row>
      </sheetData>
      <sheetData sheetId="2196">
        <row r="43">
          <cell r="H43">
            <v>0</v>
          </cell>
        </row>
      </sheetData>
      <sheetData sheetId="2197">
        <row r="43">
          <cell r="H43">
            <v>0</v>
          </cell>
        </row>
      </sheetData>
      <sheetData sheetId="2198">
        <row r="43">
          <cell r="H43">
            <v>0</v>
          </cell>
        </row>
      </sheetData>
      <sheetData sheetId="2199">
        <row r="43">
          <cell r="H43">
            <v>0</v>
          </cell>
        </row>
      </sheetData>
      <sheetData sheetId="2200">
        <row r="43">
          <cell r="H43">
            <v>0</v>
          </cell>
        </row>
      </sheetData>
      <sheetData sheetId="2201">
        <row r="43">
          <cell r="H43">
            <v>0</v>
          </cell>
        </row>
      </sheetData>
      <sheetData sheetId="2202">
        <row r="43">
          <cell r="H43">
            <v>0</v>
          </cell>
        </row>
      </sheetData>
      <sheetData sheetId="2203">
        <row r="43">
          <cell r="H43">
            <v>0</v>
          </cell>
        </row>
      </sheetData>
      <sheetData sheetId="2204">
        <row r="43">
          <cell r="H43">
            <v>0</v>
          </cell>
        </row>
      </sheetData>
      <sheetData sheetId="2205">
        <row r="43">
          <cell r="H43">
            <v>0</v>
          </cell>
        </row>
      </sheetData>
      <sheetData sheetId="2206">
        <row r="43">
          <cell r="H43">
            <v>0</v>
          </cell>
        </row>
      </sheetData>
      <sheetData sheetId="2207">
        <row r="43">
          <cell r="H43">
            <v>0</v>
          </cell>
        </row>
      </sheetData>
      <sheetData sheetId="2208">
        <row r="43">
          <cell r="H43">
            <v>0</v>
          </cell>
        </row>
      </sheetData>
      <sheetData sheetId="2209">
        <row r="43">
          <cell r="H43">
            <v>0</v>
          </cell>
        </row>
      </sheetData>
      <sheetData sheetId="2210">
        <row r="43">
          <cell r="H43">
            <v>0</v>
          </cell>
        </row>
      </sheetData>
      <sheetData sheetId="2211">
        <row r="43">
          <cell r="H43">
            <v>0</v>
          </cell>
        </row>
      </sheetData>
      <sheetData sheetId="2212">
        <row r="43">
          <cell r="H43">
            <v>0</v>
          </cell>
        </row>
      </sheetData>
      <sheetData sheetId="2213">
        <row r="43">
          <cell r="H43">
            <v>0</v>
          </cell>
        </row>
      </sheetData>
      <sheetData sheetId="2214">
        <row r="43">
          <cell r="H43">
            <v>0</v>
          </cell>
        </row>
      </sheetData>
      <sheetData sheetId="2215">
        <row r="43">
          <cell r="H43">
            <v>0</v>
          </cell>
        </row>
      </sheetData>
      <sheetData sheetId="2216">
        <row r="43">
          <cell r="H43">
            <v>0</v>
          </cell>
        </row>
      </sheetData>
      <sheetData sheetId="2217">
        <row r="43">
          <cell r="H43">
            <v>0</v>
          </cell>
        </row>
      </sheetData>
      <sheetData sheetId="2218">
        <row r="43">
          <cell r="H43">
            <v>0</v>
          </cell>
        </row>
      </sheetData>
      <sheetData sheetId="2219">
        <row r="43">
          <cell r="H43">
            <v>0</v>
          </cell>
        </row>
      </sheetData>
      <sheetData sheetId="2220">
        <row r="43">
          <cell r="H43">
            <v>0</v>
          </cell>
        </row>
      </sheetData>
      <sheetData sheetId="2221">
        <row r="43">
          <cell r="H43">
            <v>0</v>
          </cell>
        </row>
      </sheetData>
      <sheetData sheetId="2222">
        <row r="43">
          <cell r="H43">
            <v>0</v>
          </cell>
        </row>
      </sheetData>
      <sheetData sheetId="2223">
        <row r="43">
          <cell r="H43">
            <v>0</v>
          </cell>
        </row>
      </sheetData>
      <sheetData sheetId="2224">
        <row r="43">
          <cell r="H43">
            <v>0</v>
          </cell>
        </row>
      </sheetData>
      <sheetData sheetId="2225">
        <row r="43">
          <cell r="H43">
            <v>0</v>
          </cell>
        </row>
      </sheetData>
      <sheetData sheetId="2226">
        <row r="43">
          <cell r="H43">
            <v>0</v>
          </cell>
        </row>
      </sheetData>
      <sheetData sheetId="2227">
        <row r="43">
          <cell r="H43">
            <v>0</v>
          </cell>
        </row>
      </sheetData>
      <sheetData sheetId="2228">
        <row r="43">
          <cell r="H43">
            <v>0</v>
          </cell>
        </row>
      </sheetData>
      <sheetData sheetId="2229">
        <row r="43">
          <cell r="H43">
            <v>0</v>
          </cell>
        </row>
      </sheetData>
      <sheetData sheetId="2230">
        <row r="43">
          <cell r="H43">
            <v>0</v>
          </cell>
        </row>
      </sheetData>
      <sheetData sheetId="2231">
        <row r="43">
          <cell r="H43">
            <v>0</v>
          </cell>
        </row>
      </sheetData>
      <sheetData sheetId="2232">
        <row r="43">
          <cell r="H43">
            <v>0</v>
          </cell>
        </row>
      </sheetData>
      <sheetData sheetId="2233">
        <row r="43">
          <cell r="H43">
            <v>0</v>
          </cell>
        </row>
      </sheetData>
      <sheetData sheetId="2234">
        <row r="43">
          <cell r="H43">
            <v>0</v>
          </cell>
        </row>
      </sheetData>
      <sheetData sheetId="2235">
        <row r="43">
          <cell r="H43">
            <v>0</v>
          </cell>
        </row>
      </sheetData>
      <sheetData sheetId="2236">
        <row r="43">
          <cell r="H43">
            <v>0</v>
          </cell>
        </row>
      </sheetData>
      <sheetData sheetId="2237">
        <row r="43">
          <cell r="H43">
            <v>0</v>
          </cell>
        </row>
      </sheetData>
      <sheetData sheetId="2238">
        <row r="43">
          <cell r="H43">
            <v>0</v>
          </cell>
        </row>
      </sheetData>
      <sheetData sheetId="2239">
        <row r="43">
          <cell r="H43">
            <v>0</v>
          </cell>
        </row>
      </sheetData>
      <sheetData sheetId="2240">
        <row r="43">
          <cell r="H43">
            <v>0</v>
          </cell>
        </row>
      </sheetData>
      <sheetData sheetId="2241">
        <row r="43">
          <cell r="H43">
            <v>0</v>
          </cell>
        </row>
      </sheetData>
      <sheetData sheetId="2242">
        <row r="43">
          <cell r="H43">
            <v>0</v>
          </cell>
        </row>
      </sheetData>
      <sheetData sheetId="2243">
        <row r="43">
          <cell r="H43">
            <v>0</v>
          </cell>
        </row>
      </sheetData>
      <sheetData sheetId="2244">
        <row r="43">
          <cell r="H43">
            <v>0</v>
          </cell>
        </row>
      </sheetData>
      <sheetData sheetId="2245">
        <row r="43">
          <cell r="H43">
            <v>0</v>
          </cell>
        </row>
      </sheetData>
      <sheetData sheetId="2246">
        <row r="43">
          <cell r="H43">
            <v>0</v>
          </cell>
        </row>
      </sheetData>
      <sheetData sheetId="2247"/>
      <sheetData sheetId="2248"/>
      <sheetData sheetId="2249"/>
      <sheetData sheetId="2250"/>
      <sheetData sheetId="2251">
        <row r="43">
          <cell r="H43">
            <v>0</v>
          </cell>
        </row>
      </sheetData>
      <sheetData sheetId="2252"/>
      <sheetData sheetId="2253"/>
      <sheetData sheetId="2254"/>
      <sheetData sheetId="2255"/>
      <sheetData sheetId="2256"/>
      <sheetData sheetId="2257"/>
      <sheetData sheetId="2258">
        <row r="43">
          <cell r="H43">
            <v>0</v>
          </cell>
        </row>
      </sheetData>
      <sheetData sheetId="2259"/>
      <sheetData sheetId="2260">
        <row r="43">
          <cell r="H43">
            <v>0</v>
          </cell>
        </row>
      </sheetData>
      <sheetData sheetId="226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ow r="43">
          <cell r="H43">
            <v>0</v>
          </cell>
        </row>
      </sheetData>
      <sheetData sheetId="2283" refreshError="1"/>
      <sheetData sheetId="2284">
        <row r="43">
          <cell r="H43">
            <v>0</v>
          </cell>
        </row>
      </sheetData>
      <sheetData sheetId="2285" refreshError="1"/>
      <sheetData sheetId="2286" refreshError="1"/>
      <sheetData sheetId="2287" refreshError="1"/>
      <sheetData sheetId="2288" refreshError="1"/>
      <sheetData sheetId="2289" refreshError="1"/>
      <sheetData sheetId="2290" refreshError="1"/>
      <sheetData sheetId="2291">
        <row r="43">
          <cell r="H43">
            <v>0</v>
          </cell>
        </row>
      </sheetData>
      <sheetData sheetId="2292">
        <row r="43">
          <cell r="H43">
            <v>0</v>
          </cell>
        </row>
      </sheetData>
      <sheetData sheetId="2293">
        <row r="43">
          <cell r="H43">
            <v>0</v>
          </cell>
        </row>
      </sheetData>
      <sheetData sheetId="2294">
        <row r="43">
          <cell r="H43">
            <v>0</v>
          </cell>
        </row>
      </sheetData>
      <sheetData sheetId="2295">
        <row r="43">
          <cell r="H43">
            <v>0</v>
          </cell>
        </row>
      </sheetData>
      <sheetData sheetId="2296">
        <row r="43">
          <cell r="H43">
            <v>0</v>
          </cell>
        </row>
      </sheetData>
      <sheetData sheetId="2297">
        <row r="43">
          <cell r="H43">
            <v>0</v>
          </cell>
        </row>
      </sheetData>
      <sheetData sheetId="2298">
        <row r="43">
          <cell r="H43">
            <v>0</v>
          </cell>
        </row>
      </sheetData>
      <sheetData sheetId="2299">
        <row r="43">
          <cell r="H43">
            <v>0</v>
          </cell>
        </row>
      </sheetData>
      <sheetData sheetId="2300">
        <row r="43">
          <cell r="H43">
            <v>0</v>
          </cell>
        </row>
      </sheetData>
      <sheetData sheetId="2301">
        <row r="43">
          <cell r="H43">
            <v>0</v>
          </cell>
        </row>
      </sheetData>
      <sheetData sheetId="2302">
        <row r="43">
          <cell r="H43">
            <v>0</v>
          </cell>
        </row>
      </sheetData>
      <sheetData sheetId="2303">
        <row r="43">
          <cell r="H43">
            <v>0</v>
          </cell>
        </row>
      </sheetData>
      <sheetData sheetId="2304">
        <row r="43">
          <cell r="H43">
            <v>0</v>
          </cell>
        </row>
      </sheetData>
      <sheetData sheetId="2305">
        <row r="43">
          <cell r="H43">
            <v>0</v>
          </cell>
        </row>
      </sheetData>
      <sheetData sheetId="2306">
        <row r="43">
          <cell r="H43">
            <v>0</v>
          </cell>
        </row>
      </sheetData>
      <sheetData sheetId="2307">
        <row r="43">
          <cell r="H43">
            <v>0</v>
          </cell>
        </row>
      </sheetData>
      <sheetData sheetId="2308">
        <row r="43">
          <cell r="H43">
            <v>0</v>
          </cell>
        </row>
      </sheetData>
      <sheetData sheetId="2309">
        <row r="43">
          <cell r="H43">
            <v>0</v>
          </cell>
        </row>
      </sheetData>
      <sheetData sheetId="2310">
        <row r="43">
          <cell r="H43">
            <v>0</v>
          </cell>
        </row>
      </sheetData>
      <sheetData sheetId="2311">
        <row r="43">
          <cell r="H43">
            <v>0</v>
          </cell>
        </row>
      </sheetData>
      <sheetData sheetId="2312">
        <row r="43">
          <cell r="H43">
            <v>0</v>
          </cell>
        </row>
      </sheetData>
      <sheetData sheetId="2313">
        <row r="43">
          <cell r="H43">
            <v>0</v>
          </cell>
        </row>
      </sheetData>
      <sheetData sheetId="2314">
        <row r="43">
          <cell r="H43">
            <v>0</v>
          </cell>
        </row>
      </sheetData>
      <sheetData sheetId="2315">
        <row r="43">
          <cell r="H43">
            <v>0</v>
          </cell>
        </row>
      </sheetData>
      <sheetData sheetId="2316">
        <row r="43">
          <cell r="H43">
            <v>0</v>
          </cell>
        </row>
      </sheetData>
      <sheetData sheetId="2317">
        <row r="43">
          <cell r="H43">
            <v>0</v>
          </cell>
        </row>
      </sheetData>
      <sheetData sheetId="2318">
        <row r="43">
          <cell r="H43">
            <v>0</v>
          </cell>
        </row>
      </sheetData>
      <sheetData sheetId="2319">
        <row r="43">
          <cell r="H43">
            <v>0</v>
          </cell>
        </row>
      </sheetData>
      <sheetData sheetId="2320">
        <row r="43">
          <cell r="H43">
            <v>0</v>
          </cell>
        </row>
      </sheetData>
      <sheetData sheetId="2321">
        <row r="43">
          <cell r="H43">
            <v>0</v>
          </cell>
        </row>
      </sheetData>
      <sheetData sheetId="2322">
        <row r="43">
          <cell r="H43">
            <v>0</v>
          </cell>
        </row>
      </sheetData>
      <sheetData sheetId="2323">
        <row r="43">
          <cell r="H43">
            <v>0</v>
          </cell>
        </row>
      </sheetData>
      <sheetData sheetId="2324">
        <row r="43">
          <cell r="H43">
            <v>0</v>
          </cell>
        </row>
      </sheetData>
      <sheetData sheetId="2325">
        <row r="43">
          <cell r="H43">
            <v>0</v>
          </cell>
        </row>
      </sheetData>
      <sheetData sheetId="2326">
        <row r="43">
          <cell r="H43">
            <v>0</v>
          </cell>
        </row>
      </sheetData>
      <sheetData sheetId="2327">
        <row r="43">
          <cell r="H43">
            <v>0</v>
          </cell>
        </row>
      </sheetData>
      <sheetData sheetId="2328">
        <row r="43">
          <cell r="H43">
            <v>0</v>
          </cell>
        </row>
      </sheetData>
      <sheetData sheetId="2329">
        <row r="43">
          <cell r="H43">
            <v>0</v>
          </cell>
        </row>
      </sheetData>
      <sheetData sheetId="2330">
        <row r="43">
          <cell r="H43">
            <v>0</v>
          </cell>
        </row>
      </sheetData>
      <sheetData sheetId="2331">
        <row r="43">
          <cell r="H43">
            <v>0</v>
          </cell>
        </row>
      </sheetData>
      <sheetData sheetId="2332">
        <row r="43">
          <cell r="H43">
            <v>0</v>
          </cell>
        </row>
      </sheetData>
      <sheetData sheetId="2333">
        <row r="43">
          <cell r="H43">
            <v>0</v>
          </cell>
        </row>
      </sheetData>
      <sheetData sheetId="2334">
        <row r="43">
          <cell r="H43">
            <v>0</v>
          </cell>
        </row>
      </sheetData>
      <sheetData sheetId="2335">
        <row r="43">
          <cell r="H43">
            <v>0</v>
          </cell>
        </row>
      </sheetData>
      <sheetData sheetId="2336">
        <row r="43">
          <cell r="H43">
            <v>0</v>
          </cell>
        </row>
      </sheetData>
      <sheetData sheetId="2337">
        <row r="43">
          <cell r="H43">
            <v>0</v>
          </cell>
        </row>
      </sheetData>
      <sheetData sheetId="2338">
        <row r="43">
          <cell r="H43">
            <v>0</v>
          </cell>
        </row>
      </sheetData>
      <sheetData sheetId="2339">
        <row r="43">
          <cell r="H43">
            <v>0</v>
          </cell>
        </row>
      </sheetData>
      <sheetData sheetId="2340">
        <row r="43">
          <cell r="H43">
            <v>0</v>
          </cell>
        </row>
      </sheetData>
      <sheetData sheetId="2341">
        <row r="43">
          <cell r="H43">
            <v>0</v>
          </cell>
        </row>
      </sheetData>
      <sheetData sheetId="2342">
        <row r="43">
          <cell r="H43">
            <v>0</v>
          </cell>
        </row>
      </sheetData>
      <sheetData sheetId="2343">
        <row r="43">
          <cell r="H43">
            <v>0</v>
          </cell>
        </row>
      </sheetData>
      <sheetData sheetId="2344">
        <row r="43">
          <cell r="H43">
            <v>0</v>
          </cell>
        </row>
      </sheetData>
      <sheetData sheetId="2345">
        <row r="43">
          <cell r="H43">
            <v>0</v>
          </cell>
        </row>
      </sheetData>
      <sheetData sheetId="2346">
        <row r="43">
          <cell r="H43">
            <v>0</v>
          </cell>
        </row>
      </sheetData>
      <sheetData sheetId="2347">
        <row r="43">
          <cell r="H43">
            <v>0</v>
          </cell>
        </row>
      </sheetData>
      <sheetData sheetId="2348">
        <row r="43">
          <cell r="H43">
            <v>0</v>
          </cell>
        </row>
      </sheetData>
      <sheetData sheetId="2349">
        <row r="43">
          <cell r="H43">
            <v>0</v>
          </cell>
        </row>
      </sheetData>
      <sheetData sheetId="2350">
        <row r="43">
          <cell r="H43">
            <v>0</v>
          </cell>
        </row>
      </sheetData>
      <sheetData sheetId="2351">
        <row r="43">
          <cell r="H43">
            <v>0</v>
          </cell>
        </row>
      </sheetData>
      <sheetData sheetId="2352">
        <row r="43">
          <cell r="H43">
            <v>0</v>
          </cell>
        </row>
      </sheetData>
      <sheetData sheetId="2353">
        <row r="43">
          <cell r="H43">
            <v>0</v>
          </cell>
        </row>
      </sheetData>
      <sheetData sheetId="2354">
        <row r="43">
          <cell r="H43">
            <v>0</v>
          </cell>
        </row>
      </sheetData>
      <sheetData sheetId="2355">
        <row r="43">
          <cell r="H43">
            <v>0</v>
          </cell>
        </row>
      </sheetData>
      <sheetData sheetId="2356">
        <row r="43">
          <cell r="H43">
            <v>0</v>
          </cell>
        </row>
      </sheetData>
      <sheetData sheetId="2357">
        <row r="43">
          <cell r="H43">
            <v>0</v>
          </cell>
        </row>
      </sheetData>
      <sheetData sheetId="2358">
        <row r="43">
          <cell r="H43">
            <v>0</v>
          </cell>
        </row>
      </sheetData>
      <sheetData sheetId="2359">
        <row r="43">
          <cell r="H43">
            <v>0</v>
          </cell>
        </row>
      </sheetData>
      <sheetData sheetId="2360">
        <row r="43">
          <cell r="H43">
            <v>0</v>
          </cell>
        </row>
      </sheetData>
      <sheetData sheetId="2361">
        <row r="43">
          <cell r="H43">
            <v>0</v>
          </cell>
        </row>
      </sheetData>
      <sheetData sheetId="2362">
        <row r="43">
          <cell r="H43">
            <v>0</v>
          </cell>
        </row>
      </sheetData>
      <sheetData sheetId="2363">
        <row r="43">
          <cell r="H43">
            <v>0</v>
          </cell>
        </row>
      </sheetData>
      <sheetData sheetId="2364">
        <row r="43">
          <cell r="H43">
            <v>0</v>
          </cell>
        </row>
      </sheetData>
      <sheetData sheetId="2365">
        <row r="43">
          <cell r="H43">
            <v>0</v>
          </cell>
        </row>
      </sheetData>
      <sheetData sheetId="2366">
        <row r="43">
          <cell r="H43">
            <v>0</v>
          </cell>
        </row>
      </sheetData>
      <sheetData sheetId="2367">
        <row r="43">
          <cell r="H43">
            <v>0</v>
          </cell>
        </row>
      </sheetData>
      <sheetData sheetId="2368">
        <row r="43">
          <cell r="H43">
            <v>0</v>
          </cell>
        </row>
      </sheetData>
      <sheetData sheetId="2369">
        <row r="43">
          <cell r="H43">
            <v>0</v>
          </cell>
        </row>
      </sheetData>
      <sheetData sheetId="2370">
        <row r="43">
          <cell r="H43">
            <v>0</v>
          </cell>
        </row>
      </sheetData>
      <sheetData sheetId="2371">
        <row r="43">
          <cell r="H43">
            <v>0</v>
          </cell>
        </row>
      </sheetData>
      <sheetData sheetId="2372">
        <row r="43">
          <cell r="H43">
            <v>0</v>
          </cell>
        </row>
      </sheetData>
      <sheetData sheetId="2373">
        <row r="43">
          <cell r="H43">
            <v>0</v>
          </cell>
        </row>
      </sheetData>
      <sheetData sheetId="2374">
        <row r="43">
          <cell r="H43">
            <v>0</v>
          </cell>
        </row>
      </sheetData>
      <sheetData sheetId="2375">
        <row r="43">
          <cell r="H43">
            <v>0</v>
          </cell>
        </row>
      </sheetData>
      <sheetData sheetId="2376">
        <row r="43">
          <cell r="H43">
            <v>0</v>
          </cell>
        </row>
      </sheetData>
      <sheetData sheetId="2377">
        <row r="43">
          <cell r="H43">
            <v>0</v>
          </cell>
        </row>
      </sheetData>
      <sheetData sheetId="2378">
        <row r="43">
          <cell r="H43">
            <v>0</v>
          </cell>
        </row>
      </sheetData>
      <sheetData sheetId="2379">
        <row r="43">
          <cell r="H43">
            <v>0</v>
          </cell>
        </row>
      </sheetData>
      <sheetData sheetId="2380">
        <row r="43">
          <cell r="H43">
            <v>0</v>
          </cell>
        </row>
      </sheetData>
      <sheetData sheetId="2381">
        <row r="43">
          <cell r="H43">
            <v>0</v>
          </cell>
        </row>
      </sheetData>
      <sheetData sheetId="2382">
        <row r="43">
          <cell r="H43">
            <v>0</v>
          </cell>
        </row>
      </sheetData>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sheetData sheetId="2449"/>
      <sheetData sheetId="2450"/>
      <sheetData sheetId="2451"/>
      <sheetData sheetId="2452"/>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E) "/>
      <sheetName val="SRT"/>
      <sheetName val="ESCON"/>
      <sheetName val="SCOPE"/>
      <sheetName val="MAKER (E)"/>
      <sheetName val="MAKER"/>
      <sheetName val="SUM-PRO"/>
      <sheetName val="Sheet1"/>
      <sheetName val="BQ"/>
      <sheetName val="Pro(M)"/>
      <sheetName val="SEX"/>
      <sheetName val="DBP-E"/>
      <sheetName val="DBP-0900"/>
      <sheetName val="DBP-0200"/>
      <sheetName val="Bill Of Quantity"/>
      <sheetName val="H.Satuan"/>
      <sheetName val="L-Mechanical"/>
      <sheetName val="rab me (by owner) "/>
      <sheetName val="BQ (by owner)"/>
      <sheetName val="rab me (fisik)"/>
      <sheetName val="GLP-DISCOUNT"/>
      <sheetName val="GLP 2001"/>
      <sheetName val="EE-PROP"/>
      <sheetName val="PC"/>
      <sheetName val="Balok"/>
      <sheetName val="GB"/>
      <sheetName val="Upah+Bahan"/>
      <sheetName val="SITE-E"/>
      <sheetName val="PL-Office"/>
      <sheetName val="BAG-2"/>
      <sheetName val="Mekanikal"/>
      <sheetName val="01A- RAB"/>
      <sheetName val="G_SUMMARY"/>
      <sheetName val="Bill of Qty MEP"/>
      <sheetName val="Anl.+"/>
      <sheetName val="112-885"/>
      <sheetName val="DAF_3.1"/>
      <sheetName val="DAF_3.11"/>
      <sheetName val="HB "/>
      <sheetName val="Infrastruktur"/>
      <sheetName val="Persiapan"/>
      <sheetName val="AC"/>
      <sheetName val="tuong"/>
      <sheetName val="ANALISA"/>
      <sheetName val="DAF-1"/>
      <sheetName val="K"/>
      <sheetName val="5.1.ELEKTRIKAL-ELEKTRONIK"/>
      <sheetName val="harsat"/>
      <sheetName val="Panel,feeder,elek"/>
      <sheetName val="ahs"/>
      <sheetName val="metode"/>
      <sheetName val="Fin-Bengkel"/>
      <sheetName val="Fin-Showroom"/>
      <sheetName val="Hal_Pagar"/>
      <sheetName val="Str-Bengkel"/>
      <sheetName val="Str-Showroom"/>
      <sheetName val="ｺﾝY条件BD"/>
      <sheetName val="ELEC STIS"/>
      <sheetName val="BoQ STR"/>
      <sheetName val="Finishing (2)"/>
      <sheetName val="AN_Kusen"/>
      <sheetName val="BQ_ARS"/>
      <sheetName val="Finishing"/>
      <sheetName val="STR"/>
      <sheetName val="ANALISA-A"/>
      <sheetName val="NS GD.UTAMA"/>
      <sheetName val="anal"/>
      <sheetName val="Man_Power_Const"/>
      <sheetName val="HRG BHN"/>
      <sheetName val="Pro(E)_"/>
      <sheetName val="MAKER_(E)"/>
      <sheetName val="Bill_Of_Quantity"/>
      <sheetName val="H_Satuan"/>
      <sheetName val="rab_me_(by_owner)_"/>
      <sheetName val="BQ_(by_owner)"/>
      <sheetName val="rab_me_(fisik)"/>
      <sheetName val="GLP_2001"/>
      <sheetName val="Anl_+"/>
      <sheetName val="DAF_2"/>
      <sheetName val="Plambing"/>
      <sheetName val="BQ Arsitektur"/>
      <sheetName val="BAHAN"/>
      <sheetName val="Isolasi Luar Dalam"/>
      <sheetName val="Isolasi Luar"/>
      <sheetName val="struktur"/>
      <sheetName val="Roofing2"/>
      <sheetName val="PileCap"/>
      <sheetName val="Tie Beam GN"/>
      <sheetName val="Tangga GN"/>
      <sheetName val="rab - persiapan &amp; lantai-1"/>
      <sheetName val="Bronjong_Geoteks"/>
      <sheetName val="GE_1_2"/>
      <sheetName val="DAF-5"/>
      <sheetName val="FLAF&amp;PARTSI"/>
      <sheetName val="REF.ONLY"/>
      <sheetName val="FORM X COST"/>
      <sheetName val="SAT"/>
      <sheetName val="Analis Kusen 1 ESKALASI"/>
      <sheetName val="Transfer Pump"/>
      <sheetName val="Analisa ME"/>
      <sheetName val="NP (4)"/>
      <sheetName val="KK"/>
      <sheetName val="boq"/>
      <sheetName val="HS Alat"/>
      <sheetName val="A"/>
      <sheetName val="附表4-辅助工程"/>
      <sheetName val="附表4-公用工程项目"/>
      <sheetName val="附表2"/>
      <sheetName val="부하계산서"/>
      <sheetName val="finalisasi"/>
      <sheetName val="ANALISA PEK.UMUM"/>
      <sheetName val="Material"/>
      <sheetName val="BOQ INTERN"/>
      <sheetName val="LISTRIK"/>
      <sheetName val="Piping"/>
      <sheetName val="analis"/>
      <sheetName val="ahs_utama"/>
      <sheetName val="M &amp; E"/>
      <sheetName val="KODE REK"/>
      <sheetName val="BGNN.UTILITAS"/>
      <sheetName val="ANLS 2009"/>
      <sheetName val="Harga Bahan &amp; Upah "/>
      <sheetName val="analisa pagar"/>
      <sheetName val="RATE&amp;FCTR"/>
      <sheetName val="D &amp; W sizes"/>
      <sheetName val="an. struktur"/>
      <sheetName val="Dashboard"/>
      <sheetName val="Rek Tot"/>
      <sheetName val="Factors"/>
      <sheetName val="Upah"/>
      <sheetName val="dATA pc"/>
      <sheetName val="BANGUNAN PENUNJANG"/>
      <sheetName val="TOEC"/>
      <sheetName val="villa"/>
      <sheetName val="Tata Udara"/>
      <sheetName val="Plumbing"/>
      <sheetName val="HSD"/>
      <sheetName val="RAB AR&amp;STR"/>
      <sheetName val="anal_hs"/>
      <sheetName val="rekap"/>
      <sheetName val="Master 1.0"/>
      <sheetName val="Har Sat"/>
      <sheetName val="Student"/>
      <sheetName val="Pipe"/>
      <sheetName val="NP"/>
      <sheetName val="L3 An H Sat Mob"/>
      <sheetName val="DRUP (ASLI)"/>
      <sheetName val="MAP"/>
      <sheetName val="Cover (x)"/>
      <sheetName val="Cor Apt"/>
      <sheetName val="PT."/>
      <sheetName val="AnaAlat"/>
      <sheetName val="struktur tdk dipakai"/>
      <sheetName val="Item7"/>
      <sheetName val="Ｎｏ.13"/>
      <sheetName val="COVER"/>
      <sheetName val="Cover CKE"/>
      <sheetName val="Summary Mech."/>
      <sheetName val="Mech. BQ"/>
      <sheetName val="A_2"/>
      <sheetName val="P_APRIL 2016"/>
      <sheetName val="A_3"/>
      <sheetName val="Qttn.Report"/>
      <sheetName val="CODE"/>
      <sheetName val="B_2"/>
      <sheetName val="FACTOR"/>
      <sheetName val="CONDITION"/>
      <sheetName val="MENU_LIST"/>
      <sheetName val="COMPANY"/>
      <sheetName val="INPUT"/>
      <sheetName val="경비2내역"/>
      <sheetName val="Div26 - Elect"/>
      <sheetName val="Quantity"/>
      <sheetName val="M%20&amp;%20E.xls"/>
      <sheetName val="BQE"/>
      <sheetName val="dasar"/>
      <sheetName val="tifico"/>
      <sheetName val="Vol. Lantai Tipikal"/>
      <sheetName val="Analisa Struktur"/>
      <sheetName val="16-47"/>
      <sheetName val="ARS"/>
      <sheetName val="Pas. bata (anyar)"/>
      <sheetName val="Pas. bata"/>
      <sheetName val="Opening"/>
      <sheetName val="Rekapitulasi"/>
      <sheetName val="Preliminary"/>
      <sheetName val="PILE CAP"/>
      <sheetName val="TIE BEAM"/>
      <sheetName val="INPUT BALOK"/>
      <sheetName val="Data"/>
      <sheetName val="itungan Balok"/>
      <sheetName val="KOLOM"/>
      <sheetName val="SLAB"/>
      <sheetName val="RASIO SLAB"/>
      <sheetName val="TANGGA"/>
      <sheetName val="PIT LIFT"/>
      <sheetName val="3-DIV4"/>
      <sheetName val="ME"/>
      <sheetName val="MUA"/>
      <sheetName val="Estimate"/>
      <sheetName val="BANG TONG HOP (2)"/>
      <sheetName val="Bill No 2.1 "/>
      <sheetName val="a.2"/>
      <sheetName val="Pro(E)_1"/>
      <sheetName val="MAKER_(E)1"/>
      <sheetName val="rab_me_(by_owner)_1"/>
      <sheetName val="BQ_(by_owner)1"/>
      <sheetName val="rab_me_(fisik)1"/>
      <sheetName val="Bill_Of_Quantity1"/>
      <sheetName val="H_Satuan1"/>
      <sheetName val="GLP_20011"/>
      <sheetName val="01A-_RAB"/>
      <sheetName val="5_1_ELEKTRIKAL-ELEKTRONIK"/>
      <sheetName val="HB_"/>
      <sheetName val="Bill_of_Qty_MEP"/>
      <sheetName val="BoQ_STR"/>
      <sheetName val="Finishing_(2)"/>
      <sheetName val="rab_-_persiapan_&amp;_lantai-1"/>
      <sheetName val="REF_ONLY"/>
      <sheetName val="Anl_+1"/>
      <sheetName val="BQ_Arsitektur"/>
      <sheetName val="NS_GD_UTAMA"/>
      <sheetName val="DAF_3_1"/>
      <sheetName val="DAF_3_11"/>
      <sheetName val="Tie_Beam_GN"/>
      <sheetName val="Tangga_GN"/>
      <sheetName val="FORM_X_COST"/>
      <sheetName val="Analis_Kusen_1_ESKALASI"/>
      <sheetName val="DIVI3"/>
      <sheetName val="GE-1-2"/>
      <sheetName val="Power_BLK"/>
      <sheetName val="RKP PLUMBING"/>
      <sheetName val="RATE_FCTR"/>
      <sheetName val="DAFTAR HARGA"/>
      <sheetName val="SK MIgas toilet lt-40, R-2"/>
      <sheetName val="SK MIgas toilet lt-40, R-0 (P'a"/>
      <sheetName val="p_fb01"/>
      <sheetName val="p_fb02"/>
      <sheetName val="PLINT 3.1.G"/>
      <sheetName val="s_v13"/>
      <sheetName val="s_v14"/>
      <sheetName val="s_v16"/>
      <sheetName val="gtrinh"/>
      <sheetName val="WT-LIST"/>
      <sheetName val="name"/>
      <sheetName val="concept cost code"/>
      <sheetName val="summary cost code"/>
      <sheetName val="SPK"/>
      <sheetName val="kas proyek"/>
      <sheetName val="lain lain"/>
      <sheetName val="APT _ BALCONIES"/>
      <sheetName val="Urai_Galian Tanah"/>
      <sheetName val="3-DIV3"/>
      <sheetName val="K Lead"/>
      <sheetName val="saluran"/>
      <sheetName val="c"/>
      <sheetName val="f"/>
      <sheetName val="SATUAN "/>
      <sheetName val="3-DIV5"/>
      <sheetName val="Analisa Harga"/>
      <sheetName val="BHN"/>
      <sheetName val="Manpower"/>
      <sheetName val="Equipt,Tools&amp;Cons"/>
      <sheetName val="PBS"/>
      <sheetName val="gia vt,nc,may"/>
      <sheetName val="TT04"/>
      <sheetName val="Analisa Harga Satuan"/>
      <sheetName val="SUM-AIR-Submit"/>
      <sheetName val="CapExpAppForm"/>
      <sheetName val="Ref"/>
      <sheetName val="Mat.Mek"/>
      <sheetName val="AC_C"/>
      <sheetName val="GENERAL"/>
      <sheetName val="Pricing"/>
      <sheetName val="Alat"/>
      <sheetName val="Sub"/>
      <sheetName val="MARK UP"/>
      <sheetName val="RAB"/>
      <sheetName val="lt. dasar"/>
      <sheetName val="入力作成表"/>
      <sheetName val="BIDDING-SUM"/>
      <sheetName val="THDZ0,4"/>
      <sheetName val="TH DZ35"/>
      <sheetName val="THTram"/>
      <sheetName val="chi phi truc tiep"/>
      <sheetName val="입찰안"/>
      <sheetName val="Areas"/>
      <sheetName val="Main"/>
      <sheetName val="Bill 2.2 Villa 2 beds"/>
      <sheetName val="Buy vs. Lease Car"/>
      <sheetName val="Division  4 - PLB Works"/>
      <sheetName val="sort2"/>
      <sheetName val="BG"/>
      <sheetName val="FitOutConfCentre"/>
      <sheetName val="Gia"/>
      <sheetName val="EUP"/>
      <sheetName val="dien tich"/>
      <sheetName val="Calculation"/>
      <sheetName val="갑지"/>
      <sheetName val="FAB별"/>
      <sheetName val="Sheet3"/>
      <sheetName val="BQ External"/>
      <sheetName val="Master"/>
      <sheetName val="SILICATE"/>
      <sheetName val="Pekerjaan Harian"/>
      <sheetName val="Mahasiswa 2 lantai"/>
      <sheetName val="Faktor"/>
      <sheetName val="DO AM DT"/>
      <sheetName val="Analisa Upah &amp; Bahan Plum"/>
      <sheetName val="AN. TAMPL"/>
      <sheetName val="Baja"/>
      <sheetName val="Beton K-250"/>
      <sheetName val="TPI"/>
      <sheetName val="Harga Dasar"/>
      <sheetName val="Dasboard"/>
      <sheetName val="H-Upah"/>
      <sheetName val="換気計算"/>
      <sheetName val="Daftar berat"/>
      <sheetName val="daf isi (xref)"/>
      <sheetName val="Currency Rate"/>
      <sheetName val="FAK"/>
      <sheetName val="AO-UMUM"/>
      <sheetName val="Analisa ME UPT"/>
      <sheetName val="gvl"/>
      <sheetName val="Sum"/>
      <sheetName val="ELEC_STIS"/>
      <sheetName val="HRG_BHN"/>
      <sheetName val="Isolasi_Luar_Dalam"/>
      <sheetName val="Isolasi_Luar"/>
      <sheetName val="Transfer_Pump"/>
      <sheetName val="Analisa_ME"/>
      <sheetName val="NP_(4)"/>
      <sheetName val="HS_Alat"/>
      <sheetName val="ANALISA_PEK_UMUM"/>
      <sheetName val="BOQ_INTERN"/>
      <sheetName val="M_&amp;_E"/>
      <sheetName val="KODE_REK"/>
      <sheetName val="BGNN_UTILITAS"/>
      <sheetName val="ANLS_2009"/>
      <sheetName val="Harga_Bahan_&amp;_Upah_"/>
      <sheetName val="analisa_pagar"/>
      <sheetName val="D_&amp;_W_sizes"/>
      <sheetName val="an__struktur"/>
      <sheetName val="Rek_Tot"/>
      <sheetName val="dATA_pc"/>
      <sheetName val="BANGUNAN_PENUNJANG"/>
      <sheetName val="Tata_Udara"/>
      <sheetName val="RAB_AR&amp;STR"/>
      <sheetName val="Master_1_0"/>
      <sheetName val="Har_Sat"/>
      <sheetName val="L3_An_H_Sat_Mob"/>
      <sheetName val="DRUP_(ASLI)"/>
      <sheetName val="Cover_(x)"/>
      <sheetName val="Cor_Apt"/>
      <sheetName val="PT_"/>
      <sheetName val="struktur_tdk_dipakai"/>
      <sheetName val="Ｎｏ_13"/>
      <sheetName val="Cover_CKE"/>
      <sheetName val="Summary_Mech_"/>
      <sheetName val="Mech__BQ"/>
      <sheetName val="P_APRIL_2016"/>
      <sheetName val="Qttn_Report"/>
      <sheetName val="Div26_-_Elect"/>
      <sheetName val="gia_vt,nc,may"/>
      <sheetName val="M%20&amp;%20E_xls"/>
      <sheetName val="Macro(차단기)"/>
      <sheetName val="SP10"/>
      <sheetName val="Earthwork"/>
      <sheetName val="List"/>
      <sheetName val="CFA (ME)"/>
      <sheetName val="Settings"/>
      <sheetName val="tabulation (comparison)"/>
      <sheetName val="External"/>
      <sheetName val="SUM 6-2"/>
      <sheetName val="RATE"/>
      <sheetName val="Khoi luong"/>
      <sheetName val="Gia thue"/>
      <sheetName val="Town House "/>
      <sheetName val="Type-A1"/>
      <sheetName val="Type-A2 Corner"/>
      <sheetName val="Type-A2"/>
      <sheetName val="Bill 02 - Xay gach-Pou "/>
      <sheetName val="Bill 03-Chống thấm-Pou"/>
      <sheetName val="Bill 05 - Hoan thien-Pou "/>
      <sheetName val="Bill 02 - Xay gach-Tower"/>
      <sheetName val="Bill 03-Chống thấm-Tower"/>
      <sheetName val="Bill 05 - Hoan thien-Tower"/>
      <sheetName val="PTĐG"/>
      <sheetName val="valeurs de base"/>
      <sheetName val="MEPRECON#"/>
      <sheetName val=" Finish"/>
      <sheetName val="Brick"/>
      <sheetName val="Finish code"/>
      <sheetName val="Door schedule"/>
      <sheetName val="Sanitary ware"/>
      <sheetName val="sum mdc"/>
      <sheetName val="Harga"/>
      <sheetName val="Elektrikal"/>
      <sheetName val="TL"/>
      <sheetName val="bhn FINAL"/>
      <sheetName val="BQBAS"/>
      <sheetName val="Data Tower"/>
      <sheetName val="Div2"/>
      <sheetName val="Markup"/>
      <sheetName val="Anls teknis"/>
      <sheetName val="BAU"/>
      <sheetName val="402"/>
      <sheetName val="beam"/>
      <sheetName val="NET表"/>
      <sheetName val="BQ表"/>
      <sheetName val="JABATAN"/>
      <sheetName val="Harga Kabel"/>
      <sheetName val=" N Finansal Eğri"/>
      <sheetName val="一発シート"/>
      <sheetName val="P"/>
      <sheetName val="Item-DATA"/>
      <sheetName val="NSA fr Revit"/>
      <sheetName val="General2"/>
      <sheetName val="Reference"/>
      <sheetName val="NVL"/>
      <sheetName val="Pro(E)_2"/>
      <sheetName val="MAKER_(E)2"/>
      <sheetName val="Bill_Of_Quantity2"/>
      <sheetName val="H_Satuan2"/>
      <sheetName val="rab_me_(by_owner)_2"/>
      <sheetName val="BQ_(by_owner)2"/>
      <sheetName val="rab_me_(fisik)2"/>
      <sheetName val="GLP_20012"/>
      <sheetName val="01A-_RAB1"/>
      <sheetName val="Bill_of_Qty_MEP1"/>
      <sheetName val="Anl_+2"/>
      <sheetName val="DAF_3_12"/>
      <sheetName val="DAF_3_111"/>
      <sheetName val="HB_1"/>
      <sheetName val="5_1_ELEKTRIKAL-ELEKTRONIK1"/>
      <sheetName val="BoQ_STR1"/>
      <sheetName val="Finishing_(2)1"/>
      <sheetName val="NS_GD_UTAMA1"/>
      <sheetName val="BQ_Arsitektur1"/>
      <sheetName val="Tie_Beam_GN1"/>
      <sheetName val="Tangga_GN1"/>
      <sheetName val="rab_-_persiapan_&amp;_lantai-11"/>
      <sheetName val="REF_ONLY1"/>
      <sheetName val="FORM_X_COST1"/>
      <sheetName val="Analis_Kusen_1_ESKALASI1"/>
      <sheetName val="Vol__Lantai_Tipikal"/>
      <sheetName val="Analisa_Struktur"/>
      <sheetName val="Pas__bata_(anyar)"/>
      <sheetName val="Pas__bata"/>
      <sheetName val="PILE_CAP"/>
      <sheetName val="TIE_BEAM"/>
      <sheetName val="INPUT_BALOK"/>
      <sheetName val="itungan_Balok"/>
      <sheetName val="RASIO_SLAB"/>
      <sheetName val="PIT_LIFT"/>
      <sheetName val="BANG_TONG_HOP_(2)"/>
      <sheetName val="Bill_No_2_1_"/>
      <sheetName val="RKP_PLUMBING"/>
      <sheetName val="DAFTAR_HARGA"/>
      <sheetName val="SK_MIgas_toilet_lt-40,_R-2"/>
      <sheetName val="SK_MIgas_toilet_lt-40,_R-0_(P'a"/>
      <sheetName val="PLINT_3_1_G"/>
      <sheetName val="concept_cost_code"/>
      <sheetName val="summary_cost_code"/>
      <sheetName val="kas_proyek"/>
      <sheetName val="lain_lain"/>
      <sheetName val="APT___BALCONIES"/>
      <sheetName val="Urai_Galian_Tanah"/>
      <sheetName val="K_Lead"/>
      <sheetName val="SATUAN_"/>
      <sheetName val="Analisa_Harga"/>
      <sheetName val="TH_DZ35"/>
      <sheetName val="Analisa_Harga_Satuan"/>
      <sheetName val="Mat_Mek"/>
      <sheetName val="Buy_vs__Lease_Car"/>
      <sheetName val="Division__4_-_PLB_Works"/>
      <sheetName val="chi_phi_truc_tiep"/>
      <sheetName val="Bill_2_2_Villa_2_beds"/>
      <sheetName val="MARK_UP"/>
      <sheetName val="lt__dasar"/>
      <sheetName val="CF -Update 31Jul06"/>
      <sheetName val="실행철강하도"/>
      <sheetName val="BOH"/>
      <sheetName val="AUTOMATIC SELECT"/>
      <sheetName val="U.P List"/>
      <sheetName val="Gia vat tu"/>
      <sheetName val="DG "/>
      <sheetName val="Pengalaman Per"/>
      <sheetName val="Terbilang"/>
      <sheetName val="DES 15"/>
      <sheetName val="PERFORM"/>
      <sheetName val="Basic Price"/>
      <sheetName val="O&amp;O-Alat"/>
      <sheetName val="Unit Rate"/>
      <sheetName val="Kuantitas &amp; Harga"/>
      <sheetName val="Group"/>
      <sheetName val="sheet 2"/>
      <sheetName val="RAB ME"/>
      <sheetName val="Upah&amp;Bahan"/>
      <sheetName val="Analisa Mob. 3"/>
      <sheetName val="Analisa Mob.1"/>
      <sheetName val="Analisa-Harga"/>
      <sheetName val="Analisa Alat"/>
      <sheetName val="Analisa Mob. 2"/>
      <sheetName val="data-pendukung"/>
      <sheetName val="tonghop"/>
      <sheetName val="DATA2"/>
      <sheetName val="PVAD-Cong"/>
      <sheetName val="MAIN GATE HOUSE"/>
      <sheetName val="Electrical Works"/>
      <sheetName val="H_T_ INCOMING SYSTEM"/>
      <sheetName val="A__LUO01"/>
      <sheetName val="FEN"/>
      <sheetName val="OUT"/>
      <sheetName val="RDPNL"/>
      <sheetName val="RRINN"/>
      <sheetName val="HEM"/>
      <sheetName val="金型重量算出"/>
      <sheetName val="FDPNL"/>
      <sheetName val="FDSKN"/>
      <sheetName val="FFLOOR"/>
      <sheetName val="HFRM"/>
      <sheetName val="HSKN"/>
      <sheetName val="RDSKN"/>
      <sheetName val="RFLOOR"/>
      <sheetName val="ROOF"/>
      <sheetName val="TLSKIN LWR"/>
      <sheetName val="TLFRM"/>
      <sheetName val="TLSKN"/>
      <sheetName val="PS-Labour_M"/>
      <sheetName val="Elec LG"/>
      <sheetName val="Analisa _ Upah"/>
      <sheetName val="EXTERNAL WORK"/>
      <sheetName val="Pro(E)_3"/>
      <sheetName val="MAKER_(E)3"/>
      <sheetName val="Bill_Of_Quantity3"/>
      <sheetName val="H_Satuan3"/>
      <sheetName val="rab_me_(by_owner)_3"/>
      <sheetName val="BQ_(by_owner)3"/>
      <sheetName val="rab_me_(fisik)3"/>
      <sheetName val="GLP_20013"/>
      <sheetName val="01A-_RAB2"/>
      <sheetName val="Bill_of_Qty_MEP2"/>
      <sheetName val="Anl_+3"/>
      <sheetName val="DAF_3_13"/>
      <sheetName val="DAF_3_112"/>
      <sheetName val="HB_2"/>
      <sheetName val="5_1_ELEKTRIKAL-ELEKTRONIK2"/>
      <sheetName val="ELEC_STIS1"/>
      <sheetName val="BoQ_STR2"/>
      <sheetName val="Finishing_(2)2"/>
      <sheetName val="NS_GD_UTAMA2"/>
      <sheetName val="HRG_BHN1"/>
      <sheetName val="BQ_Arsitektur2"/>
      <sheetName val="Isolasi_Luar_Dalam1"/>
      <sheetName val="Isolasi_Luar1"/>
      <sheetName val="Tie_Beam_GN2"/>
      <sheetName val="Tangga_GN2"/>
      <sheetName val="rab_-_persiapan_&amp;_lantai-12"/>
      <sheetName val="REF_ONLY2"/>
      <sheetName val="FORM_X_COST2"/>
      <sheetName val="Analis_Kusen_1_ESKALASI2"/>
      <sheetName val="Transfer_Pump1"/>
      <sheetName val="Analisa_ME1"/>
      <sheetName val="NP_(4)1"/>
      <sheetName val="HS_Alat1"/>
      <sheetName val="ANALISA_PEK_UMUM1"/>
      <sheetName val="BOQ_INTERN1"/>
      <sheetName val="M_&amp;_E1"/>
      <sheetName val="KODE_REK1"/>
      <sheetName val="BGNN_UTILITAS1"/>
      <sheetName val="ANLS_20091"/>
      <sheetName val="Harga_Bahan_&amp;_Upah_1"/>
      <sheetName val="analisa_pagar1"/>
      <sheetName val="D_&amp;_W_sizes1"/>
      <sheetName val="an__struktur1"/>
      <sheetName val="Rek_Tot1"/>
      <sheetName val="dATA_pc1"/>
      <sheetName val="BANGUNAN_PENUNJANG1"/>
      <sheetName val="Tata_Udara1"/>
      <sheetName val="RAB_AR&amp;STR1"/>
      <sheetName val="Master_1_01"/>
      <sheetName val="Har_Sat1"/>
      <sheetName val="L3_An_H_Sat_Mob1"/>
      <sheetName val="DRUP_(ASLI)1"/>
      <sheetName val="Cover_(x)1"/>
      <sheetName val="Cor_Apt1"/>
      <sheetName val="PT_1"/>
      <sheetName val="struktur_tdk_dipakai1"/>
      <sheetName val="Ｎｏ_131"/>
      <sheetName val="Div26_-_Elect1"/>
      <sheetName val="gia_vt,nc,may1"/>
      <sheetName val="Cover_CKE1"/>
      <sheetName val="Summary_Mech_1"/>
      <sheetName val="Mech__BQ1"/>
      <sheetName val="P_APRIL_20161"/>
      <sheetName val="Qttn_Report1"/>
      <sheetName val="M%20&amp;%20E_xls1"/>
      <sheetName val="TH_DZ351"/>
      <sheetName val="Vol__Lantai_Tipikal1"/>
      <sheetName val="Analisa_Struktur1"/>
      <sheetName val="Pas__bata_(anyar)1"/>
      <sheetName val="Pas__bata1"/>
      <sheetName val="PILE_CAP1"/>
      <sheetName val="TIE_BEAM1"/>
      <sheetName val="INPUT_BALOK1"/>
      <sheetName val="itungan_Balok1"/>
      <sheetName val="RASIO_SLAB1"/>
      <sheetName val="PIT_LIFT1"/>
      <sheetName val="BANG_TONG_HOP_(2)1"/>
      <sheetName val="Bill_No_2_1_1"/>
      <sheetName val="RKP_PLUMBING1"/>
      <sheetName val="DAFTAR_HARGA1"/>
      <sheetName val="SK_MIgas_toilet_lt-40,_R-21"/>
      <sheetName val="SK_MIgas_toilet_lt-40,_R-0_(P'1"/>
      <sheetName val="PLINT_3_1_G1"/>
      <sheetName val="concept_cost_code1"/>
      <sheetName val="summary_cost_code1"/>
      <sheetName val="kas_proyek1"/>
      <sheetName val="lain_lain1"/>
      <sheetName val="APT___BALCONIES1"/>
      <sheetName val="Urai_Galian_Tanah1"/>
      <sheetName val="K_Lead1"/>
      <sheetName val="SATUAN_1"/>
      <sheetName val="Analisa_Harga1"/>
      <sheetName val="Analisa_Harga_Satuan1"/>
      <sheetName val="Mat_Mek1"/>
      <sheetName val="Bill_2_2_Villa_2_beds1"/>
      <sheetName val="Buy_vs__Lease_Car1"/>
      <sheetName val="Division__4_-_PLB_Works1"/>
      <sheetName val="chi_phi_truc_tiep1"/>
      <sheetName val="CFA_(ME)"/>
      <sheetName val="dien_tich"/>
      <sheetName val="tabulation_(comparison)"/>
      <sheetName val="MARK_UP1"/>
      <sheetName val="lt__dasar1"/>
      <sheetName val="valeurs_de_base"/>
      <sheetName val="BQ_External"/>
      <sheetName val="Pekerjaan_Harian"/>
      <sheetName val="Mahasiswa_2_lantai"/>
      <sheetName val="DO_AM_DT"/>
      <sheetName val="Analisa_Upah_&amp;_Bahan_Plum"/>
      <sheetName val="AN__TAMPL"/>
      <sheetName val="Beton_K-250"/>
      <sheetName val="Harga_Dasar"/>
      <sheetName val="Daftar_berat"/>
      <sheetName val="daf_isi_(xref)"/>
      <sheetName val="Currency_Rate"/>
      <sheetName val="Analisa_ME_UPT"/>
      <sheetName val="_Finish"/>
      <sheetName val="Finish_code"/>
      <sheetName val="Door_schedule"/>
      <sheetName val="Sanitary_ware"/>
      <sheetName val="SUM_6-2"/>
      <sheetName val="Khoi_luong"/>
      <sheetName val="Gia_thue"/>
      <sheetName val="Town_House_"/>
      <sheetName val="Type-A2_Corner"/>
      <sheetName val="Bill_02_-_Xay_gach-Pou_"/>
      <sheetName val="Bill_03-Chống_thấm-Pou"/>
      <sheetName val="Bill_05_-_Hoan_thien-Pou_"/>
      <sheetName val="Bill_02_-_Xay_gach-Tower"/>
      <sheetName val="Bill_03-Chống_thấm-Tower"/>
      <sheetName val="Bill_05_-_Hoan_thien-Tower"/>
      <sheetName val="CF_-Update_31Jul06"/>
      <sheetName val="NSA_fr_Revit"/>
      <sheetName val="AUTOMATIC_SELECT"/>
      <sheetName val="U_P_List"/>
      <sheetName val="Gia_vat_tu"/>
      <sheetName val="DG_"/>
      <sheetName val="FORM-VAR"/>
      <sheetName val="Budget Code"/>
      <sheetName val="Grafik Lab "/>
      <sheetName val="COAT&amp;WRAP-QIOT-#3"/>
      <sheetName val="PNT-QUOT-#3"/>
      <sheetName val="Pro(E)_4"/>
      <sheetName val="MAKER_(E)4"/>
      <sheetName val="Bill_Of_Quantity4"/>
      <sheetName val="H_Satuan4"/>
      <sheetName val="rab_me_(by_owner)_4"/>
      <sheetName val="BQ_(by_owner)4"/>
      <sheetName val="rab_me_(fisik)4"/>
      <sheetName val="GLP_20014"/>
      <sheetName val="01A-_RAB3"/>
      <sheetName val="Bill_of_Qty_MEP3"/>
      <sheetName val="Anl_+4"/>
      <sheetName val="DAF_3_14"/>
      <sheetName val="DAF_3_113"/>
      <sheetName val="HB_3"/>
      <sheetName val="5_1_ELEKTRIKAL-ELEKTRONIK3"/>
      <sheetName val="ELEC_STIS2"/>
      <sheetName val="BoQ_STR3"/>
      <sheetName val="Finishing_(2)3"/>
      <sheetName val="NS_GD_UTAMA3"/>
      <sheetName val="HRG_BHN2"/>
      <sheetName val="BQ_Arsitektur3"/>
      <sheetName val="Isolasi_Luar_Dalam2"/>
      <sheetName val="Isolasi_Luar2"/>
      <sheetName val="Tie_Beam_GN3"/>
      <sheetName val="Tangga_GN3"/>
      <sheetName val="rab_-_persiapan_&amp;_lantai-13"/>
      <sheetName val="REF_ONLY3"/>
      <sheetName val="FORM_X_COST3"/>
      <sheetName val="Analis_Kusen_1_ESKALASI3"/>
      <sheetName val="Transfer_Pump2"/>
      <sheetName val="Analisa_ME2"/>
      <sheetName val="NP_(4)2"/>
      <sheetName val="HS_Alat2"/>
      <sheetName val="ANALISA_PEK_UMUM2"/>
      <sheetName val="BOQ_INTERN2"/>
      <sheetName val="M_&amp;_E2"/>
      <sheetName val="KODE_REK2"/>
      <sheetName val="BGNN_UTILITAS2"/>
      <sheetName val="ANLS_20092"/>
      <sheetName val="Harga_Bahan_&amp;_Upah_2"/>
      <sheetName val="analisa_pagar2"/>
      <sheetName val="D_&amp;_W_sizes2"/>
      <sheetName val="an__struktur2"/>
      <sheetName val="Rek_Tot2"/>
      <sheetName val="dATA_pc2"/>
      <sheetName val="BANGUNAN_PENUNJANG2"/>
      <sheetName val="Tata_Udara2"/>
      <sheetName val="RAB_AR&amp;STR2"/>
      <sheetName val="Master_1_02"/>
      <sheetName val="Har_Sat2"/>
      <sheetName val="L3_An_H_Sat_Mob2"/>
      <sheetName val="DRUP_(ASLI)2"/>
      <sheetName val="Cover_(x)2"/>
      <sheetName val="Cor_Apt2"/>
      <sheetName val="PT_2"/>
      <sheetName val="struktur_tdk_dipakai2"/>
      <sheetName val="Ｎｏ_132"/>
      <sheetName val="Div26_-_Elect2"/>
      <sheetName val="gia_vt,nc,may2"/>
      <sheetName val="Cover_CKE2"/>
      <sheetName val="Summary_Mech_2"/>
      <sheetName val="Mech__BQ2"/>
      <sheetName val="P_APRIL_20162"/>
      <sheetName val="Qttn_Report2"/>
      <sheetName val="M%20&amp;%20E_xls2"/>
      <sheetName val="TH_DZ352"/>
      <sheetName val="CFA_(ME)1"/>
      <sheetName val="Vol__Lantai_Tipikal2"/>
      <sheetName val="Analisa_Struktur2"/>
      <sheetName val="Pas__bata_(anyar)2"/>
      <sheetName val="Pas__bata2"/>
      <sheetName val="PILE_CAP2"/>
      <sheetName val="TIE_BEAM2"/>
      <sheetName val="INPUT_BALOK2"/>
      <sheetName val="itungan_Balok2"/>
      <sheetName val="RASIO_SLAB2"/>
      <sheetName val="PIT_LIFT2"/>
      <sheetName val="BANG_TONG_HOP_(2)2"/>
      <sheetName val="Bill_No_2_1_2"/>
      <sheetName val="RKP_PLUMBING2"/>
      <sheetName val="DAFTAR_HARGA2"/>
      <sheetName val="SK_MIgas_toilet_lt-40,_R-22"/>
      <sheetName val="SK_MIgas_toilet_lt-40,_R-0_(P'2"/>
      <sheetName val="PLINT_3_1_G2"/>
      <sheetName val="concept_cost_code2"/>
      <sheetName val="summary_cost_code2"/>
      <sheetName val="kas_proyek2"/>
      <sheetName val="lain_lain2"/>
      <sheetName val="APT___BALCONIES2"/>
      <sheetName val="Urai_Galian_Tanah2"/>
      <sheetName val="K_Lead2"/>
      <sheetName val="SATUAN_2"/>
      <sheetName val="Analisa_Harga2"/>
      <sheetName val="Analisa_Harga_Satuan2"/>
      <sheetName val="Mat_Mek2"/>
      <sheetName val="Bill_2_2_Villa_2_beds2"/>
      <sheetName val="Buy_vs__Lease_Car2"/>
      <sheetName val="Division__4_-_PLB_Works2"/>
      <sheetName val="chi_phi_truc_tiep2"/>
      <sheetName val="dien_tich1"/>
      <sheetName val="tabulation_(comparison)1"/>
      <sheetName val="MARK_UP2"/>
      <sheetName val="lt__dasar2"/>
      <sheetName val="valeurs_de_base1"/>
      <sheetName val="_Finish1"/>
      <sheetName val="Finish_code1"/>
      <sheetName val="Door_schedule1"/>
      <sheetName val="Sanitary_ware1"/>
      <sheetName val="Bill_02_-_Xay_gach-Pou_1"/>
      <sheetName val="Bill_03-Chống_thấm-Pou1"/>
      <sheetName val="Bill_05_-_Hoan_thien-Pou_1"/>
      <sheetName val="Bill_02_-_Xay_gach-Tower1"/>
      <sheetName val="Bill_03-Chống_thấm-Tower1"/>
      <sheetName val="Bill_05_-_Hoan_thien-Tower1"/>
      <sheetName val="BQ_External1"/>
      <sheetName val="Pekerjaan_Harian1"/>
      <sheetName val="Mahasiswa_2_lantai1"/>
      <sheetName val="DO_AM_DT1"/>
      <sheetName val="Analisa_Upah_&amp;_Bahan_Plum1"/>
      <sheetName val="AN__TAMPL1"/>
      <sheetName val="Beton_K-2501"/>
      <sheetName val="Harga_Dasar1"/>
      <sheetName val="Daftar_berat1"/>
      <sheetName val="daf_isi_(xref)1"/>
      <sheetName val="Currency_Rate1"/>
      <sheetName val="Analisa_ME_UPT1"/>
      <sheetName val="SUM_6-21"/>
      <sheetName val="Khoi_luong1"/>
      <sheetName val="Gia_thue1"/>
      <sheetName val="Town_House_1"/>
      <sheetName val="Type-A2_Corner1"/>
      <sheetName val="CF_-Update_31Jul061"/>
      <sheetName val="NSA_fr_Revit1"/>
      <sheetName val="AUTOMATIC_SELECT1"/>
      <sheetName val="U_P_List1"/>
      <sheetName val="Gia_vat_tu1"/>
      <sheetName val="DG_1"/>
      <sheetName val="PEDESB"/>
      <sheetName val="LEGEND"/>
      <sheetName val="MTO REV.0"/>
      <sheetName val="NC"/>
      <sheetName val="집계표"/>
      <sheetName val="BL"/>
      <sheetName val="Bảng Giá"/>
      <sheetName val="KL-MEZZ+Cranes"/>
      <sheetName val="NET-OP1"/>
      <sheetName val="BOQ-Form"/>
      <sheetName val="dnc4"/>
      <sheetName val="물량표S"/>
      <sheetName val="DIV7-BM"/>
      <sheetName val="prog-mgu"/>
      <sheetName val="dtxl"/>
      <sheetName val="AC LOAD"/>
      <sheetName val="Hotel"/>
      <sheetName val="7.1(3)"/>
      <sheetName val="8410(Kerb)"/>
      <sheetName val="Harsat.Alat"/>
      <sheetName val="MAPP"/>
      <sheetName val="5-ALAT"/>
      <sheetName val="Perm. Test"/>
      <sheetName val="Galian 1"/>
      <sheetName val="LOADDAT"/>
      <sheetName val="SDMTA"/>
      <sheetName val="prd01-5"/>
      <sheetName val="BasicPrice"/>
      <sheetName val="DATA2009"/>
      <sheetName val="Met_ Minor"/>
      <sheetName val="3-DIV7.B"/>
      <sheetName val="Rekap Prelim"/>
      <sheetName val="BU"/>
      <sheetName val="Index"/>
      <sheetName val="Bank"/>
      <sheetName val="Bunga"/>
      <sheetName val="RAB_DURI"/>
      <sheetName val="Mark-up"/>
      <sheetName val="Cashflow_ref"/>
      <sheetName val="RP PROD 09"/>
      <sheetName val="RKP"/>
      <sheetName val="BHN+KMK"/>
      <sheetName val="bearing PDMR1"/>
      <sheetName val="BETON"/>
      <sheetName val="Bearing-1"/>
      <sheetName val="DKH_1"/>
      <sheetName val="Stay Cable PDMR1"/>
      <sheetName val="SUB+KMK"/>
      <sheetName val="eval"/>
      <sheetName val="Post Tens-1"/>
      <sheetName val="BTN-PS"/>
      <sheetName val="Sumber Daya"/>
      <sheetName val="HS-DASAR"/>
      <sheetName val="PRD 01-6(I-II)"/>
      <sheetName val="PRD 01-7 alat"/>
      <sheetName val="Mobilisasi"/>
      <sheetName val="AHSP"/>
      <sheetName val="2.E"/>
      <sheetName val="2.F"/>
      <sheetName val="1.B"/>
      <sheetName val="DIV 5"/>
      <sheetName val="DIV 6"/>
      <sheetName val="RINCIAN"/>
      <sheetName val="ANAL-1"/>
      <sheetName val="POS-4"/>
      <sheetName val="POS-5"/>
      <sheetName val="POS-6"/>
      <sheetName val="UPH,BHN,ALT"/>
      <sheetName val="Divisi Baru"/>
      <sheetName val="SCF"/>
      <sheetName val="UP_an"/>
      <sheetName val="RAB DC"/>
      <sheetName val="SCHEDULE"/>
      <sheetName val="Cash2"/>
      <sheetName val="EQ"/>
      <sheetName val="DKH"/>
      <sheetName val="BQ OE"/>
      <sheetName val="Agg Halus &amp; Kasar"/>
      <sheetName val="EQ_an"/>
      <sheetName val="An_pdkg"/>
      <sheetName val="DKH-S3"/>
      <sheetName val="RinciBab1"/>
      <sheetName val="TOWER D"/>
      <sheetName val="Anls Hrg Sat"/>
      <sheetName val="BEDAH"/>
      <sheetName val="Sat Bah _ Up"/>
      <sheetName val="PriceList"/>
      <sheetName val="15.Harga Satuan Bahan"/>
      <sheetName val="Assumptions"/>
      <sheetName val="NP (2)"/>
      <sheetName val="Tanah"/>
      <sheetName val="h.sat-bbm"/>
      <sheetName val="MAPDC"/>
      <sheetName val="Rekap Biaya"/>
      <sheetName val="Hrg Sat"/>
      <sheetName val="SBDY Jemb Tayan"/>
      <sheetName val="HD UPAH"/>
      <sheetName val="LO"/>
      <sheetName val="Rekap Analisa"/>
      <sheetName val="PLANT"/>
      <sheetName val="PO-2"/>
      <sheetName val="Agregat Halus &amp; Kasar"/>
      <sheetName val="dc"/>
      <sheetName val="Master Dat"/>
      <sheetName val="sd"/>
      <sheetName val="boq2"/>
      <sheetName val="4-Basic Price"/>
      <sheetName val="Lamp-4"/>
      <sheetName val="SDM"/>
      <sheetName val="banding"/>
      <sheetName val="prd01-6"/>
      <sheetName val="6106"/>
      <sheetName val="HARGA MATERIAL"/>
      <sheetName val="PEMBAGIAN"/>
      <sheetName val="BASIC"/>
      <sheetName val="A+Supl."/>
      <sheetName val="7"/>
      <sheetName val="5-Peralatan"/>
      <sheetName val="Model"/>
      <sheetName val="CONSTRUCTION COMPONENT"/>
      <sheetName val="V-5700"/>
      <sheetName val="Public Area"/>
      <sheetName val="bahan SNI"/>
      <sheetName val="anaUTama"/>
      <sheetName val="NP _2_"/>
      <sheetName val="Parameter"/>
      <sheetName val="SUMMARY"/>
      <sheetName val="QSS"/>
      <sheetName val="Man Power"/>
      <sheetName val="영업소실적"/>
      <sheetName val="CONSUMABLES-PRICE"/>
      <sheetName val="BOQ EM"/>
      <sheetName val="DIVISI 3"/>
      <sheetName val="MTP"/>
      <sheetName val="ctdz35"/>
      <sheetName val="F4-F7"/>
      <sheetName val="外気負荷"/>
      <sheetName val="Prelims"/>
      <sheetName val="DG"/>
      <sheetName val="DTICH"/>
      <sheetName val="FP-Labour_M"/>
      <sheetName val="DATA.KC"/>
      <sheetName val="IBASE"/>
      <sheetName val="Expenses (M)"/>
      <sheetName val="A1"/>
      <sheetName val="A10"/>
      <sheetName val="A2&amp;3. AC"/>
      <sheetName val="A4&amp;5. Fan"/>
      <sheetName val="1. Office stationary"/>
      <sheetName val="2. Safety"/>
      <sheetName val="3. Meal fee"/>
      <sheetName val="4. Temporary"/>
      <sheetName val="6MONTHS"/>
      <sheetName val="2005"/>
      <sheetName val="GRAND REKAP"/>
      <sheetName val="GC산출"/>
      <sheetName val="electrical"/>
      <sheetName val="chiet tinh"/>
      <sheetName val="CashFlow"/>
      <sheetName val="U-FACTOR"/>
      <sheetName val="StructEarth 3"/>
      <sheetName val="차액보증"/>
      <sheetName val="foxz"/>
      <sheetName val="Bill Tổng"/>
      <sheetName val="TH Công việc- D21"/>
      <sheetName val="ANH VU D12"/>
      <sheetName val="Hỗ trợ căn Hoist"/>
      <sheetName val="THKL Xay to"/>
      <sheetName val="CV25"/>
      <sheetName val="D26"/>
      <sheetName val="D25"/>
      <sheetName val="D24"/>
      <sheetName val="D23"/>
      <sheetName val="CV22"/>
      <sheetName val="D22"/>
      <sheetName val="D21"/>
      <sheetName val="D20"/>
      <sheetName val="D19"/>
      <sheetName val="CV18"/>
      <sheetName val="D18"/>
      <sheetName val="D17 (thuc)"/>
      <sheetName val="D17"/>
      <sheetName val="vật tư"/>
      <sheetName val="CV16"/>
      <sheetName val="D16"/>
      <sheetName val="CV15"/>
      <sheetName val="D15"/>
      <sheetName val="Công nhật Đợt 15- End"/>
      <sheetName val="KL L29"/>
      <sheetName val="D14"/>
      <sheetName val="Công nhật Đợt 14"/>
      <sheetName val="D13"/>
      <sheetName val="D12"/>
      <sheetName val="CV11"/>
      <sheetName val="D11"/>
      <sheetName val="D10- KL dự trù QT"/>
      <sheetName val="CV10"/>
      <sheetName val="D10"/>
      <sheetName val="CV09"/>
      <sheetName val="D09"/>
      <sheetName val="CV08"/>
      <sheetName val="D08"/>
      <sheetName val="CV07"/>
      <sheetName val="D07 (CCM)  "/>
      <sheetName val="D06 (CCM) "/>
      <sheetName val="CV05"/>
      <sheetName val="D05 (CCM)"/>
      <sheetName val="D02"/>
      <sheetName val="D01"/>
      <sheetName val="D02 (2)"/>
      <sheetName val="D03"/>
      <sheetName val="D04"/>
      <sheetName val="D05"/>
      <sheetName val="Cac HS hieu chinh"/>
      <sheetName val="토공"/>
      <sheetName val="Priced BOQ"/>
      <sheetName val="beam-reinft"/>
      <sheetName val="meas-wp"/>
      <sheetName val="MT_an"/>
      <sheetName val="BAHAN &amp; ALAT "/>
      <sheetName val="schalt"/>
      <sheetName val="schtng"/>
      <sheetName val="schbhn"/>
      <sheetName val="Foundation"/>
      <sheetName val="Analisa Upah _ Bahan Plum"/>
      <sheetName val="an.utara"/>
      <sheetName val="Sheet"/>
      <sheetName val="Supl.X"/>
      <sheetName val="analisa panel"/>
      <sheetName val="luasan"/>
      <sheetName val="Fill this out first___"/>
      <sheetName val="PConsCS"/>
      <sheetName val="dia-in"/>
      <sheetName val="DAF-UPAH"/>
      <sheetName val="ANL"/>
      <sheetName val="Blk-Mnl"/>
      <sheetName val="Klm-Mnl"/>
      <sheetName val="database-emp"/>
      <sheetName val="351BQMCN"/>
      <sheetName val="BAG_III"/>
      <sheetName val="Fill this out first..."/>
      <sheetName val="Criteria "/>
      <sheetName val="BOOQ"/>
      <sheetName val="Peralatan Utama"/>
      <sheetName val="AN.EI.5"/>
      <sheetName val="Database"/>
      <sheetName val="Pek. Tanah"/>
      <sheetName val="Pek. Pondasi"/>
      <sheetName val="Pek. Dinding"/>
      <sheetName val="Pek. Plesteran"/>
      <sheetName val="Pek. Kayu"/>
      <sheetName val="Pek. Beton"/>
      <sheetName val="Pek. Penutup Atap"/>
      <sheetName val="Pek. Langit-langit"/>
      <sheetName val="Pek. Sanitasi"/>
      <sheetName val="Pek. Besi &amp; Alumunium"/>
      <sheetName val="Pek. Kunci &amp; Kaca"/>
      <sheetName val="Pek. Penutup Lantai &amp; dinding"/>
      <sheetName val="Pek. Pengecatan"/>
      <sheetName val="COVERUSRP"/>
      <sheetName val="REKAP TOTAL"/>
      <sheetName val="JARINGAN AIR BERSIH"/>
      <sheetName val="OVERHEAD"/>
      <sheetName val="AHSATBAJA"/>
      <sheetName val="AHSAT"/>
      <sheetName val="Policy"/>
      <sheetName val="EKSTERNAL"/>
      <sheetName val="TYPE E ME"/>
      <sheetName val="TYPE A ME"/>
      <sheetName val="TYPE B ME"/>
      <sheetName val="TYPE C ME"/>
      <sheetName val="TYPE D ME"/>
      <sheetName val="JARINGAN LISTRIK"/>
      <sheetName val="TYPE A"/>
      <sheetName val="TYPE B"/>
      <sheetName val="TYPE C"/>
      <sheetName val="TYPE D"/>
      <sheetName val="TYPE E"/>
      <sheetName val="Bill No 6 Koord &amp; Attendance"/>
      <sheetName val="AHSbj"/>
      <sheetName val="説明"/>
      <sheetName val="BQ-E20-02(Rp)"/>
      <sheetName val="ORET2AN"/>
      <sheetName val="DaftarHarga"/>
      <sheetName val="down-semi-coarse"/>
      <sheetName val="down-semi-fine"/>
      <sheetName val="inner pervious_adjust "/>
      <sheetName val="outer pervious adjust"/>
      <sheetName val="riprap"/>
      <sheetName val="up-semi"/>
      <sheetName val="BOQ SNJ 1"/>
      <sheetName val="DKH CCO 1A"/>
      <sheetName val="DKH CCO 1B R-1"/>
      <sheetName val="304-06"/>
      <sheetName val="Weekly"/>
      <sheetName val="기준"/>
      <sheetName val="HRG DSR APP"/>
      <sheetName val="Hrgdsrupah"/>
      <sheetName val="TYPE-A"/>
      <sheetName val="anal-drainase,tanah&amp;ps batu"/>
      <sheetName val="anal-beton"/>
      <sheetName val="anal-aspal"/>
      <sheetName val="Har-sat-dasr"/>
      <sheetName val="note"/>
      <sheetName val="DES_15"/>
      <sheetName val="3-DIV7_B"/>
      <sheetName val="Rekap_Prelim"/>
      <sheetName val="Harsat_Alat"/>
      <sheetName val="Perm__Test"/>
      <sheetName val="Galian_1"/>
      <sheetName val="7_1(3)"/>
      <sheetName val="Kuantitas_&amp;_Harga"/>
      <sheetName val="Rekap_Biaya"/>
      <sheetName val="Agregat_Halus_&amp;_Kasar"/>
      <sheetName val="Master_Dat"/>
      <sheetName val="4-Basic_Price"/>
      <sheetName val="Data_Tower"/>
      <sheetName val="Basic_Price"/>
      <sheetName val="Unit_Rate"/>
      <sheetName val="h_sat-bbm"/>
      <sheetName val="SBDY_Jemb_Tayan"/>
      <sheetName val="RP_PROD_09"/>
      <sheetName val="2_E"/>
      <sheetName val="2_F"/>
      <sheetName val="1_B"/>
      <sheetName val="DIV_5"/>
      <sheetName val="DIV_6"/>
      <sheetName val="sheet_2"/>
      <sheetName val="RAB_ME"/>
      <sheetName val="Analisa_Mob__3"/>
      <sheetName val="Analisa_Mob_1"/>
      <sheetName val="Analisa_Alat"/>
      <sheetName val="Analisa_Mob__2"/>
      <sheetName val="Divisi_Baru"/>
      <sheetName val="RAB_DC"/>
      <sheetName val="BQ_OE"/>
      <sheetName val="Agg_Halus_&amp;_Kasar"/>
      <sheetName val="Sumber_Daya"/>
      <sheetName val="PRD_01-6(I-II)"/>
      <sheetName val="PRD_01-7_alat"/>
      <sheetName val="TOWER_D"/>
      <sheetName val="Met__Minor"/>
      <sheetName val="bearing_PDMR1"/>
      <sheetName val="Stay_Cable_PDMR1"/>
      <sheetName val="Post_Tens-1"/>
      <sheetName val="Anls_Hrg_Sat"/>
      <sheetName val="Sat_Bah___Up"/>
      <sheetName val="Anls_teknis"/>
      <sheetName val="Harga_Kabel"/>
      <sheetName val="bhn_FINAL"/>
      <sheetName val="Input monthly capex"/>
      <sheetName val="NetBQ"/>
      <sheetName val="PERF TEST Pre MP"/>
      <sheetName val="BAG-III"/>
      <sheetName val="Generalofact"/>
      <sheetName val="tra_vat_lieu"/>
      <sheetName val="DTCT"/>
      <sheetName val="물량표"/>
      <sheetName val="Labor"/>
      <sheetName val="MU"/>
      <sheetName val="TOSHIBA-Structure"/>
      <sheetName val="ScheduleException"/>
      <sheetName val="MasterSchedule"/>
      <sheetName val="BoQ-Plan"/>
      <sheetName val="ScheduleValuePlan"/>
      <sheetName val="Pro(E)_5"/>
      <sheetName val="MAKER_(E)5"/>
      <sheetName val="Bill_Of_Quantity5"/>
      <sheetName val="H_Satuan5"/>
      <sheetName val="rab_me_(by_owner)_5"/>
      <sheetName val="BQ_(by_owner)5"/>
      <sheetName val="rab_me_(fisik)5"/>
      <sheetName val="GLP_20015"/>
      <sheetName val="01A-_RAB4"/>
      <sheetName val="Bill_of_Qty_MEP4"/>
      <sheetName val="Anl_+5"/>
      <sheetName val="DAF_3_15"/>
      <sheetName val="DAF_3_114"/>
      <sheetName val="HB_4"/>
      <sheetName val="5_1_ELEKTRIKAL-ELEKTRONIK4"/>
      <sheetName val="ELEC_STIS3"/>
      <sheetName val="BoQ_STR4"/>
      <sheetName val="Finishing_(2)4"/>
      <sheetName val="NS_GD_UTAMA4"/>
      <sheetName val="HRG_BHN3"/>
      <sheetName val="BQ_Arsitektur4"/>
      <sheetName val="Isolasi_Luar_Dalam3"/>
      <sheetName val="Isolasi_Luar3"/>
      <sheetName val="Tie_Beam_GN4"/>
      <sheetName val="Tangga_GN4"/>
      <sheetName val="rab_-_persiapan_&amp;_lantai-14"/>
      <sheetName val="REF_ONLY4"/>
      <sheetName val="FORM_X_COST4"/>
      <sheetName val="Analis_Kusen_1_ESKALASI4"/>
      <sheetName val="Transfer_Pump3"/>
      <sheetName val="Analisa_ME3"/>
      <sheetName val="NP_(4)3"/>
      <sheetName val="HS_Alat3"/>
      <sheetName val="ANALISA_PEK_UMUM3"/>
      <sheetName val="BOQ_INTERN3"/>
      <sheetName val="M_&amp;_E3"/>
      <sheetName val="KODE_REK3"/>
      <sheetName val="BGNN_UTILITAS3"/>
      <sheetName val="ANLS_20093"/>
      <sheetName val="Harga_Bahan_&amp;_Upah_3"/>
      <sheetName val="analisa_pagar3"/>
      <sheetName val="D_&amp;_W_sizes3"/>
      <sheetName val="an__struktur3"/>
      <sheetName val="Rek_Tot3"/>
      <sheetName val="dATA_pc3"/>
      <sheetName val="BANGUNAN_PENUNJANG3"/>
      <sheetName val="Tata_Udara3"/>
      <sheetName val="RAB_AR&amp;STR3"/>
      <sheetName val="Master_1_03"/>
      <sheetName val="Har_Sat3"/>
      <sheetName val="L3_An_H_Sat_Mob3"/>
      <sheetName val="DRUP_(ASLI)3"/>
      <sheetName val="Cover_(x)3"/>
      <sheetName val="Cor_Apt3"/>
      <sheetName val="PT_3"/>
      <sheetName val="struktur_tdk_dipakai3"/>
      <sheetName val="Ｎｏ_133"/>
      <sheetName val="Div26_-_Elect3"/>
      <sheetName val="gia_vt,nc,may3"/>
      <sheetName val="Cover_CKE3"/>
      <sheetName val="Summary_Mech_3"/>
      <sheetName val="Mech__BQ3"/>
      <sheetName val="P_APRIL_20163"/>
      <sheetName val="Qttn_Report3"/>
      <sheetName val="M%20&amp;%20E_xls3"/>
      <sheetName val="CFA_(ME)2"/>
      <sheetName val="TH_DZ353"/>
      <sheetName val="Vol__Lantai_Tipikal3"/>
      <sheetName val="Analisa_Struktur3"/>
      <sheetName val="Pas__bata_(anyar)3"/>
      <sheetName val="Pas__bata3"/>
      <sheetName val="PILE_CAP3"/>
      <sheetName val="TIE_BEAM3"/>
      <sheetName val="INPUT_BALOK3"/>
      <sheetName val="itungan_Balok3"/>
      <sheetName val="RASIO_SLAB3"/>
      <sheetName val="PIT_LIFT3"/>
      <sheetName val="BANG_TONG_HOP_(2)3"/>
      <sheetName val="Bill_No_2_1_3"/>
      <sheetName val="RKP_PLUMBING3"/>
      <sheetName val="DAFTAR_HARGA3"/>
      <sheetName val="SK_MIgas_toilet_lt-40,_R-23"/>
      <sheetName val="SK_MIgas_toilet_lt-40,_R-0_(P'3"/>
      <sheetName val="PLINT_3_1_G3"/>
      <sheetName val="concept_cost_code3"/>
      <sheetName val="summary_cost_code3"/>
      <sheetName val="kas_proyek3"/>
      <sheetName val="lain_lain3"/>
      <sheetName val="APT___BALCONIES3"/>
      <sheetName val="Urai_Galian_Tanah3"/>
      <sheetName val="K_Lead3"/>
      <sheetName val="SATUAN_3"/>
      <sheetName val="Analisa_Harga3"/>
      <sheetName val="Analisa_Harga_Satuan3"/>
      <sheetName val="Mat_Mek3"/>
      <sheetName val="Bill_2_2_Villa_2_beds3"/>
      <sheetName val="Buy_vs__Lease_Car3"/>
      <sheetName val="Division__4_-_PLB_Works3"/>
      <sheetName val="chi_phi_truc_tiep3"/>
      <sheetName val="dien_tich2"/>
      <sheetName val="MARK_UP3"/>
      <sheetName val="lt__dasar3"/>
      <sheetName val="valeurs_de_base2"/>
      <sheetName val="tabulation_(comparison)2"/>
      <sheetName val="_Finish2"/>
      <sheetName val="Finish_code2"/>
      <sheetName val="Door_schedule2"/>
      <sheetName val="Sanitary_ware2"/>
      <sheetName val="Analisa_Upah_&amp;_Bahan_Plum2"/>
      <sheetName val="AN__TAMPL2"/>
      <sheetName val="Harga_Dasar2"/>
      <sheetName val="BQ_External2"/>
      <sheetName val="Pekerjaan_Harian2"/>
      <sheetName val="Mahasiswa_2_lantai2"/>
      <sheetName val="DO_AM_DT2"/>
      <sheetName val="Beton_K-2502"/>
      <sheetName val="Daftar_berat2"/>
      <sheetName val="daf_isi_(xref)2"/>
      <sheetName val="Currency_Rate2"/>
      <sheetName val="Analisa_ME_UPT2"/>
      <sheetName val="SUM_6-22"/>
      <sheetName val="Khoi_luong2"/>
      <sheetName val="Gia_thue2"/>
      <sheetName val="Town_House_2"/>
      <sheetName val="Type-A2_Corner2"/>
      <sheetName val="Bill_02_-_Xay_gach-Pou_2"/>
      <sheetName val="Bill_03-Chống_thấm-Pou2"/>
      <sheetName val="Bill_05_-_Hoan_thien-Pou_2"/>
      <sheetName val="Bill_02_-_Xay_gach-Tower2"/>
      <sheetName val="Bill_03-Chống_thấm-Tower2"/>
      <sheetName val="Bill_05_-_Hoan_thien-Tower2"/>
      <sheetName val="NSA_fr_Revit2"/>
      <sheetName val="CF_-Update_31Jul062"/>
      <sheetName val="AUTOMATIC_SELECT2"/>
      <sheetName val="U_P_List2"/>
      <sheetName val="Gia_vat_tu2"/>
      <sheetName val="DG_2"/>
      <sheetName val="Budget_Code"/>
      <sheetName val="_N_Finansal_Eğri"/>
      <sheetName val="sum_mdc"/>
      <sheetName val="Analisa___Upah"/>
      <sheetName val="EXTERNAL_WORK"/>
      <sheetName val="Pengalaman_Per"/>
      <sheetName val="MAIN_GATE_HOUSE"/>
      <sheetName val="Electrical_Works"/>
      <sheetName val="H_T__INCOMING_SYSTEM"/>
      <sheetName val="TLSKIN_LWR"/>
      <sheetName val="Grafik_Lab_"/>
      <sheetName val="MTO_REV_0"/>
      <sheetName val="Bảng_Giá"/>
      <sheetName val="Elec_LG"/>
      <sheetName val="Setting"/>
      <sheetName val="SubmitCal"/>
      <sheetName val="DATA_KC"/>
      <sheetName val="StructEarth_3"/>
      <sheetName val="Bill_Tổng"/>
      <sheetName val="TH_Công_việc-_D21"/>
      <sheetName val="ANH_VU_D12"/>
      <sheetName val="Hỗ_trợ_căn_Hoist"/>
      <sheetName val="THKL_Xay_to"/>
      <sheetName val="D17_(thuc)"/>
      <sheetName val="vật_tư"/>
      <sheetName val="Công_nhật_Đợt_15-_End"/>
      <sheetName val="KL_L29"/>
      <sheetName val="Công_nhật_Đợt_14"/>
      <sheetName val="D10-_KL_dự_trù_QT"/>
      <sheetName val="D07_(CCM)__"/>
      <sheetName val="D06_(CCM)_"/>
      <sheetName val="D05_(CCM)"/>
      <sheetName val="D02_(2)"/>
      <sheetName val="Cac_HS_hieu_chinh"/>
      <sheetName val="Priced_BOQ"/>
      <sheetName val="Expenses_(M)"/>
      <sheetName val="A2&amp;3__AC"/>
      <sheetName val="A4&amp;5__Fan"/>
      <sheetName val="1__Office_stationary"/>
      <sheetName val="2__Safety"/>
      <sheetName val="3__Meal_fee"/>
      <sheetName val="4__Temporary"/>
      <sheetName val="Public_Area"/>
      <sheetName val="GRAND_REKAP"/>
      <sheetName val="CONSTRUCTION_COMPONENT"/>
      <sheetName val="chiet_tinh"/>
      <sheetName val="AC_LOAD"/>
      <sheetName val="A+Supl_"/>
      <sheetName val="MEP Detail"/>
      <sheetName val="01-main building"/>
      <sheetName val="02-office"/>
      <sheetName val="03-utility"/>
      <sheetName val="04-pipe bridge"/>
      <sheetName val="05a-guardhouse"/>
      <sheetName val="07-bike park"/>
      <sheetName val="leveling"/>
      <sheetName val="Du thau"/>
      <sheetName val="5.2.1 Đo bóc KL OLK-06"/>
      <sheetName val="Pro(E)_6"/>
      <sheetName val="MAKER_(E)6"/>
      <sheetName val="Bill_Of_Quantity6"/>
      <sheetName val="H_Satuan6"/>
      <sheetName val="rab_me_(by_owner)_6"/>
      <sheetName val="BQ_(by_owner)6"/>
      <sheetName val="rab_me_(fisik)6"/>
      <sheetName val="GLP_20016"/>
      <sheetName val="01A-_RAB5"/>
      <sheetName val="Bill_of_Qty_MEP5"/>
      <sheetName val="Anl_+6"/>
      <sheetName val="DAF_3_16"/>
      <sheetName val="DAF_3_115"/>
      <sheetName val="HB_5"/>
      <sheetName val="5_1_ELEKTRIKAL-ELEKTRONIK5"/>
      <sheetName val="ELEC_STIS4"/>
      <sheetName val="BoQ_STR5"/>
      <sheetName val="Finishing_(2)5"/>
      <sheetName val="NS_GD_UTAMA5"/>
      <sheetName val="HRG_BHN4"/>
      <sheetName val="BQ_Arsitektur5"/>
      <sheetName val="Isolasi_Luar_Dalam4"/>
      <sheetName val="Isolasi_Luar4"/>
      <sheetName val="Tie_Beam_GN5"/>
      <sheetName val="Tangga_GN5"/>
      <sheetName val="rab_-_persiapan_&amp;_lantai-15"/>
      <sheetName val="REF_ONLY5"/>
      <sheetName val="FORM_X_COST5"/>
      <sheetName val="Analis_Kusen_1_ESKALASI5"/>
      <sheetName val="Transfer_Pump4"/>
      <sheetName val="Analisa_ME4"/>
      <sheetName val="NP_(4)4"/>
      <sheetName val="HS_Alat4"/>
      <sheetName val="ANALISA_PEK_UMUM4"/>
      <sheetName val="BOQ_INTERN4"/>
      <sheetName val="M_&amp;_E4"/>
      <sheetName val="KODE_REK4"/>
      <sheetName val="BGNN_UTILITAS4"/>
      <sheetName val="ANLS_20094"/>
      <sheetName val="Harga_Bahan_&amp;_Upah_4"/>
      <sheetName val="analisa_pagar4"/>
      <sheetName val="D_&amp;_W_sizes4"/>
      <sheetName val="an__struktur4"/>
      <sheetName val="Rek_Tot4"/>
      <sheetName val="dATA_pc4"/>
      <sheetName val="BANGUNAN_PENUNJANG4"/>
      <sheetName val="Tata_Udara4"/>
      <sheetName val="RAB_AR&amp;STR4"/>
      <sheetName val="Master_1_04"/>
      <sheetName val="Har_Sat4"/>
      <sheetName val="L3_An_H_Sat_Mob4"/>
      <sheetName val="DRUP_(ASLI)4"/>
      <sheetName val="Cover_(x)4"/>
      <sheetName val="Cor_Apt4"/>
      <sheetName val="PT_4"/>
      <sheetName val="struktur_tdk_dipakai4"/>
      <sheetName val="Ｎｏ_134"/>
      <sheetName val="Div26_-_Elect4"/>
      <sheetName val="Cover_CKE4"/>
      <sheetName val="Summary_Mech_4"/>
      <sheetName val="Mech__BQ4"/>
      <sheetName val="P_APRIL_20164"/>
      <sheetName val="Qttn_Report4"/>
      <sheetName val="gia_vt,nc,may4"/>
      <sheetName val="M%20&amp;%20E_xls4"/>
      <sheetName val="TH_DZ354"/>
      <sheetName val="Vol__Lantai_Tipikal4"/>
      <sheetName val="Analisa_Struktur4"/>
      <sheetName val="Pas__bata_(anyar)4"/>
      <sheetName val="Pas__bata4"/>
      <sheetName val="PILE_CAP4"/>
      <sheetName val="TIE_BEAM4"/>
      <sheetName val="INPUT_BALOK4"/>
      <sheetName val="itungan_Balok4"/>
      <sheetName val="RASIO_SLAB4"/>
      <sheetName val="PIT_LIFT4"/>
      <sheetName val="BANG_TONG_HOP_(2)4"/>
      <sheetName val="Bill_No_2_1_4"/>
      <sheetName val="RKP_PLUMBING4"/>
      <sheetName val="DAFTAR_HARGA4"/>
      <sheetName val="SK_MIgas_toilet_lt-40,_R-24"/>
      <sheetName val="SK_MIgas_toilet_lt-40,_R-0_(P'4"/>
      <sheetName val="PLINT_3_1_G4"/>
      <sheetName val="concept_cost_code4"/>
      <sheetName val="summary_cost_code4"/>
      <sheetName val="kas_proyek4"/>
      <sheetName val="lain_lain4"/>
      <sheetName val="APT___BALCONIES4"/>
      <sheetName val="Urai_Galian_Tanah4"/>
      <sheetName val="K_Lead4"/>
      <sheetName val="SATUAN_4"/>
      <sheetName val="Analisa_Harga4"/>
      <sheetName val="Analisa_Harga_Satuan4"/>
      <sheetName val="Mat_Mek4"/>
      <sheetName val="chi_phi_truc_tiep4"/>
      <sheetName val="Buy_vs__Lease_Car4"/>
      <sheetName val="Division__4_-_PLB_Works4"/>
      <sheetName val="Bill_2_2_Villa_2_beds4"/>
      <sheetName val="dien_tich3"/>
      <sheetName val="MARK_UP4"/>
      <sheetName val="lt__dasar4"/>
      <sheetName val="SUM_6-23"/>
      <sheetName val="Khoi_luong3"/>
      <sheetName val="Gia_thue3"/>
      <sheetName val="Town_House_3"/>
      <sheetName val="Type-A2_Corner3"/>
      <sheetName val="Bill_02_-_Xay_gach-Pou_3"/>
      <sheetName val="Bill_03-Chống_thấm-Pou3"/>
      <sheetName val="Bill_05_-_Hoan_thien-Pou_3"/>
      <sheetName val="Bill_02_-_Xay_gach-Tower3"/>
      <sheetName val="Bill_03-Chống_thấm-Tower3"/>
      <sheetName val="Bill_05_-_Hoan_thien-Tower3"/>
      <sheetName val="CFA_(ME)3"/>
      <sheetName val="Analisa_Upah_&amp;_Bahan_Plum3"/>
      <sheetName val="AN__TAMPL3"/>
      <sheetName val="Harga_Dasar3"/>
      <sheetName val="tabulation_(comparison)3"/>
      <sheetName val="valeurs_de_base3"/>
      <sheetName val="BQ_External3"/>
      <sheetName val="NSA_fr_Revit3"/>
      <sheetName val="Pekerjaan_Harian3"/>
      <sheetName val="Mahasiswa_2_lantai3"/>
      <sheetName val="DO_AM_DT3"/>
      <sheetName val="Beton_K-2503"/>
      <sheetName val="Daftar_berat3"/>
      <sheetName val="daf_isi_(xref)3"/>
      <sheetName val="Currency_Rate3"/>
      <sheetName val="Analisa_ME_UPT3"/>
      <sheetName val="_Finish3"/>
      <sheetName val="Finish_code3"/>
      <sheetName val="Door_schedule3"/>
      <sheetName val="Sanitary_ware3"/>
      <sheetName val="CF_-Update_31Jul063"/>
      <sheetName val="DG_3"/>
      <sheetName val="AUTOMATIC_SELECT3"/>
      <sheetName val="U_P_List3"/>
      <sheetName val="Gia_vat_tu3"/>
      <sheetName val="Budget_Code1"/>
      <sheetName val="_N_Finansal_Eğri1"/>
      <sheetName val="bhn_FINAL1"/>
      <sheetName val="Data_Tower1"/>
      <sheetName val="Anls_teknis1"/>
      <sheetName val="Harga_Kabel1"/>
      <sheetName val="sum_mdc1"/>
      <sheetName val="Analisa___Upah1"/>
      <sheetName val="EXTERNAL_WORK1"/>
      <sheetName val="Pengalaman_Per1"/>
      <sheetName val="DES_151"/>
      <sheetName val="Basic_Price1"/>
      <sheetName val="Unit_Rate1"/>
      <sheetName val="Kuantitas_&amp;_Harga1"/>
      <sheetName val="sheet_21"/>
      <sheetName val="RAB_ME1"/>
      <sheetName val="Analisa_Mob__31"/>
      <sheetName val="Analisa_Mob_11"/>
      <sheetName val="Analisa_Alat1"/>
      <sheetName val="Analisa_Mob__21"/>
      <sheetName val="MAIN_GATE_HOUSE1"/>
      <sheetName val="Electrical_Works1"/>
      <sheetName val="H_T__INCOMING_SYSTEM1"/>
      <sheetName val="TLSKIN_LWR1"/>
      <sheetName val="MTO_REV_01"/>
      <sheetName val="Grafik_Lab_1"/>
      <sheetName val="Elec_LG1"/>
      <sheetName val="Bảng_Giá1"/>
      <sheetName val="15_Harga_Satuan_Bahan"/>
      <sheetName val="NP_(2)"/>
      <sheetName val="Hrg_Sat"/>
      <sheetName val="HD_UPAH"/>
      <sheetName val="Rekap_Analisa"/>
      <sheetName val="HARGA_MATERIAL"/>
      <sheetName val="bahan_SNI"/>
      <sheetName val="NP__2_"/>
      <sheetName val="Man_Power"/>
      <sheetName val="BOQ_EM"/>
      <sheetName val="DIVISI_3"/>
      <sheetName val="ThuVien"/>
      <sheetName val="1.1. KCT (NHÀ XƯỞNG)"/>
      <sheetName val="1.4 HẠ TẦNG X.ÉP"/>
      <sheetName val="ĐỊNH MỨC CÔNG NHẬT"/>
      <sheetName val="6.1 KẾT CẤU THÉP -VP"/>
      <sheetName val="TLT - WEIGHT REBAR"/>
      <sheetName val="DANH SÁCH CN"/>
      <sheetName val="NHÀ XE"/>
      <sheetName val="HẠ TẦNG"/>
      <sheetName val="LƯƠNG CN GỘP "/>
      <sheetName val="chC_công nhật"/>
      <sheetName val="TONG HOP"/>
      <sheetName val="DG 1203-15-03_KHO"/>
      <sheetName val="THEO DÕI CÔNG_ ĐỘI"/>
      <sheetName val="phân việc_CN"/>
      <sheetName val="nghiệm thu CV_CN"/>
      <sheetName val="Bangcaodo"/>
      <sheetName val="PR 3 YEAKNON-New VO."/>
      <sheetName val="PR3-Cashflow New(%)"/>
      <sheetName val="PMI"/>
      <sheetName val="PR3-S-CURVE (2)"/>
      <sheetName val="PR3-Cashflow Contract"/>
      <sheetName val="PR 3 YEAKNON-CW+AW "/>
      <sheetName val="PR 3 YEAKNON-New BudjetRV"/>
      <sheetName val="Yaeknon-New VO.-Structur Cost"/>
      <sheetName val="สรุป"/>
      <sheetName val="Sheet2"/>
      <sheetName val="4 CĂN"/>
      <sheetName val="Gia_GC_Satthep"/>
      <sheetName val="ES-aLL"/>
      <sheetName val="Upah &amp; Bahan"/>
      <sheetName val="Attachment-3 Chem"/>
      <sheetName val="CB"/>
      <sheetName val="ﾄﾞﾊﾞｲFUEL GAS追見"/>
      <sheetName val="SewerPipe"/>
      <sheetName val="Breakdown Instrument"/>
      <sheetName val="ERECTION"/>
      <sheetName val="Penjumlahan"/>
      <sheetName val="BQ-Str"/>
      <sheetName val="3-DIV2"/>
      <sheetName val="DAF-7"/>
      <sheetName val="ADD 2 (1)"/>
      <sheetName val="BQ_E20_02_Rp_"/>
      <sheetName val="PLB"/>
      <sheetName val="AN Tdr"/>
      <sheetName val="Rumus"/>
      <sheetName val="Analisa Tend"/>
      <sheetName val="97 사업추정(WEKI)"/>
      <sheetName val="Part Desc"/>
      <sheetName val="rap rinci"/>
      <sheetName val="crude.SLAB RE-bar"/>
      <sheetName val="CRUDE RE-bar"/>
      <sheetName val="Eq. Mobilization"/>
      <sheetName val="Total-Mem"/>
      <sheetName val="dafharbhn"/>
      <sheetName val="Analtanah"/>
      <sheetName val="Rekap Addendum"/>
      <sheetName val="Eng_Hrs"/>
      <sheetName val="Bahan1"/>
      <sheetName val="SCH"/>
      <sheetName val="SELISIH HARGA"/>
      <sheetName val="ACTUAL CHECK"/>
      <sheetName val="COST"/>
      <sheetName val="K-2007"/>
      <sheetName val="Stden center"/>
      <sheetName val="Input Data"/>
      <sheetName val="HS"/>
      <sheetName val="ANTEK"/>
      <sheetName val="SEC-6"/>
      <sheetName val="BOQ ADD-12"/>
      <sheetName val="SAT-BHN"/>
      <sheetName val="H Sat Jembatan"/>
      <sheetName val="reporting package-bmel 31-12-04"/>
      <sheetName val="Div.5"/>
      <sheetName val="Div.6"/>
      <sheetName val="Div.7"/>
      <sheetName val="rekaprab"/>
      <sheetName val="dt-saranakarya.xls'tunj"/>
      <sheetName val="jadwal"/>
      <sheetName val="D7(1)"/>
      <sheetName val="A. PENGADAAN"/>
      <sheetName val="B. TRANSPORTASI"/>
      <sheetName val="C. KONS EM"/>
      <sheetName val="D. KONS SIPIL"/>
      <sheetName val="LAMPIRAN - TERPASANG"/>
      <sheetName val="Detail Realisasi"/>
      <sheetName val="Exch.rate"/>
      <sheetName val="ALEK"/>
      <sheetName val="box culvert"/>
      <sheetName val="BAHAN_&amp;_ALAT_"/>
      <sheetName val="Analisa_Upah___Bahan_Plum"/>
      <sheetName val="an_utara"/>
      <sheetName val="Supl_X"/>
      <sheetName val="analisa_panel"/>
      <sheetName val="NS GD.UGD"/>
      <sheetName val="STD GD.UGD"/>
      <sheetName val="ANALISA EDIT"/>
      <sheetName val="Schedule 11a"/>
      <sheetName val="Temporary"/>
      <sheetName val="Septick tank"/>
      <sheetName val="Subkon"/>
      <sheetName val="TA"/>
      <sheetName val="LoTA"/>
      <sheetName val="U&amp;B"/>
      <sheetName val="NPDivisi7(2)"/>
      <sheetName val="BAB_5_2_BiaLang"/>
      <sheetName val="TAB"/>
      <sheetName val="HS UPAH"/>
      <sheetName val="HS BAHAN"/>
      <sheetName val="PRODALAT"/>
      <sheetName val="DATA PROYEK"/>
      <sheetName val="FWBS1000"/>
      <sheetName val="FWBS2000"/>
      <sheetName val="FWBS3000"/>
      <sheetName val="FWBS4000"/>
      <sheetName val="FWBS5000"/>
      <sheetName val="FWBS5400"/>
      <sheetName val="FWBS6000"/>
      <sheetName val="FWBS7000"/>
      <sheetName val="FWBS8000"/>
      <sheetName val="FWBS9000"/>
      <sheetName val="FWBSA000"/>
      <sheetName val="Re-bar"/>
      <sheetName val="VT"/>
      <sheetName val="MTC"/>
      <sheetName val="TP"/>
      <sheetName val="VL"/>
      <sheetName val="T T CL VC DZ 22"/>
      <sheetName val="Tro giup"/>
      <sheetName val="Duc_bk"/>
      <sheetName val="Đơn Giá "/>
      <sheetName val="DONGIA"/>
      <sheetName val="DON GIA"/>
      <sheetName val="Tiepdia"/>
      <sheetName val="TDTKP"/>
      <sheetName val="CHITIET VL-NC"/>
      <sheetName val="COVID Specific Manloader"/>
      <sheetName val="Anls"/>
      <sheetName val="Rekap 6.3(6a)"/>
      <sheetName val="Rekap 6.3(5a)"/>
      <sheetName val="Rekap 6.3(8a)"/>
      <sheetName val="Rekap 7.3(1)"/>
      <sheetName val="Rekap 6.3(10)"/>
      <sheetName val="Rekap 3.1(3)"/>
      <sheetName val="Rekap 5.1.1"/>
      <sheetName val="Rekap 5.1.2"/>
      <sheetName val="BUL"/>
      <sheetName val="Tawar"/>
      <sheetName val="RAP1"/>
      <sheetName val="Cash Flow bulanan"/>
      <sheetName val="EDTL"/>
      <sheetName val="H-Dasar"/>
      <sheetName val="DIV.9"/>
      <sheetName val="7.PEK-STRUKTUR"/>
      <sheetName val="7.공정표"/>
      <sheetName val="DbCost"/>
      <sheetName val="AnalisaSIPIL RIIL"/>
      <sheetName val="SAT.UPAH"/>
      <sheetName val="Unit Price"/>
      <sheetName val="Valve PL"/>
      <sheetName val="Peralatan PL"/>
      <sheetName val="RFP007"/>
      <sheetName val="RFP006"/>
      <sheetName val="RFP009"/>
      <sheetName val="RFP012"/>
      <sheetName val="Sumda1"/>
      <sheetName val="BQ INT"/>
      <sheetName val="BQ-1A"/>
      <sheetName val="FORM"/>
      <sheetName val="Harga Bahan"/>
      <sheetName val="CONSUMABLE"/>
      <sheetName val="Units"/>
      <sheetName val="Analisa &amp; Upah"/>
      <sheetName val="SUM_Steel-Strc"/>
      <sheetName val="D_harga"/>
      <sheetName val="Sat~Bahu"/>
      <sheetName val="Daf 1"/>
      <sheetName val="Kode"/>
      <sheetName val="Hst_mat"/>
      <sheetName val="B"/>
      <sheetName val="Harsat Upah"/>
      <sheetName val="Harsat Pekerjaan"/>
      <sheetName val="Analisa (ok)"/>
      <sheetName val="Hardas"/>
      <sheetName val="DAF-2"/>
      <sheetName val="Uraian Analisa"/>
      <sheetName val="DHS Alat"/>
      <sheetName val="Margin"/>
      <sheetName val="DHS Bahan Material"/>
      <sheetName val="DHS Upah"/>
      <sheetName val="PERSONIL"/>
      <sheetName val="PERALATAN"/>
      <sheetName val="Analisa Harga Terpakai"/>
      <sheetName val="Pintu"/>
      <sheetName val="SUMBER"/>
      <sheetName val="ana_str"/>
      <sheetName val="HARGA SAT"/>
      <sheetName val="catatan"/>
      <sheetName val="anaMob"/>
      <sheetName val="REKAP.VOLUME"/>
      <sheetName val="UPAH-BAHAN"/>
      <sheetName val="ANALISA-HST"/>
      <sheetName val="Div1"/>
      <sheetName val="STD GD.UTAMA"/>
      <sheetName val="2"/>
      <sheetName val="6"/>
      <sheetName val="BS-1"/>
      <sheetName val="SB"/>
      <sheetName val="Lt-Lobby"/>
      <sheetName val="Lt-Mezanin"/>
      <sheetName val="Lt-1"/>
      <sheetName val="Lt-2"/>
      <sheetName val="Lt-3"/>
      <sheetName val="Lt-5"/>
      <sheetName val="Lt-6"/>
      <sheetName val="Lt-7"/>
      <sheetName val="Lt-8"/>
      <sheetName val="Lt-9"/>
      <sheetName val="Lt-10"/>
      <sheetName val="Lt-11"/>
      <sheetName val="Lt-12"/>
      <sheetName val="Lt-15"/>
      <sheetName val="Lt-16"/>
      <sheetName val="Lt-17"/>
      <sheetName val="Lt-18"/>
      <sheetName val="Lt-19"/>
      <sheetName val="Lt-20"/>
      <sheetName val="Lt-21"/>
      <sheetName val="Lt-22"/>
      <sheetName val="Lt-23"/>
      <sheetName val="Lt-25"/>
      <sheetName val="Lt-26"/>
      <sheetName val="Lt-27"/>
      <sheetName val="ATAP &amp; RISER"/>
      <sheetName val="ITB COST"/>
      <sheetName val="MP3"/>
      <sheetName val="REKAP ELEKTRIKAL"/>
      <sheetName val="HRG BAHAN _ UPAH okk"/>
      <sheetName val="HRG BAHAN &amp; UPAH okk"/>
      <sheetName val="Analis Kusen okk"/>
      <sheetName val="Gal &amp; Timb KAJU"/>
      <sheetName val="Uph&amp;bhn"/>
      <sheetName val="HSD Alat"/>
      <sheetName val="HSD Bahan"/>
      <sheetName val="Sum IF"/>
      <sheetName val="HSD Upah"/>
      <sheetName val="PNT"/>
      <sheetName val="Rekap_Biaya1"/>
      <sheetName val="Agregat_Halus_&amp;_Kasar1"/>
      <sheetName val="Master_Dat1"/>
      <sheetName val="4-Basic_Price1"/>
      <sheetName val="Perm__Test1"/>
      <sheetName val="SBDY_Jemb_Tayan1"/>
      <sheetName val="3-DIV7_B1"/>
      <sheetName val="Rekap_Prelim1"/>
      <sheetName val="Galian_11"/>
      <sheetName val="Harsat_Alat1"/>
      <sheetName val="7_1(3)1"/>
      <sheetName val="h_sat-bbm1"/>
      <sheetName val="Sumber_Daya1"/>
      <sheetName val="PRD_01-6(I-II)1"/>
      <sheetName val="PRD_01-7_alat1"/>
      <sheetName val="RP_PROD_091"/>
      <sheetName val="Fill_this_out_first___"/>
      <sheetName val="1_B1"/>
      <sheetName val="TOWER_D1"/>
      <sheetName val="RAB_DC1"/>
      <sheetName val="BQ_OE1"/>
      <sheetName val="Agg_Halus_&amp;_Kasar1"/>
      <sheetName val="Harsat_Upah"/>
      <sheetName val="Harsat_Pekerjaan"/>
      <sheetName val="Analisa_(ok)"/>
      <sheetName val="Anls_Hrg_Sat1"/>
      <sheetName val="Sat_Bah___Up1"/>
      <sheetName val="2_E1"/>
      <sheetName val="2_F1"/>
      <sheetName val="DIV_51"/>
      <sheetName val="DIV_61"/>
      <sheetName val="Divisi_Baru1"/>
      <sheetName val="Met__Minor1"/>
      <sheetName val="bearing_PDMR11"/>
      <sheetName val="Stay_Cable_PDMR11"/>
      <sheetName val="Post_Tens-11"/>
      <sheetName val="inner_pervious_adjust_"/>
      <sheetName val="outer_pervious_adjust"/>
      <sheetName val="BOQ_SNJ_1"/>
      <sheetName val="DKH_CCO_1A"/>
      <sheetName val="DKH_CCO_1B_R-1"/>
      <sheetName val="HRG_DSR_APP"/>
      <sheetName val="ITB_COST"/>
      <sheetName val="REKAP_ELEKTRIKAL"/>
      <sheetName val="HRG_BAHAN___UPAH_okk"/>
      <sheetName val="HRG_BAHAN_&amp;_UPAH_okk"/>
      <sheetName val="Analis_Kusen_okk"/>
      <sheetName val="Gal_&amp;_Timb_KAJU"/>
      <sheetName val="Daf.Dasar Upah&amp;Bahan"/>
      <sheetName val="MasterCos"/>
      <sheetName val="61004"/>
      <sheetName val="61005"/>
      <sheetName val="61006"/>
      <sheetName val="61007"/>
      <sheetName val="61008"/>
      <sheetName val="Grandtotals"/>
      <sheetName val="SewAlat"/>
      <sheetName val="DAF. PEKERJAAN"/>
      <sheetName val="SPESISIKASI PENAWARAN"/>
      <sheetName val="pondasi"/>
      <sheetName val="Daf-2.4 Baja"/>
      <sheetName val="jadw"/>
      <sheetName val="DB SMT BANUS"/>
      <sheetName val="Rekap Direct Cost"/>
      <sheetName val="Luas-Tot"/>
      <sheetName val="H_ Dasar"/>
      <sheetName val="TNG"/>
      <sheetName val="bukan PNS"/>
      <sheetName val="ጷ_x0000__x0000_&amp;ጸ_x0000__x0000_xጿ_x0000__x0000_Lጿ_x0000__x0000_cጊ_x0000__x0000_iጱ_x0000__x0000_"/>
      <sheetName val="ጴ_x0000__x0000_&amp;ጳ_x0000__x0000_xጳ_x0000__x0000_Bጴ_x0000__x0000_bጵ_x0000__x0000_wጶ_x0000__x0000_)"/>
      <sheetName val="ጿ_x0000__x0000_&amp;ጊ_x0000__x0000_xጊ_x0000__x0000_rጱ_x0000__x0000_mጲ_x0000__x0000_fድ_x0000__x0000_kጳ"/>
      <sheetName val="ጊ_x0000__x0000_&amp;ጊ_x0000__x0000_xጱ_x0000__x0000_Gጲ_x0000__x0000_Dድ_x0000__x0000_Oጳ_x0000__x0000_"/>
      <sheetName val="ጳ_x0000__x0000_&amp;ጴ_x0000__x0000_xጵ_x0000__x0000_Bጶ_x0000__x0000_ ጷ_x0000__x0000_Qጸ_x0000__x0000_Mጿ_x0000_"/>
      <sheetName val="ጵ_x0000__x0000_&amp;ጶ_x0000__x0000_xጷ_x0000__x0000_Iጸ_x0000__x0000_aጿ_x0000__x0000_uጿ_x0000__x0000_r"/>
      <sheetName val="ድ_x0000__x0000_&amp;ጳ_x0000__x0000_xጳ_x0000__x0000_Fጴ_x0000__x0000_Sጳ_x0000__x0000_rጳ_x0000__x0000_"/>
      <sheetName val="ጳ_x0000__x0000_&amp;ጴ_x0000__x0000_xጳ_x0000__x0000_Sጳ_x0000__x0000_Sጴ_x0000__x0000_rጵ_x0000__x0000_"/>
      <sheetName val="ጳ_x0000__x0000_&amp;ጴ_x0000__x0000_xጵ_x0000__x0000_Fጶ_x0000__x0000_sጷ_x0000__x0000_gጸ_x0000__x0000_)"/>
      <sheetName val="ጳ_x0000__x0000_&amp;ጴ_x0000__x0000_xጳ_x0000__x0000_Mጳ_x0000__x0000_Pጴ_x0000__x0000_rጵ_x0000__x0000_nጶ_x0000_"/>
      <sheetName val="ጿ_x0000__x0000_&amp;ጿ_x0000__x0000_xጊ_x0000__x0000_Bጱ_x0000__x0000_bጲ_x0000__x0000_wድ_x0000__x0000_)"/>
      <sheetName val="ድ_x0000__x0000_&amp;ጳ_x0000__x0000_xጳ_x0000__x0000_rጴ_x0000__x0000_mጳ_x0000__x0000_fጳ_x0000__x0000_kጴ"/>
      <sheetName val="ጷ_x0000__x0000_&amp;ጸ_x0000__x0000_xጿ_x0000__x0000_Bጿ_x0000__x0000_rጊ_x0000__x0000_eጊ_x0000__x0000_r"/>
      <sheetName val="ጳ_x0000__x0000_&amp;ጳ_x0000__x0000_xጴ_x0000__x0000_Iጵ_x0000__x0000_aጶ_x0000__x0000_Lጷ_x0000__x0000_"/>
      <sheetName val="ጵ_x0000__x0000_&amp;ጶ_x0000__x0000_xጷ_x0000__x0000_Tጸ_x0000__x0000_sጿ_x0000__x0000_ ጿ_x0000__x0000_p"/>
      <sheetName val="ጊ_x0000__x0000_&amp;ጱ_x0000__x0000_xጲ_x0000__x0000_Bፍ_x0000__x0000_.ጳ_x0000__x0000_Lጳ_x0000__x0000_S"/>
      <sheetName val="ጴ_x0000__x0000_&amp;ጵ_x0000__x0000_xጶ_x0000__x0000_aጷ_x0000__x0000_iጸ_x0000__x0000_pጿ_x0000__x0000_r"/>
      <sheetName val="ጱ_x0000__x0000_&amp;ጲ_x0000__x0000_xድ_x0000__x0000_aጳ_x0000__x0000_sጳ_x0000__x0000_kጴ_x0000__x0000_"/>
      <sheetName val="ጲ_x0000__x0000_&amp;ፍ_x0000__x0000_xጳ_x0000__x0000_Lጳ_x0000__x0000_nጴ_x0000__x0000_Sጳ_x0000__x0000_Mጳ_x0000_"/>
      <sheetName val="ጶ_x0000__x0000_&amp;ጷ_x0000__x0000_xጸ_x0000__x0000_Dጿ_x0000__x0000_6ጿ_x0000__x0000_Eጊ_x0000__x0000_t"/>
      <sheetName val="ጳ_x0000__x0000_&amp;ጳ_x0000__x0000_xጴ_x0000__x0000_gጳ_x0000__x0000_vጳ_x0000__x0000_cጴ_x0000__x0000_y"/>
      <sheetName val="ጳ_x0000__x0000_&amp;ጳ_x0000__x0000_xጴ_x0000__x0000_Sጳ_x0000__x0000_aጳ_x0000__x0000_Mጴ_x0000__x0000_."/>
      <sheetName val="ጸ_x0000__x0000_&amp;ጿ_x0000__x0000_xጿ_x0000__x0000_Pጊ_x0000__x0000_Rጱ_x0000__x0000_2ጲ_x0000__x0000_"/>
      <sheetName val="ጴ_x0000__x0000_&amp;ጳ_x0000__x0000_xጳ_x0000__x0000_Mጴ_x0000__x0000_&amp;ጵ_x0000__x0000_Eጶ_x0000__x0000_s"/>
      <sheetName val="ጳ_x0000__x0000_&amp;ጳ_x0000__x0000_xጴ_x0000__x0000_Rጳ_x0000__x0000_pጳ_x0000__x0000_lጴ_x0000__x0000_"/>
      <sheetName val="ጲ_x0000__x0000_&amp;ፍ_x0000__x0000_xጳ_x0000__x0000_iጳ_x0000__x0000_gጴ_x0000__x0000_Bጳ_x0000__x0000_k"/>
      <sheetName val="ጳ_x0000__x0000_&amp;ጴ_x0000__x0000_xጳ_x0000__x0000_Bጳ_x0000__x0000_ ጴ_x0000__x0000_2ጵ_x0000__x0000_"/>
      <sheetName val="ጶ_x0000__x0000_&amp;ጷ_x0000__x0000_xጸ_x0000__x0000_Bጿ_x0000__x0000_bጿ_x0000__x0000_wጊ_x0000__x0000_)ጱ"/>
      <sheetName val="ጳ_x0000__x0000_&amp;ጴ_x0000__x0000_xጳ_x0000__x0000_rጳ_x0000__x0000_mጴ_x0000__x0000_fጵ_x0000__x0000_kጶ_x0000_"/>
      <sheetName val="ጿ_x0000__x0000_&amp;ጊ_x0000__x0000_xጱ_x0000__x0000_Bጲ_x0000__x0000__ፍ_x0000__x0000_Qጳ_x0000__x0000_Mጳ_x0000_"/>
      <sheetName val="ጲ_x0000__x0000_&amp;ድ_x0000__x0000_xጳ_x0000__x0000_Fጳ_x0000__x0000_sጴ_x0000__x0000_gጳ_x0000__x0000_)"/>
      <sheetName val="ጷ_x0000__x0000_&amp;ጸ_x0000__x0000_xጿ_x0000__x0000_Bጿ_x0000__x0000_rጊ_x0000__x0000_eጱ_x0000__x0000_r"/>
      <sheetName val="ጸ_x0000__x0000_&amp;ጿ_x0000__x0000_xጿ_x0000__x0000_Rጊ_x0000__x0000_Pጱ_x0000__x0000_Bጲ_x0000__x0000_"/>
      <sheetName val="ፍ_x0000__x0000_&amp;ጳ_x0000__x0000_xጳ_x0000__x0000_Dጴ_x0000__x0000_Aጳ_x0000__x0000_Aጳ_x0000__x0000_"/>
      <sheetName val="ጳ_x0000__x0000_&amp;ጴ_x0000__x0000_xጵ_x0000__x0000_Aጶ_x0000__x0000__ጷ_x0000__x0000_Lጸ_x0000__x0000_Iጿ_x0000_"/>
      <sheetName val="ጿ_x0000__x0000_&amp;ጿ_x0000__x0000_xጊ_x0000__x0000_Aጱ_x0000__x0000_iጲ_x0000__x0000_Hድ_x0000__x0000_a"/>
      <sheetName val="ጸ_x0000__x0000_&amp;ጿ_x0000__x0000_xጿ_x0000__x0000_Sጊ_x0000__x0000_Aጱ_x0000__x0000_Sጲ_x0000__x0000_iድ"/>
      <sheetName val="ጳ_x0000__x0000_&amp;ጳ_x0000__x0000_xጴ_x0000__x0000_Cጵ_x0000__x0000_xጶ_x0000__x0000_pጷ_x0000__x0000_m"/>
      <sheetName val="ጴ_x0000__x0000_&amp;ጵ_x0000__x0000_xጶ_x0000__x0000_vጷ_x0000__x0000_uጸ_x0000__x0000_dጿ_x0000__x0000_aጿ_x0000_"/>
      <sheetName val="ጊ_x0000__x0000_&amp;ጱ_x0000__x0000_xጲ_x0000__x0000_Dፍ_x0000__x0000_aጳ_x0000__x0000_eጳ_x0000__x0000_"/>
      <sheetName val="ጳ_x0000__x0000_&amp;ጳ_x0000__x0000_xጴ_x0000__x0000_dጳ_x0000__x0000_iጳ_x0000__x0000_(ጴ_x0000__x0000_fጵ"/>
      <sheetName val="ጴ_x0000__x0000_&amp;ጳ_x0000__x0000_xጳ_x0000__x0000_Cጴ_x0000__x0000_eጵ_x0000__x0000_ ጶ_x0000__x0000_e"/>
      <sheetName val="ጴ_x0000__x0000_&amp;ጵ_x0000__x0000_xጶ_x0000__x0000_Aጷ_x0000__x0000_iጸ_x0000__x0000_Mጿ_x0000__x0000_Pጿ"/>
      <sheetName val="ጿ_x0000__x0000_&amp;ጊ_x0000__x0000_xጱ_x0000__x0000_Dጲ_x0000__x0000_ ፍ_x0000__x0000_eጳ_x0000__x0000_e"/>
      <sheetName val="ጳ_x0000__x0000_&amp;ጴ_x0000__x0000_xጵ_x0000__x0000_Sጶ_x0000__x0000_tጷ_x0000__x0000_ ጸ_x0000__x0000_e"/>
      <sheetName val="ጵ_x0000__x0000_&amp;ጶ_x0000__x0000_xጷ_x0000__x0000_Tጸ_x0000__x0000_-ጿ_x0000__x0000_Cጿ_x0000__x0000_eጊ"/>
      <sheetName val="ጴ_x0000__x0000_&amp;ጳ_x0000__x0000_xጳ_x0000__x0000_Iጴ_x0000__x0000_aጵ_x0000__x0000_Lጶ_x0000__x0000_"/>
      <sheetName val="ጱ_x0000__x0000_&amp;ጲ_x0000__x0000_xፍ_x0000__x0000_Tጳ_x0000__x0000_sጳ_x0000__x0000__ጴ_x0000__x0000_p"/>
      <sheetName val="ጵ_x0000__x0000_&amp;ጶ_x0000__x0000_xጷ_x0000__x0000_Bጸ_x0000__x0000__ጿ_x0000__x0000_Lጿ_x0000__x0000_S"/>
      <sheetName val="ድ_x0000__x0000_&amp;ጳ_x0000__x0000_xጳ_x0000__x0000_aጴ_x0000__x0000_iጳ_x0000__x0000_pጳ_x0000__x0000_r"/>
      <sheetName val="ጷ_x0000__x0000_&amp;ጸ_x0000__x0000_xጿ_x0000__x0000_aጿ_x0000__x0000_sጊ_x0000__x0000_kጱ_x0000__x0000_"/>
      <sheetName val="ጶ_x0000__x0000_&amp;ጷ_x0000__x0000_xጸ_x0000__x0000_Lጿ_x0000__x0000_nጿ_x0000__x0000_Sጊ_x0000__x0000_Mጱ_x0000_"/>
      <sheetName val="ጿ_x0000__x0000_&amp;ጿ_x0000__x0000_xጊ_x0000__x0000_Sጱ_x0000__x0000_aጲ_x0000__x0000_Mድ_x0000__x0000__"/>
      <sheetName val="ጱ_x0000__x0000_&amp;ጲ_x0000__x0000_xፍ_x0000__x0000_Pጳ_x0000__x0000_Rጳ_x0000__x0000_2ጴ_x0000__x0000_"/>
      <sheetName val="ጳ_x0000__x0000_&amp;ጳ_x0000__x0000_xጴ_x0000__x0000_Dጵ_x0000__x0000_6ጶ_x0000__x0000_Eጷ_x0000__x0000_t"/>
      <sheetName val="ጊ_x0000__x0000_&amp;ጱ_x0000__x0000_xጲ_x0000__x0000_gድ_x0000__x0000_vጳ_x0000__x0000_cጳ_x0000__x0000_y"/>
      <sheetName val="ፍ_x0000__x0000_&amp;ጳ_x0000__x0000_xጳ_x0000__x0000_Mጴ_x0000__x0000_&amp;ጳ_x0000__x0000_Eጳ_x0000__x0000_s"/>
      <sheetName val="ጳ_x0000__x0000_&amp;ጴ_x0000__x0000_xጳ_x0000__x0000_Nጳ_x0000__x0000_fጴ_x0000__x0000_eጵ_x0000__x0000_"/>
      <sheetName val="ፏ_x0000__x0000_&amp;ፏ_x0000__x0000_xጊ_x0000__x0000_Bጱ_x0000__x0000_bጲ_x0000__x0000_wፍ_x0000__x0000_)ጳ"/>
      <sheetName val="[_x0000__x0000_&amp;ጱ_x0000__x0000_xጲ_x0000__x0000_rፍ_x0000__x0000_mጳ_x0000__x0000_fጳ_x0000__x0000_kጴ_x0000_"/>
      <sheetName val="ጳ_x0000__x0000_&amp;ጳ_x0000__x0000_xጴ_x0000__x0000_Fጵ_x0000__x0000__ጶ_x0000__x0000_Oጷ_x0000__x0000_"/>
      <sheetName val="ጊM &amp; E.xls]Bill_No_2_1_"/>
      <sheetName val="ጴ_x0000__x0000_&amp;ጵ_x0000__x0000_xጶ_x0000__x0000_Nጷ_x0000__x0000_Dጸ_x0000__x0000_Aጿ_x0000__x0000_"/>
      <sheetName val="ጳ_x0000__x0000_&amp;ጳ_x0000__x0000_xጴ_x0000__x0000_Bጳ_x0000__x0000_rጳ_x0000__x0000_eጴ_x0000__x0000_rጵ"/>
      <sheetName val="ጲ_x0000__x0000_&amp;ፍ_x0000__x0000_xጳ_x0000__x0000_Iጳ_x0000__x0000_aጴ_x0000__x0000_Lጳ_x0000__x0000_1"/>
      <sheetName val="ጶ_x0000__x0000_&amp;ጷ_x0000__x0000_xጸ_x0000__x0000_Fጿ_x0000__x0000__ጿ_x0000__x0000_Oጊ_x0000__x0000_"/>
      <sheetName val="ጵ_x0000__x0000_&amp;ጶ_x0000__x0000_xጷ_x0000__x0000_aጸ_x0000__x0000_iጿ_x0000__x0000_pጿ_x0000__x0000_rጊ"/>
      <sheetName val="ጸ_x0000__x0000_&amp;ጿ_x0000__x0000_xጿ_x0000__x0000_Dጊ_x0000__x0000_Wጱ_x0000__x0000_zጲ_x0000__x0000_"/>
      <sheetName val="ጊ_x0000__x0000_&amp;ጱ_x0000__x0000_xጲ_x0000__x0000_Dፍ_x0000__x0000_6ጳ_x0000__x0000_Eጳ_x0000__x0000_tጴ"/>
      <sheetName val="ጳ_x0000__x0000_&amp;ጴ_x0000__x0000_xጵ_x0000__x0000_Mጶ_x0000__x0000_&amp;ጷ_x0000__x0000_Eጸ_x0000__x0000_sጿ"/>
      <sheetName val="ጊ_x0000__x0000_&amp;ጱ_x0000__x0000_xጲ_x0000__x0000_Iድ_x0000__x0000_Tጳ_x0000__x0000_Lጳ_x0000__x0000_"/>
      <sheetName val="Cover Daf-2"/>
      <sheetName val="TONG HOP VL-NC"/>
      <sheetName val="#REF"/>
      <sheetName val="chitiet"/>
      <sheetName val="VCV-BE-TONG"/>
      <sheetName val="Z"/>
      <sheetName val="D+W"/>
      <sheetName val="SORT"/>
      <sheetName val="ጷ"/>
      <sheetName val="ጴ"/>
      <sheetName val="ጿ"/>
      <sheetName val="ጊ"/>
      <sheetName val="ጳ"/>
      <sheetName val="ጵ"/>
      <sheetName val="ድ"/>
      <sheetName val="ጱ"/>
      <sheetName val="ጲ"/>
      <sheetName val="ጶ"/>
      <sheetName val="ጸ"/>
      <sheetName val="ፍ"/>
      <sheetName val="ፏ"/>
      <sheetName val="["/>
      <sheetName val="??2??"/>
      <sheetName val="INDIGINEOUS ITEMS "/>
      <sheetName val="Pro(E)_7"/>
      <sheetName val="MAKER_(E)7"/>
      <sheetName val="Bill_Of_Quantity7"/>
      <sheetName val="H_Satuan7"/>
      <sheetName val="rab_me_(by_owner)_7"/>
      <sheetName val="BQ_(by_owner)7"/>
      <sheetName val="rab_me_(fisik)7"/>
      <sheetName val="GLP_20017"/>
      <sheetName val="01A-_RAB6"/>
      <sheetName val="Bill_of_Qty_MEP6"/>
      <sheetName val="Anl_+7"/>
      <sheetName val="DAF_3_17"/>
      <sheetName val="DAF_3_116"/>
      <sheetName val="HB_6"/>
      <sheetName val="5_1_ELEKTRIKAL-ELEKTRONIK6"/>
      <sheetName val="ELEC_STIS5"/>
      <sheetName val="BoQ_STR6"/>
      <sheetName val="Finishing_(2)6"/>
      <sheetName val="NS_GD_UTAMA6"/>
      <sheetName val="HRG_BHN5"/>
      <sheetName val="BQ_Arsitektur6"/>
      <sheetName val="Isolasi_Luar_Dalam5"/>
      <sheetName val="Isolasi_Luar5"/>
      <sheetName val="Tie_Beam_GN6"/>
      <sheetName val="Tangga_GN6"/>
      <sheetName val="rab_-_persiapan_&amp;_lantai-16"/>
      <sheetName val="REF_ONLY6"/>
      <sheetName val="FORM_X_COST6"/>
      <sheetName val="Analis_Kusen_1_ESKALASI6"/>
      <sheetName val="Transfer_Pump5"/>
      <sheetName val="Analisa_ME5"/>
      <sheetName val="NP_(4)5"/>
      <sheetName val="HS_Alat5"/>
      <sheetName val="ANALISA_PEK_UMUM5"/>
      <sheetName val="BOQ_INTERN5"/>
      <sheetName val="M_&amp;_E5"/>
      <sheetName val="KODE_REK5"/>
      <sheetName val="BGNN_UTILITAS5"/>
      <sheetName val="ANLS_20095"/>
      <sheetName val="Harga_Bahan_&amp;_Upah_5"/>
      <sheetName val="analisa_pagar5"/>
      <sheetName val="D_&amp;_W_sizes5"/>
      <sheetName val="an__struktur5"/>
      <sheetName val="Rek_Tot5"/>
      <sheetName val="dATA_pc5"/>
      <sheetName val="BANGUNAN_PENUNJANG5"/>
      <sheetName val="Tata_Udara5"/>
      <sheetName val="RAB_AR&amp;STR5"/>
      <sheetName val="Master_1_05"/>
      <sheetName val="Har_Sat5"/>
      <sheetName val="L3_An_H_Sat_Mob5"/>
      <sheetName val="DRUP_(ASLI)5"/>
      <sheetName val="Cover_(x)5"/>
      <sheetName val="Cor_Apt5"/>
      <sheetName val="PT_5"/>
      <sheetName val="struktur_tdk_dipakai5"/>
      <sheetName val="Ｎｏ_135"/>
      <sheetName val="Div26_-_Elect5"/>
      <sheetName val="gia_vt,nc,may5"/>
      <sheetName val="Cover_CKE5"/>
      <sheetName val="Summary_Mech_5"/>
      <sheetName val="Mech__BQ5"/>
      <sheetName val="P_APRIL_20165"/>
      <sheetName val="Qttn_Report5"/>
      <sheetName val="M%20&amp;%20E_xls5"/>
      <sheetName val="TH_DZ355"/>
      <sheetName val="Vol__Lantai_Tipikal5"/>
      <sheetName val="Analisa_Struktur5"/>
      <sheetName val="Pas__bata_(anyar)5"/>
      <sheetName val="Pas__bata5"/>
      <sheetName val="PILE_CAP5"/>
      <sheetName val="TIE_BEAM5"/>
      <sheetName val="INPUT_BALOK5"/>
      <sheetName val="itungan_Balok5"/>
      <sheetName val="RASIO_SLAB5"/>
      <sheetName val="PIT_LIFT5"/>
      <sheetName val="BANG_TONG_HOP_(2)5"/>
      <sheetName val="Bill_No_2_1_5"/>
      <sheetName val="RKP_PLUMBING5"/>
      <sheetName val="DAFTAR_HARGA5"/>
      <sheetName val="SK_MIgas_toilet_lt-40,_R-25"/>
      <sheetName val="SK_MIgas_toilet_lt-40,_R-0_(P'5"/>
      <sheetName val="PLINT_3_1_G5"/>
      <sheetName val="concept_cost_code5"/>
      <sheetName val="summary_cost_code5"/>
      <sheetName val="kas_proyek5"/>
      <sheetName val="lain_lain5"/>
      <sheetName val="APT___BALCONIES5"/>
      <sheetName val="Urai_Galian_Tanah5"/>
      <sheetName val="K_Lead5"/>
      <sheetName val="SATUAN_5"/>
      <sheetName val="Analisa_Harga5"/>
      <sheetName val="Analisa_Harga_Satuan5"/>
      <sheetName val="Mat_Mek5"/>
      <sheetName val="chi_phi_truc_tiep5"/>
      <sheetName val="Bill_2_2_Villa_2_beds5"/>
      <sheetName val="Buy_vs__Lease_Car5"/>
      <sheetName val="Division__4_-_PLB_Works5"/>
      <sheetName val="dien_tich4"/>
      <sheetName val="MARK_UP5"/>
      <sheetName val="lt__dasar5"/>
      <sheetName val="CFA_(ME)4"/>
      <sheetName val="valeurs_de_base4"/>
      <sheetName val="tabulation_(comparison)4"/>
      <sheetName val="BQ_External4"/>
      <sheetName val="Pekerjaan_Harian4"/>
      <sheetName val="Mahasiswa_2_lantai4"/>
      <sheetName val="DO_AM_DT4"/>
      <sheetName val="Analisa_Upah_&amp;_Bahan_Plum4"/>
      <sheetName val="AN__TAMPL4"/>
      <sheetName val="Beton_K-2504"/>
      <sheetName val="Harga_Dasar4"/>
      <sheetName val="Daftar_berat4"/>
      <sheetName val="daf_isi_(xref)4"/>
      <sheetName val="Currency_Rate4"/>
      <sheetName val="Analisa_ME_UPT4"/>
      <sheetName val="SUM_6-24"/>
      <sheetName val="Khoi_luong4"/>
      <sheetName val="Gia_thue4"/>
      <sheetName val="Town_House_4"/>
      <sheetName val="Type-A2_Corner4"/>
      <sheetName val="_Finish4"/>
      <sheetName val="Finish_code4"/>
      <sheetName val="Door_schedule4"/>
      <sheetName val="Sanitary_ware4"/>
      <sheetName val="Bill_02_-_Xay_gach-Pou_4"/>
      <sheetName val="Bill_03-Chống_thấm-Pou4"/>
      <sheetName val="Bill_05_-_Hoan_thien-Pou_4"/>
      <sheetName val="Bill_02_-_Xay_gach-Tower4"/>
      <sheetName val="Bill_03-Chống_thấm-Tower4"/>
      <sheetName val="Bill_05_-_Hoan_thien-Tower4"/>
      <sheetName val="CF_-Update_31Jul064"/>
      <sheetName val="NSA_fr_Revit4"/>
      <sheetName val="AUTOMATIC_SELECT4"/>
      <sheetName val="U_P_List4"/>
      <sheetName val="Gia_vat_tu4"/>
      <sheetName val="DG_4"/>
      <sheetName val="bhn_FINAL2"/>
      <sheetName val="Data_Tower2"/>
      <sheetName val="Anls_teknis2"/>
      <sheetName val="Harga_Kabel2"/>
      <sheetName val="sum_mdc2"/>
      <sheetName val="_N_Finansal_Eğri2"/>
      <sheetName val="Budget_Code2"/>
      <sheetName val="Pengalaman_Per2"/>
      <sheetName val="DES_152"/>
      <sheetName val="Basic_Price2"/>
      <sheetName val="Unit_Rate2"/>
      <sheetName val="Kuantitas_&amp;_Harga2"/>
      <sheetName val="sheet_22"/>
      <sheetName val="RAB_ME2"/>
      <sheetName val="Analisa_Mob__32"/>
      <sheetName val="Analisa_Mob_12"/>
      <sheetName val="Analisa_Alat2"/>
      <sheetName val="Analisa_Mob__22"/>
      <sheetName val="MAIN_GATE_HOUSE2"/>
      <sheetName val="Electrical_Works2"/>
      <sheetName val="H_T__INCOMING_SYSTEM2"/>
      <sheetName val="TLSKIN_LWR2"/>
      <sheetName val="MTO_REV_02"/>
      <sheetName val="Analisa___Upah2"/>
      <sheetName val="EXTERNAL_WORK2"/>
      <sheetName val="Grafik_Lab_2"/>
      <sheetName val="Elec_LG2"/>
      <sheetName val="Bảng_Giá2"/>
      <sheetName val="DATA_KC1"/>
      <sheetName val="StructEarth_31"/>
      <sheetName val="Bill_Tổng1"/>
      <sheetName val="TH_Công_việc-_D211"/>
      <sheetName val="ANH_VU_D121"/>
      <sheetName val="Hỗ_trợ_căn_Hoist1"/>
      <sheetName val="THKL_Xay_to1"/>
      <sheetName val="D17_(thuc)1"/>
      <sheetName val="vật_tư1"/>
      <sheetName val="Công_nhật_Đợt_15-_End1"/>
      <sheetName val="KL_L291"/>
      <sheetName val="Công_nhật_Đợt_141"/>
      <sheetName val="D10-_KL_dự_trù_QT1"/>
      <sheetName val="D07_(CCM)__1"/>
      <sheetName val="D06_(CCM)_1"/>
      <sheetName val="D05_(CCM)1"/>
      <sheetName val="D02_(2)1"/>
      <sheetName val="Cac_HS_hieu_chinh1"/>
      <sheetName val="Expenses_(M)1"/>
      <sheetName val="A2&amp;3__AC1"/>
      <sheetName val="A4&amp;5__Fan1"/>
      <sheetName val="1__Office_stationary1"/>
      <sheetName val="2__Safety1"/>
      <sheetName val="3__Meal_fee1"/>
      <sheetName val="4__Temporary1"/>
      <sheetName val="Public_Area1"/>
      <sheetName val="GRAND_REKAP1"/>
      <sheetName val="CONSTRUCTION_COMPONENT1"/>
      <sheetName val="chiet_tinh1"/>
      <sheetName val="AC_LOAD1"/>
      <sheetName val="A+Supl_1"/>
      <sheetName val="Priced_BOQ1"/>
      <sheetName val="15_Harga_Satuan_Bahan1"/>
      <sheetName val="NP_(2)1"/>
      <sheetName val="Hrg_Sat1"/>
      <sheetName val="HD_UPAH1"/>
      <sheetName val="Rekap_Analisa1"/>
      <sheetName val="HARGA_MATERIAL1"/>
      <sheetName val="bahan_SNI1"/>
      <sheetName val="NP__2_1"/>
      <sheetName val="Man_Power1"/>
      <sheetName val="BOQ_EM1"/>
      <sheetName val="DIVISI_31"/>
      <sheetName val="Criteria_"/>
      <sheetName val="Du_thau"/>
      <sheetName val="MEP_Detail"/>
      <sheetName val="01-main_building"/>
      <sheetName val="04-pipe_bridge"/>
      <sheetName val="07-bike_park"/>
      <sheetName val="5_2_1_Đo_bóc_KL_OLK-06"/>
      <sheetName val="PERF_TEST_Pre_MP"/>
      <sheetName val="Fill_this_out_first___1"/>
      <sheetName val="Peralatan_Utama"/>
      <sheetName val="AN_EI_5"/>
      <sheetName val="Pek__Tanah"/>
      <sheetName val="Pek__Pondasi"/>
      <sheetName val="Pek__Dinding"/>
      <sheetName val="Pek__Plesteran"/>
      <sheetName val="Pek__Kayu"/>
      <sheetName val="Pek__Beton"/>
      <sheetName val="Pek__Penutup_Atap"/>
      <sheetName val="Pek__Langit-langit"/>
      <sheetName val="Pek__Sanitasi"/>
      <sheetName val="Pek__Besi_&amp;_Alumunium"/>
      <sheetName val="Pek__Kunci_&amp;_Kaca"/>
      <sheetName val="Pek__Penutup_Lantai_&amp;_dinding"/>
      <sheetName val="Pek__Pengecatan"/>
      <sheetName val="REKAP_TOTAL"/>
      <sheetName val="JARINGAN_AIR_BERSIH"/>
      <sheetName val="TYPE_E_ME"/>
      <sheetName val="TYPE_A_ME"/>
      <sheetName val="TYPE_B_ME"/>
      <sheetName val="TYPE_C_ME"/>
      <sheetName val="TYPE_D_ME"/>
      <sheetName val="JARINGAN_LISTRIK"/>
      <sheetName val="TYPE_A"/>
      <sheetName val="TYPE_B"/>
      <sheetName val="TYPE_C"/>
      <sheetName val="TYPE_D"/>
      <sheetName val="TYPE_E"/>
      <sheetName val="Bill_No_6_Koord_&amp;_Attendance"/>
      <sheetName val="anal-drainase,tanah&amp;ps_batu"/>
      <sheetName val="Input_monthly_capex"/>
      <sheetName val="PR_3_YEAKNON-New_VO_"/>
      <sheetName val="PR3-Cashflow_New(%)"/>
      <sheetName val="PR3-S-CURVE_(2)"/>
      <sheetName val="PR3-Cashflow_Contract"/>
      <sheetName val="PR_3_YEAKNON-CW+AW_"/>
      <sheetName val="PR_3_YEAKNON-New_BudjetRV"/>
      <sheetName val="Yaeknon-New_VO_-Structur_Cost"/>
      <sheetName val="1_1__KCT_(NHÀ_XƯỞNG)"/>
      <sheetName val="1_4_HẠ_TẦNG_X_ÉP"/>
      <sheetName val="ĐỊNH_MỨC_CÔNG_NHẬT"/>
      <sheetName val="6_1_KẾT_CẤU_THÉP_-VP"/>
      <sheetName val="TLT_-_WEIGHT_REBAR"/>
      <sheetName val="DANH_SÁCH_CN"/>
      <sheetName val="NHÀ_XE"/>
      <sheetName val="HẠ_TẦNG"/>
      <sheetName val="LƯƠNG_CN_GỘP_"/>
      <sheetName val="chC_công_nhật"/>
      <sheetName val="TONG_HOP"/>
      <sheetName val="DG_1203-15-03_KHO"/>
      <sheetName val="THEO_DÕI_CÔNG__ĐỘI"/>
      <sheetName val="phân_việc_CN"/>
      <sheetName val="nghiệm_thu_CV_CN"/>
      <sheetName val="4_CĂN"/>
      <sheetName val="DON_GIA"/>
      <sheetName val="CHITIET_VL-NC"/>
      <sheetName val="Tro_giup"/>
      <sheetName val="Đơn_Giá_"/>
      <sheetName val="CE(E)"/>
      <sheetName val="CE(M)"/>
      <sheetName val="Project Data"/>
      <sheetName val="DS-Thuong 6T dau"/>
      <sheetName val="BASEMENT"/>
      <sheetName val="Blk_Mnl"/>
      <sheetName val="bilangan"/>
      <sheetName val="HB"/>
      <sheetName val="HDasar"/>
      <sheetName val="BBC"/>
      <sheetName val="DEF"/>
      <sheetName val="LUMPSUM"/>
      <sheetName val="extern"/>
      <sheetName val="D.BOARD"/>
      <sheetName val="1-08-2019"/>
      <sheetName val="analisa SNI"/>
      <sheetName val="ARL"/>
      <sheetName val="PV"/>
      <sheetName val="SAT EL"/>
      <sheetName val="KBL"/>
      <sheetName val="rekap.c"/>
      <sheetName val="AC BASIC"/>
      <sheetName val="01A_ RAB"/>
      <sheetName val="個案9411"/>
      <sheetName val="H-BHN"/>
      <sheetName val="A-BANTU"/>
      <sheetName val="PAD-F"/>
      <sheetName val="SITE"/>
      <sheetName val="ESCOND"/>
      <sheetName val="BQUSRP"/>
      <sheetName val="Bhn+Uph"/>
      <sheetName val="HargaSat"/>
      <sheetName val="PP"/>
      <sheetName val="KTCK"/>
      <sheetName val="Fitout"/>
      <sheetName val="Clubhouse"/>
      <sheetName val="PTTC"/>
      <sheetName val="ptich-son"/>
      <sheetName val="Config"/>
      <sheetName val="SPL4"/>
      <sheetName val="Fans "/>
      <sheetName val="T.KE CP1"/>
      <sheetName val="Cước VC + ĐM CP Tư vấn"/>
      <sheetName val="Hệ số"/>
      <sheetName val="07016, Master List-Major Minor"/>
      <sheetName val=""/>
      <sheetName val="Oth."/>
      <sheetName val="Hit Vol Str Jambi"/>
      <sheetName val="REKAP BQ "/>
      <sheetName val="DIV.1"/>
      <sheetName val="BM DATA SHEET"/>
      <sheetName val="Urai _ Guide Post"/>
      <sheetName val="ANalat"/>
      <sheetName val="hrg-dsr"/>
      <sheetName val="22"/>
      <sheetName val="B - Norelec"/>
      <sheetName val="terendah"/>
      <sheetName val="D8"/>
      <sheetName val="GAE8'97"/>
      <sheetName val="Urugan Pasir"/>
      <sheetName val="BK-PU 2011"/>
      <sheetName val="Cover1"/>
      <sheetName val="Bill 2.3"/>
      <sheetName val="Bill 2.5B"/>
      <sheetName val="Bill 2.1"/>
      <sheetName val="合成単価作成表-BLDG"/>
      <sheetName val="atap Ok"/>
      <sheetName val="BILL"/>
      <sheetName val="W HOR"/>
      <sheetName val="DAF_1"/>
      <sheetName val="Marshal"/>
      <sheetName val="GeneralInfo"/>
      <sheetName val="ANSAT K'AYI"/>
      <sheetName val="125x125"/>
      <sheetName val="3.2.Mechanical "/>
      <sheetName val="조명시설"/>
      <sheetName val="침하계"/>
      <sheetName val="Bang tt mot so chi tiet"/>
      <sheetName val="Gioi thieu"/>
      <sheetName val="4.2.1 Đo bóc KL OLK-06"/>
      <sheetName val="4.1.1 CHI TIET OLK-06"/>
      <sheetName val="264"/>
      <sheetName val="유림골조"/>
      <sheetName val="GAEYO"/>
      <sheetName val="노임단가"/>
      <sheetName val="PL-F&amp;B"/>
      <sheetName val="DATA 2009"/>
      <sheetName val="DATA 2010"/>
      <sheetName val="Kinerja Proyek"/>
      <sheetName val="Target Raker TW III"/>
      <sheetName val="KUB-01(10)"/>
      <sheetName val="JUMLAHAN TOTAL "/>
      <sheetName val="Analisa Gabungan"/>
      <sheetName val="TOTAL UPAH"/>
      <sheetName val="rms remunerasi"/>
      <sheetName val="ANAL.BOW"/>
      <sheetName val="ANALISA-SNI"/>
      <sheetName val="telp"/>
      <sheetName val="BHN-ALAT"/>
      <sheetName val="HS1"/>
      <sheetName val="DRUM"/>
      <sheetName val="Analysis"/>
      <sheetName val="Harga Baru"/>
      <sheetName val="ADD_2_(1)"/>
      <sheetName val="AN_Tdr"/>
      <sheetName val="I-KAMAR"/>
      <sheetName val="PE-F-37 Rev 00 Paym.GBP"/>
      <sheetName val="Du_lieu"/>
      <sheetName val="PEF16_0D"/>
      <sheetName val="ANAL KOEF"/>
      <sheetName val="tabel"/>
      <sheetName val="ELEC_MCI"/>
      <sheetName val="INST_MCI"/>
      <sheetName val="MECH_MCI"/>
      <sheetName val="PRO_A"/>
      <sheetName val="PRO"/>
      <sheetName val="daftar upah"/>
      <sheetName val="HARVEST02"/>
      <sheetName val="SAT-DAS"/>
      <sheetName val="Harsat-Isal"/>
      <sheetName val="XL4Poppy"/>
      <sheetName val="CHITIET VL-NCHT1 (2)"/>
      <sheetName val="valve"/>
      <sheetName val="cargo"/>
      <sheetName val="Dashboardrev"/>
      <sheetName val="bhn-upah"/>
      <sheetName val="HARGA SATUAN"/>
      <sheetName val="B.T"/>
      <sheetName val="SchC"/>
      <sheetName val="SchA"/>
      <sheetName val="SchB"/>
      <sheetName val="SchD"/>
      <sheetName val="bhn_upah"/>
      <sheetName val="Gal Sal"/>
      <sheetName val="BBM-03"/>
      <sheetName val="Solar"/>
      <sheetName val="OLI HEQ"/>
      <sheetName val="33"/>
      <sheetName val="Lead Schedule"/>
      <sheetName val="Vol RKAP 2019"/>
      <sheetName val="Rev RKAP 2019"/>
      <sheetName val="Up1"/>
      <sheetName val="Up"/>
      <sheetName val="Arsitektur"/>
      <sheetName val="TRBP"/>
      <sheetName val="Tariptunda"/>
      <sheetName val="Analisa HSP"/>
      <sheetName val="Daf_Dasar_Upah&amp;Bahan"/>
      <sheetName val="ACTUAL_CHECK"/>
      <sheetName val="SELISIH_HARGA"/>
      <sheetName val="Attachment-3_Chem"/>
      <sheetName val="ﾄﾞﾊﾞｲFUEL_GAS追見"/>
      <sheetName val="Breakdown_Instrument"/>
      <sheetName val="DAF__PEKERJAAN"/>
      <sheetName val="SPESISIKASI_PENAWARAN"/>
      <sheetName val="Daf-2_4_Baja"/>
      <sheetName val="BOQ_ADD-12"/>
      <sheetName val="Analisa_Tend"/>
      <sheetName val="Cash_Flow_bulanan"/>
      <sheetName val="7_PEK-STRUKTUR"/>
      <sheetName val="DIV_9"/>
      <sheetName val="7_공정표"/>
      <sheetName val="Schedule_11a"/>
      <sheetName val="Septick_tank"/>
      <sheetName val="AnalisaSIPIL_RIIL"/>
      <sheetName val="Uraian_Analisa"/>
      <sheetName val="ATAP_&amp;_RISER"/>
      <sheetName val="3-DIV7_B2"/>
      <sheetName val="Rekap_Prelim2"/>
      <sheetName val="7_1(3)2"/>
      <sheetName val="Harsat_Alat2"/>
      <sheetName val="a_21"/>
      <sheetName val="Perm__Test2"/>
      <sheetName val="Galian_12"/>
      <sheetName val="SBDY_Jemb_Tayan2"/>
      <sheetName val="HRG_DSR_APP1"/>
      <sheetName val="RP_PROD_092"/>
      <sheetName val="Sumber_Daya2"/>
      <sheetName val="PRD_01-6(I-II)2"/>
      <sheetName val="PRD_01-7_alat2"/>
      <sheetName val="Supl_X1"/>
      <sheetName val="Rekap_Biaya2"/>
      <sheetName val="h_sat-bbm2"/>
      <sheetName val="Agregat_Halus_&amp;_Kasar2"/>
      <sheetName val="Master_Dat2"/>
      <sheetName val="4-Basic_Price2"/>
      <sheetName val="Anls_Hrg_Sat2"/>
      <sheetName val="Sat_Bah___Up2"/>
      <sheetName val="1_B2"/>
      <sheetName val="Daf_Dasar_Upah&amp;Bahan1"/>
      <sheetName val="ACTUAL_CHECK1"/>
      <sheetName val="SELISIH_HARGA1"/>
      <sheetName val="Input_monthly_capex1"/>
      <sheetName val="Attachment-3_Chem1"/>
      <sheetName val="ﾄﾞﾊﾞｲFUEL_GAS追見1"/>
      <sheetName val="Breakdown_Instrument1"/>
      <sheetName val="DAF__PEKERJAAN1"/>
      <sheetName val="SPESISIKASI_PENAWARAN1"/>
      <sheetName val="Daf-2_4_Baja1"/>
      <sheetName val="2_E2"/>
      <sheetName val="2_F2"/>
      <sheetName val="DIV_52"/>
      <sheetName val="DIV_62"/>
      <sheetName val="Divisi_Baru2"/>
      <sheetName val="RAB_DC2"/>
      <sheetName val="BQ_OE2"/>
      <sheetName val="Agg_Halus_&amp;_Kasar2"/>
      <sheetName val="TOWER_D2"/>
      <sheetName val="Met__Minor2"/>
      <sheetName val="bearing_PDMR12"/>
      <sheetName val="Stay_Cable_PDMR12"/>
      <sheetName val="Post_Tens-12"/>
      <sheetName val="inner_pervious_adjust_1"/>
      <sheetName val="outer_pervious_adjust1"/>
      <sheetName val="BOQ_SNJ_11"/>
      <sheetName val="DKH_CCO_1A1"/>
      <sheetName val="DKH_CCO_1B_R-11"/>
      <sheetName val="anal-drainase,tanah&amp;ps_batu1"/>
      <sheetName val="BOQ_ADD-121"/>
      <sheetName val="Analisa_Tend1"/>
      <sheetName val="Cash_Flow_bulanan1"/>
      <sheetName val="7_PEK-STRUKTUR1"/>
      <sheetName val="DIV_91"/>
      <sheetName val="7_공정표1"/>
      <sheetName val="Peralatan_Utama1"/>
      <sheetName val="Schedule_11a1"/>
      <sheetName val="Septick_tank1"/>
      <sheetName val="AnalisaSIPIL_RIIL1"/>
      <sheetName val="Uraian_Analisa1"/>
      <sheetName val="ATAP_&amp;_RISER1"/>
      <sheetName val="WBS"/>
      <sheetName val="DES_153"/>
      <sheetName val="3-DIV7_B3"/>
      <sheetName val="Rekap_Prelim3"/>
      <sheetName val="7_1(3)3"/>
      <sheetName val="Harsat_Alat3"/>
      <sheetName val="Perm__Test3"/>
      <sheetName val="Galian_13"/>
      <sheetName val="Basic_Price3"/>
      <sheetName val="Unit_Rate3"/>
      <sheetName val="Kuantitas_&amp;_Harga3"/>
      <sheetName val="Data_Tower3"/>
      <sheetName val="SBDY_Jemb_Tayan3"/>
      <sheetName val="HRG_DSR_APP2"/>
      <sheetName val="sheet_23"/>
      <sheetName val="RAB_ME3"/>
      <sheetName val="Analisa_Mob__33"/>
      <sheetName val="Analisa_Mob_13"/>
      <sheetName val="Analisa_Alat3"/>
      <sheetName val="Analisa_Mob__23"/>
      <sheetName val="RP_PROD_093"/>
      <sheetName val="Sumber_Daya3"/>
      <sheetName val="PRD_01-6(I-II)3"/>
      <sheetName val="PRD_01-7_alat3"/>
      <sheetName val="Supl_X2"/>
      <sheetName val="Rekap_Biaya3"/>
      <sheetName val="h_sat-bbm3"/>
      <sheetName val="Agregat_Halus_&amp;_Kasar3"/>
      <sheetName val="Master_Dat3"/>
      <sheetName val="4-Basic_Price3"/>
      <sheetName val="Anls_Hrg_Sat3"/>
      <sheetName val="Sat_Bah___Up3"/>
      <sheetName val="1_B3"/>
      <sheetName val="Hrg_Sat2"/>
      <sheetName val="HD_UPAH2"/>
      <sheetName val="SELISIH_HARGA2"/>
      <sheetName val="ACTUAL_CHECK2"/>
      <sheetName val="Daf_Dasar_Upah&amp;Bahan2"/>
      <sheetName val="Input_monthly_capex2"/>
      <sheetName val="Attachment-3_Chem2"/>
      <sheetName val="ﾄﾞﾊﾞｲFUEL_GAS追見2"/>
      <sheetName val="Breakdown_Instrument2"/>
      <sheetName val="2_E3"/>
      <sheetName val="2_F3"/>
      <sheetName val="DIV_53"/>
      <sheetName val="DIV_63"/>
      <sheetName val="Divisi_Baru3"/>
      <sheetName val="RAB_DC3"/>
      <sheetName val="BQ_OE3"/>
      <sheetName val="Agg_Halus_&amp;_Kasar3"/>
      <sheetName val="TOWER_D3"/>
      <sheetName val="Met__Minor3"/>
      <sheetName val="bearing_PDMR13"/>
      <sheetName val="Stay_Cable_PDMR13"/>
      <sheetName val="Post_Tens-13"/>
      <sheetName val="15_Harga_Satuan_Bahan2"/>
      <sheetName val="inner_pervious_adjust_2"/>
      <sheetName val="outer_pervious_adjust2"/>
      <sheetName val="BOQ_SNJ_12"/>
      <sheetName val="DKH_CCO_1A2"/>
      <sheetName val="DKH_CCO_1B_R-12"/>
      <sheetName val="DAF__PEKERJAAN2"/>
      <sheetName val="SPESISIKASI_PENAWARAN2"/>
      <sheetName val="Daf-2_4_Baja2"/>
      <sheetName val="Man_Power2"/>
      <sheetName val="BOQ_EM2"/>
      <sheetName val="anal-drainase,tanah&amp;ps_batu2"/>
      <sheetName val="NP_(2)2"/>
      <sheetName val="BOQ_ADD-122"/>
      <sheetName val="Rekap_Analisa2"/>
      <sheetName val="Analisa_Tend2"/>
      <sheetName val="HARGA_MATERIAL2"/>
      <sheetName val="Cash_Flow_bulanan2"/>
      <sheetName val="7_PEK-STRUKTUR2"/>
      <sheetName val="DIV_92"/>
      <sheetName val="7_공정표2"/>
      <sheetName val="Fill_this_out_first___2"/>
      <sheetName val="A+Supl_2"/>
      <sheetName val="Peralatan_Utama2"/>
      <sheetName val="Schedule_11a2"/>
      <sheetName val="Septick_tank2"/>
      <sheetName val="AnalisaSIPIL_RIIL2"/>
      <sheetName val="Uraian_Analisa2"/>
      <sheetName val="ATAP_&amp;_RISER2"/>
      <sheetName val="Fill_this_out_first___3"/>
      <sheetName val="bukan_PNS"/>
      <sheetName val="HS_UPAH"/>
      <sheetName val="HS_BAHAN"/>
      <sheetName val="sizing"/>
      <sheetName val="E_TRONIK"/>
      <sheetName val="MEK"/>
      <sheetName val="ARSITEK"/>
      <sheetName val="JAD-PEL"/>
      <sheetName val="H.Alat"/>
      <sheetName val="H.Bahan"/>
      <sheetName val="RAB-ME"/>
      <sheetName val="RAB-Pipa"/>
      <sheetName val="RAB-Sipil"/>
      <sheetName val="An_Basic"/>
      <sheetName val="Galian"/>
      <sheetName val="MasterSheet"/>
      <sheetName val="Ch"/>
      <sheetName val="FA"/>
      <sheetName val="Analisa HS"/>
      <sheetName val="PipTable"/>
      <sheetName val="analisa Str"/>
      <sheetName val="REKAP HP"/>
      <sheetName val="dft-harga"/>
      <sheetName val="har-sat"/>
      <sheetName val="DWTables"/>
      <sheetName val="5.NP"/>
      <sheetName val="an1"/>
      <sheetName val="ut1"/>
      <sheetName val="Pengeluaran"/>
      <sheetName val="bahan+upah"/>
      <sheetName val="SURAT"/>
      <sheetName val="Lingkup Pekerjaan"/>
      <sheetName val="Pek.persiapan"/>
      <sheetName val="anal.baja"/>
      <sheetName val="m'trl baja"/>
      <sheetName val="UPAH KERJA"/>
      <sheetName val="BEDA VOL"/>
      <sheetName val="SIPIL"/>
      <sheetName val="LAMP-3"/>
      <sheetName val="LAMP 5"/>
      <sheetName val="LAMP-7"/>
      <sheetName val="LAMP-8"/>
      <sheetName val="LAMP-9"/>
      <sheetName val="RAB(o)"/>
      <sheetName val="D3.1"/>
      <sheetName val="Weight Bridge"/>
      <sheetName val="Lingkup_Pekerjaan"/>
      <sheetName val="Pek_persiapan"/>
      <sheetName val="anal_baja"/>
      <sheetName val="m'trl_baja"/>
      <sheetName val="UPAH_KERJA"/>
      <sheetName val="BEDA_VOL"/>
      <sheetName val="LAMP_5"/>
      <sheetName val="H-Bahan"/>
      <sheetName val="Upah_Bahan"/>
      <sheetName val="326BQSTC"/>
      <sheetName val="Scdl"/>
      <sheetName val="FMU"/>
      <sheetName val="An.harga alat"/>
      <sheetName val="AMD II"/>
      <sheetName val="AMD I"/>
      <sheetName val="dist. mat"/>
      <sheetName val="Scedule(S-Curve)"/>
      <sheetName val="Analisa -Baku"/>
      <sheetName val="Rekap Tahap 1"/>
      <sheetName val="EK-JAN-07"/>
      <sheetName val="BL (1)"/>
      <sheetName val="Faktor Markup"/>
      <sheetName val="Spesifikasi "/>
      <sheetName val="TANJUNG-CONV"/>
      <sheetName val="Bahan &amp; Upah"/>
      <sheetName val="BAHAN_STR"/>
      <sheetName val="SELL-SUMM-COST"/>
      <sheetName val="120601Sport Center"/>
      <sheetName val="Mall"/>
      <sheetName val="00_Jumlah Total"/>
      <sheetName val="ANALISA NOV '07"/>
      <sheetName val="Hrg.Sat"/>
      <sheetName val="divII"/>
      <sheetName val="PROD15_5"/>
      <sheetName val="hrg.bhn"/>
      <sheetName val="TIE-INS"/>
      <sheetName val="HARGA BAHAN&amp;UPAH "/>
      <sheetName val="ARC BANGUNAN UTAMA"/>
      <sheetName val="REKAP ME "/>
      <sheetName val="Total"/>
      <sheetName val="Prod.02"/>
      <sheetName val="Analis_Tanah"/>
      <sheetName val="Analis_Drainase"/>
      <sheetName val="A-11 Steel Str"/>
      <sheetName val="A-03 Pile"/>
      <sheetName val="DAFT_ALAT,UPAH &amp; MAT"/>
      <sheetName val="Steel Material List"/>
      <sheetName val="MUA SA"/>
      <sheetName val="Ana"/>
      <sheetName val="Meto"/>
      <sheetName val="D4"/>
      <sheetName val="D6"/>
      <sheetName val="D7"/>
      <sheetName val="Analisa Tend (2)"/>
      <sheetName val="BISMILLAH"/>
      <sheetName val="BQNSC"/>
      <sheetName val="S_Suramadu"/>
      <sheetName val="ANALISA (2)"/>
      <sheetName val="SUR-HARGA"/>
      <sheetName val="AHS Marka"/>
      <sheetName val="RAB1"/>
      <sheetName val="D2.2"/>
      <sheetName val="TOEVOER"/>
      <sheetName val="IN"/>
      <sheetName val="Price"/>
      <sheetName val="TU"/>
      <sheetName val="Electrikal"/>
      <sheetName val="ganti rugi"/>
      <sheetName val="UPAH + ALAT"/>
      <sheetName val="Master Edit"/>
      <sheetName val="CF-satu"/>
      <sheetName val="BQ_Methanol"/>
      <sheetName val="PipWT"/>
      <sheetName val="BM 1 (M)"/>
      <sheetName val="Analisa RAP"/>
      <sheetName val="Alat B"/>
      <sheetName val="Bahan B"/>
      <sheetName val="RAP"/>
      <sheetName val="Telusur"/>
      <sheetName val="Upah B"/>
      <sheetName val="Analisa RAB"/>
      <sheetName val="Rekap A"/>
      <sheetName val="Gudang non AC-AC Struktur"/>
      <sheetName val="EK-JAN-08"/>
      <sheetName val="Mat. List'08"/>
      <sheetName val="Pos 4-1"/>
      <sheetName val="rek_PUS oe"/>
      <sheetName val="S- Curve Cash flow"/>
      <sheetName val="Gb Link Requirement"/>
      <sheetName val="Costos"/>
      <sheetName val="REKAP_ARSITEKTUR."/>
      <sheetName val="Lingkup_Pekerjaan1"/>
      <sheetName val="Pek_persiapan1"/>
      <sheetName val="anal_baja1"/>
      <sheetName val="m'trl_baja1"/>
      <sheetName val="UPAH_KERJA1"/>
      <sheetName val="BEDA_VOL1"/>
      <sheetName val="LAMP_51"/>
      <sheetName val="D3_1"/>
      <sheetName val="Weight_Bridge"/>
      <sheetName val="BREAKER"/>
      <sheetName val="LAP. MINGG"/>
      <sheetName val="Anls-ME Tampil"/>
      <sheetName val="MT-C"/>
      <sheetName val="STAF"/>
      <sheetName val="Urai _Resap pengikat"/>
      <sheetName val="CONS."/>
      <sheetName val="MAPDC "/>
      <sheetName val="DB"/>
      <sheetName val="Merak_Sum-FIX"/>
      <sheetName val="H.Upah"/>
      <sheetName val="WP"/>
      <sheetName val="Prog Real"/>
      <sheetName val="PRY.02"/>
      <sheetName val="LAMPIRAN -B"/>
      <sheetName val="kik"/>
      <sheetName val="Anls_BKL"/>
      <sheetName val="Isian Biodata"/>
      <sheetName val="WET_2"/>
      <sheetName val="PLAFOND"/>
      <sheetName val="SANITAIR"/>
      <sheetName val="Analisa Tekhnis"/>
      <sheetName val="own"/>
      <sheetName val="dt"/>
      <sheetName val="00_Jumlah_Total"/>
      <sheetName val="Rekap_Direct_Cost"/>
      <sheetName val="Analisa_-Baku"/>
      <sheetName val="Rekap_Tahap_1"/>
      <sheetName val="ANALISA_NOV_'07"/>
      <sheetName val="120601Sport_Center"/>
      <sheetName val="Steel_Material_List"/>
      <sheetName val="BL_(1)"/>
      <sheetName val="Analisa_Tend_(2)"/>
      <sheetName val="HARGA_BAHAN&amp;UPAH_"/>
      <sheetName val="ARC_BANGUNAN_UTAMA"/>
      <sheetName val="REKAP_ME_"/>
      <sheetName val="ganti_rugi"/>
      <sheetName val="UPAH_+_ALAT"/>
      <sheetName val="Prod_02"/>
      <sheetName val="rek_PUS_oe"/>
      <sheetName val="XLR_NoRangeSheet"/>
      <sheetName val="breakdown"/>
      <sheetName val="Surat2"/>
      <sheetName val="Eval. Arus Kas"/>
      <sheetName val="cv _2_"/>
      <sheetName val="hal7_personil"/>
      <sheetName val="D985"/>
      <sheetName val="RAPK"/>
      <sheetName val="pivot2"/>
      <sheetName val="Analis harga"/>
      <sheetName val="List Plant"/>
      <sheetName val="D3"/>
      <sheetName val="3"/>
      <sheetName val="L_O&amp;O(Ina)"/>
      <sheetName val="DATUM"/>
      <sheetName val="DATA1"/>
      <sheetName val="Mech CIF"/>
      <sheetName val="Notes"/>
      <sheetName val="Lingkup_Pekerjaan2"/>
      <sheetName val="Pek_persiapan2"/>
      <sheetName val="anal_baja2"/>
      <sheetName val="m'trl_baja2"/>
      <sheetName val="UPAH_KERJA2"/>
      <sheetName val="BEDA_VOL2"/>
      <sheetName val="LAMP_52"/>
      <sheetName val="D3_11"/>
      <sheetName val="Weight_Bridge1"/>
      <sheetName val="Faktor_Markup"/>
      <sheetName val="Spesifikasi_"/>
      <sheetName val="An_harga_alat"/>
      <sheetName val="AMD_II"/>
      <sheetName val="AMD_I"/>
      <sheetName val="dist__mat"/>
      <sheetName val="Bahan_&amp;_Upah"/>
      <sheetName val="D2_2"/>
      <sheetName val="A-11_Steel_Str"/>
      <sheetName val="A-03_Pile"/>
      <sheetName val="ANALISA_(2)"/>
      <sheetName val="AHS_Marka"/>
      <sheetName val="DAFT_ALAT,UPAH_&amp;_MAT"/>
      <sheetName val="MUA_SA"/>
      <sheetName val="Mat__List'08"/>
      <sheetName val="Pos_4-1"/>
      <sheetName val="BM_1_(M)"/>
      <sheetName val="Gudang_non_AC-AC_Struktur"/>
      <sheetName val="Analisa_RAP"/>
      <sheetName val="Alat_B"/>
      <sheetName val="Bahan_B"/>
      <sheetName val="Upah_B"/>
      <sheetName val="Analisa_RAB"/>
      <sheetName val="Rekap_A"/>
      <sheetName val="B_-_Norelec"/>
      <sheetName val="S-_Curve_Cash_flow"/>
      <sheetName val="Gb_Link_Requirement"/>
      <sheetName val="REKAP_ARSITEKTUR_"/>
      <sheetName val="Harga_Satuan"/>
      <sheetName val="LAP__MINGG"/>
      <sheetName val="HARGA_SAT"/>
      <sheetName val="MAPDC_"/>
      <sheetName val="H_Upah"/>
      <sheetName val="LAMPIRAN_-B"/>
      <sheetName val="Prog_Real"/>
      <sheetName val="PRY_02"/>
      <sheetName val="Anls-ME_Tampil"/>
      <sheetName val="Urai__Resap_pengikat"/>
      <sheetName val="CONS_"/>
      <sheetName val="Isian_Biodata"/>
      <sheetName val="Data 1"/>
      <sheetName val="BAPP"/>
      <sheetName val="PRD 01-4"/>
      <sheetName val="PRD 01-3"/>
      <sheetName val="NM"/>
      <sheetName val="REKAP BQ"/>
      <sheetName val="Bill-1"/>
      <sheetName val="Hargasatuan"/>
      <sheetName val="41,9&amp;36,3"/>
      <sheetName val="Piping Cost"/>
      <sheetName val="Bill_Qua"/>
      <sheetName val="3-DIV1"/>
      <sheetName val="Direct Cost Thp 2"/>
      <sheetName val="Ana duct"/>
      <sheetName val="Koefisien"/>
      <sheetName val="Harsat Upah STR ARS"/>
      <sheetName val=" PE-F-42 MR 9 Manpower"/>
      <sheetName val="REKAP STRUKTUR"/>
      <sheetName val="atap"/>
      <sheetName val="Analisa SNI STANDART "/>
      <sheetName val="Konfirm"/>
      <sheetName val="Aspal"/>
      <sheetName val="DaftarAn"/>
      <sheetName val="Sec I ML"/>
      <sheetName val="Hrg-sat"/>
      <sheetName val="Analis_harga"/>
      <sheetName val="List_Plant"/>
      <sheetName val="Rekap_Direct_Cost1"/>
      <sheetName val="PRD_01-3"/>
      <sheetName val="Hargamaterial"/>
      <sheetName val="Owning cost Alat"/>
      <sheetName val="CUACA"/>
      <sheetName val="610.04"/>
      <sheetName val="610.05"/>
      <sheetName val="610.06"/>
      <sheetName val="610.07"/>
      <sheetName val="610.08"/>
      <sheetName val="Superstruc"/>
      <sheetName val="M+MC"/>
      <sheetName val="Df-Kuan"/>
      <sheetName val="sumber data alat"/>
      <sheetName val="OH-10BLN"/>
      <sheetName val="FINAL"/>
      <sheetName val="CRUSER"/>
      <sheetName val="KEBALAT"/>
      <sheetName val="pivot1"/>
      <sheetName val="M.AR-KUAT"/>
      <sheetName val="BQ1"/>
      <sheetName val="STR(CANCEL)"/>
      <sheetName val="Bill No 6 Koord _ Attendance"/>
      <sheetName val="③赤紙(日文)"/>
      <sheetName val="Satuan"/>
      <sheetName val="HARIAN"/>
      <sheetName val="Const"/>
      <sheetName val="PAD_F"/>
      <sheetName val="概総括1"/>
      <sheetName val="OHD"/>
      <sheetName val="Brdw"/>
      <sheetName val="Bill No 4 Summary "/>
      <sheetName val="liste"/>
      <sheetName val="CF Rp-USD"/>
      <sheetName val="EST"/>
      <sheetName val="01.FA"/>
      <sheetName val="REKAP A BESAR"/>
      <sheetName val="lampiran"/>
      <sheetName val="hargaDC"/>
      <sheetName val="Mtd_Pelak"/>
      <sheetName val="RBP2"/>
      <sheetName val="bialangsung"/>
      <sheetName val="T-3.4 Cost of Equipment"/>
      <sheetName val="T-3.2 UP Labour"/>
      <sheetName val="JOB'S"/>
      <sheetName val="PHU 05"/>
      <sheetName val="B-P"/>
      <sheetName val="Hal.010MUKAMC"/>
      <sheetName val="ASat"/>
      <sheetName val="BL _1_"/>
      <sheetName val="Analisa Bahan"/>
      <sheetName val="harsat sdy"/>
      <sheetName val="Format Daftar Sewa Alat "/>
      <sheetName val="Uraian Upah"/>
      <sheetName val="Rupa2"/>
      <sheetName val="PVC"/>
      <sheetName val="upah bahan"/>
      <sheetName val="AnBayarUtama"/>
      <sheetName val="UBA RAB"/>
      <sheetName val="RAP M"/>
      <sheetName val="BUL M"/>
      <sheetName val="analisa_gedung"/>
      <sheetName val="gaji"/>
      <sheetName val="PersList"/>
      <sheetName val="HM"/>
      <sheetName val="Analisa Fave"/>
      <sheetName val="BUA"/>
      <sheetName val="Harsat Bahan"/>
      <sheetName val="Harsat Subkon"/>
      <sheetName val="Rek.An"/>
      <sheetName val="Hitung"/>
      <sheetName val="Analis Upah"/>
      <sheetName val="HARSAT-lain"/>
      <sheetName val="HARSAT-tanah"/>
      <sheetName val="HARSAT-lhn"/>
      <sheetName val="RAB Temiling "/>
      <sheetName val="Resume"/>
      <sheetName val="Allowance"/>
      <sheetName val="SPJ"/>
      <sheetName val="4-Price"/>
      <sheetName val="4-Quarry"/>
      <sheetName val="MT"/>
      <sheetName val="P5"/>
      <sheetName val="RAB-2006-Total"/>
      <sheetName val="pek tanah utk irigasi"/>
      <sheetName val="K3LM"/>
      <sheetName val="Formula Paket A"/>
      <sheetName val="Uba"/>
      <sheetName val="AC WIL SERANG"/>
      <sheetName val="Kanan"/>
      <sheetName val="bbt-1999"/>
      <sheetName val="06-Progress"/>
      <sheetName val="04-Safety"/>
      <sheetName val="LAUT"/>
      <sheetName val="Prod 15-5"/>
      <sheetName val="G_Merak-FIX"/>
      <sheetName val="R&amp;NR"/>
      <sheetName val="Prod 02"/>
      <sheetName val="Ana. PU"/>
      <sheetName val="Tabel Item"/>
      <sheetName val="Tabel Satuan"/>
      <sheetName val="Tabel Alat"/>
      <sheetName val="Tabel Bahan"/>
      <sheetName val="Tabel Tenaga"/>
      <sheetName val="AnalisaHarga"/>
      <sheetName val="Material&amp;Alat"/>
      <sheetName val="New MADC (2)"/>
      <sheetName val="HDS"/>
      <sheetName val="Analisa Satuan"/>
      <sheetName val="Dating"/>
      <sheetName val="RLB"/>
      <sheetName val="LKT - HL"/>
      <sheetName val="LKT - HS"/>
      <sheetName val="Metod TWR"/>
      <sheetName val="HRGA SATUAN UPAH-BAHAN"/>
      <sheetName val="HS Bhn"/>
      <sheetName val="Cek list"/>
      <sheetName val="Lingkup_Pekerjaan3"/>
      <sheetName val="Pek_persiapan3"/>
      <sheetName val="anal_baja3"/>
      <sheetName val="m'trl_baja3"/>
      <sheetName val="HARGA_MATERIAL3"/>
      <sheetName val="UPAH_KERJA3"/>
      <sheetName val="BEDA_VOL3"/>
      <sheetName val="LAMP_53"/>
      <sheetName val="D3_12"/>
      <sheetName val="Weight_Bridge2"/>
      <sheetName val="Rekap_Direct_Cost2"/>
      <sheetName val="Analisa_-Baku1"/>
      <sheetName val="Rekap_Tahap_11"/>
      <sheetName val="REKAP_TOTAL1"/>
      <sheetName val="BL_(1)1"/>
      <sheetName val="Faktor_Markup1"/>
      <sheetName val="Spesifikasi_1"/>
      <sheetName val="An_harga_alat1"/>
      <sheetName val="AMD_II1"/>
      <sheetName val="AMD_I1"/>
      <sheetName val="dist__mat1"/>
      <sheetName val="Bahan_&amp;_Upah1"/>
      <sheetName val="120601Sport_Center1"/>
      <sheetName val="00_Jumlah_Total1"/>
      <sheetName val="ANALISA_NOV_'071"/>
      <sheetName val="DAFT_ALAT,UPAH_&amp;_MAT1"/>
      <sheetName val="Steel_Material_List1"/>
      <sheetName val="MUA_SA1"/>
      <sheetName val="Analisa_Tend_(2)1"/>
      <sheetName val="HARGA_BAHAN&amp;UPAH_1"/>
      <sheetName val="ARC_BANGUNAN_UTAMA1"/>
      <sheetName val="REKAP_ME_1"/>
      <sheetName val="B_-_Norelec1"/>
      <sheetName val="Prod_021"/>
      <sheetName val="A-11_Steel_Str1"/>
      <sheetName val="A-03_Pile1"/>
      <sheetName val="ANALISA_(2)1"/>
      <sheetName val="AHS_Marka1"/>
      <sheetName val="D2_21"/>
      <sheetName val="ganti_rugi1"/>
      <sheetName val="UPAH_+_ALAT1"/>
      <sheetName val="Master_Edit"/>
      <sheetName val="BM_1_(M)1"/>
      <sheetName val="Analisa_RAP1"/>
      <sheetName val="Alat_B1"/>
      <sheetName val="Bahan_B1"/>
      <sheetName val="Upah_B1"/>
      <sheetName val="Analisa_RAB1"/>
      <sheetName val="Rekap_A1"/>
      <sheetName val="Gudang_non_AC-AC_Struktur1"/>
      <sheetName val="Mat__List'081"/>
      <sheetName val="Pos_4-11"/>
      <sheetName val="rek_PUS_oe1"/>
      <sheetName val="S-_Curve_Cash_flow1"/>
      <sheetName val="Gb_Link_Requirement1"/>
      <sheetName val="REKAP_ARSITEKTUR_1"/>
      <sheetName val="Harga_Satuan1"/>
      <sheetName val="LAP__MINGG1"/>
      <sheetName val="Anls-ME_Tampil1"/>
      <sheetName val="Urai__Resap_pengikat1"/>
      <sheetName val="CONS_1"/>
      <sheetName val="HARGA_SAT1"/>
      <sheetName val="MAPDC_1"/>
      <sheetName val="H_Upah1"/>
      <sheetName val="Prog_Real1"/>
      <sheetName val="PRY_021"/>
      <sheetName val="LAMPIRAN_-B1"/>
      <sheetName val="Isian_Biodata1"/>
      <sheetName val="Analisa_Tekhnis"/>
      <sheetName val="DATA_PROYEK"/>
      <sheetName val="Eval__Arus_Kas"/>
      <sheetName val="cv__2_"/>
      <sheetName val="Analis_harga1"/>
      <sheetName val="List_Plant1"/>
      <sheetName val="unit_price"/>
      <sheetName val="Mech_CIF"/>
      <sheetName val="Data_1"/>
      <sheetName val="PRD_01-4"/>
      <sheetName val="PRD_01-31"/>
      <sheetName val="REKAP_BQ"/>
      <sheetName val="Direct_Cost_Thp_2"/>
      <sheetName val="Ana_duct"/>
      <sheetName val="Harsat_Upah_STR_ARS"/>
      <sheetName val="_PE-F-42_MR_9_Manpower"/>
      <sheetName val="REKAP_STRUKTUR"/>
      <sheetName val="Analisa_SNI_STANDART_"/>
      <sheetName val="Sec_I_ML"/>
      <sheetName val="Owning_cost_Alat"/>
      <sheetName val="610_04"/>
      <sheetName val="610_05"/>
      <sheetName val="610_06"/>
      <sheetName val="610_07"/>
      <sheetName val="610_08"/>
      <sheetName val="sumber_data_alat"/>
      <sheetName val="M_AR-KUAT"/>
      <sheetName val="Bill_No_6_Koord___Attendance"/>
      <sheetName val="Piping_Cost"/>
      <sheetName val="Bill_No_4_Summary_"/>
      <sheetName val="CF_Rp-USD"/>
      <sheetName val="01_FA"/>
      <sheetName val="REKAP_A_BESAR"/>
      <sheetName val="T-3_4_Cost_of_Equipment"/>
      <sheetName val="T-3_2_UP_Labour"/>
      <sheetName val="PHU_05"/>
      <sheetName val="Hal_010MUKAMC"/>
      <sheetName val="BL__1_"/>
      <sheetName val="Analisa_Bahan"/>
      <sheetName val="harsat_sdy"/>
      <sheetName val="Format_Daftar_Sewa_Alat_"/>
      <sheetName val="Uraian_Upah"/>
      <sheetName val="UBA_RAB"/>
      <sheetName val="RAP_M"/>
      <sheetName val="BUL_M"/>
      <sheetName val="Kinerja_Proyek"/>
      <sheetName val="Analisa_Fave"/>
      <sheetName val="Harsat_Bahan"/>
      <sheetName val="Harsat_Subkon"/>
      <sheetName val="Rek_An"/>
      <sheetName val="Analis_Upah"/>
      <sheetName val="RAB_Temiling_"/>
      <sheetName val="pek_tanah_utk_irigasi"/>
      <sheetName val="Formula_Paket_A"/>
      <sheetName val="AC_WIL_SERANG"/>
      <sheetName val="Prod_15-5"/>
      <sheetName val="Prod_022"/>
      <sheetName val="Ana__PU"/>
      <sheetName val="Tabel_Item"/>
      <sheetName val="Tabel_Satuan"/>
      <sheetName val="Tabel_Alat"/>
      <sheetName val="Tabel_Bahan"/>
      <sheetName val="Tabel_Tenaga"/>
      <sheetName val="New_MADC_(2)"/>
      <sheetName val="Analisa_Satuan"/>
      <sheetName val="LKT_-_HL"/>
      <sheetName val="LKT_-_HS"/>
      <sheetName val="Metod_TWR"/>
      <sheetName val="HRGA_SATUAN_UPAH-BAHAN"/>
      <sheetName val="HS_Bhn"/>
      <sheetName val="Cek_list"/>
      <sheetName val="abcdef"/>
      <sheetName val="keb-BHN"/>
      <sheetName val="Volume"/>
      <sheetName val="ANALIS ALAT"/>
      <sheetName val="Mat"/>
      <sheetName val="WI"/>
      <sheetName val="TARIP"/>
      <sheetName val="Permanent info"/>
      <sheetName val="BDP"/>
      <sheetName val="surfacing &amp; point..."/>
      <sheetName val="stone mas ARE"/>
      <sheetName val="New MADC"/>
      <sheetName val="Informasi"/>
      <sheetName val="GALIAN batu ok (89)"/>
      <sheetName val="Rkp(1)"/>
      <sheetName val="Data Alat"/>
      <sheetName val="ELEMENT SUM"/>
      <sheetName val="perkerasan"/>
      <sheetName val="An-Pek-Arui"/>
      <sheetName val="Owning"/>
      <sheetName val="REKOM-Rekap.SCEDULE 3"/>
      <sheetName val="i-j. Pengalaman"/>
      <sheetName val="Daftar Kuantitas &amp; Harga  MC_0"/>
      <sheetName val="BQ ARS"/>
      <sheetName val="TABLE-1"/>
      <sheetName val="Hargamat"/>
      <sheetName val="rekap1"/>
      <sheetName val="HPP"/>
      <sheetName val="Duc_3"/>
      <sheetName val="Duc-3"/>
      <sheetName val="Bill-5.2"/>
      <sheetName val="Bill-9.1"/>
      <sheetName val="Bill-6.1.1-6.1.3"/>
      <sheetName val="ELECTRIC DATA"/>
      <sheetName val="ตาราง G"/>
      <sheetName val="EK-JAN-2010"/>
      <sheetName val="KEDUNG GOONG"/>
      <sheetName val="Vol Admin&amp;Canteen"/>
      <sheetName val="rek det 1-3"/>
      <sheetName val="H-Bahan &amp; Tenaga"/>
      <sheetName val="BA"/>
      <sheetName val="10"/>
      <sheetName val="Vol. Mg 10"/>
      <sheetName val="PENERIMAAN"/>
      <sheetName val="LKVL-CK-HT-GD1"/>
      <sheetName val="TONGKE3p "/>
      <sheetName val="TH VL, NC, DDHT Thanhphuoc"/>
      <sheetName val="TNHCHINH"/>
      <sheetName val="L2MO"/>
      <sheetName val="product"/>
      <sheetName val="ALAT_BAU"/>
      <sheetName val="Potongan"/>
      <sheetName val="BPM"/>
      <sheetName val="H-SAT"/>
      <sheetName val="duadan3"/>
      <sheetName val="HS-2"/>
      <sheetName val="Monitor"/>
      <sheetName val="HSPK"/>
      <sheetName val="Bahan&amp;Upah"/>
      <sheetName val="BARU-3"/>
      <sheetName val="BARU-4 "/>
      <sheetName val="MINAT"/>
      <sheetName val="HSUB SARPRA"/>
      <sheetName val="Rekanan"/>
      <sheetName val="bill qty"/>
      <sheetName val="GIFAS"/>
      <sheetName val="REFERENCE TABLE"/>
      <sheetName val="civil-work"/>
      <sheetName val="Watertank"/>
      <sheetName val="전기"/>
      <sheetName val="설계내역서"/>
      <sheetName val="개산공사비"/>
      <sheetName val="대비"/>
      <sheetName val="0200 Siteworks"/>
      <sheetName val="Chung"/>
      <sheetName val="cPanel"/>
      <sheetName val="GC"/>
      <sheetName val="HG_Info"/>
      <sheetName val="Nghỉ lễ"/>
      <sheetName val="Mác"/>
      <sheetName val="QC"/>
      <sheetName val="CO"/>
      <sheetName val="Set"/>
      <sheetName val="hinhhoc"/>
      <sheetName val="Bill 02 INF"/>
      <sheetName val="FIRE FIGHTING"/>
      <sheetName val="__2__"/>
      <sheetName val="_"/>
      <sheetName val="ጊM &amp; E.xls_Bill_No_2_1_"/>
      <sheetName val=" 견적서"/>
      <sheetName val="현장별"/>
      <sheetName val="CAPVC"/>
      <sheetName val="실행"/>
      <sheetName val="LE"/>
      <sheetName val="QS_PT chi phi"/>
      <sheetName val="NEW-PANEL"/>
      <sheetName val="Sheet4"/>
      <sheetName val="Móng, nền "/>
      <sheetName val="6PILE  (돌출)"/>
      <sheetName val="Accessories"/>
      <sheetName val="An. Alat"/>
      <sheetName val="ANTEK3"/>
      <sheetName val="5-ALAT(1)"/>
      <sheetName val="SPI"/>
      <sheetName val="Alat Beton"/>
      <sheetName val="kki"/>
      <sheetName val="fin pro centers"/>
      <sheetName val="B.O.Q"/>
      <sheetName val="320000 CABANG VI"/>
      <sheetName val="PB(B)"/>
      <sheetName val="SNI"/>
      <sheetName val="crewlist S"/>
      <sheetName val="Daft.Sewa Alat"/>
      <sheetName val="bhn_tng"/>
      <sheetName val="IN OUT"/>
      <sheetName val="PEKERJAAN PERSIAPAN"/>
      <sheetName val="Ans Kom Precast"/>
      <sheetName val="PJ"/>
      <sheetName val="UPAH &amp; BHN"/>
      <sheetName val="dBase"/>
      <sheetName val="analisa2"/>
      <sheetName val="ANALISAGATE"/>
      <sheetName val="Form I"/>
      <sheetName val=" MINGGUAN"/>
      <sheetName val="analbahan"/>
      <sheetName val="petunjuk"/>
      <sheetName val="HAR_INI"/>
      <sheetName val="HAR_LALU"/>
      <sheetName val="Analisa IC"/>
      <sheetName val="Analisa J"/>
      <sheetName val="Rekap Biaya Alat"/>
      <sheetName val="Biaya Operator"/>
      <sheetName val="Ops Alat"/>
      <sheetName val="Sewa Alat"/>
      <sheetName val="COA-17"/>
      <sheetName val="C-18"/>
      <sheetName val="DAFPEK-SA"/>
      <sheetName val="SAT PL"/>
      <sheetName val="KOEF"/>
      <sheetName val="TRY"/>
      <sheetName val="ANalisa "/>
      <sheetName val="合成単価作成・-BLDG"/>
      <sheetName val="C . C . R"/>
      <sheetName val="H &amp; U"/>
      <sheetName val="SatDas"/>
      <sheetName val="HSP"/>
      <sheetName val="DafHrgSatuan"/>
      <sheetName val="Assetdb"/>
      <sheetName val="Sales Rental"/>
      <sheetName val="AssetPar"/>
      <sheetName val="Sales Parameter"/>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Introduction"/>
      <sheetName val="UMUM"/>
      <sheetName val="Hsatuan-OK"/>
      <sheetName val="SAPON"/>
      <sheetName val="PERALATAN PROYEK GOL III A"/>
      <sheetName val="029Cikeas00"/>
      <sheetName val="EVALUASI"/>
      <sheetName val="PL SPP per ton"/>
      <sheetName val="HRG"/>
      <sheetName val="HR Detail"/>
      <sheetName val="HRPar"/>
      <sheetName val="fcsp-w"/>
      <sheetName val="LAMP_2.2"/>
      <sheetName val="VOL_1"/>
      <sheetName val="GP-WB"/>
      <sheetName val="PDCC"/>
      <sheetName val="SPI GMBH"/>
      <sheetName val="UK"/>
      <sheetName val="SSI"/>
      <sheetName val="Syntegra"/>
      <sheetName val="TEKNIS"/>
      <sheetName val="BLOK-BJR"/>
      <sheetName val="3-DIV8"/>
      <sheetName val="81+200"/>
      <sheetName val="M_12 _2_"/>
      <sheetName val="Account Code"/>
      <sheetName val="BASIC-PRICE"/>
      <sheetName val="5"/>
      <sheetName val="ASUMSI"/>
      <sheetName val="alt1"/>
      <sheetName val="Param"/>
      <sheetName val="NAMA DEPT"/>
      <sheetName val="STOK MAT"/>
      <sheetName val="Data_Umum"/>
      <sheetName val="Master Schedule"/>
      <sheetName val="DATAJUNI"/>
      <sheetName val="DATAOKT"/>
      <sheetName val="DATA2011_1845"/>
      <sheetName val="AA.1.1 BNI"/>
      <sheetName val="TS (A3)"/>
      <sheetName val="PROGRESS"/>
      <sheetName val="ENC.14"/>
      <sheetName val="Analisa Bangun "/>
      <sheetName val="D2.4"/>
      <sheetName val="D3-3"/>
      <sheetName val="D4.3 (TE)"/>
      <sheetName val="D5.3 (TF) "/>
      <sheetName val="D8.3 (TJ)"/>
      <sheetName val="HS Dasar "/>
      <sheetName val="rate-alat"/>
      <sheetName val="hsat-SD"/>
      <sheetName val="smt"/>
      <sheetName val="igp_alt4"/>
      <sheetName val="HD BAHAN"/>
      <sheetName val="BOQ CONTRACT WK"/>
      <sheetName val="Analisa K"/>
      <sheetName val="BTL-Bau"/>
      <sheetName val="Management"/>
      <sheetName val="Material&amp;Upah"/>
      <sheetName val="HS KALIJATI"/>
      <sheetName val="DATA2010"/>
      <sheetName val="Agustus"/>
      <sheetName val="RincianQ3_Q4"/>
      <sheetName val="Waktu"/>
      <sheetName val="Daftar Upah,Bhn,&amp; alat"/>
      <sheetName val="tetrapod"/>
      <sheetName val="KONS2008"/>
      <sheetName val="DATA_2018"/>
      <sheetName val="Tambahan anal"/>
      <sheetName val="TAGIHAN"/>
      <sheetName val="HARGADASAR"/>
      <sheetName val="AUG02"/>
      <sheetName val="NS_GD_UGD"/>
      <sheetName val="STD_GD_UGD"/>
      <sheetName val="BK-PU_2011"/>
      <sheetName val="G1"/>
      <sheetName val="A.4.3"/>
      <sheetName val="PUMP"/>
      <sheetName val="G1 Sheet"/>
      <sheetName val="INDEKS"/>
      <sheetName val="duct"/>
      <sheetName val="RAW MATERIALS "/>
      <sheetName val="PENAWARAN"/>
      <sheetName val="Camar ac opname"/>
      <sheetName val="KAKTUS KLAS A"/>
      <sheetName val="mech"/>
      <sheetName val="#REF!"/>
      <sheetName val="APP-9"/>
      <sheetName val="REKAPDP1"/>
      <sheetName val="BQ DP (2)"/>
      <sheetName val="RAB "/>
      <sheetName val="Spl"/>
      <sheetName val="REKAP (2)"/>
      <sheetName val="KW (2)"/>
      <sheetName val="srt (2)"/>
      <sheetName val="Rekap DP"/>
      <sheetName val="KW"/>
      <sheetName val="BQ DP"/>
      <sheetName val="Caratula"/>
      <sheetName val="jan"/>
      <sheetName val="FEB"/>
      <sheetName val="MAR"/>
      <sheetName val="Gaji-Bag"/>
      <sheetName val="Data Masukan"/>
      <sheetName val="Fisik 2012"/>
      <sheetName val="Pek. Persiapan"/>
      <sheetName val="Rekap Anl.K"/>
      <sheetName val="Rekap Anl.SNI"/>
      <sheetName val="ANX3A65"/>
      <sheetName val="DETAIL"/>
      <sheetName val="REKAPTF Jul_Agus"/>
      <sheetName val="d&amp;w"/>
      <sheetName val="FIN KODE"/>
      <sheetName val="DG vat tu"/>
      <sheetName val="proj"/>
      <sheetName val="입찰내역 발주처 양식"/>
      <sheetName val="Final Sum  A"/>
      <sheetName val="bill5-archi"/>
      <sheetName val="Consumables"/>
      <sheetName val="Benchmark"/>
      <sheetName val="new retail"/>
      <sheetName val="BAHAN "/>
      <sheetName val="D"/>
      <sheetName val="DFA"/>
      <sheetName val="MATERIAL ANALISA"/>
      <sheetName val="bq analisa"/>
      <sheetName val="Daftar Kuantitas dan Harga"/>
      <sheetName val="Laboratorium"/>
      <sheetName val="rkpm 2007"/>
      <sheetName val="perkerasan rigid"/>
      <sheetName val="SAP"/>
      <sheetName val="A__K_Bahan1"/>
      <sheetName val="LAP-1"/>
      <sheetName val="LAP-2"/>
      <sheetName val="LAP-3"/>
      <sheetName val="LAP-4"/>
      <sheetName val="LAP-5"/>
      <sheetName val="LAP-6"/>
      <sheetName val="Vat tu XD"/>
      <sheetName val="items left"/>
      <sheetName val="Equipment"/>
      <sheetName val="Room Matrix"/>
      <sheetName val="D_MUC"/>
      <sheetName val="THVT"/>
      <sheetName val="Norm"/>
      <sheetName val="B2 (Facade work)"/>
      <sheetName val="PTdam"/>
      <sheetName val="SGC RATE"/>
      <sheetName val="공문"/>
      <sheetName val="마감사양"/>
      <sheetName val="4-Lane bridge"/>
      <sheetName val="OE (KSB)"/>
      <sheetName val="OrgRates2000"/>
      <sheetName val="Eng_Hrs (HO)"/>
      <sheetName val="HARGA ALAT"/>
      <sheetName val="S"/>
      <sheetName val="RT13526 CPI"/>
      <sheetName val="BQ_INT"/>
      <sheetName val="_MINGGUAN"/>
      <sheetName val="Analisa_IC"/>
      <sheetName val="Analisa_J"/>
      <sheetName val="Rekap_Biaya_Alat"/>
      <sheetName val="Biaya_Operator"/>
      <sheetName val="Ops_Alat"/>
      <sheetName val="Sewa_Alat"/>
      <sheetName val="H_Sat_Jembatan"/>
      <sheetName val="reporting_package-bmel_31-12-04"/>
      <sheetName val="Input_Data"/>
      <sheetName val="Harga_Bahan"/>
      <sheetName val="dftr harga"/>
      <sheetName val="prhit tulangan"/>
      <sheetName val="vol pek"/>
      <sheetName val="API Table"/>
      <sheetName val="Page 1"/>
      <sheetName val="대비표"/>
      <sheetName val="011C101"/>
      <sheetName val="BILAL2"/>
      <sheetName val="VLL BAFF SDLL"/>
      <sheetName val="1.2"/>
      <sheetName val="Base Case"/>
      <sheetName val="F1.4"/>
      <sheetName val="산출서(HMC)"/>
      <sheetName val="PAGE 1 "/>
      <sheetName val="Connections"/>
      <sheetName val="Cabling Data&amp;Power"/>
      <sheetName val="FORM 3A"/>
      <sheetName val="B_O_Q"/>
      <sheetName val="HM.MEK."/>
      <sheetName val="DIV3"/>
      <sheetName val="anl-b6"/>
      <sheetName val="Anal Alat Type II A"/>
      <sheetName val="FAB-2010 sd 2011"/>
      <sheetName val="200212ac"/>
      <sheetName val="Peralatan (2)"/>
      <sheetName val="R1. GREJA KATHOLIK"/>
      <sheetName val="Pesangon _ jml kary"/>
      <sheetName val="BOQ - HPS PU"/>
      <sheetName val="Harga Dsr"/>
      <sheetName val="DHSD"/>
      <sheetName val="SIMPRO(AGST)"/>
      <sheetName val="PaintBreak"/>
      <sheetName val="envp"/>
      <sheetName val="DafIsi"/>
      <sheetName val="FoB "/>
      <sheetName val="SK"/>
      <sheetName val="hitungan"/>
      <sheetName val="pintuair"/>
      <sheetName val="mob"/>
      <sheetName val="schalat"/>
      <sheetName val="butalat"/>
      <sheetName val="schman"/>
      <sheetName val="butman"/>
      <sheetName val="schmat"/>
      <sheetName val="butmat"/>
      <sheetName val="subK"/>
      <sheetName val="subK (2)"/>
      <sheetName val="fcmc0"/>
      <sheetName val="fcmob"/>
      <sheetName val="fcgal"/>
      <sheetName val="fctimb"/>
      <sheetName val="fcbronj"/>
      <sheetName val="Analisa 2"/>
      <sheetName val="SUM-VOL"/>
      <sheetName val="ALT-1"/>
      <sheetName val="MAT-1"/>
      <sheetName val="UPH-1"/>
      <sheetName val="Antek1"/>
      <sheetName val="Mk Sub Grade"/>
      <sheetName val="Concrete"/>
      <sheetName val="d-kwantitas"/>
      <sheetName val="RC-BHN"/>
      <sheetName val="Input T. Schedule"/>
      <sheetName val="dengan pembangkitan"/>
      <sheetName val="BP"/>
      <sheetName val="div-2"/>
      <sheetName val="HSBU ANA"/>
      <sheetName val="BCT"/>
      <sheetName val="1-LISTRIK"/>
      <sheetName val="Galian batu"/>
      <sheetName val="DAFTAR 7"/>
      <sheetName val="DAFTAR_8"/>
      <sheetName val="Analis Tambahan"/>
      <sheetName val="Analys"/>
      <sheetName val="pelita lapen"/>
      <sheetName val="calc-2"/>
      <sheetName val="DCF"/>
      <sheetName val="Upah "/>
      <sheetName val="elektronik"/>
      <sheetName val="item kompensasi"/>
      <sheetName val="304_06"/>
      <sheetName val="% Prog"/>
      <sheetName val="Proposal"/>
      <sheetName val="Project Sheet"/>
      <sheetName val="data-1"/>
      <sheetName val="JUNI"/>
      <sheetName val="Sum 5.0"/>
      <sheetName val="Building"/>
      <sheetName val="Comb"/>
      <sheetName val="CFS3"/>
      <sheetName val="GVL-NC-M"/>
      <sheetName val="Footing &amp; Plinth"/>
    </sheetNames>
    <sheetDataSet>
      <sheetData sheetId="0">
        <row r="1">
          <cell r="JB1">
            <v>0</v>
          </cell>
        </row>
      </sheetData>
      <sheetData sheetId="1">
        <row r="1">
          <cell r="JB1">
            <v>0</v>
          </cell>
        </row>
      </sheetData>
      <sheetData sheetId="2">
        <row r="1">
          <cell r="JB1">
            <v>0</v>
          </cell>
        </row>
      </sheetData>
      <sheetData sheetId="3">
        <row r="1">
          <cell r="JB1">
            <v>0</v>
          </cell>
        </row>
      </sheetData>
      <sheetData sheetId="4">
        <row r="7">
          <cell r="P7" t="str">
            <v xml:space="preserve">B U D G E T A R Y </v>
          </cell>
        </row>
      </sheetData>
      <sheetData sheetId="5">
        <row r="7">
          <cell r="P7" t="str">
            <v xml:space="preserve">B U D G E T A R Y </v>
          </cell>
        </row>
      </sheetData>
      <sheetData sheetId="6">
        <row r="7">
          <cell r="P7" t="str">
            <v xml:space="preserve">B U D G E T A R Y </v>
          </cell>
        </row>
      </sheetData>
      <sheetData sheetId="7">
        <row r="7">
          <cell r="P7" t="str">
            <v xml:space="preserve">B U D G E T A R Y </v>
          </cell>
        </row>
      </sheetData>
      <sheetData sheetId="8">
        <row r="7">
          <cell r="P7" t="str">
            <v xml:space="preserve">B U D G E T A R Y </v>
          </cell>
        </row>
      </sheetData>
      <sheetData sheetId="9">
        <row r="1">
          <cell r="JB1">
            <v>0</v>
          </cell>
        </row>
      </sheetData>
      <sheetData sheetId="10">
        <row r="1">
          <cell r="JB1">
            <v>0</v>
          </cell>
        </row>
        <row r="7">
          <cell r="P7" t="str">
            <v xml:space="preserve">B U D G E T A R Y </v>
          </cell>
        </row>
      </sheetData>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ow r="7">
          <cell r="P7" t="str">
            <v xml:space="preserve">B U D G E T A R Y </v>
          </cell>
        </row>
      </sheetData>
      <sheetData sheetId="156">
        <row r="1">
          <cell r="JB1">
            <v>0</v>
          </cell>
        </row>
      </sheetData>
      <sheetData sheetId="157">
        <row r="1">
          <cell r="JB1">
            <v>0</v>
          </cell>
        </row>
      </sheetData>
      <sheetData sheetId="158">
        <row r="1">
          <cell r="JB1">
            <v>0</v>
          </cell>
        </row>
      </sheetData>
      <sheetData sheetId="159">
        <row r="1">
          <cell r="JB1">
            <v>0</v>
          </cell>
        </row>
      </sheetData>
      <sheetData sheetId="160">
        <row r="1">
          <cell r="JB1">
            <v>0</v>
          </cell>
        </row>
      </sheetData>
      <sheetData sheetId="161">
        <row r="1">
          <cell r="JB1">
            <v>0</v>
          </cell>
        </row>
      </sheetData>
      <sheetData sheetId="162">
        <row r="1">
          <cell r="JB1">
            <v>0</v>
          </cell>
        </row>
      </sheetData>
      <sheetData sheetId="163">
        <row r="1">
          <cell r="JB1">
            <v>0</v>
          </cell>
        </row>
      </sheetData>
      <sheetData sheetId="164">
        <row r="1">
          <cell r="JB1">
            <v>0</v>
          </cell>
        </row>
      </sheetData>
      <sheetData sheetId="165">
        <row r="7">
          <cell r="P7" t="str">
            <v xml:space="preserve">B U D G E T A R Y </v>
          </cell>
        </row>
      </sheetData>
      <sheetData sheetId="166">
        <row r="7">
          <cell r="P7" t="str">
            <v xml:space="preserve">B U D G E T A R Y </v>
          </cell>
        </row>
      </sheetData>
      <sheetData sheetId="167">
        <row r="7">
          <cell r="P7" t="str">
            <v xml:space="preserve">B U D G E T A R Y </v>
          </cell>
        </row>
      </sheetData>
      <sheetData sheetId="168">
        <row r="7">
          <cell r="P7" t="str">
            <v xml:space="preserve">B U D G E T A R Y </v>
          </cell>
        </row>
      </sheetData>
      <sheetData sheetId="169"/>
      <sheetData sheetId="170">
        <row r="8">
          <cell r="A8" t="str">
            <v>No.</v>
          </cell>
        </row>
      </sheetData>
      <sheetData sheetId="171">
        <row r="7">
          <cell r="P7" t="str">
            <v xml:space="preserve">B U D G E T A R Y </v>
          </cell>
        </row>
      </sheetData>
      <sheetData sheetId="172">
        <row r="8">
          <cell r="A8" t="str">
            <v>No.</v>
          </cell>
        </row>
      </sheetData>
      <sheetData sheetId="173" refreshError="1"/>
      <sheetData sheetId="174" refreshError="1"/>
      <sheetData sheetId="175">
        <row r="1">
          <cell r="JB1">
            <v>0</v>
          </cell>
        </row>
      </sheetData>
      <sheetData sheetId="176" refreshError="1"/>
      <sheetData sheetId="177">
        <row r="1">
          <cell r="JB1">
            <v>0</v>
          </cell>
        </row>
      </sheetData>
      <sheetData sheetId="178">
        <row r="1">
          <cell r="JB1">
            <v>0</v>
          </cell>
        </row>
      </sheetData>
      <sheetData sheetId="179">
        <row r="1">
          <cell r="JB1">
            <v>0</v>
          </cell>
        </row>
      </sheetData>
      <sheetData sheetId="180">
        <row r="1">
          <cell r="JB1">
            <v>0</v>
          </cell>
        </row>
      </sheetData>
      <sheetData sheetId="181">
        <row r="1">
          <cell r="JB1">
            <v>0</v>
          </cell>
        </row>
      </sheetData>
      <sheetData sheetId="182">
        <row r="1">
          <cell r="JB1">
            <v>0</v>
          </cell>
        </row>
      </sheetData>
      <sheetData sheetId="183">
        <row r="1">
          <cell r="JB1">
            <v>0</v>
          </cell>
        </row>
      </sheetData>
      <sheetData sheetId="184">
        <row r="1">
          <cell r="JB1">
            <v>0</v>
          </cell>
        </row>
      </sheetData>
      <sheetData sheetId="185">
        <row r="1">
          <cell r="JB1">
            <v>0</v>
          </cell>
        </row>
      </sheetData>
      <sheetData sheetId="186">
        <row r="1">
          <cell r="JB1">
            <v>0</v>
          </cell>
        </row>
      </sheetData>
      <sheetData sheetId="187">
        <row r="1">
          <cell r="JB1">
            <v>0</v>
          </cell>
        </row>
      </sheetData>
      <sheetData sheetId="188">
        <row r="1">
          <cell r="JB1">
            <v>0</v>
          </cell>
        </row>
      </sheetData>
      <sheetData sheetId="189">
        <row r="1">
          <cell r="JB1">
            <v>0</v>
          </cell>
        </row>
      </sheetData>
      <sheetData sheetId="190">
        <row r="1">
          <cell r="JB1">
            <v>0</v>
          </cell>
        </row>
      </sheetData>
      <sheetData sheetId="191">
        <row r="1">
          <cell r="JB1">
            <v>0</v>
          </cell>
        </row>
      </sheetData>
      <sheetData sheetId="192">
        <row r="1">
          <cell r="JB1">
            <v>0</v>
          </cell>
        </row>
      </sheetData>
      <sheetData sheetId="193" refreshError="1"/>
      <sheetData sheetId="194" refreshError="1"/>
      <sheetData sheetId="195" refreshError="1"/>
      <sheetData sheetId="196">
        <row r="1">
          <cell r="JB1">
            <v>0</v>
          </cell>
        </row>
      </sheetData>
      <sheetData sheetId="197">
        <row r="1">
          <cell r="JB1">
            <v>0</v>
          </cell>
        </row>
      </sheetData>
      <sheetData sheetId="198" refreshError="1"/>
      <sheetData sheetId="199" refreshError="1"/>
      <sheetData sheetId="200" refreshError="1"/>
      <sheetData sheetId="201" refreshError="1"/>
      <sheetData sheetId="202" refreshError="1"/>
      <sheetData sheetId="203" refreshError="1"/>
      <sheetData sheetId="204">
        <row r="1">
          <cell r="JB1">
            <v>0</v>
          </cell>
        </row>
      </sheetData>
      <sheetData sheetId="205">
        <row r="1">
          <cell r="JB1">
            <v>0</v>
          </cell>
        </row>
      </sheetData>
      <sheetData sheetId="206">
        <row r="1">
          <cell r="JB1">
            <v>0</v>
          </cell>
        </row>
      </sheetData>
      <sheetData sheetId="207">
        <row r="1">
          <cell r="JB1">
            <v>0</v>
          </cell>
        </row>
      </sheetData>
      <sheetData sheetId="208">
        <row r="1">
          <cell r="JB1">
            <v>0</v>
          </cell>
        </row>
      </sheetData>
      <sheetData sheetId="209" refreshError="1"/>
      <sheetData sheetId="210" refreshError="1"/>
      <sheetData sheetId="211" refreshError="1"/>
      <sheetData sheetId="212" refreshError="1"/>
      <sheetData sheetId="213">
        <row r="1">
          <cell r="JB1">
            <v>0</v>
          </cell>
        </row>
      </sheetData>
      <sheetData sheetId="214">
        <row r="1">
          <cell r="JB1">
            <v>0</v>
          </cell>
        </row>
      </sheetData>
      <sheetData sheetId="215">
        <row r="1">
          <cell r="JB1">
            <v>0</v>
          </cell>
        </row>
      </sheetData>
      <sheetData sheetId="216">
        <row r="1">
          <cell r="JB1">
            <v>0</v>
          </cell>
        </row>
      </sheetData>
      <sheetData sheetId="217">
        <row r="1">
          <cell r="JB1">
            <v>0</v>
          </cell>
        </row>
      </sheetData>
      <sheetData sheetId="218">
        <row r="1">
          <cell r="JB1">
            <v>0</v>
          </cell>
        </row>
      </sheetData>
      <sheetData sheetId="219">
        <row r="1">
          <cell r="JB1">
            <v>0</v>
          </cell>
        </row>
      </sheetData>
      <sheetData sheetId="220">
        <row r="1">
          <cell r="JB1">
            <v>0</v>
          </cell>
        </row>
      </sheetData>
      <sheetData sheetId="221">
        <row r="1">
          <cell r="JB1">
            <v>0</v>
          </cell>
        </row>
      </sheetData>
      <sheetData sheetId="222">
        <row r="1">
          <cell r="JB1">
            <v>0</v>
          </cell>
        </row>
      </sheetData>
      <sheetData sheetId="223">
        <row r="1">
          <cell r="JB1">
            <v>0</v>
          </cell>
        </row>
      </sheetData>
      <sheetData sheetId="224">
        <row r="1">
          <cell r="JB1">
            <v>0</v>
          </cell>
        </row>
      </sheetData>
      <sheetData sheetId="225">
        <row r="1">
          <cell r="JB1">
            <v>0</v>
          </cell>
        </row>
      </sheetData>
      <sheetData sheetId="226">
        <row r="1">
          <cell r="JB1">
            <v>0</v>
          </cell>
        </row>
      </sheetData>
      <sheetData sheetId="227">
        <row r="1">
          <cell r="JB1">
            <v>0</v>
          </cell>
        </row>
      </sheetData>
      <sheetData sheetId="228">
        <row r="1">
          <cell r="JB1">
            <v>0</v>
          </cell>
        </row>
      </sheetData>
      <sheetData sheetId="229">
        <row r="1">
          <cell r="JB1">
            <v>0</v>
          </cell>
        </row>
      </sheetData>
      <sheetData sheetId="230">
        <row r="1">
          <cell r="JB1">
            <v>0</v>
          </cell>
        </row>
      </sheetData>
      <sheetData sheetId="231">
        <row r="1">
          <cell r="JB1">
            <v>0</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ow r="1">
          <cell r="JB1">
            <v>0</v>
          </cell>
        </row>
      </sheetData>
      <sheetData sheetId="244">
        <row r="1">
          <cell r="JB1">
            <v>0</v>
          </cell>
        </row>
      </sheetData>
      <sheetData sheetId="245">
        <row r="1">
          <cell r="JB1">
            <v>0</v>
          </cell>
        </row>
      </sheetData>
      <sheetData sheetId="246">
        <row r="1">
          <cell r="JB1">
            <v>0</v>
          </cell>
        </row>
      </sheetData>
      <sheetData sheetId="247">
        <row r="1">
          <cell r="JB1">
            <v>0</v>
          </cell>
        </row>
      </sheetData>
      <sheetData sheetId="248" refreshError="1"/>
      <sheetData sheetId="249" refreshError="1"/>
      <sheetData sheetId="250" refreshError="1"/>
      <sheetData sheetId="251">
        <row r="7">
          <cell r="P7" t="str">
            <v xml:space="preserve">B U D G E T A R Y </v>
          </cell>
        </row>
      </sheetData>
      <sheetData sheetId="252">
        <row r="7">
          <cell r="P7" t="str">
            <v xml:space="preserve">B U D G E T A R Y </v>
          </cell>
        </row>
      </sheetData>
      <sheetData sheetId="253">
        <row r="7">
          <cell r="P7" t="str">
            <v xml:space="preserve">B U D G E T A R Y </v>
          </cell>
        </row>
      </sheetData>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ow r="7">
          <cell r="P7" t="str">
            <v xml:space="preserve">B U D G E T A R Y </v>
          </cell>
        </row>
      </sheetData>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ow r="1">
          <cell r="JB1">
            <v>0</v>
          </cell>
        </row>
      </sheetData>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ow r="1">
          <cell r="JB1">
            <v>0</v>
          </cell>
        </row>
      </sheetData>
      <sheetData sheetId="326">
        <row r="1">
          <cell r="JB1">
            <v>0</v>
          </cell>
        </row>
      </sheetData>
      <sheetData sheetId="327">
        <row r="1">
          <cell r="JB1">
            <v>0</v>
          </cell>
        </row>
      </sheetData>
      <sheetData sheetId="328">
        <row r="1">
          <cell r="JB1">
            <v>0</v>
          </cell>
        </row>
      </sheetData>
      <sheetData sheetId="329">
        <row r="1">
          <cell r="JB1">
            <v>0</v>
          </cell>
        </row>
      </sheetData>
      <sheetData sheetId="330">
        <row r="1">
          <cell r="JB1">
            <v>0</v>
          </cell>
        </row>
      </sheetData>
      <sheetData sheetId="331">
        <row r="1">
          <cell r="JB1">
            <v>0</v>
          </cell>
        </row>
      </sheetData>
      <sheetData sheetId="332">
        <row r="1">
          <cell r="JB1">
            <v>0</v>
          </cell>
        </row>
      </sheetData>
      <sheetData sheetId="333">
        <row r="1">
          <cell r="JB1">
            <v>0</v>
          </cell>
        </row>
      </sheetData>
      <sheetData sheetId="334">
        <row r="1">
          <cell r="JB1">
            <v>0</v>
          </cell>
        </row>
      </sheetData>
      <sheetData sheetId="335">
        <row r="1">
          <cell r="JB1">
            <v>0</v>
          </cell>
        </row>
      </sheetData>
      <sheetData sheetId="336">
        <row r="1">
          <cell r="JB1">
            <v>0</v>
          </cell>
        </row>
      </sheetData>
      <sheetData sheetId="337">
        <row r="1">
          <cell r="JB1">
            <v>0</v>
          </cell>
        </row>
      </sheetData>
      <sheetData sheetId="338">
        <row r="1">
          <cell r="JB1">
            <v>0</v>
          </cell>
        </row>
      </sheetData>
      <sheetData sheetId="339">
        <row r="1">
          <cell r="JB1">
            <v>0</v>
          </cell>
        </row>
      </sheetData>
      <sheetData sheetId="340">
        <row r="1">
          <cell r="JB1">
            <v>0</v>
          </cell>
        </row>
      </sheetData>
      <sheetData sheetId="341">
        <row r="1">
          <cell r="JB1">
            <v>0</v>
          </cell>
        </row>
      </sheetData>
      <sheetData sheetId="342">
        <row r="1">
          <cell r="JB1">
            <v>0</v>
          </cell>
        </row>
      </sheetData>
      <sheetData sheetId="343">
        <row r="1">
          <cell r="JB1">
            <v>0</v>
          </cell>
        </row>
      </sheetData>
      <sheetData sheetId="344">
        <row r="1">
          <cell r="JB1">
            <v>0</v>
          </cell>
        </row>
      </sheetData>
      <sheetData sheetId="345">
        <row r="1">
          <cell r="JB1">
            <v>0</v>
          </cell>
        </row>
      </sheetData>
      <sheetData sheetId="346">
        <row r="1">
          <cell r="JB1">
            <v>0</v>
          </cell>
        </row>
      </sheetData>
      <sheetData sheetId="347">
        <row r="1">
          <cell r="JB1">
            <v>0</v>
          </cell>
        </row>
      </sheetData>
      <sheetData sheetId="348">
        <row r="1">
          <cell r="JB1">
            <v>0</v>
          </cell>
        </row>
      </sheetData>
      <sheetData sheetId="349">
        <row r="1">
          <cell r="JB1">
            <v>0</v>
          </cell>
        </row>
      </sheetData>
      <sheetData sheetId="350">
        <row r="1">
          <cell r="JB1">
            <v>0</v>
          </cell>
        </row>
      </sheetData>
      <sheetData sheetId="351">
        <row r="1">
          <cell r="JB1">
            <v>0</v>
          </cell>
        </row>
      </sheetData>
      <sheetData sheetId="352">
        <row r="1">
          <cell r="JB1">
            <v>0</v>
          </cell>
        </row>
      </sheetData>
      <sheetData sheetId="353">
        <row r="1">
          <cell r="JB1">
            <v>0</v>
          </cell>
        </row>
      </sheetData>
      <sheetData sheetId="354">
        <row r="1">
          <cell r="JB1">
            <v>0</v>
          </cell>
        </row>
      </sheetData>
      <sheetData sheetId="355">
        <row r="1">
          <cell r="JB1">
            <v>0</v>
          </cell>
        </row>
      </sheetData>
      <sheetData sheetId="356">
        <row r="1">
          <cell r="JB1">
            <v>0</v>
          </cell>
        </row>
      </sheetData>
      <sheetData sheetId="357">
        <row r="1">
          <cell r="JB1">
            <v>0</v>
          </cell>
        </row>
      </sheetData>
      <sheetData sheetId="358">
        <row r="1">
          <cell r="JB1">
            <v>0</v>
          </cell>
        </row>
      </sheetData>
      <sheetData sheetId="359">
        <row r="1">
          <cell r="JB1">
            <v>0</v>
          </cell>
        </row>
      </sheetData>
      <sheetData sheetId="360">
        <row r="1">
          <cell r="JB1">
            <v>0</v>
          </cell>
        </row>
      </sheetData>
      <sheetData sheetId="361">
        <row r="1">
          <cell r="JB1">
            <v>0</v>
          </cell>
        </row>
      </sheetData>
      <sheetData sheetId="362">
        <row r="1">
          <cell r="JB1">
            <v>0</v>
          </cell>
        </row>
      </sheetData>
      <sheetData sheetId="363">
        <row r="1">
          <cell r="JB1">
            <v>0</v>
          </cell>
        </row>
      </sheetData>
      <sheetData sheetId="364">
        <row r="1">
          <cell r="JB1">
            <v>0</v>
          </cell>
        </row>
      </sheetData>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ow r="1">
          <cell r="JB1">
            <v>0</v>
          </cell>
        </row>
      </sheetData>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ow r="1">
          <cell r="JB1">
            <v>0</v>
          </cell>
        </row>
      </sheetData>
      <sheetData sheetId="421">
        <row r="1">
          <cell r="JB1">
            <v>0</v>
          </cell>
        </row>
      </sheetData>
      <sheetData sheetId="422">
        <row r="1">
          <cell r="JB1">
            <v>0</v>
          </cell>
        </row>
      </sheetData>
      <sheetData sheetId="423">
        <row r="1">
          <cell r="JB1">
            <v>0</v>
          </cell>
        </row>
      </sheetData>
      <sheetData sheetId="424">
        <row r="1">
          <cell r="JB1">
            <v>0</v>
          </cell>
        </row>
      </sheetData>
      <sheetData sheetId="425">
        <row r="1">
          <cell r="JB1">
            <v>0</v>
          </cell>
        </row>
      </sheetData>
      <sheetData sheetId="426">
        <row r="1">
          <cell r="JB1">
            <v>0</v>
          </cell>
        </row>
      </sheetData>
      <sheetData sheetId="427">
        <row r="1">
          <cell r="JB1">
            <v>0</v>
          </cell>
        </row>
      </sheetData>
      <sheetData sheetId="428">
        <row r="1">
          <cell r="JB1">
            <v>0</v>
          </cell>
        </row>
      </sheetData>
      <sheetData sheetId="429">
        <row r="1">
          <cell r="JB1">
            <v>0</v>
          </cell>
        </row>
      </sheetData>
      <sheetData sheetId="430">
        <row r="1">
          <cell r="JB1">
            <v>0</v>
          </cell>
        </row>
      </sheetData>
      <sheetData sheetId="431">
        <row r="1">
          <cell r="JB1">
            <v>0</v>
          </cell>
        </row>
      </sheetData>
      <sheetData sheetId="432">
        <row r="1">
          <cell r="JB1">
            <v>0</v>
          </cell>
        </row>
      </sheetData>
      <sheetData sheetId="433">
        <row r="1">
          <cell r="JB1">
            <v>0</v>
          </cell>
        </row>
      </sheetData>
      <sheetData sheetId="434">
        <row r="1">
          <cell r="JB1">
            <v>0</v>
          </cell>
        </row>
      </sheetData>
      <sheetData sheetId="435">
        <row r="1">
          <cell r="JB1">
            <v>0</v>
          </cell>
        </row>
      </sheetData>
      <sheetData sheetId="436">
        <row r="1">
          <cell r="JB1">
            <v>0</v>
          </cell>
        </row>
      </sheetData>
      <sheetData sheetId="437">
        <row r="1">
          <cell r="JB1">
            <v>0</v>
          </cell>
        </row>
      </sheetData>
      <sheetData sheetId="438">
        <row r="1">
          <cell r="JB1">
            <v>0</v>
          </cell>
        </row>
      </sheetData>
      <sheetData sheetId="439">
        <row r="1">
          <cell r="JB1">
            <v>0</v>
          </cell>
        </row>
      </sheetData>
      <sheetData sheetId="440">
        <row r="1">
          <cell r="JB1">
            <v>0</v>
          </cell>
        </row>
      </sheetData>
      <sheetData sheetId="441">
        <row r="1">
          <cell r="JB1">
            <v>0</v>
          </cell>
        </row>
      </sheetData>
      <sheetData sheetId="442">
        <row r="1">
          <cell r="JB1">
            <v>0</v>
          </cell>
        </row>
      </sheetData>
      <sheetData sheetId="443">
        <row r="1">
          <cell r="JB1">
            <v>0</v>
          </cell>
        </row>
      </sheetData>
      <sheetData sheetId="444">
        <row r="1">
          <cell r="JB1">
            <v>0</v>
          </cell>
        </row>
      </sheetData>
      <sheetData sheetId="445">
        <row r="1">
          <cell r="JB1">
            <v>0</v>
          </cell>
        </row>
      </sheetData>
      <sheetData sheetId="446">
        <row r="1">
          <cell r="JB1">
            <v>0</v>
          </cell>
        </row>
      </sheetData>
      <sheetData sheetId="447">
        <row r="1">
          <cell r="JB1">
            <v>0</v>
          </cell>
        </row>
      </sheetData>
      <sheetData sheetId="448">
        <row r="1">
          <cell r="JB1">
            <v>0</v>
          </cell>
        </row>
      </sheetData>
      <sheetData sheetId="449">
        <row r="1">
          <cell r="JB1">
            <v>0</v>
          </cell>
        </row>
      </sheetData>
      <sheetData sheetId="450">
        <row r="1">
          <cell r="JB1">
            <v>0</v>
          </cell>
        </row>
      </sheetData>
      <sheetData sheetId="451">
        <row r="1">
          <cell r="JB1">
            <v>0</v>
          </cell>
        </row>
      </sheetData>
      <sheetData sheetId="452">
        <row r="1">
          <cell r="JB1">
            <v>0</v>
          </cell>
        </row>
      </sheetData>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ow r="1">
          <cell r="JB1">
            <v>0</v>
          </cell>
        </row>
      </sheetData>
      <sheetData sheetId="467">
        <row r="1">
          <cell r="JB1">
            <v>0</v>
          </cell>
        </row>
      </sheetData>
      <sheetData sheetId="468">
        <row r="1">
          <cell r="JB1">
            <v>0</v>
          </cell>
        </row>
      </sheetData>
      <sheetData sheetId="469">
        <row r="1">
          <cell r="JB1">
            <v>0</v>
          </cell>
        </row>
      </sheetData>
      <sheetData sheetId="470">
        <row r="1">
          <cell r="JB1">
            <v>0</v>
          </cell>
        </row>
      </sheetData>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ow r="1">
          <cell r="JB1">
            <v>0</v>
          </cell>
        </row>
      </sheetData>
      <sheetData sheetId="534">
        <row r="1">
          <cell r="JB1">
            <v>0</v>
          </cell>
        </row>
      </sheetData>
      <sheetData sheetId="535">
        <row r="1">
          <cell r="JB1">
            <v>0</v>
          </cell>
        </row>
      </sheetData>
      <sheetData sheetId="536">
        <row r="1">
          <cell r="JB1">
            <v>0</v>
          </cell>
        </row>
      </sheetData>
      <sheetData sheetId="537">
        <row r="1">
          <cell r="JB1">
            <v>0</v>
          </cell>
        </row>
      </sheetData>
      <sheetData sheetId="538">
        <row r="1">
          <cell r="JB1">
            <v>0</v>
          </cell>
        </row>
      </sheetData>
      <sheetData sheetId="539">
        <row r="1">
          <cell r="JB1">
            <v>0</v>
          </cell>
        </row>
      </sheetData>
      <sheetData sheetId="540">
        <row r="1">
          <cell r="JB1">
            <v>0</v>
          </cell>
        </row>
      </sheetData>
      <sheetData sheetId="541">
        <row r="1">
          <cell r="JB1">
            <v>0</v>
          </cell>
        </row>
      </sheetData>
      <sheetData sheetId="542">
        <row r="1">
          <cell r="JB1">
            <v>0</v>
          </cell>
        </row>
      </sheetData>
      <sheetData sheetId="543">
        <row r="1">
          <cell r="JB1">
            <v>0</v>
          </cell>
        </row>
      </sheetData>
      <sheetData sheetId="544">
        <row r="1">
          <cell r="JB1">
            <v>0</v>
          </cell>
        </row>
      </sheetData>
      <sheetData sheetId="545">
        <row r="1">
          <cell r="JB1">
            <v>0</v>
          </cell>
        </row>
      </sheetData>
      <sheetData sheetId="546">
        <row r="1">
          <cell r="JB1">
            <v>0</v>
          </cell>
        </row>
      </sheetData>
      <sheetData sheetId="547">
        <row r="1">
          <cell r="JB1">
            <v>0</v>
          </cell>
        </row>
      </sheetData>
      <sheetData sheetId="548">
        <row r="1">
          <cell r="JB1">
            <v>0</v>
          </cell>
        </row>
      </sheetData>
      <sheetData sheetId="549">
        <row r="1">
          <cell r="JB1">
            <v>0</v>
          </cell>
        </row>
      </sheetData>
      <sheetData sheetId="550">
        <row r="1">
          <cell r="JB1">
            <v>0</v>
          </cell>
        </row>
      </sheetData>
      <sheetData sheetId="551">
        <row r="1">
          <cell r="JB1">
            <v>0</v>
          </cell>
        </row>
      </sheetData>
      <sheetData sheetId="552">
        <row r="1">
          <cell r="JB1">
            <v>0</v>
          </cell>
        </row>
      </sheetData>
      <sheetData sheetId="553">
        <row r="1">
          <cell r="JB1">
            <v>0</v>
          </cell>
        </row>
      </sheetData>
      <sheetData sheetId="554">
        <row r="1">
          <cell r="JB1">
            <v>0</v>
          </cell>
        </row>
      </sheetData>
      <sheetData sheetId="555">
        <row r="1">
          <cell r="JB1">
            <v>0</v>
          </cell>
        </row>
      </sheetData>
      <sheetData sheetId="556">
        <row r="1">
          <cell r="JB1">
            <v>0</v>
          </cell>
        </row>
      </sheetData>
      <sheetData sheetId="557">
        <row r="1">
          <cell r="JB1">
            <v>0</v>
          </cell>
        </row>
      </sheetData>
      <sheetData sheetId="558">
        <row r="1">
          <cell r="JB1">
            <v>0</v>
          </cell>
        </row>
      </sheetData>
      <sheetData sheetId="559">
        <row r="1">
          <cell r="JB1">
            <v>0</v>
          </cell>
        </row>
      </sheetData>
      <sheetData sheetId="560">
        <row r="1">
          <cell r="JB1">
            <v>0</v>
          </cell>
        </row>
      </sheetData>
      <sheetData sheetId="561">
        <row r="1">
          <cell r="JB1">
            <v>0</v>
          </cell>
        </row>
      </sheetData>
      <sheetData sheetId="562">
        <row r="1">
          <cell r="JB1">
            <v>0</v>
          </cell>
        </row>
      </sheetData>
      <sheetData sheetId="563">
        <row r="1">
          <cell r="JB1">
            <v>0</v>
          </cell>
        </row>
      </sheetData>
      <sheetData sheetId="564">
        <row r="1">
          <cell r="JB1">
            <v>0</v>
          </cell>
        </row>
      </sheetData>
      <sheetData sheetId="565">
        <row r="1">
          <cell r="JB1">
            <v>0</v>
          </cell>
        </row>
      </sheetData>
      <sheetData sheetId="566">
        <row r="1">
          <cell r="JB1">
            <v>0</v>
          </cell>
        </row>
      </sheetData>
      <sheetData sheetId="567">
        <row r="1">
          <cell r="JB1">
            <v>0</v>
          </cell>
        </row>
      </sheetData>
      <sheetData sheetId="568">
        <row r="1">
          <cell r="JB1">
            <v>0</v>
          </cell>
        </row>
      </sheetData>
      <sheetData sheetId="569">
        <row r="1">
          <cell r="JB1">
            <v>0</v>
          </cell>
        </row>
      </sheetData>
      <sheetData sheetId="570">
        <row r="1">
          <cell r="JB1">
            <v>0</v>
          </cell>
        </row>
      </sheetData>
      <sheetData sheetId="571">
        <row r="1">
          <cell r="JB1">
            <v>0</v>
          </cell>
        </row>
      </sheetData>
      <sheetData sheetId="572">
        <row r="1">
          <cell r="JB1">
            <v>0</v>
          </cell>
        </row>
      </sheetData>
      <sheetData sheetId="573">
        <row r="1">
          <cell r="JB1">
            <v>0</v>
          </cell>
        </row>
      </sheetData>
      <sheetData sheetId="574">
        <row r="1">
          <cell r="JB1">
            <v>0</v>
          </cell>
        </row>
      </sheetData>
      <sheetData sheetId="575">
        <row r="1">
          <cell r="JB1">
            <v>0</v>
          </cell>
        </row>
      </sheetData>
      <sheetData sheetId="576">
        <row r="1">
          <cell r="JB1">
            <v>0</v>
          </cell>
        </row>
      </sheetData>
      <sheetData sheetId="577">
        <row r="1">
          <cell r="JB1">
            <v>0</v>
          </cell>
        </row>
      </sheetData>
      <sheetData sheetId="578">
        <row r="1">
          <cell r="JB1">
            <v>0</v>
          </cell>
        </row>
      </sheetData>
      <sheetData sheetId="579">
        <row r="1">
          <cell r="JB1">
            <v>0</v>
          </cell>
        </row>
      </sheetData>
      <sheetData sheetId="580">
        <row r="1">
          <cell r="JB1">
            <v>0</v>
          </cell>
        </row>
      </sheetData>
      <sheetData sheetId="581">
        <row r="1">
          <cell r="JB1">
            <v>0</v>
          </cell>
        </row>
      </sheetData>
      <sheetData sheetId="582">
        <row r="1">
          <cell r="JB1">
            <v>0</v>
          </cell>
        </row>
      </sheetData>
      <sheetData sheetId="583">
        <row r="1">
          <cell r="JB1">
            <v>0</v>
          </cell>
        </row>
      </sheetData>
      <sheetData sheetId="584">
        <row r="1">
          <cell r="JB1">
            <v>0</v>
          </cell>
        </row>
      </sheetData>
      <sheetData sheetId="585">
        <row r="1">
          <cell r="JB1">
            <v>0</v>
          </cell>
        </row>
      </sheetData>
      <sheetData sheetId="586">
        <row r="1">
          <cell r="JB1">
            <v>0</v>
          </cell>
        </row>
      </sheetData>
      <sheetData sheetId="587">
        <row r="1">
          <cell r="JB1">
            <v>0</v>
          </cell>
        </row>
      </sheetData>
      <sheetData sheetId="588">
        <row r="1">
          <cell r="JB1">
            <v>0</v>
          </cell>
        </row>
      </sheetData>
      <sheetData sheetId="589">
        <row r="1">
          <cell r="JB1">
            <v>0</v>
          </cell>
        </row>
      </sheetData>
      <sheetData sheetId="590">
        <row r="1">
          <cell r="JB1">
            <v>0</v>
          </cell>
        </row>
      </sheetData>
      <sheetData sheetId="591">
        <row r="1">
          <cell r="JB1">
            <v>0</v>
          </cell>
        </row>
      </sheetData>
      <sheetData sheetId="592">
        <row r="1">
          <cell r="JB1">
            <v>0</v>
          </cell>
        </row>
      </sheetData>
      <sheetData sheetId="593">
        <row r="1">
          <cell r="JB1">
            <v>0</v>
          </cell>
        </row>
      </sheetData>
      <sheetData sheetId="594">
        <row r="1">
          <cell r="JB1">
            <v>0</v>
          </cell>
        </row>
      </sheetData>
      <sheetData sheetId="595">
        <row r="1">
          <cell r="JB1">
            <v>0</v>
          </cell>
        </row>
      </sheetData>
      <sheetData sheetId="596">
        <row r="1">
          <cell r="JB1">
            <v>0</v>
          </cell>
        </row>
      </sheetData>
      <sheetData sheetId="597">
        <row r="1">
          <cell r="JB1">
            <v>0</v>
          </cell>
        </row>
      </sheetData>
      <sheetData sheetId="598">
        <row r="1">
          <cell r="JB1">
            <v>0</v>
          </cell>
        </row>
      </sheetData>
      <sheetData sheetId="599">
        <row r="1">
          <cell r="JB1">
            <v>0</v>
          </cell>
        </row>
      </sheetData>
      <sheetData sheetId="600">
        <row r="1">
          <cell r="JB1">
            <v>0</v>
          </cell>
        </row>
      </sheetData>
      <sheetData sheetId="601">
        <row r="1">
          <cell r="JB1">
            <v>0</v>
          </cell>
        </row>
      </sheetData>
      <sheetData sheetId="602">
        <row r="1">
          <cell r="JB1">
            <v>0</v>
          </cell>
        </row>
      </sheetData>
      <sheetData sheetId="603">
        <row r="1">
          <cell r="JB1">
            <v>0</v>
          </cell>
        </row>
      </sheetData>
      <sheetData sheetId="604">
        <row r="1">
          <cell r="JB1">
            <v>0</v>
          </cell>
        </row>
      </sheetData>
      <sheetData sheetId="605">
        <row r="1">
          <cell r="JB1">
            <v>0</v>
          </cell>
        </row>
      </sheetData>
      <sheetData sheetId="606">
        <row r="1">
          <cell r="JB1">
            <v>0</v>
          </cell>
        </row>
      </sheetData>
      <sheetData sheetId="607">
        <row r="1">
          <cell r="JB1">
            <v>0</v>
          </cell>
        </row>
      </sheetData>
      <sheetData sheetId="608">
        <row r="1">
          <cell r="JB1">
            <v>0</v>
          </cell>
        </row>
      </sheetData>
      <sheetData sheetId="609">
        <row r="1">
          <cell r="JB1">
            <v>0</v>
          </cell>
        </row>
      </sheetData>
      <sheetData sheetId="610">
        <row r="1">
          <cell r="JB1">
            <v>0</v>
          </cell>
        </row>
      </sheetData>
      <sheetData sheetId="611">
        <row r="1">
          <cell r="JB1">
            <v>0</v>
          </cell>
        </row>
      </sheetData>
      <sheetData sheetId="612">
        <row r="1">
          <cell r="JB1">
            <v>0</v>
          </cell>
        </row>
      </sheetData>
      <sheetData sheetId="613">
        <row r="1">
          <cell r="JB1">
            <v>0</v>
          </cell>
        </row>
      </sheetData>
      <sheetData sheetId="614">
        <row r="1">
          <cell r="JB1">
            <v>0</v>
          </cell>
        </row>
      </sheetData>
      <sheetData sheetId="615">
        <row r="1">
          <cell r="JB1">
            <v>0</v>
          </cell>
        </row>
      </sheetData>
      <sheetData sheetId="616">
        <row r="1">
          <cell r="JB1">
            <v>0</v>
          </cell>
        </row>
      </sheetData>
      <sheetData sheetId="617">
        <row r="1">
          <cell r="JB1">
            <v>0</v>
          </cell>
        </row>
      </sheetData>
      <sheetData sheetId="618">
        <row r="1">
          <cell r="JB1">
            <v>0</v>
          </cell>
        </row>
      </sheetData>
      <sheetData sheetId="619">
        <row r="1">
          <cell r="JB1">
            <v>0</v>
          </cell>
        </row>
      </sheetData>
      <sheetData sheetId="620">
        <row r="1">
          <cell r="JB1">
            <v>0</v>
          </cell>
        </row>
      </sheetData>
      <sheetData sheetId="621">
        <row r="1">
          <cell r="JB1">
            <v>0</v>
          </cell>
        </row>
      </sheetData>
      <sheetData sheetId="622">
        <row r="1">
          <cell r="JB1">
            <v>0</v>
          </cell>
        </row>
      </sheetData>
      <sheetData sheetId="623">
        <row r="1">
          <cell r="JB1">
            <v>0</v>
          </cell>
        </row>
      </sheetData>
      <sheetData sheetId="624">
        <row r="1">
          <cell r="JB1">
            <v>0</v>
          </cell>
        </row>
      </sheetData>
      <sheetData sheetId="625">
        <row r="1">
          <cell r="JB1">
            <v>0</v>
          </cell>
        </row>
      </sheetData>
      <sheetData sheetId="626">
        <row r="1">
          <cell r="JB1">
            <v>0</v>
          </cell>
        </row>
      </sheetData>
      <sheetData sheetId="627">
        <row r="1">
          <cell r="JB1">
            <v>0</v>
          </cell>
        </row>
      </sheetData>
      <sheetData sheetId="628">
        <row r="1">
          <cell r="JB1">
            <v>0</v>
          </cell>
        </row>
      </sheetData>
      <sheetData sheetId="629">
        <row r="1">
          <cell r="JB1">
            <v>0</v>
          </cell>
        </row>
      </sheetData>
      <sheetData sheetId="630">
        <row r="1">
          <cell r="JB1">
            <v>0</v>
          </cell>
        </row>
      </sheetData>
      <sheetData sheetId="631">
        <row r="1">
          <cell r="JB1">
            <v>0</v>
          </cell>
        </row>
      </sheetData>
      <sheetData sheetId="632">
        <row r="1">
          <cell r="JB1">
            <v>0</v>
          </cell>
        </row>
      </sheetData>
      <sheetData sheetId="633">
        <row r="1">
          <cell r="JB1">
            <v>0</v>
          </cell>
        </row>
      </sheetData>
      <sheetData sheetId="634">
        <row r="1">
          <cell r="JB1">
            <v>0</v>
          </cell>
        </row>
      </sheetData>
      <sheetData sheetId="635">
        <row r="1">
          <cell r="JB1">
            <v>0</v>
          </cell>
        </row>
      </sheetData>
      <sheetData sheetId="636">
        <row r="1">
          <cell r="JB1">
            <v>0</v>
          </cell>
        </row>
      </sheetData>
      <sheetData sheetId="637">
        <row r="1">
          <cell r="JB1">
            <v>0</v>
          </cell>
        </row>
      </sheetData>
      <sheetData sheetId="638">
        <row r="1">
          <cell r="JB1">
            <v>0</v>
          </cell>
        </row>
      </sheetData>
      <sheetData sheetId="639">
        <row r="1">
          <cell r="JB1">
            <v>0</v>
          </cell>
        </row>
      </sheetData>
      <sheetData sheetId="640">
        <row r="1">
          <cell r="JB1">
            <v>0</v>
          </cell>
        </row>
      </sheetData>
      <sheetData sheetId="641">
        <row r="1">
          <cell r="JB1">
            <v>0</v>
          </cell>
        </row>
      </sheetData>
      <sheetData sheetId="642">
        <row r="1">
          <cell r="JB1">
            <v>0</v>
          </cell>
        </row>
      </sheetData>
      <sheetData sheetId="643">
        <row r="1">
          <cell r="JB1">
            <v>0</v>
          </cell>
        </row>
      </sheetData>
      <sheetData sheetId="644">
        <row r="1">
          <cell r="JB1">
            <v>0</v>
          </cell>
        </row>
      </sheetData>
      <sheetData sheetId="645">
        <row r="1">
          <cell r="JB1">
            <v>0</v>
          </cell>
        </row>
      </sheetData>
      <sheetData sheetId="646">
        <row r="1">
          <cell r="JB1">
            <v>0</v>
          </cell>
        </row>
      </sheetData>
      <sheetData sheetId="647">
        <row r="1">
          <cell r="JB1">
            <v>0</v>
          </cell>
        </row>
      </sheetData>
      <sheetData sheetId="648">
        <row r="1">
          <cell r="JB1">
            <v>0</v>
          </cell>
        </row>
      </sheetData>
      <sheetData sheetId="649">
        <row r="1">
          <cell r="JB1">
            <v>0</v>
          </cell>
        </row>
      </sheetData>
      <sheetData sheetId="650">
        <row r="1">
          <cell r="JB1">
            <v>0</v>
          </cell>
        </row>
      </sheetData>
      <sheetData sheetId="651">
        <row r="1">
          <cell r="JB1">
            <v>0</v>
          </cell>
        </row>
      </sheetData>
      <sheetData sheetId="652">
        <row r="1">
          <cell r="JB1">
            <v>0</v>
          </cell>
        </row>
      </sheetData>
      <sheetData sheetId="653">
        <row r="1">
          <cell r="JB1">
            <v>0</v>
          </cell>
        </row>
      </sheetData>
      <sheetData sheetId="654">
        <row r="1">
          <cell r="JB1">
            <v>0</v>
          </cell>
        </row>
      </sheetData>
      <sheetData sheetId="655">
        <row r="1">
          <cell r="JB1">
            <v>0</v>
          </cell>
        </row>
      </sheetData>
      <sheetData sheetId="656">
        <row r="1">
          <cell r="JB1">
            <v>0</v>
          </cell>
        </row>
      </sheetData>
      <sheetData sheetId="657">
        <row r="1">
          <cell r="JB1">
            <v>0</v>
          </cell>
        </row>
      </sheetData>
      <sheetData sheetId="658">
        <row r="1">
          <cell r="JB1">
            <v>0</v>
          </cell>
        </row>
      </sheetData>
      <sheetData sheetId="659">
        <row r="1">
          <cell r="JB1">
            <v>0</v>
          </cell>
        </row>
      </sheetData>
      <sheetData sheetId="660">
        <row r="1">
          <cell r="JB1">
            <v>0</v>
          </cell>
        </row>
      </sheetData>
      <sheetData sheetId="661">
        <row r="1">
          <cell r="JB1">
            <v>0</v>
          </cell>
        </row>
      </sheetData>
      <sheetData sheetId="662">
        <row r="1">
          <cell r="JB1">
            <v>0</v>
          </cell>
        </row>
      </sheetData>
      <sheetData sheetId="663">
        <row r="1">
          <cell r="JB1">
            <v>0</v>
          </cell>
        </row>
      </sheetData>
      <sheetData sheetId="664">
        <row r="1">
          <cell r="JB1">
            <v>0</v>
          </cell>
        </row>
      </sheetData>
      <sheetData sheetId="665">
        <row r="1">
          <cell r="JB1">
            <v>0</v>
          </cell>
        </row>
      </sheetData>
      <sheetData sheetId="666">
        <row r="1">
          <cell r="JB1">
            <v>0</v>
          </cell>
        </row>
      </sheetData>
      <sheetData sheetId="667">
        <row r="1">
          <cell r="JB1">
            <v>0</v>
          </cell>
        </row>
      </sheetData>
      <sheetData sheetId="668">
        <row r="1">
          <cell r="JB1">
            <v>0</v>
          </cell>
        </row>
      </sheetData>
      <sheetData sheetId="669">
        <row r="1">
          <cell r="JB1">
            <v>0</v>
          </cell>
        </row>
      </sheetData>
      <sheetData sheetId="670" refreshError="1"/>
      <sheetData sheetId="671" refreshError="1"/>
      <sheetData sheetId="672" refreshError="1"/>
      <sheetData sheetId="673" refreshError="1"/>
      <sheetData sheetId="674">
        <row r="1">
          <cell r="JB1">
            <v>0</v>
          </cell>
        </row>
      </sheetData>
      <sheetData sheetId="675">
        <row r="1">
          <cell r="JB1">
            <v>0</v>
          </cell>
        </row>
      </sheetData>
      <sheetData sheetId="676">
        <row r="1">
          <cell r="JB1">
            <v>0</v>
          </cell>
        </row>
      </sheetData>
      <sheetData sheetId="677">
        <row r="1">
          <cell r="JB1">
            <v>0</v>
          </cell>
        </row>
      </sheetData>
      <sheetData sheetId="678">
        <row r="1">
          <cell r="JB1">
            <v>0</v>
          </cell>
        </row>
      </sheetData>
      <sheetData sheetId="679">
        <row r="1">
          <cell r="JB1">
            <v>0</v>
          </cell>
        </row>
      </sheetData>
      <sheetData sheetId="680">
        <row r="1">
          <cell r="JB1">
            <v>0</v>
          </cell>
        </row>
      </sheetData>
      <sheetData sheetId="681">
        <row r="1">
          <cell r="JB1">
            <v>0</v>
          </cell>
        </row>
      </sheetData>
      <sheetData sheetId="682">
        <row r="1">
          <cell r="JB1">
            <v>0</v>
          </cell>
        </row>
      </sheetData>
      <sheetData sheetId="683">
        <row r="1">
          <cell r="JB1">
            <v>0</v>
          </cell>
        </row>
      </sheetData>
      <sheetData sheetId="684">
        <row r="1">
          <cell r="JB1">
            <v>0</v>
          </cell>
        </row>
      </sheetData>
      <sheetData sheetId="685">
        <row r="1">
          <cell r="JB1">
            <v>0</v>
          </cell>
        </row>
      </sheetData>
      <sheetData sheetId="686">
        <row r="1">
          <cell r="JB1">
            <v>0</v>
          </cell>
        </row>
      </sheetData>
      <sheetData sheetId="687">
        <row r="1">
          <cell r="JB1">
            <v>0</v>
          </cell>
        </row>
      </sheetData>
      <sheetData sheetId="688">
        <row r="1">
          <cell r="JB1">
            <v>0</v>
          </cell>
        </row>
      </sheetData>
      <sheetData sheetId="689">
        <row r="1">
          <cell r="JB1">
            <v>0</v>
          </cell>
        </row>
      </sheetData>
      <sheetData sheetId="690">
        <row r="1">
          <cell r="JB1">
            <v>0</v>
          </cell>
        </row>
      </sheetData>
      <sheetData sheetId="691">
        <row r="1">
          <cell r="JB1">
            <v>0</v>
          </cell>
        </row>
      </sheetData>
      <sheetData sheetId="692">
        <row r="1">
          <cell r="JB1">
            <v>0</v>
          </cell>
        </row>
      </sheetData>
      <sheetData sheetId="693">
        <row r="1">
          <cell r="JB1">
            <v>0</v>
          </cell>
        </row>
      </sheetData>
      <sheetData sheetId="694">
        <row r="1">
          <cell r="JB1">
            <v>0</v>
          </cell>
        </row>
      </sheetData>
      <sheetData sheetId="695">
        <row r="1">
          <cell r="JB1">
            <v>0</v>
          </cell>
        </row>
      </sheetData>
      <sheetData sheetId="696">
        <row r="1">
          <cell r="JB1">
            <v>0</v>
          </cell>
        </row>
      </sheetData>
      <sheetData sheetId="697">
        <row r="1">
          <cell r="JB1">
            <v>0</v>
          </cell>
        </row>
      </sheetData>
      <sheetData sheetId="698">
        <row r="1">
          <cell r="JB1">
            <v>0</v>
          </cell>
        </row>
      </sheetData>
      <sheetData sheetId="699">
        <row r="1">
          <cell r="JB1">
            <v>0</v>
          </cell>
        </row>
      </sheetData>
      <sheetData sheetId="700">
        <row r="1">
          <cell r="JB1">
            <v>0</v>
          </cell>
        </row>
      </sheetData>
      <sheetData sheetId="701">
        <row r="1">
          <cell r="JB1">
            <v>0</v>
          </cell>
        </row>
      </sheetData>
      <sheetData sheetId="702">
        <row r="1">
          <cell r="JB1">
            <v>0</v>
          </cell>
        </row>
      </sheetData>
      <sheetData sheetId="703">
        <row r="1">
          <cell r="JB1">
            <v>0</v>
          </cell>
        </row>
      </sheetData>
      <sheetData sheetId="704">
        <row r="1">
          <cell r="JB1">
            <v>0</v>
          </cell>
        </row>
      </sheetData>
      <sheetData sheetId="705">
        <row r="1">
          <cell r="JB1">
            <v>0</v>
          </cell>
        </row>
      </sheetData>
      <sheetData sheetId="706">
        <row r="1">
          <cell r="JB1">
            <v>0</v>
          </cell>
        </row>
      </sheetData>
      <sheetData sheetId="707">
        <row r="1">
          <cell r="JB1">
            <v>0</v>
          </cell>
        </row>
      </sheetData>
      <sheetData sheetId="708">
        <row r="1">
          <cell r="JB1">
            <v>0</v>
          </cell>
        </row>
      </sheetData>
      <sheetData sheetId="709">
        <row r="1">
          <cell r="JB1">
            <v>0</v>
          </cell>
        </row>
      </sheetData>
      <sheetData sheetId="710">
        <row r="1">
          <cell r="JB1">
            <v>0</v>
          </cell>
        </row>
      </sheetData>
      <sheetData sheetId="711">
        <row r="1">
          <cell r="JB1">
            <v>0</v>
          </cell>
        </row>
      </sheetData>
      <sheetData sheetId="712">
        <row r="1">
          <cell r="JB1">
            <v>0</v>
          </cell>
        </row>
      </sheetData>
      <sheetData sheetId="713">
        <row r="1">
          <cell r="JB1">
            <v>0</v>
          </cell>
        </row>
      </sheetData>
      <sheetData sheetId="714">
        <row r="1">
          <cell r="JB1">
            <v>0</v>
          </cell>
        </row>
      </sheetData>
      <sheetData sheetId="715">
        <row r="1">
          <cell r="JB1">
            <v>0</v>
          </cell>
        </row>
      </sheetData>
      <sheetData sheetId="716">
        <row r="1">
          <cell r="JB1">
            <v>0</v>
          </cell>
        </row>
      </sheetData>
      <sheetData sheetId="717">
        <row r="1">
          <cell r="JB1">
            <v>0</v>
          </cell>
        </row>
      </sheetData>
      <sheetData sheetId="718">
        <row r="1">
          <cell r="JB1">
            <v>0</v>
          </cell>
        </row>
      </sheetData>
      <sheetData sheetId="719">
        <row r="1">
          <cell r="JB1">
            <v>0</v>
          </cell>
        </row>
      </sheetData>
      <sheetData sheetId="720">
        <row r="1">
          <cell r="JB1">
            <v>0</v>
          </cell>
        </row>
      </sheetData>
      <sheetData sheetId="721">
        <row r="1">
          <cell r="JB1">
            <v>0</v>
          </cell>
        </row>
      </sheetData>
      <sheetData sheetId="722">
        <row r="1">
          <cell r="JB1">
            <v>0</v>
          </cell>
        </row>
      </sheetData>
      <sheetData sheetId="723">
        <row r="1">
          <cell r="JB1">
            <v>0</v>
          </cell>
        </row>
      </sheetData>
      <sheetData sheetId="724">
        <row r="1">
          <cell r="JB1">
            <v>0</v>
          </cell>
        </row>
      </sheetData>
      <sheetData sheetId="725">
        <row r="1">
          <cell r="JB1">
            <v>0</v>
          </cell>
        </row>
      </sheetData>
      <sheetData sheetId="726">
        <row r="1">
          <cell r="JB1">
            <v>0</v>
          </cell>
        </row>
      </sheetData>
      <sheetData sheetId="727">
        <row r="1">
          <cell r="JB1">
            <v>0</v>
          </cell>
        </row>
      </sheetData>
      <sheetData sheetId="728">
        <row r="1">
          <cell r="JB1">
            <v>0</v>
          </cell>
        </row>
      </sheetData>
      <sheetData sheetId="729">
        <row r="1">
          <cell r="JB1">
            <v>0</v>
          </cell>
        </row>
      </sheetData>
      <sheetData sheetId="730">
        <row r="1">
          <cell r="JB1">
            <v>0</v>
          </cell>
        </row>
      </sheetData>
      <sheetData sheetId="731">
        <row r="1">
          <cell r="JB1">
            <v>0</v>
          </cell>
        </row>
      </sheetData>
      <sheetData sheetId="732">
        <row r="1">
          <cell r="JB1">
            <v>0</v>
          </cell>
        </row>
      </sheetData>
      <sheetData sheetId="733">
        <row r="1">
          <cell r="JB1">
            <v>0</v>
          </cell>
        </row>
      </sheetData>
      <sheetData sheetId="734">
        <row r="1">
          <cell r="JB1">
            <v>0</v>
          </cell>
        </row>
      </sheetData>
      <sheetData sheetId="735">
        <row r="1">
          <cell r="JB1">
            <v>0</v>
          </cell>
        </row>
      </sheetData>
      <sheetData sheetId="736">
        <row r="1">
          <cell r="JB1">
            <v>0</v>
          </cell>
        </row>
      </sheetData>
      <sheetData sheetId="737">
        <row r="1">
          <cell r="JB1">
            <v>0</v>
          </cell>
        </row>
      </sheetData>
      <sheetData sheetId="738">
        <row r="1">
          <cell r="JB1">
            <v>0</v>
          </cell>
        </row>
      </sheetData>
      <sheetData sheetId="739">
        <row r="1">
          <cell r="JB1">
            <v>0</v>
          </cell>
        </row>
      </sheetData>
      <sheetData sheetId="740">
        <row r="1">
          <cell r="JB1">
            <v>0</v>
          </cell>
        </row>
      </sheetData>
      <sheetData sheetId="741">
        <row r="1">
          <cell r="JB1">
            <v>0</v>
          </cell>
        </row>
      </sheetData>
      <sheetData sheetId="742">
        <row r="1">
          <cell r="JB1">
            <v>0</v>
          </cell>
        </row>
      </sheetData>
      <sheetData sheetId="743">
        <row r="1">
          <cell r="JB1">
            <v>0</v>
          </cell>
        </row>
      </sheetData>
      <sheetData sheetId="744">
        <row r="1">
          <cell r="JB1">
            <v>0</v>
          </cell>
        </row>
      </sheetData>
      <sheetData sheetId="745">
        <row r="1">
          <cell r="JB1">
            <v>0</v>
          </cell>
        </row>
      </sheetData>
      <sheetData sheetId="746">
        <row r="1">
          <cell r="JB1">
            <v>0</v>
          </cell>
        </row>
      </sheetData>
      <sheetData sheetId="747">
        <row r="1">
          <cell r="JB1">
            <v>0</v>
          </cell>
        </row>
      </sheetData>
      <sheetData sheetId="748">
        <row r="1">
          <cell r="JB1">
            <v>0</v>
          </cell>
        </row>
      </sheetData>
      <sheetData sheetId="749">
        <row r="1">
          <cell r="JB1">
            <v>0</v>
          </cell>
        </row>
      </sheetData>
      <sheetData sheetId="750">
        <row r="1">
          <cell r="JB1">
            <v>0</v>
          </cell>
        </row>
      </sheetData>
      <sheetData sheetId="751">
        <row r="1">
          <cell r="JB1">
            <v>0</v>
          </cell>
        </row>
      </sheetData>
      <sheetData sheetId="752">
        <row r="1">
          <cell r="JB1">
            <v>0</v>
          </cell>
        </row>
      </sheetData>
      <sheetData sheetId="753">
        <row r="1">
          <cell r="JB1">
            <v>0</v>
          </cell>
        </row>
      </sheetData>
      <sheetData sheetId="754">
        <row r="1">
          <cell r="JB1">
            <v>0</v>
          </cell>
        </row>
      </sheetData>
      <sheetData sheetId="755">
        <row r="1">
          <cell r="JB1">
            <v>0</v>
          </cell>
        </row>
      </sheetData>
      <sheetData sheetId="756">
        <row r="1">
          <cell r="JB1">
            <v>0</v>
          </cell>
        </row>
      </sheetData>
      <sheetData sheetId="757">
        <row r="1">
          <cell r="JB1">
            <v>0</v>
          </cell>
        </row>
      </sheetData>
      <sheetData sheetId="758">
        <row r="1">
          <cell r="JB1">
            <v>0</v>
          </cell>
        </row>
      </sheetData>
      <sheetData sheetId="759">
        <row r="1">
          <cell r="JB1">
            <v>0</v>
          </cell>
        </row>
      </sheetData>
      <sheetData sheetId="760">
        <row r="1">
          <cell r="JB1">
            <v>0</v>
          </cell>
        </row>
      </sheetData>
      <sheetData sheetId="761">
        <row r="1">
          <cell r="JB1">
            <v>0</v>
          </cell>
        </row>
      </sheetData>
      <sheetData sheetId="762">
        <row r="1">
          <cell r="JB1">
            <v>0</v>
          </cell>
        </row>
      </sheetData>
      <sheetData sheetId="763">
        <row r="1">
          <cell r="JB1">
            <v>0</v>
          </cell>
        </row>
      </sheetData>
      <sheetData sheetId="764">
        <row r="1">
          <cell r="JB1">
            <v>0</v>
          </cell>
        </row>
      </sheetData>
      <sheetData sheetId="765">
        <row r="1">
          <cell r="JB1">
            <v>0</v>
          </cell>
        </row>
      </sheetData>
      <sheetData sheetId="766">
        <row r="1">
          <cell r="JB1">
            <v>0</v>
          </cell>
        </row>
      </sheetData>
      <sheetData sheetId="767">
        <row r="1">
          <cell r="JB1">
            <v>0</v>
          </cell>
        </row>
      </sheetData>
      <sheetData sheetId="768">
        <row r="1">
          <cell r="JB1">
            <v>0</v>
          </cell>
        </row>
      </sheetData>
      <sheetData sheetId="769">
        <row r="1">
          <cell r="JB1">
            <v>0</v>
          </cell>
        </row>
      </sheetData>
      <sheetData sheetId="770">
        <row r="1">
          <cell r="JB1">
            <v>0</v>
          </cell>
        </row>
      </sheetData>
      <sheetData sheetId="771">
        <row r="1">
          <cell r="JB1">
            <v>0</v>
          </cell>
        </row>
      </sheetData>
      <sheetData sheetId="772">
        <row r="1">
          <cell r="JB1">
            <v>0</v>
          </cell>
        </row>
      </sheetData>
      <sheetData sheetId="773">
        <row r="1">
          <cell r="JB1">
            <v>0</v>
          </cell>
        </row>
      </sheetData>
      <sheetData sheetId="774">
        <row r="1">
          <cell r="JB1">
            <v>0</v>
          </cell>
        </row>
      </sheetData>
      <sheetData sheetId="775">
        <row r="1">
          <cell r="JB1">
            <v>0</v>
          </cell>
        </row>
      </sheetData>
      <sheetData sheetId="776">
        <row r="1">
          <cell r="JB1">
            <v>0</v>
          </cell>
        </row>
      </sheetData>
      <sheetData sheetId="777">
        <row r="1">
          <cell r="JB1">
            <v>0</v>
          </cell>
        </row>
      </sheetData>
      <sheetData sheetId="778">
        <row r="1">
          <cell r="JB1">
            <v>0</v>
          </cell>
        </row>
      </sheetData>
      <sheetData sheetId="779">
        <row r="1">
          <cell r="JB1">
            <v>0</v>
          </cell>
        </row>
      </sheetData>
      <sheetData sheetId="780">
        <row r="1">
          <cell r="JB1">
            <v>0</v>
          </cell>
        </row>
      </sheetData>
      <sheetData sheetId="781">
        <row r="1">
          <cell r="JB1">
            <v>0</v>
          </cell>
        </row>
      </sheetData>
      <sheetData sheetId="782">
        <row r="1">
          <cell r="JB1">
            <v>0</v>
          </cell>
        </row>
      </sheetData>
      <sheetData sheetId="783">
        <row r="1">
          <cell r="JB1">
            <v>0</v>
          </cell>
        </row>
      </sheetData>
      <sheetData sheetId="784">
        <row r="1">
          <cell r="JB1">
            <v>0</v>
          </cell>
        </row>
      </sheetData>
      <sheetData sheetId="785">
        <row r="1">
          <cell r="JB1">
            <v>0</v>
          </cell>
        </row>
      </sheetData>
      <sheetData sheetId="786">
        <row r="1">
          <cell r="JB1">
            <v>0</v>
          </cell>
        </row>
      </sheetData>
      <sheetData sheetId="787">
        <row r="1">
          <cell r="JB1">
            <v>0</v>
          </cell>
        </row>
      </sheetData>
      <sheetData sheetId="788">
        <row r="1">
          <cell r="JB1">
            <v>0</v>
          </cell>
        </row>
      </sheetData>
      <sheetData sheetId="789">
        <row r="1">
          <cell r="JB1">
            <v>0</v>
          </cell>
        </row>
      </sheetData>
      <sheetData sheetId="790">
        <row r="1">
          <cell r="JB1">
            <v>0</v>
          </cell>
        </row>
      </sheetData>
      <sheetData sheetId="791">
        <row r="1">
          <cell r="JB1">
            <v>0</v>
          </cell>
        </row>
      </sheetData>
      <sheetData sheetId="792">
        <row r="1">
          <cell r="JB1">
            <v>0</v>
          </cell>
        </row>
      </sheetData>
      <sheetData sheetId="793">
        <row r="1">
          <cell r="JB1">
            <v>0</v>
          </cell>
        </row>
      </sheetData>
      <sheetData sheetId="794">
        <row r="1">
          <cell r="JB1">
            <v>0</v>
          </cell>
        </row>
      </sheetData>
      <sheetData sheetId="795">
        <row r="1">
          <cell r="JB1">
            <v>0</v>
          </cell>
        </row>
      </sheetData>
      <sheetData sheetId="796">
        <row r="1">
          <cell r="JB1">
            <v>0</v>
          </cell>
        </row>
      </sheetData>
      <sheetData sheetId="797">
        <row r="1">
          <cell r="JB1">
            <v>0</v>
          </cell>
        </row>
      </sheetData>
      <sheetData sheetId="798">
        <row r="1">
          <cell r="JB1">
            <v>0</v>
          </cell>
        </row>
      </sheetData>
      <sheetData sheetId="799">
        <row r="1">
          <cell r="JB1">
            <v>0</v>
          </cell>
        </row>
      </sheetData>
      <sheetData sheetId="800">
        <row r="1">
          <cell r="JB1">
            <v>0</v>
          </cell>
        </row>
      </sheetData>
      <sheetData sheetId="801">
        <row r="1">
          <cell r="JB1">
            <v>0</v>
          </cell>
        </row>
      </sheetData>
      <sheetData sheetId="802">
        <row r="1">
          <cell r="JB1">
            <v>0</v>
          </cell>
        </row>
      </sheetData>
      <sheetData sheetId="803">
        <row r="1">
          <cell r="JB1">
            <v>0</v>
          </cell>
        </row>
      </sheetData>
      <sheetData sheetId="804">
        <row r="1">
          <cell r="JB1">
            <v>0</v>
          </cell>
        </row>
      </sheetData>
      <sheetData sheetId="805">
        <row r="1">
          <cell r="JB1">
            <v>0</v>
          </cell>
        </row>
      </sheetData>
      <sheetData sheetId="806">
        <row r="1">
          <cell r="JB1">
            <v>0</v>
          </cell>
        </row>
      </sheetData>
      <sheetData sheetId="807">
        <row r="1">
          <cell r="JB1">
            <v>0</v>
          </cell>
        </row>
      </sheetData>
      <sheetData sheetId="808">
        <row r="1">
          <cell r="JB1">
            <v>0</v>
          </cell>
        </row>
      </sheetData>
      <sheetData sheetId="809">
        <row r="1">
          <cell r="JB1">
            <v>0</v>
          </cell>
        </row>
      </sheetData>
      <sheetData sheetId="810">
        <row r="1">
          <cell r="JB1">
            <v>0</v>
          </cell>
        </row>
      </sheetData>
      <sheetData sheetId="811">
        <row r="1">
          <cell r="JB1">
            <v>0</v>
          </cell>
        </row>
      </sheetData>
      <sheetData sheetId="812" refreshError="1"/>
      <sheetData sheetId="813" refreshError="1"/>
      <sheetData sheetId="814" refreshError="1"/>
      <sheetData sheetId="815" refreshError="1"/>
      <sheetData sheetId="816" refreshError="1"/>
      <sheetData sheetId="817">
        <row r="1">
          <cell r="JB1">
            <v>0</v>
          </cell>
        </row>
      </sheetData>
      <sheetData sheetId="818">
        <row r="1">
          <cell r="JB1">
            <v>0</v>
          </cell>
        </row>
      </sheetData>
      <sheetData sheetId="819">
        <row r="1">
          <cell r="JB1">
            <v>0</v>
          </cell>
        </row>
      </sheetData>
      <sheetData sheetId="820">
        <row r="1">
          <cell r="JB1">
            <v>0</v>
          </cell>
        </row>
      </sheetData>
      <sheetData sheetId="821">
        <row r="1">
          <cell r="JB1">
            <v>0</v>
          </cell>
        </row>
      </sheetData>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ow r="1">
          <cell r="JB1">
            <v>0</v>
          </cell>
        </row>
      </sheetData>
      <sheetData sheetId="842" refreshError="1"/>
      <sheetData sheetId="843" refreshError="1"/>
      <sheetData sheetId="844" refreshError="1"/>
      <sheetData sheetId="845">
        <row r="1">
          <cell r="JB1">
            <v>0</v>
          </cell>
        </row>
      </sheetData>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ow r="7">
          <cell r="P7" t="str">
            <v xml:space="preserve">B U D G E T A R Y </v>
          </cell>
        </row>
      </sheetData>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ow r="1">
          <cell r="JB1">
            <v>0</v>
          </cell>
        </row>
      </sheetData>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ow r="1">
          <cell r="JB1">
            <v>0</v>
          </cell>
        </row>
      </sheetData>
      <sheetData sheetId="975">
        <row r="1">
          <cell r="JB1">
            <v>0</v>
          </cell>
        </row>
      </sheetData>
      <sheetData sheetId="976">
        <row r="1">
          <cell r="JB1">
            <v>0</v>
          </cell>
        </row>
      </sheetData>
      <sheetData sheetId="977">
        <row r="1">
          <cell r="JB1">
            <v>0</v>
          </cell>
        </row>
      </sheetData>
      <sheetData sheetId="978">
        <row r="1">
          <cell r="JB1">
            <v>0</v>
          </cell>
        </row>
      </sheetData>
      <sheetData sheetId="979">
        <row r="1">
          <cell r="JB1">
            <v>0</v>
          </cell>
        </row>
      </sheetData>
      <sheetData sheetId="980">
        <row r="1">
          <cell r="JB1">
            <v>0</v>
          </cell>
        </row>
      </sheetData>
      <sheetData sheetId="981">
        <row r="1">
          <cell r="JB1">
            <v>0</v>
          </cell>
        </row>
      </sheetData>
      <sheetData sheetId="982">
        <row r="1">
          <cell r="JB1">
            <v>0</v>
          </cell>
        </row>
      </sheetData>
      <sheetData sheetId="983">
        <row r="1">
          <cell r="JB1">
            <v>0</v>
          </cell>
        </row>
      </sheetData>
      <sheetData sheetId="984">
        <row r="1">
          <cell r="JB1">
            <v>0</v>
          </cell>
        </row>
      </sheetData>
      <sheetData sheetId="985">
        <row r="1">
          <cell r="JB1">
            <v>0</v>
          </cell>
        </row>
      </sheetData>
      <sheetData sheetId="986">
        <row r="1">
          <cell r="JB1">
            <v>0</v>
          </cell>
        </row>
      </sheetData>
      <sheetData sheetId="987">
        <row r="1">
          <cell r="JB1">
            <v>0</v>
          </cell>
        </row>
      </sheetData>
      <sheetData sheetId="988">
        <row r="1">
          <cell r="JB1">
            <v>0</v>
          </cell>
        </row>
      </sheetData>
      <sheetData sheetId="989">
        <row r="1">
          <cell r="JB1">
            <v>0</v>
          </cell>
        </row>
      </sheetData>
      <sheetData sheetId="990">
        <row r="1">
          <cell r="JB1">
            <v>0</v>
          </cell>
        </row>
      </sheetData>
      <sheetData sheetId="991">
        <row r="1">
          <cell r="JB1">
            <v>0</v>
          </cell>
        </row>
      </sheetData>
      <sheetData sheetId="992">
        <row r="1">
          <cell r="JB1">
            <v>0</v>
          </cell>
        </row>
      </sheetData>
      <sheetData sheetId="993">
        <row r="1">
          <cell r="JB1">
            <v>0</v>
          </cell>
        </row>
      </sheetData>
      <sheetData sheetId="994">
        <row r="1">
          <cell r="JB1">
            <v>0</v>
          </cell>
        </row>
      </sheetData>
      <sheetData sheetId="995">
        <row r="1">
          <cell r="JB1">
            <v>0</v>
          </cell>
        </row>
      </sheetData>
      <sheetData sheetId="996">
        <row r="1">
          <cell r="JB1">
            <v>0</v>
          </cell>
        </row>
      </sheetData>
      <sheetData sheetId="997">
        <row r="1">
          <cell r="JB1">
            <v>0</v>
          </cell>
        </row>
      </sheetData>
      <sheetData sheetId="998">
        <row r="1">
          <cell r="JB1">
            <v>0</v>
          </cell>
        </row>
      </sheetData>
      <sheetData sheetId="999">
        <row r="1">
          <cell r="JB1">
            <v>0</v>
          </cell>
        </row>
      </sheetData>
      <sheetData sheetId="1000">
        <row r="1">
          <cell r="JB1">
            <v>0</v>
          </cell>
        </row>
      </sheetData>
      <sheetData sheetId="1001">
        <row r="1">
          <cell r="JB1">
            <v>0</v>
          </cell>
        </row>
      </sheetData>
      <sheetData sheetId="1002">
        <row r="1">
          <cell r="JB1">
            <v>0</v>
          </cell>
        </row>
      </sheetData>
      <sheetData sheetId="1003">
        <row r="1">
          <cell r="JB1">
            <v>0</v>
          </cell>
        </row>
      </sheetData>
      <sheetData sheetId="1004">
        <row r="1">
          <cell r="JB1">
            <v>0</v>
          </cell>
        </row>
      </sheetData>
      <sheetData sheetId="1005">
        <row r="1">
          <cell r="JB1">
            <v>0</v>
          </cell>
        </row>
      </sheetData>
      <sheetData sheetId="1006">
        <row r="1">
          <cell r="JB1">
            <v>0</v>
          </cell>
        </row>
      </sheetData>
      <sheetData sheetId="1007">
        <row r="1">
          <cell r="JB1">
            <v>0</v>
          </cell>
        </row>
      </sheetData>
      <sheetData sheetId="1008">
        <row r="1">
          <cell r="JB1">
            <v>0</v>
          </cell>
        </row>
      </sheetData>
      <sheetData sheetId="1009">
        <row r="1">
          <cell r="JB1">
            <v>0</v>
          </cell>
        </row>
      </sheetData>
      <sheetData sheetId="1010">
        <row r="1">
          <cell r="JB1">
            <v>0</v>
          </cell>
        </row>
      </sheetData>
      <sheetData sheetId="1011">
        <row r="1">
          <cell r="JB1">
            <v>0</v>
          </cell>
        </row>
      </sheetData>
      <sheetData sheetId="1012">
        <row r="1">
          <cell r="JB1">
            <v>0</v>
          </cell>
        </row>
      </sheetData>
      <sheetData sheetId="1013">
        <row r="1">
          <cell r="JB1">
            <v>0</v>
          </cell>
        </row>
      </sheetData>
      <sheetData sheetId="1014">
        <row r="1">
          <cell r="JB1">
            <v>0</v>
          </cell>
        </row>
      </sheetData>
      <sheetData sheetId="1015">
        <row r="1">
          <cell r="JB1">
            <v>0</v>
          </cell>
        </row>
      </sheetData>
      <sheetData sheetId="1016">
        <row r="1">
          <cell r="JB1">
            <v>0</v>
          </cell>
        </row>
      </sheetData>
      <sheetData sheetId="1017">
        <row r="1">
          <cell r="JB1">
            <v>0</v>
          </cell>
        </row>
      </sheetData>
      <sheetData sheetId="1018">
        <row r="1">
          <cell r="JB1">
            <v>0</v>
          </cell>
        </row>
      </sheetData>
      <sheetData sheetId="1019">
        <row r="1">
          <cell r="JB1">
            <v>0</v>
          </cell>
        </row>
      </sheetData>
      <sheetData sheetId="1020">
        <row r="1">
          <cell r="JB1">
            <v>0</v>
          </cell>
        </row>
      </sheetData>
      <sheetData sheetId="1021">
        <row r="1">
          <cell r="JB1">
            <v>0</v>
          </cell>
        </row>
      </sheetData>
      <sheetData sheetId="1022">
        <row r="1">
          <cell r="JB1">
            <v>0</v>
          </cell>
        </row>
      </sheetData>
      <sheetData sheetId="1023">
        <row r="1">
          <cell r="JB1">
            <v>0</v>
          </cell>
        </row>
      </sheetData>
      <sheetData sheetId="1024">
        <row r="1">
          <cell r="JB1">
            <v>0</v>
          </cell>
        </row>
      </sheetData>
      <sheetData sheetId="1025" refreshError="1"/>
      <sheetData sheetId="1026" refreshError="1"/>
      <sheetData sheetId="1027">
        <row r="1">
          <cell r="JB1">
            <v>0</v>
          </cell>
        </row>
      </sheetData>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ow r="1">
          <cell r="JB1">
            <v>0</v>
          </cell>
        </row>
      </sheetData>
      <sheetData sheetId="1065">
        <row r="1">
          <cell r="JB1">
            <v>0</v>
          </cell>
        </row>
      </sheetData>
      <sheetData sheetId="1066">
        <row r="1">
          <cell r="JB1">
            <v>0</v>
          </cell>
        </row>
      </sheetData>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ow r="1">
          <cell r="JB1">
            <v>0</v>
          </cell>
        </row>
      </sheetData>
      <sheetData sheetId="1116">
        <row r="1">
          <cell r="JB1">
            <v>0</v>
          </cell>
        </row>
      </sheetData>
      <sheetData sheetId="1117">
        <row r="1">
          <cell r="JB1">
            <v>0</v>
          </cell>
        </row>
      </sheetData>
      <sheetData sheetId="1118">
        <row r="1">
          <cell r="JB1">
            <v>0</v>
          </cell>
        </row>
      </sheetData>
      <sheetData sheetId="1119">
        <row r="1">
          <cell r="JB1">
            <v>0</v>
          </cell>
        </row>
      </sheetData>
      <sheetData sheetId="1120">
        <row r="1">
          <cell r="JB1">
            <v>0</v>
          </cell>
        </row>
      </sheetData>
      <sheetData sheetId="1121">
        <row r="1">
          <cell r="JB1">
            <v>0</v>
          </cell>
        </row>
      </sheetData>
      <sheetData sheetId="1122" refreshError="1"/>
      <sheetData sheetId="1123">
        <row r="1">
          <cell r="JB1">
            <v>0</v>
          </cell>
        </row>
      </sheetData>
      <sheetData sheetId="1124" refreshError="1"/>
      <sheetData sheetId="1125" refreshError="1"/>
      <sheetData sheetId="1126" refreshError="1"/>
      <sheetData sheetId="1127" refreshError="1"/>
      <sheetData sheetId="1128">
        <row r="1">
          <cell r="JB1">
            <v>0</v>
          </cell>
        </row>
      </sheetData>
      <sheetData sheetId="1129">
        <row r="1">
          <cell r="JB1">
            <v>0</v>
          </cell>
        </row>
      </sheetData>
      <sheetData sheetId="1130">
        <row r="1">
          <cell r="JB1">
            <v>0</v>
          </cell>
        </row>
      </sheetData>
      <sheetData sheetId="1131">
        <row r="1">
          <cell r="JB1">
            <v>0</v>
          </cell>
        </row>
      </sheetData>
      <sheetData sheetId="1132">
        <row r="1">
          <cell r="JB1">
            <v>0</v>
          </cell>
        </row>
      </sheetData>
      <sheetData sheetId="1133">
        <row r="1">
          <cell r="JB1">
            <v>0</v>
          </cell>
        </row>
      </sheetData>
      <sheetData sheetId="1134">
        <row r="1">
          <cell r="JB1">
            <v>0</v>
          </cell>
        </row>
      </sheetData>
      <sheetData sheetId="1135">
        <row r="1">
          <cell r="JB1">
            <v>0</v>
          </cell>
        </row>
      </sheetData>
      <sheetData sheetId="1136">
        <row r="1">
          <cell r="JB1">
            <v>0</v>
          </cell>
        </row>
      </sheetData>
      <sheetData sheetId="1137">
        <row r="1">
          <cell r="JB1">
            <v>0</v>
          </cell>
        </row>
      </sheetData>
      <sheetData sheetId="1138">
        <row r="1">
          <cell r="JB1">
            <v>0</v>
          </cell>
        </row>
      </sheetData>
      <sheetData sheetId="1139">
        <row r="1">
          <cell r="JB1">
            <v>0</v>
          </cell>
        </row>
      </sheetData>
      <sheetData sheetId="1140">
        <row r="1">
          <cell r="JB1">
            <v>0</v>
          </cell>
        </row>
      </sheetData>
      <sheetData sheetId="1141">
        <row r="1">
          <cell r="JB1">
            <v>0</v>
          </cell>
        </row>
      </sheetData>
      <sheetData sheetId="1142">
        <row r="1">
          <cell r="JB1">
            <v>0</v>
          </cell>
        </row>
      </sheetData>
      <sheetData sheetId="1143">
        <row r="1">
          <cell r="JB1">
            <v>0</v>
          </cell>
        </row>
      </sheetData>
      <sheetData sheetId="1144">
        <row r="1">
          <cell r="JB1">
            <v>0</v>
          </cell>
        </row>
      </sheetData>
      <sheetData sheetId="1145">
        <row r="1">
          <cell r="JB1">
            <v>0</v>
          </cell>
        </row>
      </sheetData>
      <sheetData sheetId="1146">
        <row r="1">
          <cell r="JB1">
            <v>0</v>
          </cell>
        </row>
      </sheetData>
      <sheetData sheetId="1147">
        <row r="1">
          <cell r="JB1">
            <v>0</v>
          </cell>
        </row>
      </sheetData>
      <sheetData sheetId="1148">
        <row r="1">
          <cell r="JB1">
            <v>0</v>
          </cell>
        </row>
      </sheetData>
      <sheetData sheetId="1149">
        <row r="1">
          <cell r="JB1">
            <v>0</v>
          </cell>
        </row>
      </sheetData>
      <sheetData sheetId="1150">
        <row r="1">
          <cell r="JB1">
            <v>0</v>
          </cell>
        </row>
      </sheetData>
      <sheetData sheetId="1151">
        <row r="1">
          <cell r="JB1">
            <v>0</v>
          </cell>
        </row>
      </sheetData>
      <sheetData sheetId="1152">
        <row r="1">
          <cell r="JB1">
            <v>0</v>
          </cell>
        </row>
      </sheetData>
      <sheetData sheetId="1153">
        <row r="1">
          <cell r="JB1">
            <v>0</v>
          </cell>
        </row>
      </sheetData>
      <sheetData sheetId="1154" refreshError="1"/>
      <sheetData sheetId="1155" refreshError="1"/>
      <sheetData sheetId="1156" refreshError="1"/>
      <sheetData sheetId="1157" refreshError="1"/>
      <sheetData sheetId="1158" refreshError="1"/>
      <sheetData sheetId="1159">
        <row r="1">
          <cell r="JB1">
            <v>0</v>
          </cell>
        </row>
      </sheetData>
      <sheetData sheetId="1160">
        <row r="1">
          <cell r="JB1">
            <v>0</v>
          </cell>
        </row>
      </sheetData>
      <sheetData sheetId="1161">
        <row r="1">
          <cell r="JB1">
            <v>0</v>
          </cell>
        </row>
      </sheetData>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ow r="1">
          <cell r="JB1">
            <v>0</v>
          </cell>
        </row>
      </sheetData>
      <sheetData sheetId="1178">
        <row r="1">
          <cell r="JB1">
            <v>0</v>
          </cell>
        </row>
      </sheetData>
      <sheetData sheetId="1179">
        <row r="1">
          <cell r="JB1">
            <v>0</v>
          </cell>
        </row>
      </sheetData>
      <sheetData sheetId="1180">
        <row r="1">
          <cell r="JB1">
            <v>0</v>
          </cell>
        </row>
      </sheetData>
      <sheetData sheetId="1181">
        <row r="1">
          <cell r="JB1">
            <v>0</v>
          </cell>
        </row>
      </sheetData>
      <sheetData sheetId="1182">
        <row r="1">
          <cell r="JB1">
            <v>0</v>
          </cell>
        </row>
      </sheetData>
      <sheetData sheetId="1183">
        <row r="1">
          <cell r="JB1">
            <v>0</v>
          </cell>
        </row>
      </sheetData>
      <sheetData sheetId="1184">
        <row r="1">
          <cell r="JB1">
            <v>0</v>
          </cell>
        </row>
      </sheetData>
      <sheetData sheetId="1185">
        <row r="1">
          <cell r="JB1">
            <v>0</v>
          </cell>
        </row>
      </sheetData>
      <sheetData sheetId="1186">
        <row r="1">
          <cell r="JB1">
            <v>0</v>
          </cell>
        </row>
      </sheetData>
      <sheetData sheetId="1187">
        <row r="1">
          <cell r="JB1">
            <v>0</v>
          </cell>
        </row>
      </sheetData>
      <sheetData sheetId="1188">
        <row r="1">
          <cell r="JB1">
            <v>0</v>
          </cell>
        </row>
      </sheetData>
      <sheetData sheetId="1189">
        <row r="1">
          <cell r="JB1">
            <v>0</v>
          </cell>
        </row>
      </sheetData>
      <sheetData sheetId="1190">
        <row r="1">
          <cell r="JB1">
            <v>0</v>
          </cell>
        </row>
      </sheetData>
      <sheetData sheetId="1191">
        <row r="1">
          <cell r="JB1">
            <v>0</v>
          </cell>
        </row>
      </sheetData>
      <sheetData sheetId="1192">
        <row r="1">
          <cell r="JB1">
            <v>0</v>
          </cell>
        </row>
      </sheetData>
      <sheetData sheetId="1193">
        <row r="1">
          <cell r="JB1">
            <v>0</v>
          </cell>
        </row>
      </sheetData>
      <sheetData sheetId="1194">
        <row r="1">
          <cell r="JB1">
            <v>0</v>
          </cell>
        </row>
      </sheetData>
      <sheetData sheetId="1195">
        <row r="1">
          <cell r="JB1">
            <v>0</v>
          </cell>
        </row>
      </sheetData>
      <sheetData sheetId="1196">
        <row r="1">
          <cell r="JB1">
            <v>0</v>
          </cell>
        </row>
      </sheetData>
      <sheetData sheetId="1197">
        <row r="1">
          <cell r="JB1">
            <v>0</v>
          </cell>
        </row>
      </sheetData>
      <sheetData sheetId="1198">
        <row r="1">
          <cell r="JB1">
            <v>0</v>
          </cell>
        </row>
      </sheetData>
      <sheetData sheetId="1199">
        <row r="1">
          <cell r="JB1">
            <v>0</v>
          </cell>
        </row>
      </sheetData>
      <sheetData sheetId="1200">
        <row r="1">
          <cell r="JB1">
            <v>0</v>
          </cell>
        </row>
      </sheetData>
      <sheetData sheetId="1201">
        <row r="1">
          <cell r="JB1">
            <v>0</v>
          </cell>
        </row>
      </sheetData>
      <sheetData sheetId="1202">
        <row r="1">
          <cell r="JB1">
            <v>0</v>
          </cell>
        </row>
      </sheetData>
      <sheetData sheetId="1203">
        <row r="1">
          <cell r="JB1">
            <v>0</v>
          </cell>
        </row>
      </sheetData>
      <sheetData sheetId="1204">
        <row r="1">
          <cell r="JB1">
            <v>0</v>
          </cell>
        </row>
      </sheetData>
      <sheetData sheetId="1205">
        <row r="1">
          <cell r="JB1">
            <v>0</v>
          </cell>
        </row>
      </sheetData>
      <sheetData sheetId="1206">
        <row r="1">
          <cell r="JB1">
            <v>0</v>
          </cell>
        </row>
      </sheetData>
      <sheetData sheetId="1207">
        <row r="1">
          <cell r="JB1">
            <v>0</v>
          </cell>
        </row>
      </sheetData>
      <sheetData sheetId="1208">
        <row r="1">
          <cell r="JB1">
            <v>0</v>
          </cell>
        </row>
      </sheetData>
      <sheetData sheetId="1209">
        <row r="1">
          <cell r="JB1">
            <v>0</v>
          </cell>
        </row>
      </sheetData>
      <sheetData sheetId="1210">
        <row r="1">
          <cell r="JB1">
            <v>0</v>
          </cell>
        </row>
      </sheetData>
      <sheetData sheetId="1211">
        <row r="1">
          <cell r="JB1">
            <v>0</v>
          </cell>
        </row>
      </sheetData>
      <sheetData sheetId="1212">
        <row r="1">
          <cell r="JB1">
            <v>0</v>
          </cell>
        </row>
      </sheetData>
      <sheetData sheetId="1213">
        <row r="1">
          <cell r="JB1">
            <v>0</v>
          </cell>
        </row>
      </sheetData>
      <sheetData sheetId="1214">
        <row r="1">
          <cell r="JB1">
            <v>0</v>
          </cell>
        </row>
      </sheetData>
      <sheetData sheetId="1215">
        <row r="1">
          <cell r="JB1">
            <v>0</v>
          </cell>
        </row>
      </sheetData>
      <sheetData sheetId="1216">
        <row r="1">
          <cell r="JB1">
            <v>0</v>
          </cell>
        </row>
      </sheetData>
      <sheetData sheetId="1217">
        <row r="1">
          <cell r="JB1">
            <v>0</v>
          </cell>
        </row>
      </sheetData>
      <sheetData sheetId="1218">
        <row r="1">
          <cell r="JB1">
            <v>0</v>
          </cell>
        </row>
      </sheetData>
      <sheetData sheetId="1219">
        <row r="1">
          <cell r="JB1">
            <v>0</v>
          </cell>
        </row>
      </sheetData>
      <sheetData sheetId="1220">
        <row r="1">
          <cell r="JB1">
            <v>0</v>
          </cell>
        </row>
      </sheetData>
      <sheetData sheetId="1221">
        <row r="1">
          <cell r="JB1">
            <v>0</v>
          </cell>
        </row>
      </sheetData>
      <sheetData sheetId="1222">
        <row r="1">
          <cell r="JB1">
            <v>0</v>
          </cell>
        </row>
      </sheetData>
      <sheetData sheetId="1223">
        <row r="1">
          <cell r="JB1">
            <v>0</v>
          </cell>
        </row>
      </sheetData>
      <sheetData sheetId="1224">
        <row r="1">
          <cell r="JB1">
            <v>0</v>
          </cell>
        </row>
      </sheetData>
      <sheetData sheetId="1225">
        <row r="1">
          <cell r="JB1">
            <v>0</v>
          </cell>
        </row>
      </sheetData>
      <sheetData sheetId="1226">
        <row r="1">
          <cell r="JB1">
            <v>0</v>
          </cell>
        </row>
      </sheetData>
      <sheetData sheetId="1227">
        <row r="1">
          <cell r="JB1">
            <v>0</v>
          </cell>
        </row>
      </sheetData>
      <sheetData sheetId="1228">
        <row r="1">
          <cell r="JB1">
            <v>0</v>
          </cell>
        </row>
      </sheetData>
      <sheetData sheetId="1229">
        <row r="1">
          <cell r="JB1">
            <v>0</v>
          </cell>
        </row>
      </sheetData>
      <sheetData sheetId="1230">
        <row r="1">
          <cell r="JB1">
            <v>0</v>
          </cell>
        </row>
      </sheetData>
      <sheetData sheetId="1231">
        <row r="1">
          <cell r="JB1">
            <v>0</v>
          </cell>
        </row>
      </sheetData>
      <sheetData sheetId="1232">
        <row r="1">
          <cell r="JB1">
            <v>0</v>
          </cell>
        </row>
      </sheetData>
      <sheetData sheetId="1233">
        <row r="1">
          <cell r="JB1">
            <v>0</v>
          </cell>
        </row>
      </sheetData>
      <sheetData sheetId="1234">
        <row r="1">
          <cell r="JB1">
            <v>0</v>
          </cell>
        </row>
      </sheetData>
      <sheetData sheetId="1235">
        <row r="1">
          <cell r="JB1">
            <v>0</v>
          </cell>
        </row>
      </sheetData>
      <sheetData sheetId="1236">
        <row r="1">
          <cell r="JB1">
            <v>0</v>
          </cell>
        </row>
      </sheetData>
      <sheetData sheetId="1237">
        <row r="1">
          <cell r="JB1">
            <v>0</v>
          </cell>
        </row>
      </sheetData>
      <sheetData sheetId="1238">
        <row r="1">
          <cell r="JB1">
            <v>0</v>
          </cell>
        </row>
      </sheetData>
      <sheetData sheetId="1239">
        <row r="1">
          <cell r="JB1">
            <v>0</v>
          </cell>
        </row>
      </sheetData>
      <sheetData sheetId="1240">
        <row r="1">
          <cell r="JB1">
            <v>0</v>
          </cell>
        </row>
      </sheetData>
      <sheetData sheetId="1241">
        <row r="1">
          <cell r="JB1">
            <v>0</v>
          </cell>
        </row>
      </sheetData>
      <sheetData sheetId="1242">
        <row r="1">
          <cell r="JB1">
            <v>0</v>
          </cell>
        </row>
      </sheetData>
      <sheetData sheetId="1243">
        <row r="1">
          <cell r="JB1">
            <v>0</v>
          </cell>
        </row>
      </sheetData>
      <sheetData sheetId="1244">
        <row r="1">
          <cell r="JB1">
            <v>0</v>
          </cell>
        </row>
      </sheetData>
      <sheetData sheetId="1245">
        <row r="1">
          <cell r="JB1">
            <v>0</v>
          </cell>
        </row>
      </sheetData>
      <sheetData sheetId="1246">
        <row r="1">
          <cell r="JB1">
            <v>0</v>
          </cell>
        </row>
      </sheetData>
      <sheetData sheetId="1247">
        <row r="1">
          <cell r="JB1">
            <v>0</v>
          </cell>
        </row>
      </sheetData>
      <sheetData sheetId="1248">
        <row r="1">
          <cell r="JB1">
            <v>0</v>
          </cell>
        </row>
      </sheetData>
      <sheetData sheetId="1249">
        <row r="1">
          <cell r="JB1">
            <v>0</v>
          </cell>
        </row>
      </sheetData>
      <sheetData sheetId="1250">
        <row r="1">
          <cell r="JB1">
            <v>0</v>
          </cell>
        </row>
      </sheetData>
      <sheetData sheetId="1251">
        <row r="1">
          <cell r="JB1">
            <v>0</v>
          </cell>
        </row>
      </sheetData>
      <sheetData sheetId="1252">
        <row r="1">
          <cell r="JB1">
            <v>0</v>
          </cell>
        </row>
      </sheetData>
      <sheetData sheetId="1253">
        <row r="1">
          <cell r="JB1">
            <v>0</v>
          </cell>
        </row>
      </sheetData>
      <sheetData sheetId="1254">
        <row r="1">
          <cell r="JB1">
            <v>0</v>
          </cell>
        </row>
      </sheetData>
      <sheetData sheetId="1255">
        <row r="1">
          <cell r="JB1">
            <v>0</v>
          </cell>
        </row>
      </sheetData>
      <sheetData sheetId="1256">
        <row r="1">
          <cell r="JB1">
            <v>0</v>
          </cell>
        </row>
      </sheetData>
      <sheetData sheetId="1257">
        <row r="1">
          <cell r="JB1">
            <v>0</v>
          </cell>
        </row>
      </sheetData>
      <sheetData sheetId="1258">
        <row r="1">
          <cell r="JB1">
            <v>0</v>
          </cell>
        </row>
      </sheetData>
      <sheetData sheetId="1259">
        <row r="1">
          <cell r="JB1">
            <v>0</v>
          </cell>
        </row>
      </sheetData>
      <sheetData sheetId="1260">
        <row r="1">
          <cell r="JB1">
            <v>0</v>
          </cell>
        </row>
      </sheetData>
      <sheetData sheetId="1261">
        <row r="1">
          <cell r="JB1">
            <v>0</v>
          </cell>
        </row>
      </sheetData>
      <sheetData sheetId="1262">
        <row r="1">
          <cell r="JB1">
            <v>0</v>
          </cell>
        </row>
      </sheetData>
      <sheetData sheetId="1263">
        <row r="1">
          <cell r="JB1">
            <v>0</v>
          </cell>
        </row>
      </sheetData>
      <sheetData sheetId="1264">
        <row r="1">
          <cell r="JB1">
            <v>0</v>
          </cell>
        </row>
      </sheetData>
      <sheetData sheetId="1265">
        <row r="1">
          <cell r="JB1">
            <v>0</v>
          </cell>
        </row>
      </sheetData>
      <sheetData sheetId="1266">
        <row r="1">
          <cell r="JB1">
            <v>0</v>
          </cell>
        </row>
      </sheetData>
      <sheetData sheetId="1267">
        <row r="1">
          <cell r="JB1">
            <v>0</v>
          </cell>
        </row>
      </sheetData>
      <sheetData sheetId="1268">
        <row r="1">
          <cell r="JB1">
            <v>0</v>
          </cell>
        </row>
      </sheetData>
      <sheetData sheetId="1269">
        <row r="1">
          <cell r="JB1">
            <v>0</v>
          </cell>
        </row>
      </sheetData>
      <sheetData sheetId="1270">
        <row r="1">
          <cell r="JB1">
            <v>0</v>
          </cell>
        </row>
      </sheetData>
      <sheetData sheetId="1271">
        <row r="1">
          <cell r="JB1">
            <v>0</v>
          </cell>
        </row>
      </sheetData>
      <sheetData sheetId="1272">
        <row r="1">
          <cell r="JB1">
            <v>0</v>
          </cell>
        </row>
      </sheetData>
      <sheetData sheetId="1273">
        <row r="1">
          <cell r="JB1">
            <v>0</v>
          </cell>
        </row>
      </sheetData>
      <sheetData sheetId="1274">
        <row r="1">
          <cell r="JB1">
            <v>0</v>
          </cell>
        </row>
      </sheetData>
      <sheetData sheetId="1275">
        <row r="1">
          <cell r="JB1">
            <v>0</v>
          </cell>
        </row>
      </sheetData>
      <sheetData sheetId="1276">
        <row r="1">
          <cell r="JB1">
            <v>0</v>
          </cell>
        </row>
      </sheetData>
      <sheetData sheetId="1277">
        <row r="1">
          <cell r="JB1">
            <v>0</v>
          </cell>
        </row>
      </sheetData>
      <sheetData sheetId="1278">
        <row r="1">
          <cell r="JB1">
            <v>0</v>
          </cell>
        </row>
      </sheetData>
      <sheetData sheetId="1279">
        <row r="1">
          <cell r="JB1">
            <v>0</v>
          </cell>
        </row>
      </sheetData>
      <sheetData sheetId="1280">
        <row r="1">
          <cell r="JB1">
            <v>0</v>
          </cell>
        </row>
      </sheetData>
      <sheetData sheetId="1281">
        <row r="1">
          <cell r="JB1">
            <v>0</v>
          </cell>
        </row>
      </sheetData>
      <sheetData sheetId="1282">
        <row r="1">
          <cell r="JB1">
            <v>0</v>
          </cell>
        </row>
      </sheetData>
      <sheetData sheetId="1283">
        <row r="1">
          <cell r="JB1">
            <v>0</v>
          </cell>
        </row>
      </sheetData>
      <sheetData sheetId="1284">
        <row r="1">
          <cell r="JB1">
            <v>0</v>
          </cell>
        </row>
      </sheetData>
      <sheetData sheetId="1285">
        <row r="1">
          <cell r="JB1">
            <v>0</v>
          </cell>
        </row>
      </sheetData>
      <sheetData sheetId="1286">
        <row r="1">
          <cell r="JB1">
            <v>0</v>
          </cell>
        </row>
      </sheetData>
      <sheetData sheetId="1287">
        <row r="1">
          <cell r="JB1">
            <v>0</v>
          </cell>
        </row>
      </sheetData>
      <sheetData sheetId="1288">
        <row r="1">
          <cell r="JB1">
            <v>0</v>
          </cell>
        </row>
      </sheetData>
      <sheetData sheetId="1289">
        <row r="1">
          <cell r="JB1">
            <v>0</v>
          </cell>
        </row>
      </sheetData>
      <sheetData sheetId="1290">
        <row r="1">
          <cell r="JB1">
            <v>0</v>
          </cell>
        </row>
      </sheetData>
      <sheetData sheetId="1291">
        <row r="1">
          <cell r="JB1">
            <v>0</v>
          </cell>
        </row>
      </sheetData>
      <sheetData sheetId="1292">
        <row r="1">
          <cell r="JB1">
            <v>0</v>
          </cell>
        </row>
      </sheetData>
      <sheetData sheetId="1293">
        <row r="1">
          <cell r="JB1">
            <v>0</v>
          </cell>
        </row>
      </sheetData>
      <sheetData sheetId="1294">
        <row r="1">
          <cell r="JB1">
            <v>0</v>
          </cell>
        </row>
      </sheetData>
      <sheetData sheetId="1295">
        <row r="1">
          <cell r="JB1">
            <v>0</v>
          </cell>
        </row>
      </sheetData>
      <sheetData sheetId="1296">
        <row r="1">
          <cell r="JB1">
            <v>0</v>
          </cell>
        </row>
      </sheetData>
      <sheetData sheetId="1297">
        <row r="1">
          <cell r="JB1">
            <v>0</v>
          </cell>
        </row>
      </sheetData>
      <sheetData sheetId="1298">
        <row r="1">
          <cell r="JB1">
            <v>0</v>
          </cell>
        </row>
      </sheetData>
      <sheetData sheetId="1299">
        <row r="1">
          <cell r="JB1">
            <v>0</v>
          </cell>
        </row>
      </sheetData>
      <sheetData sheetId="1300">
        <row r="1">
          <cell r="JB1">
            <v>0</v>
          </cell>
        </row>
      </sheetData>
      <sheetData sheetId="1301">
        <row r="1">
          <cell r="JB1">
            <v>0</v>
          </cell>
        </row>
      </sheetData>
      <sheetData sheetId="1302">
        <row r="1">
          <cell r="JB1">
            <v>0</v>
          </cell>
        </row>
      </sheetData>
      <sheetData sheetId="1303">
        <row r="1">
          <cell r="JB1">
            <v>0</v>
          </cell>
        </row>
      </sheetData>
      <sheetData sheetId="1304">
        <row r="1">
          <cell r="JB1">
            <v>0</v>
          </cell>
        </row>
      </sheetData>
      <sheetData sheetId="1305">
        <row r="1">
          <cell r="JB1">
            <v>0</v>
          </cell>
        </row>
      </sheetData>
      <sheetData sheetId="1306">
        <row r="1">
          <cell r="JB1">
            <v>0</v>
          </cell>
        </row>
      </sheetData>
      <sheetData sheetId="1307">
        <row r="1">
          <cell r="JB1">
            <v>0</v>
          </cell>
        </row>
      </sheetData>
      <sheetData sheetId="1308">
        <row r="1">
          <cell r="JB1">
            <v>0</v>
          </cell>
        </row>
      </sheetData>
      <sheetData sheetId="1309">
        <row r="1">
          <cell r="JB1">
            <v>0</v>
          </cell>
        </row>
      </sheetData>
      <sheetData sheetId="1310">
        <row r="1">
          <cell r="JB1">
            <v>0</v>
          </cell>
        </row>
      </sheetData>
      <sheetData sheetId="1311">
        <row r="1">
          <cell r="JB1">
            <v>0</v>
          </cell>
        </row>
      </sheetData>
      <sheetData sheetId="1312">
        <row r="1">
          <cell r="JB1">
            <v>0</v>
          </cell>
        </row>
      </sheetData>
      <sheetData sheetId="1313">
        <row r="1">
          <cell r="JB1">
            <v>0</v>
          </cell>
        </row>
      </sheetData>
      <sheetData sheetId="1314">
        <row r="1">
          <cell r="JB1">
            <v>0</v>
          </cell>
        </row>
      </sheetData>
      <sheetData sheetId="1315">
        <row r="1">
          <cell r="JB1">
            <v>0</v>
          </cell>
        </row>
      </sheetData>
      <sheetData sheetId="1316">
        <row r="1">
          <cell r="JB1">
            <v>0</v>
          </cell>
        </row>
      </sheetData>
      <sheetData sheetId="1317">
        <row r="1">
          <cell r="JB1">
            <v>0</v>
          </cell>
        </row>
      </sheetData>
      <sheetData sheetId="1318">
        <row r="1">
          <cell r="JB1">
            <v>0</v>
          </cell>
        </row>
      </sheetData>
      <sheetData sheetId="1319">
        <row r="1">
          <cell r="JB1">
            <v>0</v>
          </cell>
        </row>
      </sheetData>
      <sheetData sheetId="1320">
        <row r="1">
          <cell r="JB1">
            <v>0</v>
          </cell>
        </row>
      </sheetData>
      <sheetData sheetId="1321">
        <row r="1">
          <cell r="JB1">
            <v>0</v>
          </cell>
        </row>
      </sheetData>
      <sheetData sheetId="1322">
        <row r="1">
          <cell r="JB1">
            <v>0</v>
          </cell>
        </row>
      </sheetData>
      <sheetData sheetId="1323">
        <row r="1">
          <cell r="JB1">
            <v>0</v>
          </cell>
        </row>
      </sheetData>
      <sheetData sheetId="1324">
        <row r="1">
          <cell r="JB1">
            <v>0</v>
          </cell>
        </row>
      </sheetData>
      <sheetData sheetId="1325">
        <row r="1">
          <cell r="JB1">
            <v>0</v>
          </cell>
        </row>
      </sheetData>
      <sheetData sheetId="1326">
        <row r="1">
          <cell r="JB1">
            <v>0</v>
          </cell>
        </row>
      </sheetData>
      <sheetData sheetId="1327">
        <row r="1">
          <cell r="JB1">
            <v>0</v>
          </cell>
        </row>
      </sheetData>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ow r="1">
          <cell r="JB1">
            <v>0</v>
          </cell>
        </row>
      </sheetData>
      <sheetData sheetId="1373">
        <row r="1">
          <cell r="JB1">
            <v>0</v>
          </cell>
        </row>
      </sheetData>
      <sheetData sheetId="1374">
        <row r="1">
          <cell r="JB1">
            <v>0</v>
          </cell>
        </row>
      </sheetData>
      <sheetData sheetId="1375">
        <row r="1">
          <cell r="JB1">
            <v>0</v>
          </cell>
        </row>
      </sheetData>
      <sheetData sheetId="1376">
        <row r="1">
          <cell r="JB1">
            <v>0</v>
          </cell>
        </row>
      </sheetData>
      <sheetData sheetId="1377">
        <row r="1">
          <cell r="JB1">
            <v>0</v>
          </cell>
        </row>
      </sheetData>
      <sheetData sheetId="1378">
        <row r="1">
          <cell r="JB1">
            <v>0</v>
          </cell>
        </row>
      </sheetData>
      <sheetData sheetId="1379">
        <row r="1">
          <cell r="JB1">
            <v>0</v>
          </cell>
        </row>
      </sheetData>
      <sheetData sheetId="1380">
        <row r="1">
          <cell r="JB1">
            <v>0</v>
          </cell>
        </row>
      </sheetData>
      <sheetData sheetId="1381">
        <row r="1">
          <cell r="JB1">
            <v>0</v>
          </cell>
        </row>
      </sheetData>
      <sheetData sheetId="1382">
        <row r="1">
          <cell r="JB1">
            <v>0</v>
          </cell>
        </row>
      </sheetData>
      <sheetData sheetId="1383">
        <row r="1">
          <cell r="JB1">
            <v>0</v>
          </cell>
        </row>
      </sheetData>
      <sheetData sheetId="1384">
        <row r="1">
          <cell r="JB1">
            <v>0</v>
          </cell>
        </row>
      </sheetData>
      <sheetData sheetId="1385">
        <row r="1">
          <cell r="JB1">
            <v>0</v>
          </cell>
        </row>
      </sheetData>
      <sheetData sheetId="1386">
        <row r="1">
          <cell r="JB1">
            <v>0</v>
          </cell>
        </row>
      </sheetData>
      <sheetData sheetId="1387">
        <row r="1">
          <cell r="JB1">
            <v>0</v>
          </cell>
        </row>
      </sheetData>
      <sheetData sheetId="1388">
        <row r="1">
          <cell r="JB1">
            <v>0</v>
          </cell>
        </row>
      </sheetData>
      <sheetData sheetId="1389">
        <row r="1">
          <cell r="JB1">
            <v>0</v>
          </cell>
        </row>
      </sheetData>
      <sheetData sheetId="1390">
        <row r="1">
          <cell r="JB1">
            <v>0</v>
          </cell>
        </row>
      </sheetData>
      <sheetData sheetId="1391">
        <row r="1">
          <cell r="JB1">
            <v>0</v>
          </cell>
        </row>
      </sheetData>
      <sheetData sheetId="1392">
        <row r="1">
          <cell r="JB1">
            <v>0</v>
          </cell>
        </row>
      </sheetData>
      <sheetData sheetId="1393">
        <row r="1">
          <cell r="JB1">
            <v>0</v>
          </cell>
        </row>
      </sheetData>
      <sheetData sheetId="1394">
        <row r="1">
          <cell r="JB1">
            <v>0</v>
          </cell>
        </row>
      </sheetData>
      <sheetData sheetId="1395">
        <row r="1">
          <cell r="JB1">
            <v>0</v>
          </cell>
        </row>
      </sheetData>
      <sheetData sheetId="1396">
        <row r="1">
          <cell r="JB1">
            <v>0</v>
          </cell>
        </row>
      </sheetData>
      <sheetData sheetId="1397">
        <row r="1">
          <cell r="JB1">
            <v>0</v>
          </cell>
        </row>
      </sheetData>
      <sheetData sheetId="1398">
        <row r="1">
          <cell r="JB1">
            <v>0</v>
          </cell>
        </row>
      </sheetData>
      <sheetData sheetId="1399">
        <row r="1">
          <cell r="JB1">
            <v>0</v>
          </cell>
        </row>
      </sheetData>
      <sheetData sheetId="1400">
        <row r="1">
          <cell r="JB1">
            <v>0</v>
          </cell>
        </row>
      </sheetData>
      <sheetData sheetId="1401">
        <row r="1">
          <cell r="JB1">
            <v>0</v>
          </cell>
        </row>
      </sheetData>
      <sheetData sheetId="1402">
        <row r="1">
          <cell r="JB1">
            <v>0</v>
          </cell>
        </row>
      </sheetData>
      <sheetData sheetId="1403">
        <row r="1">
          <cell r="JB1">
            <v>0</v>
          </cell>
        </row>
      </sheetData>
      <sheetData sheetId="1404">
        <row r="1">
          <cell r="JB1">
            <v>0</v>
          </cell>
        </row>
      </sheetData>
      <sheetData sheetId="1405">
        <row r="1">
          <cell r="JB1">
            <v>0</v>
          </cell>
        </row>
      </sheetData>
      <sheetData sheetId="1406">
        <row r="1">
          <cell r="JB1">
            <v>0</v>
          </cell>
        </row>
      </sheetData>
      <sheetData sheetId="1407">
        <row r="1">
          <cell r="JB1">
            <v>0</v>
          </cell>
        </row>
      </sheetData>
      <sheetData sheetId="1408">
        <row r="1">
          <cell r="JB1">
            <v>0</v>
          </cell>
        </row>
      </sheetData>
      <sheetData sheetId="1409">
        <row r="1">
          <cell r="JB1">
            <v>0</v>
          </cell>
        </row>
      </sheetData>
      <sheetData sheetId="1410">
        <row r="1">
          <cell r="JB1">
            <v>0</v>
          </cell>
        </row>
      </sheetData>
      <sheetData sheetId="1411">
        <row r="1">
          <cell r="JB1">
            <v>0</v>
          </cell>
        </row>
      </sheetData>
      <sheetData sheetId="1412">
        <row r="1">
          <cell r="JB1">
            <v>0</v>
          </cell>
        </row>
      </sheetData>
      <sheetData sheetId="1413">
        <row r="1">
          <cell r="JB1">
            <v>0</v>
          </cell>
        </row>
      </sheetData>
      <sheetData sheetId="1414">
        <row r="1">
          <cell r="JB1">
            <v>0</v>
          </cell>
        </row>
      </sheetData>
      <sheetData sheetId="1415">
        <row r="1">
          <cell r="JB1">
            <v>0</v>
          </cell>
        </row>
      </sheetData>
      <sheetData sheetId="1416">
        <row r="1">
          <cell r="JB1">
            <v>0</v>
          </cell>
        </row>
      </sheetData>
      <sheetData sheetId="1417">
        <row r="1">
          <cell r="JB1">
            <v>0</v>
          </cell>
        </row>
      </sheetData>
      <sheetData sheetId="1418">
        <row r="1">
          <cell r="JB1">
            <v>0</v>
          </cell>
        </row>
      </sheetData>
      <sheetData sheetId="1419">
        <row r="1">
          <cell r="JB1">
            <v>0</v>
          </cell>
        </row>
      </sheetData>
      <sheetData sheetId="1420">
        <row r="1">
          <cell r="JB1">
            <v>0</v>
          </cell>
        </row>
      </sheetData>
      <sheetData sheetId="1421">
        <row r="1">
          <cell r="JB1">
            <v>0</v>
          </cell>
        </row>
      </sheetData>
      <sheetData sheetId="1422">
        <row r="1">
          <cell r="JB1">
            <v>0</v>
          </cell>
        </row>
      </sheetData>
      <sheetData sheetId="1423">
        <row r="1">
          <cell r="JB1">
            <v>0</v>
          </cell>
        </row>
      </sheetData>
      <sheetData sheetId="1424">
        <row r="1">
          <cell r="JB1">
            <v>0</v>
          </cell>
        </row>
      </sheetData>
      <sheetData sheetId="1425">
        <row r="1">
          <cell r="JB1">
            <v>0</v>
          </cell>
        </row>
      </sheetData>
      <sheetData sheetId="1426">
        <row r="1">
          <cell r="JB1">
            <v>0</v>
          </cell>
        </row>
      </sheetData>
      <sheetData sheetId="1427">
        <row r="1">
          <cell r="JB1">
            <v>0</v>
          </cell>
        </row>
      </sheetData>
      <sheetData sheetId="1428">
        <row r="1">
          <cell r="JB1">
            <v>0</v>
          </cell>
        </row>
      </sheetData>
      <sheetData sheetId="1429">
        <row r="1">
          <cell r="JB1">
            <v>0</v>
          </cell>
        </row>
      </sheetData>
      <sheetData sheetId="1430">
        <row r="1">
          <cell r="JB1">
            <v>0</v>
          </cell>
        </row>
      </sheetData>
      <sheetData sheetId="1431">
        <row r="1">
          <cell r="JB1">
            <v>0</v>
          </cell>
        </row>
      </sheetData>
      <sheetData sheetId="1432">
        <row r="1">
          <cell r="JB1">
            <v>0</v>
          </cell>
        </row>
      </sheetData>
      <sheetData sheetId="1433">
        <row r="1">
          <cell r="JB1">
            <v>0</v>
          </cell>
        </row>
      </sheetData>
      <sheetData sheetId="1434">
        <row r="1">
          <cell r="JB1">
            <v>0</v>
          </cell>
        </row>
      </sheetData>
      <sheetData sheetId="1435">
        <row r="1">
          <cell r="JB1">
            <v>0</v>
          </cell>
        </row>
      </sheetData>
      <sheetData sheetId="1436">
        <row r="1">
          <cell r="JB1">
            <v>0</v>
          </cell>
        </row>
      </sheetData>
      <sheetData sheetId="1437">
        <row r="1">
          <cell r="JB1">
            <v>0</v>
          </cell>
        </row>
      </sheetData>
      <sheetData sheetId="1438">
        <row r="1">
          <cell r="JB1">
            <v>0</v>
          </cell>
        </row>
      </sheetData>
      <sheetData sheetId="1439">
        <row r="1">
          <cell r="JB1">
            <v>0</v>
          </cell>
        </row>
      </sheetData>
      <sheetData sheetId="1440">
        <row r="1">
          <cell r="JB1">
            <v>0</v>
          </cell>
        </row>
      </sheetData>
      <sheetData sheetId="1441">
        <row r="1">
          <cell r="JB1">
            <v>0</v>
          </cell>
        </row>
      </sheetData>
      <sheetData sheetId="1442">
        <row r="1">
          <cell r="JB1">
            <v>0</v>
          </cell>
        </row>
      </sheetData>
      <sheetData sheetId="1443">
        <row r="1">
          <cell r="JB1">
            <v>0</v>
          </cell>
        </row>
      </sheetData>
      <sheetData sheetId="1444">
        <row r="1">
          <cell r="JB1">
            <v>0</v>
          </cell>
        </row>
      </sheetData>
      <sheetData sheetId="1445">
        <row r="1">
          <cell r="JB1">
            <v>0</v>
          </cell>
        </row>
      </sheetData>
      <sheetData sheetId="1446">
        <row r="1">
          <cell r="JB1">
            <v>0</v>
          </cell>
        </row>
      </sheetData>
      <sheetData sheetId="1447">
        <row r="1">
          <cell r="JB1">
            <v>0</v>
          </cell>
        </row>
      </sheetData>
      <sheetData sheetId="1448">
        <row r="1">
          <cell r="JB1">
            <v>0</v>
          </cell>
        </row>
      </sheetData>
      <sheetData sheetId="1449">
        <row r="1">
          <cell r="JB1">
            <v>0</v>
          </cell>
        </row>
      </sheetData>
      <sheetData sheetId="1450">
        <row r="1">
          <cell r="JB1">
            <v>0</v>
          </cell>
        </row>
      </sheetData>
      <sheetData sheetId="1451">
        <row r="1">
          <cell r="JB1">
            <v>0</v>
          </cell>
        </row>
      </sheetData>
      <sheetData sheetId="1452">
        <row r="1">
          <cell r="JB1">
            <v>0</v>
          </cell>
        </row>
      </sheetData>
      <sheetData sheetId="1453">
        <row r="1">
          <cell r="JB1">
            <v>0</v>
          </cell>
        </row>
      </sheetData>
      <sheetData sheetId="1454">
        <row r="1">
          <cell r="JB1">
            <v>0</v>
          </cell>
        </row>
      </sheetData>
      <sheetData sheetId="1455">
        <row r="1">
          <cell r="JB1">
            <v>0</v>
          </cell>
        </row>
      </sheetData>
      <sheetData sheetId="1456">
        <row r="1">
          <cell r="JB1">
            <v>0</v>
          </cell>
        </row>
      </sheetData>
      <sheetData sheetId="1457">
        <row r="1">
          <cell r="JB1">
            <v>0</v>
          </cell>
        </row>
      </sheetData>
      <sheetData sheetId="1458">
        <row r="1">
          <cell r="JB1">
            <v>0</v>
          </cell>
        </row>
      </sheetData>
      <sheetData sheetId="1459">
        <row r="1">
          <cell r="JB1">
            <v>0</v>
          </cell>
        </row>
      </sheetData>
      <sheetData sheetId="1460">
        <row r="1">
          <cell r="JB1">
            <v>0</v>
          </cell>
        </row>
      </sheetData>
      <sheetData sheetId="1461">
        <row r="1">
          <cell r="JB1">
            <v>0</v>
          </cell>
        </row>
      </sheetData>
      <sheetData sheetId="1462">
        <row r="1">
          <cell r="JB1">
            <v>0</v>
          </cell>
        </row>
      </sheetData>
      <sheetData sheetId="1463">
        <row r="1">
          <cell r="JB1">
            <v>0</v>
          </cell>
        </row>
      </sheetData>
      <sheetData sheetId="1464">
        <row r="1">
          <cell r="JB1">
            <v>0</v>
          </cell>
        </row>
      </sheetData>
      <sheetData sheetId="1465">
        <row r="1">
          <cell r="JB1">
            <v>0</v>
          </cell>
        </row>
      </sheetData>
      <sheetData sheetId="1466">
        <row r="1">
          <cell r="JB1">
            <v>0</v>
          </cell>
        </row>
      </sheetData>
      <sheetData sheetId="1467">
        <row r="1">
          <cell r="JB1">
            <v>0</v>
          </cell>
        </row>
      </sheetData>
      <sheetData sheetId="1468">
        <row r="1">
          <cell r="JB1">
            <v>0</v>
          </cell>
        </row>
      </sheetData>
      <sheetData sheetId="1469">
        <row r="1">
          <cell r="JB1">
            <v>0</v>
          </cell>
        </row>
      </sheetData>
      <sheetData sheetId="1470">
        <row r="1">
          <cell r="JB1">
            <v>0</v>
          </cell>
        </row>
      </sheetData>
      <sheetData sheetId="1471">
        <row r="1">
          <cell r="JB1">
            <v>0</v>
          </cell>
        </row>
      </sheetData>
      <sheetData sheetId="1472">
        <row r="1">
          <cell r="JB1">
            <v>0</v>
          </cell>
        </row>
      </sheetData>
      <sheetData sheetId="1473">
        <row r="1">
          <cell r="JB1">
            <v>0</v>
          </cell>
        </row>
      </sheetData>
      <sheetData sheetId="1474">
        <row r="1">
          <cell r="JB1">
            <v>0</v>
          </cell>
        </row>
      </sheetData>
      <sheetData sheetId="1475">
        <row r="1">
          <cell r="JB1">
            <v>0</v>
          </cell>
        </row>
      </sheetData>
      <sheetData sheetId="1476">
        <row r="1">
          <cell r="JB1">
            <v>0</v>
          </cell>
        </row>
      </sheetData>
      <sheetData sheetId="1477">
        <row r="1">
          <cell r="JB1">
            <v>0</v>
          </cell>
        </row>
      </sheetData>
      <sheetData sheetId="1478">
        <row r="1">
          <cell r="JB1">
            <v>0</v>
          </cell>
        </row>
      </sheetData>
      <sheetData sheetId="1479">
        <row r="1">
          <cell r="JB1">
            <v>0</v>
          </cell>
        </row>
      </sheetData>
      <sheetData sheetId="1480">
        <row r="1">
          <cell r="JB1">
            <v>0</v>
          </cell>
        </row>
      </sheetData>
      <sheetData sheetId="1481">
        <row r="1">
          <cell r="JB1">
            <v>0</v>
          </cell>
        </row>
      </sheetData>
      <sheetData sheetId="1482">
        <row r="1">
          <cell r="JB1">
            <v>0</v>
          </cell>
        </row>
      </sheetData>
      <sheetData sheetId="1483">
        <row r="1">
          <cell r="JB1">
            <v>0</v>
          </cell>
        </row>
      </sheetData>
      <sheetData sheetId="1484">
        <row r="1">
          <cell r="JB1">
            <v>0</v>
          </cell>
        </row>
      </sheetData>
      <sheetData sheetId="1485">
        <row r="1">
          <cell r="JB1">
            <v>0</v>
          </cell>
        </row>
      </sheetData>
      <sheetData sheetId="1486">
        <row r="1">
          <cell r="JB1">
            <v>0</v>
          </cell>
        </row>
      </sheetData>
      <sheetData sheetId="1487">
        <row r="1">
          <cell r="JB1">
            <v>0</v>
          </cell>
        </row>
      </sheetData>
      <sheetData sheetId="1488">
        <row r="1">
          <cell r="JB1">
            <v>0</v>
          </cell>
        </row>
      </sheetData>
      <sheetData sheetId="1489">
        <row r="1">
          <cell r="JB1">
            <v>0</v>
          </cell>
        </row>
      </sheetData>
      <sheetData sheetId="1490">
        <row r="1">
          <cell r="JB1">
            <v>0</v>
          </cell>
        </row>
      </sheetData>
      <sheetData sheetId="1491">
        <row r="1">
          <cell r="JB1">
            <v>0</v>
          </cell>
        </row>
      </sheetData>
      <sheetData sheetId="1492">
        <row r="1">
          <cell r="JB1">
            <v>0</v>
          </cell>
        </row>
      </sheetData>
      <sheetData sheetId="1493">
        <row r="1">
          <cell r="JB1">
            <v>0</v>
          </cell>
        </row>
      </sheetData>
      <sheetData sheetId="1494">
        <row r="1">
          <cell r="JB1">
            <v>0</v>
          </cell>
        </row>
      </sheetData>
      <sheetData sheetId="1495">
        <row r="1">
          <cell r="JB1">
            <v>0</v>
          </cell>
        </row>
      </sheetData>
      <sheetData sheetId="1496">
        <row r="1">
          <cell r="JB1">
            <v>0</v>
          </cell>
        </row>
      </sheetData>
      <sheetData sheetId="1497">
        <row r="1">
          <cell r="JB1">
            <v>0</v>
          </cell>
        </row>
      </sheetData>
      <sheetData sheetId="1498">
        <row r="1">
          <cell r="JB1">
            <v>0</v>
          </cell>
        </row>
      </sheetData>
      <sheetData sheetId="1499">
        <row r="1">
          <cell r="JB1">
            <v>0</v>
          </cell>
        </row>
      </sheetData>
      <sheetData sheetId="1500">
        <row r="1">
          <cell r="JB1">
            <v>0</v>
          </cell>
        </row>
      </sheetData>
      <sheetData sheetId="1501">
        <row r="1">
          <cell r="JB1">
            <v>0</v>
          </cell>
        </row>
      </sheetData>
      <sheetData sheetId="1502">
        <row r="1">
          <cell r="JB1">
            <v>0</v>
          </cell>
        </row>
      </sheetData>
      <sheetData sheetId="1503">
        <row r="1">
          <cell r="JB1">
            <v>0</v>
          </cell>
        </row>
      </sheetData>
      <sheetData sheetId="1504">
        <row r="1">
          <cell r="JB1">
            <v>0</v>
          </cell>
        </row>
      </sheetData>
      <sheetData sheetId="1505">
        <row r="1">
          <cell r="JB1">
            <v>0</v>
          </cell>
        </row>
      </sheetData>
      <sheetData sheetId="1506">
        <row r="1">
          <cell r="JB1">
            <v>0</v>
          </cell>
        </row>
      </sheetData>
      <sheetData sheetId="1507">
        <row r="1">
          <cell r="JB1">
            <v>0</v>
          </cell>
        </row>
      </sheetData>
      <sheetData sheetId="1508">
        <row r="1">
          <cell r="JB1">
            <v>0</v>
          </cell>
        </row>
      </sheetData>
      <sheetData sheetId="1509">
        <row r="1">
          <cell r="JB1">
            <v>0</v>
          </cell>
        </row>
      </sheetData>
      <sheetData sheetId="1510">
        <row r="1">
          <cell r="JB1">
            <v>0</v>
          </cell>
        </row>
      </sheetData>
      <sheetData sheetId="1511">
        <row r="1">
          <cell r="JB1">
            <v>0</v>
          </cell>
        </row>
      </sheetData>
      <sheetData sheetId="1512">
        <row r="1">
          <cell r="JB1">
            <v>0</v>
          </cell>
        </row>
      </sheetData>
      <sheetData sheetId="1513">
        <row r="1">
          <cell r="JB1">
            <v>0</v>
          </cell>
        </row>
      </sheetData>
      <sheetData sheetId="1514">
        <row r="1">
          <cell r="JB1">
            <v>0</v>
          </cell>
        </row>
      </sheetData>
      <sheetData sheetId="1515">
        <row r="1">
          <cell r="JB1">
            <v>0</v>
          </cell>
        </row>
      </sheetData>
      <sheetData sheetId="1516">
        <row r="1">
          <cell r="JB1">
            <v>0</v>
          </cell>
        </row>
      </sheetData>
      <sheetData sheetId="1517">
        <row r="1">
          <cell r="JB1">
            <v>0</v>
          </cell>
        </row>
      </sheetData>
      <sheetData sheetId="1518">
        <row r="1">
          <cell r="JB1">
            <v>0</v>
          </cell>
        </row>
      </sheetData>
      <sheetData sheetId="1519">
        <row r="1">
          <cell r="JB1">
            <v>0</v>
          </cell>
        </row>
      </sheetData>
      <sheetData sheetId="1520">
        <row r="1">
          <cell r="JB1">
            <v>0</v>
          </cell>
        </row>
      </sheetData>
      <sheetData sheetId="1521">
        <row r="1">
          <cell r="JB1">
            <v>0</v>
          </cell>
        </row>
      </sheetData>
      <sheetData sheetId="1522">
        <row r="1">
          <cell r="JB1">
            <v>0</v>
          </cell>
        </row>
      </sheetData>
      <sheetData sheetId="1523">
        <row r="1">
          <cell r="JB1">
            <v>0</v>
          </cell>
        </row>
      </sheetData>
      <sheetData sheetId="1524">
        <row r="1">
          <cell r="JB1">
            <v>0</v>
          </cell>
        </row>
      </sheetData>
      <sheetData sheetId="1525">
        <row r="1">
          <cell r="JB1">
            <v>0</v>
          </cell>
        </row>
      </sheetData>
      <sheetData sheetId="1526">
        <row r="1">
          <cell r="JB1">
            <v>0</v>
          </cell>
        </row>
      </sheetData>
      <sheetData sheetId="1527">
        <row r="1">
          <cell r="JB1">
            <v>0</v>
          </cell>
        </row>
      </sheetData>
      <sheetData sheetId="1528">
        <row r="1">
          <cell r="JB1">
            <v>0</v>
          </cell>
        </row>
      </sheetData>
      <sheetData sheetId="1529">
        <row r="1">
          <cell r="JB1">
            <v>0</v>
          </cell>
        </row>
      </sheetData>
      <sheetData sheetId="1530">
        <row r="1">
          <cell r="JB1">
            <v>0</v>
          </cell>
        </row>
      </sheetData>
      <sheetData sheetId="1531">
        <row r="1">
          <cell r="JB1">
            <v>0</v>
          </cell>
        </row>
      </sheetData>
      <sheetData sheetId="1532">
        <row r="1">
          <cell r="JB1">
            <v>0</v>
          </cell>
        </row>
      </sheetData>
      <sheetData sheetId="1533">
        <row r="1">
          <cell r="JB1">
            <v>0</v>
          </cell>
        </row>
      </sheetData>
      <sheetData sheetId="1534">
        <row r="1">
          <cell r="JB1">
            <v>0</v>
          </cell>
        </row>
      </sheetData>
      <sheetData sheetId="1535">
        <row r="1">
          <cell r="JB1">
            <v>0</v>
          </cell>
        </row>
      </sheetData>
      <sheetData sheetId="1536">
        <row r="1">
          <cell r="JB1">
            <v>0</v>
          </cell>
        </row>
      </sheetData>
      <sheetData sheetId="1537">
        <row r="1">
          <cell r="JB1">
            <v>0</v>
          </cell>
        </row>
      </sheetData>
      <sheetData sheetId="1538">
        <row r="1">
          <cell r="JB1">
            <v>0</v>
          </cell>
        </row>
      </sheetData>
      <sheetData sheetId="1539">
        <row r="1">
          <cell r="JB1">
            <v>0</v>
          </cell>
        </row>
      </sheetData>
      <sheetData sheetId="1540">
        <row r="1">
          <cell r="JB1">
            <v>0</v>
          </cell>
        </row>
      </sheetData>
      <sheetData sheetId="1541">
        <row r="1">
          <cell r="JB1">
            <v>0</v>
          </cell>
        </row>
      </sheetData>
      <sheetData sheetId="1542">
        <row r="1">
          <cell r="JB1">
            <v>0</v>
          </cell>
        </row>
      </sheetData>
      <sheetData sheetId="1543">
        <row r="1">
          <cell r="JB1">
            <v>0</v>
          </cell>
        </row>
      </sheetData>
      <sheetData sheetId="1544">
        <row r="1">
          <cell r="JB1">
            <v>0</v>
          </cell>
        </row>
      </sheetData>
      <sheetData sheetId="1545">
        <row r="1">
          <cell r="JB1">
            <v>0</v>
          </cell>
        </row>
      </sheetData>
      <sheetData sheetId="1546">
        <row r="1">
          <cell r="JB1">
            <v>0</v>
          </cell>
        </row>
      </sheetData>
      <sheetData sheetId="1547">
        <row r="1">
          <cell r="JB1">
            <v>0</v>
          </cell>
        </row>
      </sheetData>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ow r="1">
          <cell r="JB1">
            <v>0</v>
          </cell>
        </row>
      </sheetData>
      <sheetData sheetId="1566">
        <row r="1">
          <cell r="JB1">
            <v>0</v>
          </cell>
        </row>
      </sheetData>
      <sheetData sheetId="1567">
        <row r="1">
          <cell r="JB1">
            <v>0</v>
          </cell>
        </row>
      </sheetData>
      <sheetData sheetId="1568">
        <row r="1">
          <cell r="JB1">
            <v>0</v>
          </cell>
        </row>
      </sheetData>
      <sheetData sheetId="1569">
        <row r="1">
          <cell r="JB1">
            <v>0</v>
          </cell>
        </row>
      </sheetData>
      <sheetData sheetId="1570">
        <row r="1">
          <cell r="JB1">
            <v>0</v>
          </cell>
        </row>
      </sheetData>
      <sheetData sheetId="1571">
        <row r="1">
          <cell r="JB1">
            <v>0</v>
          </cell>
        </row>
      </sheetData>
      <sheetData sheetId="1572">
        <row r="1">
          <cell r="JB1">
            <v>0</v>
          </cell>
        </row>
      </sheetData>
      <sheetData sheetId="1573">
        <row r="1">
          <cell r="JB1">
            <v>0</v>
          </cell>
        </row>
      </sheetData>
      <sheetData sheetId="1574">
        <row r="1">
          <cell r="JB1">
            <v>0</v>
          </cell>
        </row>
      </sheetData>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ow r="1">
          <cell r="JB1">
            <v>0</v>
          </cell>
        </row>
      </sheetData>
      <sheetData sheetId="1638">
        <row r="1">
          <cell r="JB1">
            <v>0</v>
          </cell>
        </row>
      </sheetData>
      <sheetData sheetId="1639">
        <row r="1">
          <cell r="JB1">
            <v>0</v>
          </cell>
        </row>
      </sheetData>
      <sheetData sheetId="1640">
        <row r="1">
          <cell r="JB1">
            <v>0</v>
          </cell>
        </row>
      </sheetData>
      <sheetData sheetId="1641">
        <row r="1">
          <cell r="JB1">
            <v>0</v>
          </cell>
        </row>
      </sheetData>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ow r="1">
          <cell r="JB1">
            <v>0</v>
          </cell>
        </row>
      </sheetData>
      <sheetData sheetId="1753">
        <row r="1">
          <cell r="JB1">
            <v>0</v>
          </cell>
        </row>
      </sheetData>
      <sheetData sheetId="1754">
        <row r="1">
          <cell r="JB1">
            <v>0</v>
          </cell>
        </row>
      </sheetData>
      <sheetData sheetId="1755">
        <row r="1">
          <cell r="JB1">
            <v>0</v>
          </cell>
        </row>
      </sheetData>
      <sheetData sheetId="1756">
        <row r="1">
          <cell r="JB1">
            <v>0</v>
          </cell>
        </row>
      </sheetData>
      <sheetData sheetId="1757">
        <row r="1">
          <cell r="JB1">
            <v>0</v>
          </cell>
        </row>
      </sheetData>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ow r="1">
          <cell r="JB1">
            <v>0</v>
          </cell>
        </row>
      </sheetData>
      <sheetData sheetId="1785">
        <row r="1">
          <cell r="JB1">
            <v>0</v>
          </cell>
        </row>
      </sheetData>
      <sheetData sheetId="1786">
        <row r="1">
          <cell r="JB1">
            <v>0</v>
          </cell>
        </row>
      </sheetData>
      <sheetData sheetId="1787">
        <row r="1">
          <cell r="JB1">
            <v>0</v>
          </cell>
        </row>
      </sheetData>
      <sheetData sheetId="1788">
        <row r="1">
          <cell r="JB1">
            <v>0</v>
          </cell>
        </row>
      </sheetData>
      <sheetData sheetId="1789">
        <row r="1">
          <cell r="JB1">
            <v>0</v>
          </cell>
        </row>
      </sheetData>
      <sheetData sheetId="1790">
        <row r="1">
          <cell r="JB1">
            <v>0</v>
          </cell>
        </row>
      </sheetData>
      <sheetData sheetId="1791">
        <row r="1">
          <cell r="JB1">
            <v>0</v>
          </cell>
        </row>
      </sheetData>
      <sheetData sheetId="1792">
        <row r="1">
          <cell r="JB1">
            <v>0</v>
          </cell>
        </row>
      </sheetData>
      <sheetData sheetId="1793">
        <row r="1">
          <cell r="JB1">
            <v>0</v>
          </cell>
        </row>
      </sheetData>
      <sheetData sheetId="1794">
        <row r="1">
          <cell r="JB1">
            <v>0</v>
          </cell>
        </row>
      </sheetData>
      <sheetData sheetId="1795">
        <row r="1">
          <cell r="JB1">
            <v>0</v>
          </cell>
        </row>
      </sheetData>
      <sheetData sheetId="1796">
        <row r="1">
          <cell r="JB1">
            <v>0</v>
          </cell>
        </row>
      </sheetData>
      <sheetData sheetId="1797">
        <row r="1">
          <cell r="JB1">
            <v>0</v>
          </cell>
        </row>
      </sheetData>
      <sheetData sheetId="1798">
        <row r="1">
          <cell r="JB1">
            <v>0</v>
          </cell>
        </row>
      </sheetData>
      <sheetData sheetId="1799">
        <row r="1">
          <cell r="JB1">
            <v>0</v>
          </cell>
        </row>
      </sheetData>
      <sheetData sheetId="1800">
        <row r="1">
          <cell r="JB1">
            <v>0</v>
          </cell>
        </row>
      </sheetData>
      <sheetData sheetId="1801">
        <row r="1">
          <cell r="JB1">
            <v>0</v>
          </cell>
        </row>
      </sheetData>
      <sheetData sheetId="1802">
        <row r="1">
          <cell r="JB1">
            <v>0</v>
          </cell>
        </row>
      </sheetData>
      <sheetData sheetId="1803">
        <row r="1">
          <cell r="JB1">
            <v>0</v>
          </cell>
        </row>
      </sheetData>
      <sheetData sheetId="1804">
        <row r="1">
          <cell r="JB1">
            <v>0</v>
          </cell>
        </row>
      </sheetData>
      <sheetData sheetId="1805">
        <row r="1">
          <cell r="JB1">
            <v>0</v>
          </cell>
        </row>
      </sheetData>
      <sheetData sheetId="1806">
        <row r="1">
          <cell r="JB1">
            <v>0</v>
          </cell>
        </row>
      </sheetData>
      <sheetData sheetId="1807">
        <row r="1">
          <cell r="JB1">
            <v>0</v>
          </cell>
        </row>
      </sheetData>
      <sheetData sheetId="1808">
        <row r="1">
          <cell r="JB1">
            <v>0</v>
          </cell>
        </row>
      </sheetData>
      <sheetData sheetId="1809">
        <row r="1">
          <cell r="JB1">
            <v>0</v>
          </cell>
        </row>
      </sheetData>
      <sheetData sheetId="1810">
        <row r="1">
          <cell r="JB1">
            <v>0</v>
          </cell>
        </row>
      </sheetData>
      <sheetData sheetId="1811">
        <row r="1">
          <cell r="JB1">
            <v>0</v>
          </cell>
        </row>
      </sheetData>
      <sheetData sheetId="1812">
        <row r="1">
          <cell r="JB1">
            <v>0</v>
          </cell>
        </row>
      </sheetData>
      <sheetData sheetId="1813">
        <row r="1">
          <cell r="JB1">
            <v>0</v>
          </cell>
        </row>
      </sheetData>
      <sheetData sheetId="1814">
        <row r="1">
          <cell r="JB1">
            <v>0</v>
          </cell>
        </row>
      </sheetData>
      <sheetData sheetId="1815">
        <row r="1">
          <cell r="JB1">
            <v>0</v>
          </cell>
        </row>
      </sheetData>
      <sheetData sheetId="1816">
        <row r="1">
          <cell r="JB1">
            <v>0</v>
          </cell>
        </row>
      </sheetData>
      <sheetData sheetId="1817">
        <row r="1">
          <cell r="JB1">
            <v>0</v>
          </cell>
        </row>
      </sheetData>
      <sheetData sheetId="1818">
        <row r="1">
          <cell r="JB1">
            <v>0</v>
          </cell>
        </row>
      </sheetData>
      <sheetData sheetId="1819">
        <row r="1">
          <cell r="JB1">
            <v>0</v>
          </cell>
        </row>
      </sheetData>
      <sheetData sheetId="1820">
        <row r="1">
          <cell r="JB1">
            <v>0</v>
          </cell>
        </row>
      </sheetData>
      <sheetData sheetId="1821">
        <row r="1">
          <cell r="JB1">
            <v>0</v>
          </cell>
        </row>
      </sheetData>
      <sheetData sheetId="1822">
        <row r="1">
          <cell r="JB1">
            <v>0</v>
          </cell>
        </row>
      </sheetData>
      <sheetData sheetId="1823">
        <row r="1">
          <cell r="JB1">
            <v>0</v>
          </cell>
        </row>
      </sheetData>
      <sheetData sheetId="1824">
        <row r="1">
          <cell r="JB1">
            <v>0</v>
          </cell>
        </row>
      </sheetData>
      <sheetData sheetId="1825">
        <row r="1">
          <cell r="JB1">
            <v>0</v>
          </cell>
        </row>
      </sheetData>
      <sheetData sheetId="1826">
        <row r="1">
          <cell r="JB1">
            <v>0</v>
          </cell>
        </row>
      </sheetData>
      <sheetData sheetId="1827">
        <row r="1">
          <cell r="JB1">
            <v>0</v>
          </cell>
        </row>
      </sheetData>
      <sheetData sheetId="1828">
        <row r="1">
          <cell r="JB1">
            <v>0</v>
          </cell>
        </row>
      </sheetData>
      <sheetData sheetId="1829">
        <row r="1">
          <cell r="JB1">
            <v>0</v>
          </cell>
        </row>
      </sheetData>
      <sheetData sheetId="1830">
        <row r="1">
          <cell r="JB1">
            <v>0</v>
          </cell>
        </row>
      </sheetData>
      <sheetData sheetId="1831">
        <row r="1">
          <cell r="JB1">
            <v>0</v>
          </cell>
        </row>
      </sheetData>
      <sheetData sheetId="1832">
        <row r="1">
          <cell r="JB1">
            <v>0</v>
          </cell>
        </row>
      </sheetData>
      <sheetData sheetId="1833">
        <row r="1">
          <cell r="JB1">
            <v>0</v>
          </cell>
        </row>
      </sheetData>
      <sheetData sheetId="1834">
        <row r="1">
          <cell r="JB1">
            <v>0</v>
          </cell>
        </row>
      </sheetData>
      <sheetData sheetId="1835">
        <row r="1">
          <cell r="JB1">
            <v>0</v>
          </cell>
        </row>
      </sheetData>
      <sheetData sheetId="1836">
        <row r="1">
          <cell r="JB1">
            <v>0</v>
          </cell>
        </row>
      </sheetData>
      <sheetData sheetId="1837">
        <row r="1">
          <cell r="JB1">
            <v>0</v>
          </cell>
        </row>
      </sheetData>
      <sheetData sheetId="1838">
        <row r="1">
          <cell r="JB1">
            <v>0</v>
          </cell>
        </row>
      </sheetData>
      <sheetData sheetId="1839">
        <row r="1">
          <cell r="JB1">
            <v>0</v>
          </cell>
        </row>
      </sheetData>
      <sheetData sheetId="1840">
        <row r="1">
          <cell r="JB1">
            <v>0</v>
          </cell>
        </row>
      </sheetData>
      <sheetData sheetId="1841">
        <row r="1">
          <cell r="JB1">
            <v>0</v>
          </cell>
        </row>
      </sheetData>
      <sheetData sheetId="1842">
        <row r="1">
          <cell r="JB1">
            <v>0</v>
          </cell>
        </row>
      </sheetData>
      <sheetData sheetId="1843">
        <row r="1">
          <cell r="JB1">
            <v>0</v>
          </cell>
        </row>
      </sheetData>
      <sheetData sheetId="1844">
        <row r="1">
          <cell r="JB1">
            <v>0</v>
          </cell>
        </row>
      </sheetData>
      <sheetData sheetId="1845">
        <row r="1">
          <cell r="JB1">
            <v>0</v>
          </cell>
        </row>
      </sheetData>
      <sheetData sheetId="1846">
        <row r="1">
          <cell r="JB1">
            <v>0</v>
          </cell>
        </row>
      </sheetData>
      <sheetData sheetId="1847">
        <row r="1">
          <cell r="JB1">
            <v>0</v>
          </cell>
        </row>
      </sheetData>
      <sheetData sheetId="1848">
        <row r="1">
          <cell r="JB1">
            <v>0</v>
          </cell>
        </row>
      </sheetData>
      <sheetData sheetId="1849">
        <row r="1">
          <cell r="JB1">
            <v>0</v>
          </cell>
        </row>
      </sheetData>
      <sheetData sheetId="1850">
        <row r="1">
          <cell r="JB1">
            <v>0</v>
          </cell>
        </row>
      </sheetData>
      <sheetData sheetId="1851">
        <row r="1">
          <cell r="JB1">
            <v>0</v>
          </cell>
        </row>
      </sheetData>
      <sheetData sheetId="1852">
        <row r="1">
          <cell r="JB1">
            <v>0</v>
          </cell>
        </row>
      </sheetData>
      <sheetData sheetId="1853">
        <row r="1">
          <cell r="JB1">
            <v>0</v>
          </cell>
        </row>
      </sheetData>
      <sheetData sheetId="1854">
        <row r="1">
          <cell r="JB1">
            <v>0</v>
          </cell>
        </row>
      </sheetData>
      <sheetData sheetId="1855">
        <row r="1">
          <cell r="JB1">
            <v>0</v>
          </cell>
        </row>
      </sheetData>
      <sheetData sheetId="1856">
        <row r="1">
          <cell r="JB1">
            <v>0</v>
          </cell>
        </row>
      </sheetData>
      <sheetData sheetId="1857">
        <row r="1">
          <cell r="JB1">
            <v>0</v>
          </cell>
        </row>
      </sheetData>
      <sheetData sheetId="1858">
        <row r="1">
          <cell r="JB1">
            <v>0</v>
          </cell>
        </row>
      </sheetData>
      <sheetData sheetId="1859">
        <row r="1">
          <cell r="JB1">
            <v>0</v>
          </cell>
        </row>
      </sheetData>
      <sheetData sheetId="1860">
        <row r="1">
          <cell r="JB1">
            <v>0</v>
          </cell>
        </row>
      </sheetData>
      <sheetData sheetId="1861">
        <row r="1">
          <cell r="JB1">
            <v>0</v>
          </cell>
        </row>
      </sheetData>
      <sheetData sheetId="1862">
        <row r="1">
          <cell r="JB1">
            <v>0</v>
          </cell>
        </row>
      </sheetData>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ow r="1">
          <cell r="JB1">
            <v>0</v>
          </cell>
        </row>
      </sheetData>
      <sheetData sheetId="1959">
        <row r="1">
          <cell r="JB1">
            <v>0</v>
          </cell>
        </row>
      </sheetData>
      <sheetData sheetId="1960">
        <row r="1">
          <cell r="JB1">
            <v>0</v>
          </cell>
        </row>
      </sheetData>
      <sheetData sheetId="1961">
        <row r="1">
          <cell r="JB1">
            <v>0</v>
          </cell>
        </row>
      </sheetData>
      <sheetData sheetId="1962">
        <row r="1">
          <cell r="JB1">
            <v>0</v>
          </cell>
        </row>
      </sheetData>
      <sheetData sheetId="1963">
        <row r="1">
          <cell r="JB1">
            <v>0</v>
          </cell>
        </row>
      </sheetData>
      <sheetData sheetId="1964">
        <row r="1">
          <cell r="JB1">
            <v>0</v>
          </cell>
        </row>
      </sheetData>
      <sheetData sheetId="1965">
        <row r="1">
          <cell r="JB1">
            <v>0</v>
          </cell>
        </row>
      </sheetData>
      <sheetData sheetId="1966">
        <row r="1">
          <cell r="JB1">
            <v>0</v>
          </cell>
        </row>
      </sheetData>
      <sheetData sheetId="1967">
        <row r="1">
          <cell r="JB1">
            <v>0</v>
          </cell>
        </row>
      </sheetData>
      <sheetData sheetId="1968">
        <row r="1">
          <cell r="JB1">
            <v>0</v>
          </cell>
        </row>
      </sheetData>
      <sheetData sheetId="1969">
        <row r="1">
          <cell r="JB1">
            <v>0</v>
          </cell>
        </row>
      </sheetData>
      <sheetData sheetId="1970">
        <row r="1">
          <cell r="JB1">
            <v>0</v>
          </cell>
        </row>
      </sheetData>
      <sheetData sheetId="1971">
        <row r="1">
          <cell r="JB1">
            <v>0</v>
          </cell>
        </row>
      </sheetData>
      <sheetData sheetId="1972">
        <row r="1">
          <cell r="JB1">
            <v>0</v>
          </cell>
        </row>
      </sheetData>
      <sheetData sheetId="1973">
        <row r="1">
          <cell r="JB1">
            <v>0</v>
          </cell>
        </row>
      </sheetData>
      <sheetData sheetId="1974">
        <row r="1">
          <cell r="JB1">
            <v>0</v>
          </cell>
        </row>
      </sheetData>
      <sheetData sheetId="1975">
        <row r="1">
          <cell r="JB1">
            <v>0</v>
          </cell>
        </row>
      </sheetData>
      <sheetData sheetId="1976">
        <row r="1">
          <cell r="JB1">
            <v>0</v>
          </cell>
        </row>
      </sheetData>
      <sheetData sheetId="1977">
        <row r="1">
          <cell r="JB1">
            <v>0</v>
          </cell>
        </row>
      </sheetData>
      <sheetData sheetId="1978">
        <row r="1">
          <cell r="JB1">
            <v>0</v>
          </cell>
        </row>
      </sheetData>
      <sheetData sheetId="1979">
        <row r="1">
          <cell r="JB1">
            <v>0</v>
          </cell>
        </row>
      </sheetData>
      <sheetData sheetId="1980">
        <row r="1">
          <cell r="JB1">
            <v>0</v>
          </cell>
        </row>
      </sheetData>
      <sheetData sheetId="1981">
        <row r="1">
          <cell r="JB1">
            <v>0</v>
          </cell>
        </row>
      </sheetData>
      <sheetData sheetId="1982">
        <row r="1">
          <cell r="JB1">
            <v>0</v>
          </cell>
        </row>
      </sheetData>
      <sheetData sheetId="1983">
        <row r="1">
          <cell r="JB1">
            <v>0</v>
          </cell>
        </row>
      </sheetData>
      <sheetData sheetId="1984">
        <row r="1">
          <cell r="JB1">
            <v>0</v>
          </cell>
        </row>
      </sheetData>
      <sheetData sheetId="1985">
        <row r="1">
          <cell r="JB1">
            <v>0</v>
          </cell>
        </row>
      </sheetData>
      <sheetData sheetId="1986">
        <row r="1">
          <cell r="JB1">
            <v>0</v>
          </cell>
        </row>
      </sheetData>
      <sheetData sheetId="1987">
        <row r="1">
          <cell r="JB1">
            <v>0</v>
          </cell>
        </row>
      </sheetData>
      <sheetData sheetId="1988">
        <row r="1">
          <cell r="JB1">
            <v>0</v>
          </cell>
        </row>
      </sheetData>
      <sheetData sheetId="1989">
        <row r="1">
          <cell r="JB1">
            <v>0</v>
          </cell>
        </row>
      </sheetData>
      <sheetData sheetId="1990">
        <row r="1">
          <cell r="JB1">
            <v>0</v>
          </cell>
        </row>
      </sheetData>
      <sheetData sheetId="1991">
        <row r="1">
          <cell r="JB1">
            <v>0</v>
          </cell>
        </row>
      </sheetData>
      <sheetData sheetId="1992">
        <row r="1">
          <cell r="JB1">
            <v>0</v>
          </cell>
        </row>
      </sheetData>
      <sheetData sheetId="1993">
        <row r="1">
          <cell r="JB1">
            <v>0</v>
          </cell>
        </row>
      </sheetData>
      <sheetData sheetId="1994">
        <row r="1">
          <cell r="JB1">
            <v>0</v>
          </cell>
        </row>
      </sheetData>
      <sheetData sheetId="1995">
        <row r="1">
          <cell r="JB1">
            <v>0</v>
          </cell>
        </row>
      </sheetData>
      <sheetData sheetId="1996">
        <row r="1">
          <cell r="JB1">
            <v>0</v>
          </cell>
        </row>
      </sheetData>
      <sheetData sheetId="1997">
        <row r="1">
          <cell r="JB1">
            <v>0</v>
          </cell>
        </row>
      </sheetData>
      <sheetData sheetId="1998">
        <row r="1">
          <cell r="JB1">
            <v>0</v>
          </cell>
        </row>
      </sheetData>
      <sheetData sheetId="1999">
        <row r="1">
          <cell r="JB1">
            <v>0</v>
          </cell>
        </row>
      </sheetData>
      <sheetData sheetId="2000">
        <row r="1">
          <cell r="JB1">
            <v>0</v>
          </cell>
        </row>
      </sheetData>
      <sheetData sheetId="2001">
        <row r="1">
          <cell r="JB1">
            <v>0</v>
          </cell>
        </row>
      </sheetData>
      <sheetData sheetId="2002">
        <row r="1">
          <cell r="JB1">
            <v>0</v>
          </cell>
        </row>
      </sheetData>
      <sheetData sheetId="2003">
        <row r="1">
          <cell r="JB1">
            <v>0</v>
          </cell>
        </row>
      </sheetData>
      <sheetData sheetId="2004">
        <row r="1">
          <cell r="JB1">
            <v>0</v>
          </cell>
        </row>
      </sheetData>
      <sheetData sheetId="2005">
        <row r="1">
          <cell r="JB1">
            <v>0</v>
          </cell>
        </row>
      </sheetData>
      <sheetData sheetId="2006">
        <row r="1">
          <cell r="JB1">
            <v>0</v>
          </cell>
        </row>
      </sheetData>
      <sheetData sheetId="2007">
        <row r="1">
          <cell r="JB1">
            <v>0</v>
          </cell>
        </row>
      </sheetData>
      <sheetData sheetId="2008">
        <row r="1">
          <cell r="JB1">
            <v>0</v>
          </cell>
        </row>
      </sheetData>
      <sheetData sheetId="2009">
        <row r="1">
          <cell r="JB1">
            <v>0</v>
          </cell>
        </row>
      </sheetData>
      <sheetData sheetId="2010">
        <row r="1">
          <cell r="JB1">
            <v>0</v>
          </cell>
        </row>
      </sheetData>
      <sheetData sheetId="2011">
        <row r="1">
          <cell r="JB1">
            <v>0</v>
          </cell>
        </row>
      </sheetData>
      <sheetData sheetId="2012">
        <row r="1">
          <cell r="JB1">
            <v>0</v>
          </cell>
        </row>
      </sheetData>
      <sheetData sheetId="2013">
        <row r="1">
          <cell r="JB1">
            <v>0</v>
          </cell>
        </row>
      </sheetData>
      <sheetData sheetId="2014">
        <row r="1">
          <cell r="JB1">
            <v>0</v>
          </cell>
        </row>
      </sheetData>
      <sheetData sheetId="2015">
        <row r="1">
          <cell r="JB1">
            <v>0</v>
          </cell>
        </row>
      </sheetData>
      <sheetData sheetId="2016">
        <row r="1">
          <cell r="JB1">
            <v>0</v>
          </cell>
        </row>
      </sheetData>
      <sheetData sheetId="2017">
        <row r="1">
          <cell r="JB1">
            <v>0</v>
          </cell>
        </row>
      </sheetData>
      <sheetData sheetId="2018">
        <row r="1">
          <cell r="JB1">
            <v>0</v>
          </cell>
        </row>
      </sheetData>
      <sheetData sheetId="2019">
        <row r="1">
          <cell r="JB1">
            <v>0</v>
          </cell>
        </row>
      </sheetData>
      <sheetData sheetId="2020">
        <row r="1">
          <cell r="JB1">
            <v>0</v>
          </cell>
        </row>
      </sheetData>
      <sheetData sheetId="2021">
        <row r="1">
          <cell r="JB1">
            <v>0</v>
          </cell>
        </row>
      </sheetData>
      <sheetData sheetId="2022">
        <row r="1">
          <cell r="JB1">
            <v>0</v>
          </cell>
        </row>
      </sheetData>
      <sheetData sheetId="2023">
        <row r="1">
          <cell r="JB1">
            <v>0</v>
          </cell>
        </row>
      </sheetData>
      <sheetData sheetId="2024">
        <row r="1">
          <cell r="JB1">
            <v>0</v>
          </cell>
        </row>
      </sheetData>
      <sheetData sheetId="2025">
        <row r="1">
          <cell r="JB1">
            <v>0</v>
          </cell>
        </row>
      </sheetData>
      <sheetData sheetId="2026">
        <row r="1">
          <cell r="JB1">
            <v>0</v>
          </cell>
        </row>
      </sheetData>
      <sheetData sheetId="2027">
        <row r="1">
          <cell r="JB1">
            <v>0</v>
          </cell>
        </row>
      </sheetData>
      <sheetData sheetId="2028">
        <row r="1">
          <cell r="JB1">
            <v>0</v>
          </cell>
        </row>
      </sheetData>
      <sheetData sheetId="2029">
        <row r="1">
          <cell r="JB1">
            <v>0</v>
          </cell>
        </row>
      </sheetData>
      <sheetData sheetId="2030">
        <row r="1">
          <cell r="JB1">
            <v>0</v>
          </cell>
        </row>
      </sheetData>
      <sheetData sheetId="2031">
        <row r="1">
          <cell r="JB1">
            <v>0</v>
          </cell>
        </row>
      </sheetData>
      <sheetData sheetId="2032">
        <row r="1">
          <cell r="JB1">
            <v>0</v>
          </cell>
        </row>
      </sheetData>
      <sheetData sheetId="2033">
        <row r="1">
          <cell r="JB1">
            <v>0</v>
          </cell>
        </row>
      </sheetData>
      <sheetData sheetId="2034">
        <row r="1">
          <cell r="JB1">
            <v>0</v>
          </cell>
        </row>
      </sheetData>
      <sheetData sheetId="2035">
        <row r="1">
          <cell r="JB1">
            <v>0</v>
          </cell>
        </row>
      </sheetData>
      <sheetData sheetId="2036">
        <row r="1">
          <cell r="JB1">
            <v>0</v>
          </cell>
        </row>
      </sheetData>
      <sheetData sheetId="2037">
        <row r="1">
          <cell r="JB1">
            <v>0</v>
          </cell>
        </row>
      </sheetData>
      <sheetData sheetId="2038">
        <row r="1">
          <cell r="JB1">
            <v>0</v>
          </cell>
        </row>
      </sheetData>
      <sheetData sheetId="2039">
        <row r="1">
          <cell r="JB1">
            <v>0</v>
          </cell>
        </row>
      </sheetData>
      <sheetData sheetId="2040">
        <row r="1">
          <cell r="JB1">
            <v>0</v>
          </cell>
        </row>
      </sheetData>
      <sheetData sheetId="2041">
        <row r="1">
          <cell r="JB1">
            <v>0</v>
          </cell>
        </row>
      </sheetData>
      <sheetData sheetId="2042">
        <row r="1">
          <cell r="JB1">
            <v>0</v>
          </cell>
        </row>
      </sheetData>
      <sheetData sheetId="2043">
        <row r="1">
          <cell r="JB1">
            <v>0</v>
          </cell>
        </row>
      </sheetData>
      <sheetData sheetId="2044">
        <row r="1">
          <cell r="JB1">
            <v>0</v>
          </cell>
        </row>
      </sheetData>
      <sheetData sheetId="2045">
        <row r="1">
          <cell r="JB1">
            <v>0</v>
          </cell>
        </row>
      </sheetData>
      <sheetData sheetId="2046">
        <row r="1">
          <cell r="JB1">
            <v>0</v>
          </cell>
        </row>
      </sheetData>
      <sheetData sheetId="2047">
        <row r="1">
          <cell r="JB1">
            <v>0</v>
          </cell>
        </row>
      </sheetData>
      <sheetData sheetId="2048">
        <row r="1">
          <cell r="JB1">
            <v>0</v>
          </cell>
        </row>
      </sheetData>
      <sheetData sheetId="2049">
        <row r="1">
          <cell r="JB1">
            <v>0</v>
          </cell>
        </row>
      </sheetData>
      <sheetData sheetId="2050">
        <row r="1">
          <cell r="JB1">
            <v>0</v>
          </cell>
        </row>
      </sheetData>
      <sheetData sheetId="2051">
        <row r="1">
          <cell r="JB1">
            <v>0</v>
          </cell>
        </row>
      </sheetData>
      <sheetData sheetId="2052">
        <row r="1">
          <cell r="JB1">
            <v>0</v>
          </cell>
        </row>
      </sheetData>
      <sheetData sheetId="2053">
        <row r="1">
          <cell r="JB1">
            <v>0</v>
          </cell>
        </row>
      </sheetData>
      <sheetData sheetId="2054">
        <row r="1">
          <cell r="JB1">
            <v>0</v>
          </cell>
        </row>
      </sheetData>
      <sheetData sheetId="2055">
        <row r="1">
          <cell r="JB1">
            <v>0</v>
          </cell>
        </row>
      </sheetData>
      <sheetData sheetId="2056">
        <row r="1">
          <cell r="JB1">
            <v>0</v>
          </cell>
        </row>
      </sheetData>
      <sheetData sheetId="2057">
        <row r="1">
          <cell r="JB1">
            <v>0</v>
          </cell>
        </row>
      </sheetData>
      <sheetData sheetId="2058">
        <row r="1">
          <cell r="JB1">
            <v>0</v>
          </cell>
        </row>
      </sheetData>
      <sheetData sheetId="2059">
        <row r="1">
          <cell r="JB1">
            <v>0</v>
          </cell>
        </row>
      </sheetData>
      <sheetData sheetId="2060">
        <row r="1">
          <cell r="JB1">
            <v>0</v>
          </cell>
        </row>
      </sheetData>
      <sheetData sheetId="2061">
        <row r="1">
          <cell r="JB1">
            <v>0</v>
          </cell>
        </row>
      </sheetData>
      <sheetData sheetId="2062">
        <row r="1">
          <cell r="JB1">
            <v>0</v>
          </cell>
        </row>
      </sheetData>
      <sheetData sheetId="2063">
        <row r="1">
          <cell r="JB1">
            <v>0</v>
          </cell>
        </row>
      </sheetData>
      <sheetData sheetId="2064">
        <row r="1">
          <cell r="JB1">
            <v>0</v>
          </cell>
        </row>
      </sheetData>
      <sheetData sheetId="2065">
        <row r="1">
          <cell r="JB1">
            <v>0</v>
          </cell>
        </row>
      </sheetData>
      <sheetData sheetId="2066">
        <row r="1">
          <cell r="JB1">
            <v>0</v>
          </cell>
        </row>
      </sheetData>
      <sheetData sheetId="2067">
        <row r="1">
          <cell r="JB1">
            <v>0</v>
          </cell>
        </row>
      </sheetData>
      <sheetData sheetId="2068">
        <row r="1">
          <cell r="JB1">
            <v>0</v>
          </cell>
        </row>
      </sheetData>
      <sheetData sheetId="2069">
        <row r="1">
          <cell r="JB1">
            <v>0</v>
          </cell>
        </row>
      </sheetData>
      <sheetData sheetId="2070">
        <row r="1">
          <cell r="JB1">
            <v>0</v>
          </cell>
        </row>
      </sheetData>
      <sheetData sheetId="2071">
        <row r="1">
          <cell r="JB1">
            <v>0</v>
          </cell>
        </row>
      </sheetData>
      <sheetData sheetId="2072">
        <row r="1">
          <cell r="JB1">
            <v>0</v>
          </cell>
        </row>
      </sheetData>
      <sheetData sheetId="2073">
        <row r="1">
          <cell r="JB1">
            <v>0</v>
          </cell>
        </row>
      </sheetData>
      <sheetData sheetId="2074">
        <row r="1">
          <cell r="JB1">
            <v>0</v>
          </cell>
        </row>
      </sheetData>
      <sheetData sheetId="2075">
        <row r="1">
          <cell r="JB1">
            <v>0</v>
          </cell>
        </row>
      </sheetData>
      <sheetData sheetId="2076">
        <row r="1">
          <cell r="JB1">
            <v>0</v>
          </cell>
        </row>
      </sheetData>
      <sheetData sheetId="2077">
        <row r="1">
          <cell r="JB1">
            <v>0</v>
          </cell>
        </row>
      </sheetData>
      <sheetData sheetId="2078">
        <row r="1">
          <cell r="JB1">
            <v>0</v>
          </cell>
        </row>
      </sheetData>
      <sheetData sheetId="2079">
        <row r="1">
          <cell r="JB1">
            <v>0</v>
          </cell>
        </row>
      </sheetData>
      <sheetData sheetId="2080">
        <row r="1">
          <cell r="JB1">
            <v>0</v>
          </cell>
        </row>
      </sheetData>
      <sheetData sheetId="2081">
        <row r="1">
          <cell r="JB1">
            <v>0</v>
          </cell>
        </row>
      </sheetData>
      <sheetData sheetId="2082">
        <row r="1">
          <cell r="JB1">
            <v>0</v>
          </cell>
        </row>
      </sheetData>
      <sheetData sheetId="2083">
        <row r="1">
          <cell r="JB1">
            <v>0</v>
          </cell>
        </row>
      </sheetData>
      <sheetData sheetId="2084">
        <row r="1">
          <cell r="JB1">
            <v>0</v>
          </cell>
        </row>
      </sheetData>
      <sheetData sheetId="2085">
        <row r="1">
          <cell r="JB1">
            <v>0</v>
          </cell>
        </row>
      </sheetData>
      <sheetData sheetId="2086">
        <row r="1">
          <cell r="JB1">
            <v>0</v>
          </cell>
        </row>
      </sheetData>
      <sheetData sheetId="2087">
        <row r="1">
          <cell r="JB1">
            <v>0</v>
          </cell>
        </row>
      </sheetData>
      <sheetData sheetId="2088">
        <row r="1">
          <cell r="JB1">
            <v>0</v>
          </cell>
        </row>
      </sheetData>
      <sheetData sheetId="2089">
        <row r="1">
          <cell r="JB1">
            <v>0</v>
          </cell>
        </row>
      </sheetData>
      <sheetData sheetId="2090">
        <row r="1">
          <cell r="JB1">
            <v>0</v>
          </cell>
        </row>
      </sheetData>
      <sheetData sheetId="2091">
        <row r="1">
          <cell r="JB1">
            <v>0</v>
          </cell>
        </row>
      </sheetData>
      <sheetData sheetId="2092">
        <row r="1">
          <cell r="JB1">
            <v>0</v>
          </cell>
        </row>
      </sheetData>
      <sheetData sheetId="2093">
        <row r="1">
          <cell r="JB1">
            <v>0</v>
          </cell>
        </row>
      </sheetData>
      <sheetData sheetId="2094">
        <row r="1">
          <cell r="JB1">
            <v>0</v>
          </cell>
        </row>
      </sheetData>
      <sheetData sheetId="2095">
        <row r="1">
          <cell r="JB1">
            <v>0</v>
          </cell>
        </row>
      </sheetData>
      <sheetData sheetId="2096">
        <row r="1">
          <cell r="JB1">
            <v>0</v>
          </cell>
        </row>
      </sheetData>
      <sheetData sheetId="2097">
        <row r="1">
          <cell r="JB1">
            <v>0</v>
          </cell>
        </row>
      </sheetData>
      <sheetData sheetId="2098">
        <row r="1">
          <cell r="JB1">
            <v>0</v>
          </cell>
        </row>
      </sheetData>
      <sheetData sheetId="2099">
        <row r="1">
          <cell r="JB1">
            <v>0</v>
          </cell>
        </row>
      </sheetData>
      <sheetData sheetId="2100">
        <row r="1">
          <cell r="JB1">
            <v>0</v>
          </cell>
        </row>
      </sheetData>
      <sheetData sheetId="2101">
        <row r="1">
          <cell r="JB1">
            <v>0</v>
          </cell>
        </row>
      </sheetData>
      <sheetData sheetId="2102">
        <row r="1">
          <cell r="JB1">
            <v>0</v>
          </cell>
        </row>
      </sheetData>
      <sheetData sheetId="2103">
        <row r="1">
          <cell r="JB1">
            <v>0</v>
          </cell>
        </row>
      </sheetData>
      <sheetData sheetId="2104">
        <row r="1">
          <cell r="JB1">
            <v>0</v>
          </cell>
        </row>
      </sheetData>
      <sheetData sheetId="2105">
        <row r="1">
          <cell r="JB1">
            <v>0</v>
          </cell>
        </row>
      </sheetData>
      <sheetData sheetId="2106">
        <row r="1">
          <cell r="JB1">
            <v>0</v>
          </cell>
        </row>
      </sheetData>
      <sheetData sheetId="2107">
        <row r="1">
          <cell r="JB1">
            <v>0</v>
          </cell>
        </row>
      </sheetData>
      <sheetData sheetId="2108">
        <row r="1">
          <cell r="JB1">
            <v>0</v>
          </cell>
        </row>
      </sheetData>
      <sheetData sheetId="2109">
        <row r="1">
          <cell r="JB1">
            <v>0</v>
          </cell>
        </row>
      </sheetData>
      <sheetData sheetId="2110">
        <row r="1">
          <cell r="JB1">
            <v>0</v>
          </cell>
        </row>
      </sheetData>
      <sheetData sheetId="2111">
        <row r="1">
          <cell r="JB1">
            <v>0</v>
          </cell>
        </row>
      </sheetData>
      <sheetData sheetId="2112">
        <row r="1">
          <cell r="JB1">
            <v>0</v>
          </cell>
        </row>
      </sheetData>
      <sheetData sheetId="2113">
        <row r="1">
          <cell r="JB1">
            <v>0</v>
          </cell>
        </row>
      </sheetData>
      <sheetData sheetId="2114">
        <row r="1">
          <cell r="JB1">
            <v>0</v>
          </cell>
        </row>
      </sheetData>
      <sheetData sheetId="2115">
        <row r="1">
          <cell r="JB1">
            <v>0</v>
          </cell>
        </row>
      </sheetData>
      <sheetData sheetId="2116">
        <row r="1">
          <cell r="JB1">
            <v>0</v>
          </cell>
        </row>
      </sheetData>
      <sheetData sheetId="2117">
        <row r="1">
          <cell r="JB1">
            <v>0</v>
          </cell>
        </row>
      </sheetData>
      <sheetData sheetId="2118">
        <row r="1">
          <cell r="JB1">
            <v>0</v>
          </cell>
        </row>
      </sheetData>
      <sheetData sheetId="2119">
        <row r="1">
          <cell r="JB1">
            <v>0</v>
          </cell>
        </row>
      </sheetData>
      <sheetData sheetId="2120">
        <row r="1">
          <cell r="JB1">
            <v>0</v>
          </cell>
        </row>
      </sheetData>
      <sheetData sheetId="2121">
        <row r="1">
          <cell r="JB1">
            <v>0</v>
          </cell>
        </row>
      </sheetData>
      <sheetData sheetId="2122">
        <row r="1">
          <cell r="JB1">
            <v>0</v>
          </cell>
        </row>
      </sheetData>
      <sheetData sheetId="2123">
        <row r="1">
          <cell r="JB1">
            <v>0</v>
          </cell>
        </row>
      </sheetData>
      <sheetData sheetId="2124">
        <row r="1">
          <cell r="JB1">
            <v>0</v>
          </cell>
        </row>
      </sheetData>
      <sheetData sheetId="2125">
        <row r="1">
          <cell r="JB1">
            <v>0</v>
          </cell>
        </row>
      </sheetData>
      <sheetData sheetId="2126">
        <row r="1">
          <cell r="JB1">
            <v>0</v>
          </cell>
        </row>
      </sheetData>
      <sheetData sheetId="2127">
        <row r="1">
          <cell r="JB1">
            <v>0</v>
          </cell>
        </row>
      </sheetData>
      <sheetData sheetId="2128">
        <row r="1">
          <cell r="JB1">
            <v>0</v>
          </cell>
        </row>
      </sheetData>
      <sheetData sheetId="2129">
        <row r="1">
          <cell r="JB1">
            <v>0</v>
          </cell>
        </row>
      </sheetData>
      <sheetData sheetId="2130">
        <row r="1">
          <cell r="JB1">
            <v>0</v>
          </cell>
        </row>
      </sheetData>
      <sheetData sheetId="2131">
        <row r="1">
          <cell r="JB1">
            <v>0</v>
          </cell>
        </row>
      </sheetData>
      <sheetData sheetId="2132">
        <row r="1">
          <cell r="JB1">
            <v>0</v>
          </cell>
        </row>
      </sheetData>
      <sheetData sheetId="2133">
        <row r="1">
          <cell r="JB1">
            <v>0</v>
          </cell>
        </row>
      </sheetData>
      <sheetData sheetId="2134">
        <row r="1">
          <cell r="JB1">
            <v>0</v>
          </cell>
        </row>
      </sheetData>
      <sheetData sheetId="2135">
        <row r="1">
          <cell r="JB1">
            <v>0</v>
          </cell>
        </row>
      </sheetData>
      <sheetData sheetId="2136">
        <row r="1">
          <cell r="JB1">
            <v>0</v>
          </cell>
        </row>
      </sheetData>
      <sheetData sheetId="2137">
        <row r="1">
          <cell r="JB1">
            <v>0</v>
          </cell>
        </row>
      </sheetData>
      <sheetData sheetId="2138">
        <row r="1">
          <cell r="JB1">
            <v>0</v>
          </cell>
        </row>
      </sheetData>
      <sheetData sheetId="2139">
        <row r="1">
          <cell r="JB1">
            <v>0</v>
          </cell>
        </row>
      </sheetData>
      <sheetData sheetId="2140">
        <row r="1">
          <cell r="JB1">
            <v>0</v>
          </cell>
        </row>
      </sheetData>
      <sheetData sheetId="2141">
        <row r="1">
          <cell r="JB1">
            <v>0</v>
          </cell>
        </row>
      </sheetData>
      <sheetData sheetId="2142">
        <row r="1">
          <cell r="JB1">
            <v>0</v>
          </cell>
        </row>
      </sheetData>
      <sheetData sheetId="2143">
        <row r="1">
          <cell r="JB1">
            <v>0</v>
          </cell>
        </row>
      </sheetData>
      <sheetData sheetId="2144">
        <row r="1">
          <cell r="JB1">
            <v>0</v>
          </cell>
        </row>
      </sheetData>
      <sheetData sheetId="2145">
        <row r="1">
          <cell r="JB1">
            <v>0</v>
          </cell>
        </row>
      </sheetData>
      <sheetData sheetId="2146">
        <row r="1">
          <cell r="JB1">
            <v>0</v>
          </cell>
        </row>
      </sheetData>
      <sheetData sheetId="2147">
        <row r="1">
          <cell r="JB1">
            <v>0</v>
          </cell>
        </row>
      </sheetData>
      <sheetData sheetId="2148">
        <row r="1">
          <cell r="JB1">
            <v>0</v>
          </cell>
        </row>
      </sheetData>
      <sheetData sheetId="2149">
        <row r="1">
          <cell r="JB1">
            <v>0</v>
          </cell>
        </row>
      </sheetData>
      <sheetData sheetId="2150">
        <row r="1">
          <cell r="JB1">
            <v>0</v>
          </cell>
        </row>
      </sheetData>
      <sheetData sheetId="2151">
        <row r="1">
          <cell r="JB1">
            <v>0</v>
          </cell>
        </row>
      </sheetData>
      <sheetData sheetId="2152">
        <row r="1">
          <cell r="JB1">
            <v>0</v>
          </cell>
        </row>
      </sheetData>
      <sheetData sheetId="2153">
        <row r="1">
          <cell r="JB1">
            <v>0</v>
          </cell>
        </row>
      </sheetData>
      <sheetData sheetId="2154">
        <row r="1">
          <cell r="JB1">
            <v>0</v>
          </cell>
        </row>
      </sheetData>
      <sheetData sheetId="2155">
        <row r="1">
          <cell r="JB1">
            <v>0</v>
          </cell>
        </row>
      </sheetData>
      <sheetData sheetId="2156">
        <row r="1">
          <cell r="JB1">
            <v>0</v>
          </cell>
        </row>
      </sheetData>
      <sheetData sheetId="2157">
        <row r="1">
          <cell r="JB1">
            <v>0</v>
          </cell>
        </row>
      </sheetData>
      <sheetData sheetId="2158">
        <row r="1">
          <cell r="JB1">
            <v>0</v>
          </cell>
        </row>
      </sheetData>
      <sheetData sheetId="2159">
        <row r="1">
          <cell r="JB1">
            <v>0</v>
          </cell>
        </row>
      </sheetData>
      <sheetData sheetId="2160">
        <row r="1">
          <cell r="JB1">
            <v>0</v>
          </cell>
        </row>
      </sheetData>
      <sheetData sheetId="2161">
        <row r="1">
          <cell r="JB1">
            <v>0</v>
          </cell>
        </row>
      </sheetData>
      <sheetData sheetId="2162">
        <row r="1">
          <cell r="JB1">
            <v>0</v>
          </cell>
        </row>
      </sheetData>
      <sheetData sheetId="2163">
        <row r="1">
          <cell r="JB1">
            <v>0</v>
          </cell>
        </row>
      </sheetData>
      <sheetData sheetId="2164">
        <row r="1">
          <cell r="JB1">
            <v>0</v>
          </cell>
        </row>
      </sheetData>
      <sheetData sheetId="2165">
        <row r="1">
          <cell r="JB1">
            <v>0</v>
          </cell>
        </row>
      </sheetData>
      <sheetData sheetId="2166">
        <row r="1">
          <cell r="JB1">
            <v>0</v>
          </cell>
        </row>
      </sheetData>
      <sheetData sheetId="2167">
        <row r="1">
          <cell r="JB1">
            <v>0</v>
          </cell>
        </row>
      </sheetData>
      <sheetData sheetId="2168">
        <row r="1">
          <cell r="JB1">
            <v>0</v>
          </cell>
        </row>
      </sheetData>
      <sheetData sheetId="2169">
        <row r="1">
          <cell r="JB1">
            <v>0</v>
          </cell>
        </row>
      </sheetData>
      <sheetData sheetId="2170">
        <row r="1">
          <cell r="JB1">
            <v>0</v>
          </cell>
        </row>
      </sheetData>
      <sheetData sheetId="2171">
        <row r="1">
          <cell r="JB1">
            <v>0</v>
          </cell>
        </row>
      </sheetData>
      <sheetData sheetId="2172">
        <row r="1">
          <cell r="JB1">
            <v>0</v>
          </cell>
        </row>
      </sheetData>
      <sheetData sheetId="2173">
        <row r="1">
          <cell r="JB1">
            <v>0</v>
          </cell>
        </row>
      </sheetData>
      <sheetData sheetId="2174">
        <row r="1">
          <cell r="JB1">
            <v>0</v>
          </cell>
        </row>
      </sheetData>
      <sheetData sheetId="2175">
        <row r="1">
          <cell r="JB1">
            <v>0</v>
          </cell>
        </row>
      </sheetData>
      <sheetData sheetId="2176">
        <row r="1">
          <cell r="JB1">
            <v>0</v>
          </cell>
        </row>
      </sheetData>
      <sheetData sheetId="2177">
        <row r="1">
          <cell r="JB1">
            <v>0</v>
          </cell>
        </row>
      </sheetData>
      <sheetData sheetId="2178">
        <row r="1">
          <cell r="JB1">
            <v>0</v>
          </cell>
        </row>
      </sheetData>
      <sheetData sheetId="2179">
        <row r="1">
          <cell r="JB1">
            <v>0</v>
          </cell>
        </row>
      </sheetData>
      <sheetData sheetId="2180">
        <row r="1">
          <cell r="JB1">
            <v>0</v>
          </cell>
        </row>
      </sheetData>
      <sheetData sheetId="2181">
        <row r="1">
          <cell r="JB1">
            <v>0</v>
          </cell>
        </row>
      </sheetData>
      <sheetData sheetId="2182">
        <row r="1">
          <cell r="JB1">
            <v>0</v>
          </cell>
        </row>
      </sheetData>
      <sheetData sheetId="2183">
        <row r="1">
          <cell r="JB1">
            <v>0</v>
          </cell>
        </row>
      </sheetData>
      <sheetData sheetId="2184">
        <row r="1">
          <cell r="JB1">
            <v>0</v>
          </cell>
        </row>
      </sheetData>
      <sheetData sheetId="2185">
        <row r="1">
          <cell r="JB1">
            <v>0</v>
          </cell>
        </row>
      </sheetData>
      <sheetData sheetId="2186">
        <row r="1">
          <cell r="JB1">
            <v>0</v>
          </cell>
        </row>
      </sheetData>
      <sheetData sheetId="2187">
        <row r="1">
          <cell r="JB1">
            <v>0</v>
          </cell>
        </row>
      </sheetData>
      <sheetData sheetId="2188">
        <row r="1">
          <cell r="JB1">
            <v>0</v>
          </cell>
        </row>
      </sheetData>
      <sheetData sheetId="2189">
        <row r="1">
          <cell r="JB1">
            <v>0</v>
          </cell>
        </row>
      </sheetData>
      <sheetData sheetId="2190">
        <row r="1">
          <cell r="JB1">
            <v>0</v>
          </cell>
        </row>
      </sheetData>
      <sheetData sheetId="2191">
        <row r="1">
          <cell r="JB1">
            <v>0</v>
          </cell>
        </row>
      </sheetData>
      <sheetData sheetId="2192">
        <row r="1">
          <cell r="JB1">
            <v>0</v>
          </cell>
        </row>
      </sheetData>
      <sheetData sheetId="2193">
        <row r="1">
          <cell r="JB1">
            <v>0</v>
          </cell>
        </row>
      </sheetData>
      <sheetData sheetId="2194">
        <row r="1">
          <cell r="JB1">
            <v>0</v>
          </cell>
        </row>
      </sheetData>
      <sheetData sheetId="2195">
        <row r="1">
          <cell r="JB1">
            <v>0</v>
          </cell>
        </row>
      </sheetData>
      <sheetData sheetId="2196">
        <row r="1">
          <cell r="JB1">
            <v>0</v>
          </cell>
        </row>
      </sheetData>
      <sheetData sheetId="2197">
        <row r="1">
          <cell r="JB1">
            <v>0</v>
          </cell>
        </row>
      </sheetData>
      <sheetData sheetId="2198">
        <row r="1">
          <cell r="JB1">
            <v>0</v>
          </cell>
        </row>
      </sheetData>
      <sheetData sheetId="2199">
        <row r="1">
          <cell r="JB1">
            <v>0</v>
          </cell>
        </row>
      </sheetData>
      <sheetData sheetId="2200">
        <row r="1">
          <cell r="JB1">
            <v>0</v>
          </cell>
        </row>
      </sheetData>
      <sheetData sheetId="2201">
        <row r="1">
          <cell r="JB1">
            <v>0</v>
          </cell>
        </row>
      </sheetData>
      <sheetData sheetId="2202">
        <row r="1">
          <cell r="JB1">
            <v>0</v>
          </cell>
        </row>
      </sheetData>
      <sheetData sheetId="2203">
        <row r="1">
          <cell r="JB1">
            <v>0</v>
          </cell>
        </row>
      </sheetData>
      <sheetData sheetId="2204">
        <row r="1">
          <cell r="JB1">
            <v>0</v>
          </cell>
        </row>
      </sheetData>
      <sheetData sheetId="2205">
        <row r="1">
          <cell r="JB1">
            <v>0</v>
          </cell>
        </row>
      </sheetData>
      <sheetData sheetId="2206">
        <row r="1">
          <cell r="JB1">
            <v>0</v>
          </cell>
        </row>
      </sheetData>
      <sheetData sheetId="2207">
        <row r="1">
          <cell r="JB1">
            <v>0</v>
          </cell>
        </row>
      </sheetData>
      <sheetData sheetId="2208">
        <row r="1">
          <cell r="JB1">
            <v>0</v>
          </cell>
        </row>
      </sheetData>
      <sheetData sheetId="2209">
        <row r="1">
          <cell r="JB1">
            <v>0</v>
          </cell>
        </row>
      </sheetData>
      <sheetData sheetId="2210">
        <row r="1">
          <cell r="JB1">
            <v>0</v>
          </cell>
        </row>
      </sheetData>
      <sheetData sheetId="2211">
        <row r="1">
          <cell r="JB1">
            <v>0</v>
          </cell>
        </row>
      </sheetData>
      <sheetData sheetId="2212">
        <row r="1">
          <cell r="JB1">
            <v>0</v>
          </cell>
        </row>
      </sheetData>
      <sheetData sheetId="2213">
        <row r="1">
          <cell r="JB1">
            <v>0</v>
          </cell>
        </row>
      </sheetData>
      <sheetData sheetId="2214">
        <row r="1">
          <cell r="JB1">
            <v>0</v>
          </cell>
        </row>
      </sheetData>
      <sheetData sheetId="2215">
        <row r="1">
          <cell r="JB1">
            <v>0</v>
          </cell>
        </row>
      </sheetData>
      <sheetData sheetId="2216">
        <row r="1">
          <cell r="JB1">
            <v>0</v>
          </cell>
        </row>
      </sheetData>
      <sheetData sheetId="2217">
        <row r="1">
          <cell r="JB1">
            <v>0</v>
          </cell>
        </row>
      </sheetData>
      <sheetData sheetId="2218">
        <row r="1">
          <cell r="JB1">
            <v>0</v>
          </cell>
        </row>
      </sheetData>
      <sheetData sheetId="2219">
        <row r="1">
          <cell r="JB1">
            <v>0</v>
          </cell>
        </row>
      </sheetData>
      <sheetData sheetId="2220">
        <row r="1">
          <cell r="JB1">
            <v>0</v>
          </cell>
        </row>
      </sheetData>
      <sheetData sheetId="2221">
        <row r="1">
          <cell r="JB1">
            <v>0</v>
          </cell>
        </row>
      </sheetData>
      <sheetData sheetId="2222">
        <row r="1">
          <cell r="JB1">
            <v>0</v>
          </cell>
        </row>
      </sheetData>
      <sheetData sheetId="2223">
        <row r="1">
          <cell r="JB1">
            <v>0</v>
          </cell>
        </row>
      </sheetData>
      <sheetData sheetId="2224">
        <row r="1">
          <cell r="JB1">
            <v>0</v>
          </cell>
        </row>
      </sheetData>
      <sheetData sheetId="2225">
        <row r="1">
          <cell r="JB1">
            <v>0</v>
          </cell>
        </row>
      </sheetData>
      <sheetData sheetId="2226">
        <row r="1">
          <cell r="JB1">
            <v>0</v>
          </cell>
        </row>
      </sheetData>
      <sheetData sheetId="2227">
        <row r="1">
          <cell r="JB1">
            <v>0</v>
          </cell>
        </row>
      </sheetData>
      <sheetData sheetId="2228">
        <row r="1">
          <cell r="JB1">
            <v>0</v>
          </cell>
        </row>
      </sheetData>
      <sheetData sheetId="2229">
        <row r="1">
          <cell r="JB1">
            <v>0</v>
          </cell>
        </row>
      </sheetData>
      <sheetData sheetId="2230">
        <row r="1">
          <cell r="JB1">
            <v>0</v>
          </cell>
        </row>
      </sheetData>
      <sheetData sheetId="2231">
        <row r="1">
          <cell r="JB1">
            <v>0</v>
          </cell>
        </row>
      </sheetData>
      <sheetData sheetId="2232">
        <row r="1">
          <cell r="JB1">
            <v>0</v>
          </cell>
        </row>
      </sheetData>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ow r="1">
          <cell r="JB1">
            <v>0</v>
          </cell>
        </row>
      </sheetData>
      <sheetData sheetId="2276">
        <row r="1">
          <cell r="JB1">
            <v>0</v>
          </cell>
        </row>
      </sheetData>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ow r="1">
          <cell r="JB1">
            <v>0</v>
          </cell>
        </row>
      </sheetData>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ow r="1">
          <cell r="JB1">
            <v>0</v>
          </cell>
        </row>
      </sheetData>
      <sheetData sheetId="2371">
        <row r="1">
          <cell r="JB1">
            <v>0</v>
          </cell>
        </row>
      </sheetData>
      <sheetData sheetId="2372">
        <row r="1">
          <cell r="JB1">
            <v>0</v>
          </cell>
        </row>
      </sheetData>
      <sheetData sheetId="2373">
        <row r="1">
          <cell r="JB1">
            <v>0</v>
          </cell>
        </row>
      </sheetData>
      <sheetData sheetId="2374" refreshError="1"/>
      <sheetData sheetId="2375" refreshError="1"/>
      <sheetData sheetId="2376" refreshError="1"/>
      <sheetData sheetId="2377" refreshError="1"/>
      <sheetData sheetId="2378" refreshError="1"/>
      <sheetData sheetId="2379" refreshError="1"/>
      <sheetData sheetId="2380">
        <row r="1">
          <cell r="JB1">
            <v>0</v>
          </cell>
        </row>
      </sheetData>
      <sheetData sheetId="2381">
        <row r="1">
          <cell r="JB1">
            <v>0</v>
          </cell>
        </row>
      </sheetData>
      <sheetData sheetId="2382">
        <row r="1">
          <cell r="JB1">
            <v>0</v>
          </cell>
        </row>
      </sheetData>
      <sheetData sheetId="2383">
        <row r="1">
          <cell r="JB1">
            <v>0</v>
          </cell>
        </row>
      </sheetData>
      <sheetData sheetId="2384">
        <row r="1">
          <cell r="JB1">
            <v>0</v>
          </cell>
        </row>
      </sheetData>
      <sheetData sheetId="2385">
        <row r="1">
          <cell r="JB1">
            <v>0</v>
          </cell>
        </row>
      </sheetData>
      <sheetData sheetId="2386">
        <row r="1">
          <cell r="JB1">
            <v>0</v>
          </cell>
        </row>
      </sheetData>
      <sheetData sheetId="2387">
        <row r="1">
          <cell r="JB1">
            <v>0</v>
          </cell>
        </row>
      </sheetData>
      <sheetData sheetId="2388">
        <row r="1">
          <cell r="JB1">
            <v>0</v>
          </cell>
        </row>
      </sheetData>
      <sheetData sheetId="2389">
        <row r="1">
          <cell r="JB1">
            <v>0</v>
          </cell>
        </row>
      </sheetData>
      <sheetData sheetId="2390">
        <row r="1">
          <cell r="JB1">
            <v>0</v>
          </cell>
        </row>
      </sheetData>
      <sheetData sheetId="2391">
        <row r="1">
          <cell r="JB1">
            <v>0</v>
          </cell>
        </row>
      </sheetData>
      <sheetData sheetId="2392">
        <row r="1">
          <cell r="JB1">
            <v>0</v>
          </cell>
        </row>
      </sheetData>
      <sheetData sheetId="2393">
        <row r="1">
          <cell r="JB1">
            <v>0</v>
          </cell>
        </row>
      </sheetData>
      <sheetData sheetId="2394">
        <row r="1">
          <cell r="JB1">
            <v>0</v>
          </cell>
        </row>
      </sheetData>
      <sheetData sheetId="2395">
        <row r="1">
          <cell r="JB1">
            <v>0</v>
          </cell>
        </row>
      </sheetData>
      <sheetData sheetId="2396">
        <row r="1">
          <cell r="JB1">
            <v>0</v>
          </cell>
        </row>
      </sheetData>
      <sheetData sheetId="2397">
        <row r="1">
          <cell r="JB1">
            <v>0</v>
          </cell>
        </row>
      </sheetData>
      <sheetData sheetId="2398">
        <row r="1">
          <cell r="JB1">
            <v>0</v>
          </cell>
        </row>
      </sheetData>
      <sheetData sheetId="2399">
        <row r="1">
          <cell r="JB1">
            <v>0</v>
          </cell>
        </row>
      </sheetData>
      <sheetData sheetId="2400">
        <row r="1">
          <cell r="JB1">
            <v>0</v>
          </cell>
        </row>
      </sheetData>
      <sheetData sheetId="2401">
        <row r="1">
          <cell r="JB1">
            <v>0</v>
          </cell>
        </row>
      </sheetData>
      <sheetData sheetId="2402">
        <row r="1">
          <cell r="JB1">
            <v>0</v>
          </cell>
        </row>
      </sheetData>
      <sheetData sheetId="2403">
        <row r="1">
          <cell r="JB1">
            <v>0</v>
          </cell>
        </row>
      </sheetData>
      <sheetData sheetId="2404">
        <row r="1">
          <cell r="JB1">
            <v>0</v>
          </cell>
        </row>
      </sheetData>
      <sheetData sheetId="2405">
        <row r="1">
          <cell r="JB1">
            <v>0</v>
          </cell>
        </row>
      </sheetData>
      <sheetData sheetId="2406">
        <row r="1">
          <cell r="JB1">
            <v>0</v>
          </cell>
        </row>
      </sheetData>
      <sheetData sheetId="2407">
        <row r="1">
          <cell r="JB1">
            <v>0</v>
          </cell>
        </row>
      </sheetData>
      <sheetData sheetId="2408">
        <row r="1">
          <cell r="JB1">
            <v>0</v>
          </cell>
        </row>
      </sheetData>
      <sheetData sheetId="2409">
        <row r="1">
          <cell r="JB1">
            <v>0</v>
          </cell>
        </row>
      </sheetData>
      <sheetData sheetId="2410">
        <row r="1">
          <cell r="JB1">
            <v>0</v>
          </cell>
        </row>
      </sheetData>
      <sheetData sheetId="2411">
        <row r="1">
          <cell r="JB1">
            <v>0</v>
          </cell>
        </row>
      </sheetData>
      <sheetData sheetId="2412">
        <row r="1">
          <cell r="JB1">
            <v>0</v>
          </cell>
        </row>
      </sheetData>
      <sheetData sheetId="2413">
        <row r="1">
          <cell r="JB1">
            <v>0</v>
          </cell>
        </row>
      </sheetData>
      <sheetData sheetId="2414">
        <row r="1">
          <cell r="JB1">
            <v>0</v>
          </cell>
        </row>
      </sheetData>
      <sheetData sheetId="2415">
        <row r="1">
          <cell r="JB1">
            <v>0</v>
          </cell>
        </row>
      </sheetData>
      <sheetData sheetId="2416">
        <row r="1">
          <cell r="JB1">
            <v>0</v>
          </cell>
        </row>
      </sheetData>
      <sheetData sheetId="2417">
        <row r="1">
          <cell r="JB1">
            <v>0</v>
          </cell>
        </row>
      </sheetData>
      <sheetData sheetId="2418">
        <row r="1">
          <cell r="JB1">
            <v>0</v>
          </cell>
        </row>
      </sheetData>
      <sheetData sheetId="2419">
        <row r="1">
          <cell r="JB1">
            <v>0</v>
          </cell>
        </row>
      </sheetData>
      <sheetData sheetId="2420">
        <row r="1">
          <cell r="JB1">
            <v>0</v>
          </cell>
        </row>
      </sheetData>
      <sheetData sheetId="2421">
        <row r="1">
          <cell r="JB1">
            <v>0</v>
          </cell>
        </row>
      </sheetData>
      <sheetData sheetId="2422">
        <row r="1">
          <cell r="JB1">
            <v>0</v>
          </cell>
        </row>
      </sheetData>
      <sheetData sheetId="2423">
        <row r="1">
          <cell r="JB1">
            <v>0</v>
          </cell>
        </row>
      </sheetData>
      <sheetData sheetId="2424">
        <row r="1">
          <cell r="JB1">
            <v>0</v>
          </cell>
        </row>
      </sheetData>
      <sheetData sheetId="2425">
        <row r="1">
          <cell r="JB1">
            <v>0</v>
          </cell>
        </row>
      </sheetData>
      <sheetData sheetId="2426">
        <row r="1">
          <cell r="JB1">
            <v>0</v>
          </cell>
        </row>
      </sheetData>
      <sheetData sheetId="2427">
        <row r="1">
          <cell r="JB1">
            <v>0</v>
          </cell>
        </row>
      </sheetData>
      <sheetData sheetId="2428">
        <row r="1">
          <cell r="JB1">
            <v>0</v>
          </cell>
        </row>
      </sheetData>
      <sheetData sheetId="2429">
        <row r="1">
          <cell r="JB1">
            <v>0</v>
          </cell>
        </row>
      </sheetData>
      <sheetData sheetId="2430">
        <row r="1">
          <cell r="JB1">
            <v>0</v>
          </cell>
        </row>
      </sheetData>
      <sheetData sheetId="2431">
        <row r="1">
          <cell r="JB1">
            <v>0</v>
          </cell>
        </row>
      </sheetData>
      <sheetData sheetId="2432">
        <row r="1">
          <cell r="JB1">
            <v>0</v>
          </cell>
        </row>
      </sheetData>
      <sheetData sheetId="2433">
        <row r="1">
          <cell r="JB1">
            <v>0</v>
          </cell>
        </row>
      </sheetData>
      <sheetData sheetId="2434">
        <row r="1">
          <cell r="JB1">
            <v>0</v>
          </cell>
        </row>
      </sheetData>
      <sheetData sheetId="2435">
        <row r="1">
          <cell r="JB1">
            <v>0</v>
          </cell>
        </row>
      </sheetData>
      <sheetData sheetId="2436">
        <row r="1">
          <cell r="JB1">
            <v>0</v>
          </cell>
        </row>
      </sheetData>
      <sheetData sheetId="2437">
        <row r="1">
          <cell r="JB1">
            <v>0</v>
          </cell>
        </row>
      </sheetData>
      <sheetData sheetId="2438">
        <row r="1">
          <cell r="JB1">
            <v>0</v>
          </cell>
        </row>
      </sheetData>
      <sheetData sheetId="2439">
        <row r="1">
          <cell r="JB1">
            <v>0</v>
          </cell>
        </row>
      </sheetData>
      <sheetData sheetId="2440">
        <row r="1">
          <cell r="JB1">
            <v>0</v>
          </cell>
        </row>
      </sheetData>
      <sheetData sheetId="2441">
        <row r="1">
          <cell r="JB1">
            <v>0</v>
          </cell>
        </row>
      </sheetData>
      <sheetData sheetId="2442">
        <row r="1">
          <cell r="JB1">
            <v>0</v>
          </cell>
        </row>
      </sheetData>
      <sheetData sheetId="2443">
        <row r="1">
          <cell r="JB1">
            <v>0</v>
          </cell>
        </row>
      </sheetData>
      <sheetData sheetId="2444">
        <row r="1">
          <cell r="JB1">
            <v>0</v>
          </cell>
        </row>
      </sheetData>
      <sheetData sheetId="2445">
        <row r="1">
          <cell r="JB1">
            <v>0</v>
          </cell>
        </row>
      </sheetData>
      <sheetData sheetId="2446">
        <row r="1">
          <cell r="JB1">
            <v>0</v>
          </cell>
        </row>
      </sheetData>
      <sheetData sheetId="2447">
        <row r="1">
          <cell r="JB1">
            <v>0</v>
          </cell>
        </row>
      </sheetData>
      <sheetData sheetId="2448">
        <row r="1">
          <cell r="JB1">
            <v>0</v>
          </cell>
        </row>
      </sheetData>
      <sheetData sheetId="2449">
        <row r="1">
          <cell r="JB1">
            <v>0</v>
          </cell>
        </row>
      </sheetData>
      <sheetData sheetId="2450">
        <row r="1">
          <cell r="JB1">
            <v>0</v>
          </cell>
        </row>
      </sheetData>
      <sheetData sheetId="2451">
        <row r="1">
          <cell r="JB1">
            <v>0</v>
          </cell>
        </row>
      </sheetData>
      <sheetData sheetId="2452">
        <row r="1">
          <cell r="JB1">
            <v>0</v>
          </cell>
        </row>
      </sheetData>
      <sheetData sheetId="2453">
        <row r="1">
          <cell r="JB1">
            <v>0</v>
          </cell>
        </row>
      </sheetData>
      <sheetData sheetId="2454">
        <row r="1">
          <cell r="JB1">
            <v>0</v>
          </cell>
        </row>
      </sheetData>
      <sheetData sheetId="2455">
        <row r="1">
          <cell r="JB1">
            <v>0</v>
          </cell>
        </row>
      </sheetData>
      <sheetData sheetId="2456">
        <row r="1">
          <cell r="JB1">
            <v>0</v>
          </cell>
        </row>
      </sheetData>
      <sheetData sheetId="2457">
        <row r="1">
          <cell r="JB1">
            <v>0</v>
          </cell>
        </row>
      </sheetData>
      <sheetData sheetId="2458">
        <row r="1">
          <cell r="JB1">
            <v>0</v>
          </cell>
        </row>
      </sheetData>
      <sheetData sheetId="2459">
        <row r="1">
          <cell r="JB1">
            <v>0</v>
          </cell>
        </row>
      </sheetData>
      <sheetData sheetId="2460" refreshError="1"/>
      <sheetData sheetId="2461" refreshError="1"/>
      <sheetData sheetId="2462" refreshError="1"/>
      <sheetData sheetId="2463" refreshError="1"/>
      <sheetData sheetId="2464">
        <row r="1">
          <cell r="JB1">
            <v>0</v>
          </cell>
        </row>
      </sheetData>
      <sheetData sheetId="2465">
        <row r="1">
          <cell r="JB1">
            <v>0</v>
          </cell>
        </row>
      </sheetData>
      <sheetData sheetId="2466">
        <row r="1">
          <cell r="JB1">
            <v>0</v>
          </cell>
        </row>
      </sheetData>
      <sheetData sheetId="2467">
        <row r="1">
          <cell r="JB1">
            <v>0</v>
          </cell>
        </row>
      </sheetData>
      <sheetData sheetId="2468">
        <row r="1">
          <cell r="JB1">
            <v>0</v>
          </cell>
        </row>
      </sheetData>
      <sheetData sheetId="2469">
        <row r="1">
          <cell r="JB1">
            <v>0</v>
          </cell>
        </row>
      </sheetData>
      <sheetData sheetId="2470">
        <row r="1">
          <cell r="JB1">
            <v>0</v>
          </cell>
        </row>
      </sheetData>
      <sheetData sheetId="2471">
        <row r="1">
          <cell r="JB1">
            <v>0</v>
          </cell>
        </row>
      </sheetData>
      <sheetData sheetId="2472">
        <row r="1">
          <cell r="JB1">
            <v>0</v>
          </cell>
        </row>
      </sheetData>
      <sheetData sheetId="2473">
        <row r="1">
          <cell r="JB1">
            <v>0</v>
          </cell>
        </row>
      </sheetData>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ow r="1">
          <cell r="JB1">
            <v>0</v>
          </cell>
        </row>
      </sheetData>
      <sheetData sheetId="2672" refreshError="1"/>
      <sheetData sheetId="2673" refreshError="1"/>
      <sheetData sheetId="2674" refreshError="1"/>
      <sheetData sheetId="2675">
        <row r="1">
          <cell r="JB1">
            <v>0</v>
          </cell>
        </row>
      </sheetData>
      <sheetData sheetId="2676" refreshError="1"/>
      <sheetData sheetId="2677">
        <row r="1">
          <cell r="JB1">
            <v>0</v>
          </cell>
        </row>
      </sheetData>
      <sheetData sheetId="2678">
        <row r="1">
          <cell r="JB1">
            <v>0</v>
          </cell>
        </row>
      </sheetData>
      <sheetData sheetId="2679" refreshError="1"/>
      <sheetData sheetId="2680">
        <row r="1">
          <cell r="JB1">
            <v>0</v>
          </cell>
        </row>
      </sheetData>
      <sheetData sheetId="2681" refreshError="1"/>
      <sheetData sheetId="2682" refreshError="1"/>
      <sheetData sheetId="2683" refreshError="1"/>
      <sheetData sheetId="2684">
        <row r="1">
          <cell r="JB1">
            <v>0</v>
          </cell>
        </row>
      </sheetData>
      <sheetData sheetId="2685">
        <row r="1">
          <cell r="JB1">
            <v>0</v>
          </cell>
        </row>
      </sheetData>
      <sheetData sheetId="2686" refreshError="1"/>
      <sheetData sheetId="2687">
        <row r="1">
          <cell r="JB1">
            <v>0</v>
          </cell>
        </row>
      </sheetData>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ow r="1">
          <cell r="JB1">
            <v>0</v>
          </cell>
        </row>
      </sheetData>
      <sheetData sheetId="2726">
        <row r="1">
          <cell r="JB1">
            <v>0</v>
          </cell>
        </row>
      </sheetData>
      <sheetData sheetId="2727">
        <row r="1">
          <cell r="JB1">
            <v>0</v>
          </cell>
        </row>
      </sheetData>
      <sheetData sheetId="2728">
        <row r="1">
          <cell r="JB1">
            <v>0</v>
          </cell>
        </row>
      </sheetData>
      <sheetData sheetId="2729">
        <row r="1">
          <cell r="JB1">
            <v>0</v>
          </cell>
        </row>
      </sheetData>
      <sheetData sheetId="2730">
        <row r="1">
          <cell r="JB1">
            <v>0</v>
          </cell>
        </row>
      </sheetData>
      <sheetData sheetId="2731">
        <row r="1">
          <cell r="JB1">
            <v>0</v>
          </cell>
        </row>
      </sheetData>
      <sheetData sheetId="2732">
        <row r="1">
          <cell r="JB1">
            <v>0</v>
          </cell>
        </row>
      </sheetData>
      <sheetData sheetId="2733">
        <row r="1">
          <cell r="JB1">
            <v>0</v>
          </cell>
        </row>
      </sheetData>
      <sheetData sheetId="2734">
        <row r="1">
          <cell r="JB1">
            <v>0</v>
          </cell>
        </row>
      </sheetData>
      <sheetData sheetId="2735">
        <row r="1">
          <cell r="JB1">
            <v>0</v>
          </cell>
        </row>
      </sheetData>
      <sheetData sheetId="2736">
        <row r="1">
          <cell r="JB1">
            <v>0</v>
          </cell>
        </row>
      </sheetData>
      <sheetData sheetId="2737">
        <row r="1">
          <cell r="JB1">
            <v>0</v>
          </cell>
        </row>
      </sheetData>
      <sheetData sheetId="2738">
        <row r="1">
          <cell r="JB1">
            <v>0</v>
          </cell>
        </row>
      </sheetData>
      <sheetData sheetId="2739">
        <row r="1">
          <cell r="JB1">
            <v>0</v>
          </cell>
        </row>
      </sheetData>
      <sheetData sheetId="2740">
        <row r="1">
          <cell r="JB1">
            <v>0</v>
          </cell>
        </row>
      </sheetData>
      <sheetData sheetId="2741">
        <row r="1">
          <cell r="JB1">
            <v>0</v>
          </cell>
        </row>
      </sheetData>
      <sheetData sheetId="2742">
        <row r="1">
          <cell r="JB1">
            <v>0</v>
          </cell>
        </row>
      </sheetData>
      <sheetData sheetId="2743">
        <row r="1">
          <cell r="JB1">
            <v>0</v>
          </cell>
        </row>
      </sheetData>
      <sheetData sheetId="2744">
        <row r="1">
          <cell r="JB1">
            <v>0</v>
          </cell>
        </row>
      </sheetData>
      <sheetData sheetId="2745">
        <row r="1">
          <cell r="JB1">
            <v>0</v>
          </cell>
        </row>
      </sheetData>
      <sheetData sheetId="2746">
        <row r="1">
          <cell r="JB1">
            <v>0</v>
          </cell>
        </row>
      </sheetData>
      <sheetData sheetId="2747">
        <row r="1">
          <cell r="JB1">
            <v>0</v>
          </cell>
        </row>
      </sheetData>
      <sheetData sheetId="2748">
        <row r="1">
          <cell r="JB1">
            <v>0</v>
          </cell>
        </row>
      </sheetData>
      <sheetData sheetId="2749">
        <row r="1">
          <cell r="JB1">
            <v>0</v>
          </cell>
        </row>
      </sheetData>
      <sheetData sheetId="2750">
        <row r="1">
          <cell r="JB1">
            <v>0</v>
          </cell>
        </row>
      </sheetData>
      <sheetData sheetId="2751">
        <row r="1">
          <cell r="JB1">
            <v>0</v>
          </cell>
        </row>
      </sheetData>
      <sheetData sheetId="2752">
        <row r="1">
          <cell r="JB1">
            <v>0</v>
          </cell>
        </row>
      </sheetData>
      <sheetData sheetId="2753">
        <row r="1">
          <cell r="JB1">
            <v>0</v>
          </cell>
        </row>
      </sheetData>
      <sheetData sheetId="2754" refreshError="1"/>
      <sheetData sheetId="2755" refreshError="1"/>
      <sheetData sheetId="2756" refreshError="1"/>
      <sheetData sheetId="2757" refreshError="1"/>
      <sheetData sheetId="2758" refreshError="1"/>
      <sheetData sheetId="2759" refreshError="1"/>
      <sheetData sheetId="2760">
        <row r="1">
          <cell r="JB1">
            <v>0</v>
          </cell>
        </row>
      </sheetData>
      <sheetData sheetId="2761">
        <row r="1">
          <cell r="JB1">
            <v>0</v>
          </cell>
        </row>
      </sheetData>
      <sheetData sheetId="2762">
        <row r="1">
          <cell r="JB1">
            <v>0</v>
          </cell>
        </row>
      </sheetData>
      <sheetData sheetId="2763" refreshError="1"/>
      <sheetData sheetId="2764" refreshError="1"/>
      <sheetData sheetId="2765" refreshError="1"/>
      <sheetData sheetId="2766" refreshError="1"/>
      <sheetData sheetId="2767" refreshError="1"/>
      <sheetData sheetId="2768" refreshError="1"/>
      <sheetData sheetId="2769" refreshError="1"/>
      <sheetData sheetId="2770">
        <row r="1">
          <cell r="JB1">
            <v>0</v>
          </cell>
        </row>
      </sheetData>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ow r="1">
          <cell r="JB1">
            <v>0</v>
          </cell>
        </row>
      </sheetData>
      <sheetData sheetId="2904">
        <row r="1">
          <cell r="JB1">
            <v>0</v>
          </cell>
        </row>
      </sheetData>
      <sheetData sheetId="2905">
        <row r="1">
          <cell r="JB1">
            <v>0</v>
          </cell>
        </row>
      </sheetData>
      <sheetData sheetId="2906">
        <row r="1">
          <cell r="JB1">
            <v>0</v>
          </cell>
        </row>
      </sheetData>
      <sheetData sheetId="2907">
        <row r="1">
          <cell r="JB1">
            <v>0</v>
          </cell>
        </row>
      </sheetData>
      <sheetData sheetId="2908">
        <row r="1">
          <cell r="JB1">
            <v>0</v>
          </cell>
        </row>
      </sheetData>
      <sheetData sheetId="2909">
        <row r="1">
          <cell r="JB1">
            <v>0</v>
          </cell>
        </row>
      </sheetData>
      <sheetData sheetId="2910">
        <row r="1">
          <cell r="JB1">
            <v>0</v>
          </cell>
        </row>
      </sheetData>
      <sheetData sheetId="2911">
        <row r="1">
          <cell r="JB1">
            <v>0</v>
          </cell>
        </row>
      </sheetData>
      <sheetData sheetId="2912">
        <row r="1">
          <cell r="JB1">
            <v>0</v>
          </cell>
        </row>
      </sheetData>
      <sheetData sheetId="2913">
        <row r="1">
          <cell r="JB1">
            <v>0</v>
          </cell>
        </row>
      </sheetData>
      <sheetData sheetId="2914">
        <row r="1">
          <cell r="JB1">
            <v>0</v>
          </cell>
        </row>
      </sheetData>
      <sheetData sheetId="2915">
        <row r="1">
          <cell r="JB1">
            <v>0</v>
          </cell>
        </row>
      </sheetData>
      <sheetData sheetId="2916">
        <row r="1">
          <cell r="JB1">
            <v>0</v>
          </cell>
        </row>
      </sheetData>
      <sheetData sheetId="2917">
        <row r="1">
          <cell r="JB1">
            <v>0</v>
          </cell>
        </row>
      </sheetData>
      <sheetData sheetId="2918">
        <row r="1">
          <cell r="JB1">
            <v>0</v>
          </cell>
        </row>
      </sheetData>
      <sheetData sheetId="2919">
        <row r="1">
          <cell r="JB1">
            <v>0</v>
          </cell>
        </row>
      </sheetData>
      <sheetData sheetId="2920">
        <row r="1">
          <cell r="JB1">
            <v>0</v>
          </cell>
        </row>
      </sheetData>
      <sheetData sheetId="2921">
        <row r="1">
          <cell r="JB1">
            <v>0</v>
          </cell>
        </row>
      </sheetData>
      <sheetData sheetId="2922">
        <row r="1">
          <cell r="JB1">
            <v>0</v>
          </cell>
        </row>
      </sheetData>
      <sheetData sheetId="2923">
        <row r="1">
          <cell r="JB1">
            <v>0</v>
          </cell>
        </row>
      </sheetData>
      <sheetData sheetId="2924">
        <row r="1">
          <cell r="JB1">
            <v>0</v>
          </cell>
        </row>
      </sheetData>
      <sheetData sheetId="2925">
        <row r="1">
          <cell r="JB1">
            <v>0</v>
          </cell>
        </row>
      </sheetData>
      <sheetData sheetId="2926">
        <row r="1">
          <cell r="JB1">
            <v>0</v>
          </cell>
        </row>
      </sheetData>
      <sheetData sheetId="2927">
        <row r="1">
          <cell r="JB1">
            <v>0</v>
          </cell>
        </row>
      </sheetData>
      <sheetData sheetId="2928">
        <row r="1">
          <cell r="JB1">
            <v>0</v>
          </cell>
        </row>
      </sheetData>
      <sheetData sheetId="2929">
        <row r="1">
          <cell r="JB1">
            <v>0</v>
          </cell>
        </row>
      </sheetData>
      <sheetData sheetId="2930">
        <row r="1">
          <cell r="JB1">
            <v>0</v>
          </cell>
        </row>
      </sheetData>
      <sheetData sheetId="2931">
        <row r="1">
          <cell r="JB1">
            <v>0</v>
          </cell>
        </row>
      </sheetData>
      <sheetData sheetId="2932">
        <row r="1">
          <cell r="JB1">
            <v>0</v>
          </cell>
        </row>
      </sheetData>
      <sheetData sheetId="2933">
        <row r="1">
          <cell r="JB1">
            <v>0</v>
          </cell>
        </row>
      </sheetData>
      <sheetData sheetId="2934">
        <row r="1">
          <cell r="JB1">
            <v>0</v>
          </cell>
        </row>
      </sheetData>
      <sheetData sheetId="2935">
        <row r="1">
          <cell r="JB1">
            <v>0</v>
          </cell>
        </row>
      </sheetData>
      <sheetData sheetId="2936">
        <row r="1">
          <cell r="JB1">
            <v>0</v>
          </cell>
        </row>
      </sheetData>
      <sheetData sheetId="2937">
        <row r="1">
          <cell r="JB1">
            <v>0</v>
          </cell>
        </row>
      </sheetData>
      <sheetData sheetId="2938">
        <row r="1">
          <cell r="JB1">
            <v>0</v>
          </cell>
        </row>
      </sheetData>
      <sheetData sheetId="2939">
        <row r="1">
          <cell r="JB1">
            <v>0</v>
          </cell>
        </row>
      </sheetData>
      <sheetData sheetId="2940">
        <row r="1">
          <cell r="JB1">
            <v>0</v>
          </cell>
        </row>
      </sheetData>
      <sheetData sheetId="2941">
        <row r="1">
          <cell r="JB1">
            <v>0</v>
          </cell>
        </row>
      </sheetData>
      <sheetData sheetId="2942">
        <row r="1">
          <cell r="JB1">
            <v>0</v>
          </cell>
        </row>
      </sheetData>
      <sheetData sheetId="2943">
        <row r="1">
          <cell r="JB1">
            <v>0</v>
          </cell>
        </row>
      </sheetData>
      <sheetData sheetId="2944">
        <row r="1">
          <cell r="JB1">
            <v>0</v>
          </cell>
        </row>
      </sheetData>
      <sheetData sheetId="2945">
        <row r="1">
          <cell r="JB1">
            <v>0</v>
          </cell>
        </row>
      </sheetData>
      <sheetData sheetId="2946">
        <row r="1">
          <cell r="JB1">
            <v>0</v>
          </cell>
        </row>
      </sheetData>
      <sheetData sheetId="2947">
        <row r="1">
          <cell r="JB1">
            <v>0</v>
          </cell>
        </row>
      </sheetData>
      <sheetData sheetId="2948">
        <row r="1">
          <cell r="JB1">
            <v>0</v>
          </cell>
        </row>
      </sheetData>
      <sheetData sheetId="2949">
        <row r="1">
          <cell r="JB1">
            <v>0</v>
          </cell>
        </row>
      </sheetData>
      <sheetData sheetId="2950">
        <row r="1">
          <cell r="JB1">
            <v>0</v>
          </cell>
        </row>
      </sheetData>
      <sheetData sheetId="2951">
        <row r="1">
          <cell r="JB1">
            <v>0</v>
          </cell>
        </row>
      </sheetData>
      <sheetData sheetId="2952">
        <row r="1">
          <cell r="JB1">
            <v>0</v>
          </cell>
        </row>
      </sheetData>
      <sheetData sheetId="2953">
        <row r="1">
          <cell r="JB1">
            <v>0</v>
          </cell>
        </row>
      </sheetData>
      <sheetData sheetId="2954">
        <row r="1">
          <cell r="JB1">
            <v>0</v>
          </cell>
        </row>
      </sheetData>
      <sheetData sheetId="2955">
        <row r="1">
          <cell r="JB1">
            <v>0</v>
          </cell>
        </row>
      </sheetData>
      <sheetData sheetId="2956">
        <row r="1">
          <cell r="JB1">
            <v>0</v>
          </cell>
        </row>
      </sheetData>
      <sheetData sheetId="2957">
        <row r="1">
          <cell r="JB1">
            <v>0</v>
          </cell>
        </row>
      </sheetData>
      <sheetData sheetId="2958">
        <row r="1">
          <cell r="JB1">
            <v>0</v>
          </cell>
        </row>
      </sheetData>
      <sheetData sheetId="2959">
        <row r="1">
          <cell r="JB1">
            <v>0</v>
          </cell>
        </row>
      </sheetData>
      <sheetData sheetId="2960">
        <row r="1">
          <cell r="JB1">
            <v>0</v>
          </cell>
        </row>
      </sheetData>
      <sheetData sheetId="2961">
        <row r="1">
          <cell r="JB1">
            <v>0</v>
          </cell>
        </row>
      </sheetData>
      <sheetData sheetId="2962">
        <row r="1">
          <cell r="JB1">
            <v>0</v>
          </cell>
        </row>
      </sheetData>
      <sheetData sheetId="2963">
        <row r="1">
          <cell r="JB1">
            <v>0</v>
          </cell>
        </row>
      </sheetData>
      <sheetData sheetId="2964">
        <row r="1">
          <cell r="JB1">
            <v>0</v>
          </cell>
        </row>
      </sheetData>
      <sheetData sheetId="2965">
        <row r="1">
          <cell r="JB1">
            <v>0</v>
          </cell>
        </row>
      </sheetData>
      <sheetData sheetId="2966">
        <row r="1">
          <cell r="JB1">
            <v>0</v>
          </cell>
        </row>
      </sheetData>
      <sheetData sheetId="2967">
        <row r="1">
          <cell r="JB1">
            <v>0</v>
          </cell>
        </row>
      </sheetData>
      <sheetData sheetId="2968">
        <row r="1">
          <cell r="JB1">
            <v>0</v>
          </cell>
        </row>
      </sheetData>
      <sheetData sheetId="2969">
        <row r="1">
          <cell r="JB1">
            <v>0</v>
          </cell>
        </row>
      </sheetData>
      <sheetData sheetId="2970">
        <row r="1">
          <cell r="JB1">
            <v>0</v>
          </cell>
        </row>
      </sheetData>
      <sheetData sheetId="2971">
        <row r="1">
          <cell r="JB1">
            <v>0</v>
          </cell>
        </row>
      </sheetData>
      <sheetData sheetId="2972">
        <row r="1">
          <cell r="JB1">
            <v>0</v>
          </cell>
        </row>
      </sheetData>
      <sheetData sheetId="2973">
        <row r="1">
          <cell r="JB1">
            <v>0</v>
          </cell>
        </row>
      </sheetData>
      <sheetData sheetId="2974">
        <row r="1">
          <cell r="JB1">
            <v>0</v>
          </cell>
        </row>
      </sheetData>
      <sheetData sheetId="2975">
        <row r="1">
          <cell r="JB1">
            <v>0</v>
          </cell>
        </row>
      </sheetData>
      <sheetData sheetId="2976">
        <row r="1">
          <cell r="JB1">
            <v>0</v>
          </cell>
        </row>
      </sheetData>
      <sheetData sheetId="2977">
        <row r="1">
          <cell r="JB1">
            <v>0</v>
          </cell>
        </row>
      </sheetData>
      <sheetData sheetId="2978">
        <row r="1">
          <cell r="JB1">
            <v>0</v>
          </cell>
        </row>
      </sheetData>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ow r="1">
          <cell r="JB1">
            <v>0</v>
          </cell>
        </row>
      </sheetData>
      <sheetData sheetId="3061">
        <row r="1">
          <cell r="JB1">
            <v>0</v>
          </cell>
        </row>
      </sheetData>
      <sheetData sheetId="3062">
        <row r="1">
          <cell r="JB1">
            <v>0</v>
          </cell>
        </row>
      </sheetData>
      <sheetData sheetId="3063">
        <row r="1">
          <cell r="JB1">
            <v>0</v>
          </cell>
        </row>
      </sheetData>
      <sheetData sheetId="3064">
        <row r="1">
          <cell r="JB1">
            <v>0</v>
          </cell>
        </row>
      </sheetData>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ow r="1">
          <cell r="JB1">
            <v>0</v>
          </cell>
        </row>
      </sheetData>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ow r="1">
          <cell r="JB1">
            <v>0</v>
          </cell>
        </row>
      </sheetData>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ow r="7">
          <cell r="P7">
            <v>0</v>
          </cell>
        </row>
      </sheetData>
      <sheetData sheetId="3120">
        <row r="7">
          <cell r="P7" t="str">
            <v xml:space="preserve">B U D G E T A R Y </v>
          </cell>
        </row>
      </sheetData>
      <sheetData sheetId="3121">
        <row r="1">
          <cell r="JB1">
            <v>0</v>
          </cell>
        </row>
      </sheetData>
      <sheetData sheetId="3122">
        <row r="7">
          <cell r="P7">
            <v>0</v>
          </cell>
        </row>
      </sheetData>
      <sheetData sheetId="3123">
        <row r="7">
          <cell r="P7">
            <v>0</v>
          </cell>
        </row>
      </sheetData>
      <sheetData sheetId="3124">
        <row r="1">
          <cell r="JB1">
            <v>0</v>
          </cell>
        </row>
      </sheetData>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MONTHS "/>
      <sheetName val="6MONTHS"/>
      <sheetName val="staffsched"/>
      <sheetName val="負荷集計（断熱不燃）"/>
      <sheetName val="SEX"/>
      <sheetName val="Buy vs. Lease Car"/>
      <sheetName val="Accessorie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Tke-22"/>
      <sheetName val="LKe22"/>
      <sheetName val="Tong hop"/>
      <sheetName val="TH-TB-XD"/>
      <sheetName val="Ksat"/>
      <sheetName val="giaKS"/>
      <sheetName val="Gia KS"/>
      <sheetName val="TH-TB+XD22"/>
      <sheetName val="TH22"/>
      <sheetName val="V-N-M22"/>
      <sheetName val="ms22"/>
      <sheetName val="TN22"/>
      <sheetName val="VC22"/>
      <sheetName val="CL22"/>
      <sheetName val="KLVLXD22"/>
      <sheetName val="HPVLXD22"/>
      <sheetName val="Tke 0.4"/>
      <sheetName val="Lke0.4"/>
      <sheetName val="TH-TB-XD0.4"/>
      <sheetName val="TH0.4"/>
      <sheetName val="V-N-M0.4"/>
      <sheetName val="MS0.4"/>
      <sheetName val="TN0.4"/>
      <sheetName val="VC0.4"/>
      <sheetName val="CL0.4"/>
      <sheetName val="KLVLXD0.4"/>
      <sheetName val="HPVLXD0.4"/>
      <sheetName val="Lke TBA"/>
      <sheetName val="TH-TB+XD-TBA"/>
      <sheetName val="THTBA"/>
      <sheetName val="V-N-MTBA"/>
      <sheetName val="MSTBA"/>
      <sheetName val="TNTBA"/>
      <sheetName val="VCTBA"/>
      <sheetName val="chitiet"/>
      <sheetName val="daodat"/>
      <sheetName val="VC Da Nang"/>
      <sheetName val="VC QN"/>
      <sheetName val="dm7606tba"/>
      <sheetName val="dm7606"/>
      <sheetName val="dm 366"/>
      <sheetName val="ĐGVT"/>
      <sheetName val="dgtn"/>
      <sheetName val="dgtt"/>
      <sheetName val="vuabt"/>
      <sheetName val="DGVT"/>
      <sheetName val="Don gia Thi Nghiem"/>
      <sheetName val="Sheet1"/>
    </sheetNames>
    <sheetDataSet>
      <sheetData sheetId="0" refreshError="1"/>
      <sheetData sheetId="1">
        <row r="5">
          <cell r="B5" t="str">
            <v>FCO-22</v>
          </cell>
        </row>
      </sheetData>
      <sheetData sheetId="2">
        <row r="4">
          <cell r="C4" t="str">
            <v>K.cột
(m)</v>
          </cell>
        </row>
      </sheetData>
      <sheetData sheetId="3" refreshError="1"/>
      <sheetData sheetId="4">
        <row r="1">
          <cell r="A1" t="str">
            <v>CẤP ĐIỆN KHU TĐC FPT</v>
          </cell>
        </row>
      </sheetData>
      <sheetData sheetId="5" refreshError="1"/>
      <sheetData sheetId="6"/>
      <sheetData sheetId="7">
        <row r="14">
          <cell r="K14">
            <v>519319.91699999996</v>
          </cell>
        </row>
      </sheetData>
      <sheetData sheetId="8">
        <row r="11">
          <cell r="D11">
            <v>258897233.87969783</v>
          </cell>
        </row>
      </sheetData>
      <sheetData sheetId="9">
        <row r="24">
          <cell r="D24">
            <v>1.8462000000000001</v>
          </cell>
        </row>
      </sheetData>
      <sheetData sheetId="10" refreshError="1"/>
      <sheetData sheetId="11">
        <row r="6">
          <cell r="K6">
            <v>27800</v>
          </cell>
        </row>
        <row r="9">
          <cell r="K9">
            <v>12114.285714285714</v>
          </cell>
        </row>
      </sheetData>
      <sheetData sheetId="12" refreshError="1"/>
      <sheetData sheetId="13" refreshError="1"/>
      <sheetData sheetId="14" refreshError="1"/>
      <sheetData sheetId="15" refreshError="1"/>
      <sheetData sheetId="16">
        <row r="8">
          <cell r="A8" t="str">
            <v>MT-2</v>
          </cell>
        </row>
      </sheetData>
      <sheetData sheetId="17">
        <row r="7">
          <cell r="B7" t="str">
            <v>ABC(4x95)</v>
          </cell>
          <cell r="C7" t="str">
            <v>Cáp vặn xoắn ABC(4x95)0.6/(1.2)KV</v>
          </cell>
          <cell r="D7" t="str">
            <v>ABC(4x95)</v>
          </cell>
          <cell r="E7" t="str">
            <v>Mét</v>
          </cell>
          <cell r="F7">
            <v>1249.9399999999996</v>
          </cell>
        </row>
        <row r="8">
          <cell r="B8" t="str">
            <v>ABC(4x50)</v>
          </cell>
          <cell r="C8" t="str">
            <v>Cáp vặn xoắn ABC(4x50)0.6/(1.2)KV</v>
          </cell>
          <cell r="D8" t="str">
            <v>ABC(4x50)</v>
          </cell>
          <cell r="E8" t="str">
            <v>Mét</v>
          </cell>
          <cell r="F8">
            <v>1741.4209999999991</v>
          </cell>
        </row>
        <row r="9">
          <cell r="B9" t="str">
            <v>KN-95</v>
          </cell>
          <cell r="C9" t="str">
            <v>Khoá néo cáp vặn xoắn ABC(4x95)</v>
          </cell>
          <cell r="D9" t="str">
            <v>KN-95</v>
          </cell>
          <cell r="E9" t="str">
            <v>Cái</v>
          </cell>
          <cell r="F9">
            <v>24</v>
          </cell>
        </row>
        <row r="10">
          <cell r="B10" t="str">
            <v>KN-50</v>
          </cell>
          <cell r="C10" t="str">
            <v>Khoá néo cáp vặn xoắn ABC(4x50)</v>
          </cell>
          <cell r="D10" t="str">
            <v>KN-50</v>
          </cell>
          <cell r="E10" t="str">
            <v>Cái</v>
          </cell>
          <cell r="F10">
            <v>38</v>
          </cell>
        </row>
        <row r="11">
          <cell r="B11" t="str">
            <v>KĐ-95</v>
          </cell>
          <cell r="C11" t="str">
            <v>Khoá đỡ cáp vặn xoắnABC(4x95)</v>
          </cell>
          <cell r="D11" t="str">
            <v>KĐ-95</v>
          </cell>
          <cell r="E11" t="str">
            <v>Cái</v>
          </cell>
          <cell r="F11">
            <v>25</v>
          </cell>
        </row>
        <row r="12">
          <cell r="B12" t="str">
            <v>KĐ-50</v>
          </cell>
          <cell r="C12" t="str">
            <v>Khoá đỡ cáp vặn xoắnABC(4x50)</v>
          </cell>
          <cell r="D12" t="str">
            <v>KĐ-50</v>
          </cell>
          <cell r="E12" t="str">
            <v>Cái</v>
          </cell>
          <cell r="F12">
            <v>32</v>
          </cell>
        </row>
        <row r="13">
          <cell r="B13" t="str">
            <v>KRHT-95/95</v>
          </cell>
          <cell r="C13" t="str">
            <v>Kẹp răng nhôm hạ thế 95/95</v>
          </cell>
          <cell r="D13" t="str">
            <v>KRHT-95/95</v>
          </cell>
          <cell r="E13" t="str">
            <v>Cái</v>
          </cell>
          <cell r="F13">
            <v>10</v>
          </cell>
        </row>
        <row r="14">
          <cell r="B14" t="str">
            <v>KRHT-95/50</v>
          </cell>
          <cell r="C14" t="str">
            <v>Kẹp răng nhôm hạ thế 95/50</v>
          </cell>
          <cell r="D14" t="str">
            <v>KRHT-95/50</v>
          </cell>
          <cell r="E14" t="str">
            <v>Cái</v>
          </cell>
          <cell r="F14">
            <v>45</v>
          </cell>
        </row>
        <row r="15">
          <cell r="B15" t="str">
            <v>KRHT-50/50</v>
          </cell>
          <cell r="C15" t="str">
            <v>Kẹp răng nhôm hạ thế 95/50</v>
          </cell>
          <cell r="D15" t="str">
            <v>KRHT-50/50</v>
          </cell>
          <cell r="E15" t="str">
            <v>Cái</v>
          </cell>
          <cell r="F15">
            <v>5</v>
          </cell>
        </row>
        <row r="16">
          <cell r="B16" t="str">
            <v>ĐC-AM95</v>
          </cell>
          <cell r="C16" t="str">
            <v>Đầu cos đồng nhôm dây 95</v>
          </cell>
          <cell r="D16" t="str">
            <v>ĐC-AM95</v>
          </cell>
          <cell r="E16" t="str">
            <v>Cái</v>
          </cell>
          <cell r="F16">
            <v>8</v>
          </cell>
        </row>
        <row r="17">
          <cell r="B17" t="str">
            <v>CĐC-50</v>
          </cell>
          <cell r="C17" t="str">
            <v>Chụp đầu cáp 50</v>
          </cell>
          <cell r="D17" t="str">
            <v>CĐC-50</v>
          </cell>
          <cell r="E17" t="str">
            <v>Cái</v>
          </cell>
          <cell r="F17">
            <v>40</v>
          </cell>
        </row>
        <row r="18">
          <cell r="B18" t="str">
            <v>CĐC-95</v>
          </cell>
          <cell r="C18" t="str">
            <v>Chụp đầu cáp 95</v>
          </cell>
          <cell r="D18" t="str">
            <v>CĐC-95</v>
          </cell>
          <cell r="E18" t="str">
            <v>Cái</v>
          </cell>
          <cell r="F18">
            <v>16</v>
          </cell>
        </row>
        <row r="19">
          <cell r="C19" t="str">
            <v>PHẦN XÂY DỰNG</v>
          </cell>
        </row>
        <row r="20">
          <cell r="B20" t="str">
            <v>LT-8,4A</v>
          </cell>
          <cell r="C20" t="str">
            <v>Cột bê tông ly tâm 8,4m loại A</v>
          </cell>
          <cell r="D20" t="str">
            <v>LT-8,4A</v>
          </cell>
          <cell r="E20" t="str">
            <v>Cột</v>
          </cell>
          <cell r="F20">
            <v>40</v>
          </cell>
        </row>
        <row r="21">
          <cell r="B21" t="str">
            <v>LT-8,4B</v>
          </cell>
          <cell r="C21" t="str">
            <v>Cột bê tông ly tâm 8,4m loại B</v>
          </cell>
          <cell r="D21" t="str">
            <v>LT-8,4B</v>
          </cell>
          <cell r="E21" t="str">
            <v>Cột</v>
          </cell>
          <cell r="F21">
            <v>11</v>
          </cell>
        </row>
        <row r="22">
          <cell r="B22" t="str">
            <v>LT-8,4C</v>
          </cell>
          <cell r="C22" t="str">
            <v>Cột bê tông ly tâm 8,4m loại C</v>
          </cell>
          <cell r="D22" t="str">
            <v>LT-8,4C</v>
          </cell>
          <cell r="E22" t="str">
            <v>Cột</v>
          </cell>
          <cell r="F22">
            <v>22</v>
          </cell>
        </row>
        <row r="23">
          <cell r="B23" t="str">
            <v>LT-8,4D</v>
          </cell>
          <cell r="C23" t="str">
            <v>Cột bê tông ly tâm 8,4m loại D</v>
          </cell>
          <cell r="D23" t="str">
            <v>LT-8,4D</v>
          </cell>
          <cell r="E23" t="str">
            <v>Cột</v>
          </cell>
          <cell r="F23">
            <v>9</v>
          </cell>
        </row>
        <row r="24">
          <cell r="B24" t="str">
            <v>LT-14A</v>
          </cell>
          <cell r="C24" t="str">
            <v>Cột bê tông ly tâm 14m loại A</v>
          </cell>
          <cell r="D24" t="str">
            <v>LT-14A</v>
          </cell>
          <cell r="E24" t="str">
            <v>Cột</v>
          </cell>
          <cell r="F24">
            <v>6</v>
          </cell>
        </row>
        <row r="25">
          <cell r="B25" t="str">
            <v>MT-1HT</v>
          </cell>
          <cell r="C25" t="str">
            <v>Móng cột BTLT MT-1</v>
          </cell>
          <cell r="D25" t="str">
            <v>MT-1HT</v>
          </cell>
          <cell r="E25" t="str">
            <v>Móng</v>
          </cell>
          <cell r="F25">
            <v>82</v>
          </cell>
        </row>
        <row r="26">
          <cell r="B26" t="str">
            <v>MT-3</v>
          </cell>
          <cell r="C26" t="str">
            <v>Móng cột BTLT MT-3</v>
          </cell>
          <cell r="D26" t="str">
            <v>MT-3</v>
          </cell>
          <cell r="E26" t="str">
            <v>Móng</v>
          </cell>
          <cell r="F26">
            <v>6</v>
          </cell>
        </row>
        <row r="27">
          <cell r="B27" t="str">
            <v>BLM-250</v>
          </cell>
          <cell r="C27" t="str">
            <v>Bulon móc cáp</v>
          </cell>
          <cell r="D27" t="str">
            <v>BLM-250</v>
          </cell>
          <cell r="E27" t="str">
            <v>Cái</v>
          </cell>
          <cell r="F27">
            <v>108</v>
          </cell>
        </row>
        <row r="28">
          <cell r="B28" t="str">
            <v>BLM-350</v>
          </cell>
          <cell r="C28" t="str">
            <v>Bulon móc cáp</v>
          </cell>
          <cell r="D28" t="str">
            <v>BLM-350</v>
          </cell>
          <cell r="E28" t="str">
            <v>Cái</v>
          </cell>
          <cell r="F28">
            <v>6</v>
          </cell>
        </row>
        <row r="29">
          <cell r="B29" t="str">
            <v>GMC</v>
          </cell>
          <cell r="C29" t="str">
            <v xml:space="preserve">Giá móc cáp </v>
          </cell>
          <cell r="D29" t="str">
            <v>GMC</v>
          </cell>
          <cell r="E29" t="str">
            <v>Cái</v>
          </cell>
          <cell r="F29">
            <v>5</v>
          </cell>
        </row>
        <row r="30">
          <cell r="B30" t="str">
            <v>ĐT+K</v>
          </cell>
          <cell r="C30" t="str">
            <v>Đai thép + khóa đai thép</v>
          </cell>
          <cell r="D30" t="str">
            <v>ĐT+K</v>
          </cell>
          <cell r="E30" t="str">
            <v>Bộ</v>
          </cell>
          <cell r="F30">
            <v>18</v>
          </cell>
        </row>
        <row r="31">
          <cell r="B31" t="str">
            <v>RC-4</v>
          </cell>
          <cell r="C31" t="str">
            <v>Tiếp địa đường dây</v>
          </cell>
          <cell r="D31" t="str">
            <v>RC-4</v>
          </cell>
          <cell r="E31" t="str">
            <v>HT</v>
          </cell>
          <cell r="F31">
            <v>22</v>
          </cell>
        </row>
        <row r="32">
          <cell r="B32" t="str">
            <v>DN-3</v>
          </cell>
          <cell r="C32" t="str">
            <v>Tiếp địa ngọn DN3</v>
          </cell>
          <cell r="D32" t="str">
            <v>DN-3</v>
          </cell>
          <cell r="E32" t="str">
            <v>HT</v>
          </cell>
          <cell r="F32">
            <v>22</v>
          </cell>
        </row>
        <row r="33">
          <cell r="B33" t="str">
            <v>TEP-90/80</v>
          </cell>
          <cell r="C33" t="str">
            <v>Ống nhựa xoắn luồn cáp TEP-90/80</v>
          </cell>
          <cell r="D33" t="str">
            <v>TEP-90/80</v>
          </cell>
          <cell r="E33" t="str">
            <v>mét</v>
          </cell>
          <cell r="F33">
            <v>8</v>
          </cell>
        </row>
        <row r="34">
          <cell r="B34" t="str">
            <v>BC+BB</v>
          </cell>
          <cell r="C34" t="str">
            <v>Biển cấm trèo và đánh số thứ tự cột</v>
          </cell>
          <cell r="D34" t="str">
            <v>BC+BB</v>
          </cell>
          <cell r="E34" t="str">
            <v>Cái</v>
          </cell>
          <cell r="F34">
            <v>82</v>
          </cell>
        </row>
      </sheetData>
      <sheetData sheetId="18">
        <row r="3">
          <cell r="C3" t="str">
            <v>PHẦN ĐƯỜNG DÂY 0,4KV</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9">
          <cell r="A9" t="str">
            <v>MT-1HT</v>
          </cell>
        </row>
      </sheetData>
      <sheetData sheetId="28">
        <row r="4">
          <cell r="C4" t="str">
            <v>PHẦN ĐIỆN</v>
          </cell>
        </row>
        <row r="5">
          <cell r="C5" t="str">
            <v>THIẾT BỊ</v>
          </cell>
        </row>
        <row r="6">
          <cell r="B6" t="str">
            <v>22/0,4kV-250kVA</v>
          </cell>
          <cell r="C6" t="str">
            <v>Máy biến áp 3 pha</v>
          </cell>
          <cell r="D6" t="str">
            <v>22/0,4kV-250kVA</v>
          </cell>
          <cell r="E6" t="str">
            <v>Máy</v>
          </cell>
          <cell r="F6">
            <v>1</v>
          </cell>
        </row>
        <row r="7">
          <cell r="B7" t="str">
            <v>LA-21kV-10kA</v>
          </cell>
          <cell r="C7" t="str">
            <v>Chống sét van + bách treo 21kV</v>
          </cell>
          <cell r="D7" t="str">
            <v>LA-21kV-10kA</v>
          </cell>
          <cell r="E7" t="str">
            <v>Cái</v>
          </cell>
          <cell r="F7">
            <v>3</v>
          </cell>
        </row>
        <row r="8">
          <cell r="C8" t="str">
            <v>VẬT LIỆU</v>
          </cell>
        </row>
        <row r="9">
          <cell r="C9" t="str">
            <v>Phía trung thế</v>
          </cell>
        </row>
        <row r="10">
          <cell r="B10" t="str">
            <v>FCO-22kV-100A</v>
          </cell>
          <cell r="C10" t="str">
            <v>Cầu chì tự rơi 22kV-100A</v>
          </cell>
          <cell r="D10" t="str">
            <v>FCO-22kV-100A</v>
          </cell>
          <cell r="E10" t="str">
            <v>Cái</v>
          </cell>
          <cell r="F10">
            <v>3</v>
          </cell>
        </row>
        <row r="11">
          <cell r="B11" t="str">
            <v>15K</v>
          </cell>
          <cell r="C11" t="str">
            <v>Dây chảy 15K</v>
          </cell>
          <cell r="D11" t="str">
            <v>15K</v>
          </cell>
          <cell r="E11" t="str">
            <v>Dây</v>
          </cell>
          <cell r="F11">
            <v>3</v>
          </cell>
        </row>
        <row r="12">
          <cell r="B12" t="str">
            <v>CXV-38</v>
          </cell>
          <cell r="C12" t="str">
            <v>Dây đồng bọc trung thế CXV-38</v>
          </cell>
          <cell r="D12" t="str">
            <v>CXV-38</v>
          </cell>
          <cell r="E12" t="str">
            <v>Mét</v>
          </cell>
          <cell r="F12">
            <v>24</v>
          </cell>
        </row>
        <row r="13">
          <cell r="B13" t="str">
            <v>SĐ-22kV</v>
          </cell>
          <cell r="C13" t="str">
            <v>Sứ đỡ kèm ty sứ Pin Post</v>
          </cell>
          <cell r="D13" t="str">
            <v>SĐ-22kV</v>
          </cell>
          <cell r="E13" t="str">
            <v>Quả</v>
          </cell>
          <cell r="F13">
            <v>6</v>
          </cell>
        </row>
        <row r="14">
          <cell r="B14" t="str">
            <v>KDĐS</v>
          </cell>
          <cell r="C14" t="str">
            <v>Kẹp dây đầu sứ</v>
          </cell>
          <cell r="D14" t="str">
            <v>KDĐS</v>
          </cell>
          <cell r="E14" t="str">
            <v>Bộ</v>
          </cell>
          <cell r="F14">
            <v>6</v>
          </cell>
        </row>
        <row r="15">
          <cell r="B15" t="str">
            <v>ĐC-M38</v>
          </cell>
          <cell r="C15" t="str">
            <v>Đầu cốt cho cáp M(1x38)</v>
          </cell>
          <cell r="D15" t="str">
            <v>ĐC-M38</v>
          </cell>
          <cell r="E15" t="str">
            <v>Cái</v>
          </cell>
          <cell r="F15">
            <v>15</v>
          </cell>
        </row>
        <row r="16">
          <cell r="B16" t="str">
            <v>CĐR-A70</v>
          </cell>
          <cell r="C16" t="str">
            <v>Cụm đấu rẽ cho dây AXV-70 (1KR-A70+chốt)</v>
          </cell>
          <cell r="D16" t="str">
            <v>CĐR-A70</v>
          </cell>
          <cell r="E16" t="str">
            <v>Cái</v>
          </cell>
          <cell r="F16">
            <v>3</v>
          </cell>
        </row>
        <row r="17">
          <cell r="B17" t="str">
            <v>KĐR-M38</v>
          </cell>
          <cell r="C17" t="str">
            <v>Kẹp rẽ nhánh dây đồng bọc CXV-38</v>
          </cell>
          <cell r="D17" t="str">
            <v>KĐR-M38</v>
          </cell>
          <cell r="E17" t="str">
            <v>Cái</v>
          </cell>
          <cell r="F17">
            <v>3</v>
          </cell>
        </row>
        <row r="18">
          <cell r="C18" t="str">
            <v>Phía hạ thế</v>
          </cell>
        </row>
        <row r="19">
          <cell r="B19" t="str">
            <v>VTĐ-250</v>
          </cell>
          <cell r="C19" t="str">
            <v>Vỏ tủ điện hạ thế 250kVA</v>
          </cell>
          <cell r="D19" t="str">
            <v>VTĐ-250</v>
          </cell>
          <cell r="E19" t="str">
            <v>Tủ</v>
          </cell>
          <cell r="F19">
            <v>1</v>
          </cell>
        </row>
        <row r="20">
          <cell r="B20" t="str">
            <v>BD-400/5</v>
          </cell>
          <cell r="C20" t="str">
            <v>Biến dòng hạ thế 400/5A</v>
          </cell>
          <cell r="D20" t="str">
            <v>BD-400/5</v>
          </cell>
          <cell r="E20" t="str">
            <v>Cái</v>
          </cell>
          <cell r="F20">
            <v>3</v>
          </cell>
        </row>
        <row r="21">
          <cell r="B21" t="str">
            <v>CTHC 600V-5A</v>
          </cell>
          <cell r="C21" t="str">
            <v>Công tơ hữu công 600V-5A</v>
          </cell>
          <cell r="D21" t="str">
            <v>CTHC 600V-5A</v>
          </cell>
          <cell r="E21" t="str">
            <v>Cái</v>
          </cell>
          <cell r="F21">
            <v>1</v>
          </cell>
        </row>
        <row r="22">
          <cell r="B22" t="str">
            <v>CTVC 600V-5A</v>
          </cell>
          <cell r="C22" t="str">
            <v>Công tơ vô công 600V-5A</v>
          </cell>
          <cell r="D22" t="str">
            <v>CTVC 600V-5A</v>
          </cell>
          <cell r="E22" t="str">
            <v>Cái</v>
          </cell>
          <cell r="F22">
            <v>1</v>
          </cell>
        </row>
        <row r="23">
          <cell r="B23" t="str">
            <v>ATM-400</v>
          </cell>
          <cell r="C23" t="str">
            <v>Áp tô mát tổng 0,4kV-400A</v>
          </cell>
          <cell r="D23" t="str">
            <v>ATM-400</v>
          </cell>
          <cell r="E23" t="str">
            <v>Cái</v>
          </cell>
          <cell r="F23">
            <v>1</v>
          </cell>
        </row>
        <row r="24">
          <cell r="B24" t="str">
            <v>XLPE/PVC-M240</v>
          </cell>
          <cell r="C24" t="str">
            <v>Cáp bọc hạ thế lộ tổng M240</v>
          </cell>
          <cell r="D24" t="str">
            <v>XLPE/PVC-M240</v>
          </cell>
          <cell r="E24" t="str">
            <v>Mét</v>
          </cell>
          <cell r="F24">
            <v>24</v>
          </cell>
        </row>
        <row r="25">
          <cell r="B25" t="str">
            <v>XLPE/PVC-M120</v>
          </cell>
          <cell r="C25" t="str">
            <v>Cáp bọc hạ thế lộ tổng M120</v>
          </cell>
          <cell r="D25" t="str">
            <v>XLPE/PVC-M120</v>
          </cell>
          <cell r="E25" t="str">
            <v>Mét</v>
          </cell>
          <cell r="F25">
            <v>8</v>
          </cell>
        </row>
        <row r="26">
          <cell r="B26" t="str">
            <v>M(1x4)</v>
          </cell>
          <cell r="C26" t="str">
            <v>Dây đồng bọc M(1x4)-600V</v>
          </cell>
          <cell r="D26" t="str">
            <v>M(1x4)</v>
          </cell>
          <cell r="E26" t="str">
            <v>Mét</v>
          </cell>
          <cell r="F26">
            <v>24</v>
          </cell>
        </row>
        <row r="27">
          <cell r="B27" t="str">
            <v>M38</v>
          </cell>
          <cell r="C27" t="str">
            <v xml:space="preserve">Cáp bọc nối tiếp địa, ruột đồng </v>
          </cell>
          <cell r="D27" t="str">
            <v>M38</v>
          </cell>
          <cell r="E27" t="str">
            <v>Mét</v>
          </cell>
          <cell r="F27">
            <v>20</v>
          </cell>
        </row>
        <row r="28">
          <cell r="B28" t="str">
            <v>ĐC-M240</v>
          </cell>
          <cell r="C28" t="str">
            <v>Đầu cốt đồng M240</v>
          </cell>
          <cell r="D28" t="str">
            <v>ĐC-M240</v>
          </cell>
          <cell r="E28" t="str">
            <v>Cái</v>
          </cell>
          <cell r="F28">
            <v>6</v>
          </cell>
        </row>
        <row r="29">
          <cell r="B29" t="str">
            <v>ĐC-M120</v>
          </cell>
          <cell r="C29" t="str">
            <v>Đầu cốt đồng cho dây M120</v>
          </cell>
          <cell r="D29" t="str">
            <v>ĐC-M120</v>
          </cell>
          <cell r="E29" t="str">
            <v>Cái</v>
          </cell>
          <cell r="F29">
            <v>2</v>
          </cell>
        </row>
        <row r="30">
          <cell r="B30" t="str">
            <v>ĐC-M38</v>
          </cell>
          <cell r="C30" t="str">
            <v>Đầu cốt đồng cho dây M38</v>
          </cell>
          <cell r="D30" t="str">
            <v>ĐC-M38</v>
          </cell>
          <cell r="E30" t="str">
            <v>Cái</v>
          </cell>
          <cell r="F30">
            <v>12</v>
          </cell>
        </row>
        <row r="31">
          <cell r="B31" t="str">
            <v>M8x40</v>
          </cell>
          <cell r="C31" t="str">
            <v>Bu lông</v>
          </cell>
          <cell r="D31" t="str">
            <v>M8x40</v>
          </cell>
          <cell r="E31" t="str">
            <v>Bộ</v>
          </cell>
          <cell r="F31">
            <v>9</v>
          </cell>
        </row>
        <row r="32">
          <cell r="B32" t="str">
            <v>KR-M35</v>
          </cell>
          <cell r="C32" t="str">
            <v xml:space="preserve">Kẹp răng nối dây tiếp địa </v>
          </cell>
          <cell r="D32" t="str">
            <v>KR-M35</v>
          </cell>
          <cell r="E32" t="str">
            <v>Cái</v>
          </cell>
          <cell r="F32">
            <v>6</v>
          </cell>
        </row>
        <row r="33">
          <cell r="B33" t="str">
            <v>f125/110</v>
          </cell>
          <cell r="C33" t="str">
            <v>Ống nhựa xoắn luồn cáp lộ tổng</v>
          </cell>
          <cell r="D33" t="str">
            <v>f125/110</v>
          </cell>
          <cell r="E33" t="str">
            <v>Mét</v>
          </cell>
          <cell r="F33">
            <v>8</v>
          </cell>
        </row>
        <row r="34">
          <cell r="B34" t="str">
            <v>F27/34</v>
          </cell>
          <cell r="C34" t="str">
            <v>Ống thép luồn tiếp địa fi27/34</v>
          </cell>
          <cell r="D34" t="str">
            <v>F27/34</v>
          </cell>
          <cell r="E34" t="str">
            <v>Mét</v>
          </cell>
          <cell r="F34">
            <v>6</v>
          </cell>
        </row>
        <row r="35">
          <cell r="B35" t="str">
            <v>ĐT+KĐ</v>
          </cell>
          <cell r="C35" t="str">
            <v>Đai thép (1,5m) + Khóa đai buộc</v>
          </cell>
          <cell r="D35" t="str">
            <v>ĐT+KĐ</v>
          </cell>
          <cell r="E35" t="str">
            <v>Cái</v>
          </cell>
          <cell r="F35">
            <v>8</v>
          </cell>
        </row>
        <row r="36">
          <cell r="B36" t="str">
            <v>BTTBA</v>
          </cell>
          <cell r="C36" t="str">
            <v>Bảng tên trạm biến áp</v>
          </cell>
          <cell r="D36" t="str">
            <v>BTTBA</v>
          </cell>
          <cell r="E36" t="str">
            <v>Cái</v>
          </cell>
          <cell r="F36">
            <v>1</v>
          </cell>
        </row>
        <row r="37">
          <cell r="B37" t="str">
            <v>BBC</v>
          </cell>
          <cell r="C37" t="str">
            <v>Biển cấm trèo</v>
          </cell>
          <cell r="D37" t="str">
            <v>BBC</v>
          </cell>
          <cell r="E37" t="str">
            <v>Cái</v>
          </cell>
          <cell r="F37">
            <v>1</v>
          </cell>
        </row>
        <row r="38">
          <cell r="C38" t="str">
            <v>PHẦN XÂY DỰNG</v>
          </cell>
        </row>
        <row r="39">
          <cell r="B39" t="str">
            <v>XMBA-LT</v>
          </cell>
          <cell r="C39" t="str">
            <v>Xà đỡ máy biến áp cột BTLT -14m</v>
          </cell>
          <cell r="D39" t="str">
            <v>XMBA-LT</v>
          </cell>
          <cell r="E39" t="str">
            <v>bộ</v>
          </cell>
          <cell r="F39">
            <v>1</v>
          </cell>
        </row>
        <row r="40">
          <cell r="B40" t="str">
            <v>XCC-LT</v>
          </cell>
          <cell r="C40" t="str">
            <v>Xà cầu chì tự rơi cột BTLT-14m</v>
          </cell>
          <cell r="D40" t="str">
            <v>XCC-LT</v>
          </cell>
          <cell r="E40" t="str">
            <v>bộ</v>
          </cell>
          <cell r="F40">
            <v>1</v>
          </cell>
        </row>
        <row r="41">
          <cell r="B41" t="str">
            <v>XSĐ-LT</v>
          </cell>
          <cell r="C41" t="str">
            <v>Xà sứ đỡ cột BTLT -14m</v>
          </cell>
          <cell r="D41" t="str">
            <v>XSĐ-LT</v>
          </cell>
          <cell r="E41" t="str">
            <v>bộ</v>
          </cell>
          <cell r="F41">
            <v>2</v>
          </cell>
        </row>
        <row r="42">
          <cell r="B42" t="str">
            <v>TGMBA-LT</v>
          </cell>
          <cell r="C42" t="str">
            <v>Tăng đơ giữ máy biến áp cột BTLT -14m</v>
          </cell>
          <cell r="D42" t="str">
            <v>TGMBA-LT</v>
          </cell>
          <cell r="E42" t="str">
            <v>bộ</v>
          </cell>
          <cell r="F42">
            <v>1</v>
          </cell>
        </row>
        <row r="43">
          <cell r="B43" t="str">
            <v>XTĐ-LT</v>
          </cell>
          <cell r="C43" t="str">
            <v>Xà tủ điện hạ thế cột BTLT</v>
          </cell>
          <cell r="D43" t="str">
            <v>XTĐ-LT</v>
          </cell>
          <cell r="E43" t="str">
            <v>bộ</v>
          </cell>
          <cell r="F43">
            <v>1</v>
          </cell>
        </row>
        <row r="44">
          <cell r="B44" t="str">
            <v>TTLV</v>
          </cell>
          <cell r="C44" t="str">
            <v>Thanh lắp thu lôi van</v>
          </cell>
          <cell r="D44" t="str">
            <v>TTLV</v>
          </cell>
          <cell r="E44" t="str">
            <v>bộ</v>
          </cell>
          <cell r="F44">
            <v>1</v>
          </cell>
        </row>
        <row r="45">
          <cell r="B45" t="str">
            <v>NĐT-32</v>
          </cell>
          <cell r="C45" t="str">
            <v>Hệ thống tiếp địa trạm</v>
          </cell>
          <cell r="D45" t="str">
            <v>NĐT-32</v>
          </cell>
          <cell r="E45" t="str">
            <v>HT</v>
          </cell>
          <cell r="F45">
            <v>1</v>
          </cell>
        </row>
        <row r="46">
          <cell r="B46" t="str">
            <v>NTR</v>
          </cell>
          <cell r="C46" t="str">
            <v>Nền trạm biến áp</v>
          </cell>
          <cell r="D46" t="str">
            <v>NTR</v>
          </cell>
          <cell r="E46" t="str">
            <v>Nền</v>
          </cell>
          <cell r="F46">
            <v>1</v>
          </cell>
        </row>
      </sheetData>
      <sheetData sheetId="29" refreshError="1"/>
      <sheetData sheetId="30">
        <row r="44">
          <cell r="D44">
            <v>1.8462000000000001</v>
          </cell>
        </row>
      </sheetData>
      <sheetData sheetId="31" refreshError="1"/>
      <sheetData sheetId="32">
        <row r="6">
          <cell r="C6" t="str">
            <v>THIẾT BỊ</v>
          </cell>
          <cell r="I6">
            <v>140778000</v>
          </cell>
        </row>
        <row r="7">
          <cell r="B7" t="str">
            <v>22/0,4kV-250kVA</v>
          </cell>
          <cell r="C7" t="str">
            <v>Máy biến áp 3 pha, 22/0,4kV-250kVA</v>
          </cell>
          <cell r="D7" t="str">
            <v>Máy</v>
          </cell>
          <cell r="E7">
            <v>1</v>
          </cell>
          <cell r="F7">
            <v>1200</v>
          </cell>
          <cell r="G7">
            <v>1200</v>
          </cell>
          <cell r="H7">
            <v>138438000</v>
          </cell>
          <cell r="I7">
            <v>138438000</v>
          </cell>
        </row>
        <row r="8">
          <cell r="B8" t="str">
            <v>LA-21kV-10kA</v>
          </cell>
          <cell r="C8" t="str">
            <v>Chống sét van + bách treo 21kV</v>
          </cell>
          <cell r="D8" t="str">
            <v>Cái</v>
          </cell>
          <cell r="E8">
            <v>3</v>
          </cell>
          <cell r="F8">
            <v>1200</v>
          </cell>
          <cell r="G8">
            <v>3600</v>
          </cell>
          <cell r="H8">
            <v>780000</v>
          </cell>
          <cell r="I8">
            <v>2340000</v>
          </cell>
        </row>
        <row r="9">
          <cell r="C9" t="str">
            <v xml:space="preserve">VẬT LIỆU </v>
          </cell>
          <cell r="I9">
            <v>50849170</v>
          </cell>
        </row>
        <row r="10">
          <cell r="C10" t="str">
            <v>PHẦN ĐIỆN</v>
          </cell>
          <cell r="I10">
            <v>42795510</v>
          </cell>
        </row>
        <row r="11">
          <cell r="C11" t="str">
            <v>Phía 22kV</v>
          </cell>
          <cell r="I11">
            <v>10314600</v>
          </cell>
        </row>
        <row r="12">
          <cell r="B12" t="str">
            <v>FCO-22kV-100A</v>
          </cell>
          <cell r="C12" t="str">
            <v>Cầu chì tự rơi 22kV-100A</v>
          </cell>
          <cell r="D12" t="str">
            <v>Cái</v>
          </cell>
          <cell r="E12">
            <v>3</v>
          </cell>
          <cell r="F12">
            <v>12</v>
          </cell>
          <cell r="G12">
            <v>36</v>
          </cell>
          <cell r="H12">
            <v>835900</v>
          </cell>
          <cell r="I12">
            <v>2507700</v>
          </cell>
        </row>
        <row r="13">
          <cell r="B13" t="str">
            <v>15K</v>
          </cell>
          <cell r="C13" t="str">
            <v>Dây chảy 15K</v>
          </cell>
          <cell r="D13" t="str">
            <v>Dây</v>
          </cell>
          <cell r="E13">
            <v>3</v>
          </cell>
          <cell r="F13">
            <v>0.1</v>
          </cell>
          <cell r="G13">
            <v>0.30000000000000004</v>
          </cell>
          <cell r="H13">
            <v>19500</v>
          </cell>
          <cell r="I13">
            <v>58500</v>
          </cell>
        </row>
        <row r="14">
          <cell r="B14" t="str">
            <v>CXV-38</v>
          </cell>
          <cell r="C14" t="str">
            <v>Dây đồng bọc trung thế CXV-38</v>
          </cell>
          <cell r="D14" t="str">
            <v>Mét</v>
          </cell>
          <cell r="E14">
            <v>24</v>
          </cell>
          <cell r="F14">
            <v>0.1</v>
          </cell>
          <cell r="G14">
            <v>2.4000000000000004</v>
          </cell>
          <cell r="H14">
            <v>75000</v>
          </cell>
          <cell r="I14">
            <v>1800000</v>
          </cell>
        </row>
        <row r="15">
          <cell r="B15" t="str">
            <v>SĐ-22kV</v>
          </cell>
          <cell r="C15" t="str">
            <v>Sứ đỡ kèm ty sứ Pin Post</v>
          </cell>
          <cell r="D15" t="str">
            <v>Quả</v>
          </cell>
          <cell r="E15">
            <v>6</v>
          </cell>
          <cell r="F15">
            <v>1.1000000000000001</v>
          </cell>
          <cell r="G15">
            <v>6.6000000000000005</v>
          </cell>
          <cell r="H15">
            <v>190000</v>
          </cell>
          <cell r="I15">
            <v>1140000</v>
          </cell>
        </row>
        <row r="16">
          <cell r="B16" t="str">
            <v>KDĐS</v>
          </cell>
          <cell r="C16" t="str">
            <v>Kẹp dây đầu sứ</v>
          </cell>
          <cell r="D16" t="str">
            <v>Bộ</v>
          </cell>
          <cell r="E16">
            <v>6</v>
          </cell>
          <cell r="F16">
            <v>0.1</v>
          </cell>
          <cell r="G16">
            <v>0.60000000000000009</v>
          </cell>
          <cell r="H16">
            <v>23400</v>
          </cell>
          <cell r="I16">
            <v>140400</v>
          </cell>
        </row>
        <row r="17">
          <cell r="B17" t="str">
            <v>ĐC-M38</v>
          </cell>
          <cell r="C17" t="str">
            <v>Đầu cốt cho cáp M(1x38)</v>
          </cell>
          <cell r="D17" t="str">
            <v>Cái</v>
          </cell>
          <cell r="E17">
            <v>15</v>
          </cell>
          <cell r="F17">
            <v>0.1</v>
          </cell>
          <cell r="G17">
            <v>1.5</v>
          </cell>
          <cell r="H17">
            <v>11200</v>
          </cell>
          <cell r="I17">
            <v>168000</v>
          </cell>
        </row>
        <row r="18">
          <cell r="B18" t="str">
            <v>CĐR-A70</v>
          </cell>
          <cell r="C18" t="str">
            <v>Cụm đấu rẽ cho dây AXV-70 (1KR-A70+chốt)</v>
          </cell>
          <cell r="D18" t="str">
            <v>Cái</v>
          </cell>
          <cell r="E18">
            <v>3</v>
          </cell>
          <cell r="F18">
            <v>0.33439999999999998</v>
          </cell>
          <cell r="G18">
            <v>1.0031999999999999</v>
          </cell>
          <cell r="H18">
            <v>850000</v>
          </cell>
          <cell r="I18">
            <v>2550000</v>
          </cell>
        </row>
        <row r="19">
          <cell r="B19" t="str">
            <v>KĐR-M38</v>
          </cell>
          <cell r="C19" t="str">
            <v>Kẹp rẽ nhánh dây đồng bọc CXV-38, KĐR-M38</v>
          </cell>
          <cell r="D19" t="str">
            <v>Cái</v>
          </cell>
          <cell r="E19">
            <v>3</v>
          </cell>
          <cell r="F19">
            <v>12</v>
          </cell>
          <cell r="G19">
            <v>36</v>
          </cell>
          <cell r="H19">
            <v>650000</v>
          </cell>
          <cell r="I19">
            <v>1950000</v>
          </cell>
        </row>
        <row r="20">
          <cell r="C20" t="str">
            <v>Phía 0,4kV</v>
          </cell>
          <cell r="I20">
            <v>32480910</v>
          </cell>
        </row>
        <row r="21">
          <cell r="B21" t="str">
            <v>VTĐ-250</v>
          </cell>
          <cell r="C21" t="str">
            <v>Vỏ tủ điện hạ thế 250kVA</v>
          </cell>
          <cell r="D21" t="str">
            <v>Tủ</v>
          </cell>
          <cell r="E21">
            <v>1</v>
          </cell>
          <cell r="F21">
            <v>113.42</v>
          </cell>
          <cell r="G21">
            <v>113.42</v>
          </cell>
          <cell r="H21">
            <v>4550000</v>
          </cell>
          <cell r="I21">
            <v>4550000</v>
          </cell>
        </row>
        <row r="22">
          <cell r="B22" t="str">
            <v>BD-400/5</v>
          </cell>
          <cell r="C22" t="str">
            <v>Biến dòng hạ thế 400/5A</v>
          </cell>
          <cell r="D22" t="str">
            <v>Cái</v>
          </cell>
          <cell r="E22">
            <v>3</v>
          </cell>
          <cell r="F22">
            <v>124.76200000000001</v>
          </cell>
          <cell r="G22">
            <v>374.28600000000006</v>
          </cell>
          <cell r="H22">
            <v>495000.00000000006</v>
          </cell>
          <cell r="I22">
            <v>1485000.0000000002</v>
          </cell>
        </row>
        <row r="23">
          <cell r="B23" t="str">
            <v>CTHC 600V-5A</v>
          </cell>
          <cell r="C23" t="str">
            <v>Công tơ hữu công 600V-5A</v>
          </cell>
          <cell r="D23" t="str">
            <v>Cái</v>
          </cell>
          <cell r="E23">
            <v>1</v>
          </cell>
          <cell r="F23">
            <v>124.76200000000001</v>
          </cell>
          <cell r="G23">
            <v>124.76200000000001</v>
          </cell>
          <cell r="H23">
            <v>550000</v>
          </cell>
          <cell r="I23">
            <v>550000</v>
          </cell>
        </row>
        <row r="24">
          <cell r="B24" t="str">
            <v>CTVC 600V-5A</v>
          </cell>
          <cell r="C24" t="str">
            <v>Công tơ vô công 600V-5A</v>
          </cell>
          <cell r="D24" t="str">
            <v>Cái</v>
          </cell>
          <cell r="E24">
            <v>1</v>
          </cell>
          <cell r="F24">
            <v>136.10399999999998</v>
          </cell>
          <cell r="G24">
            <v>136.10399999999998</v>
          </cell>
          <cell r="H24">
            <v>550000</v>
          </cell>
          <cell r="I24">
            <v>550000</v>
          </cell>
        </row>
        <row r="25">
          <cell r="B25" t="str">
            <v>ATM-400</v>
          </cell>
          <cell r="C25" t="str">
            <v>Áp tô mát tổng 0,4kV-400A</v>
          </cell>
          <cell r="D25" t="str">
            <v>Cái</v>
          </cell>
          <cell r="E25">
            <v>1</v>
          </cell>
          <cell r="F25">
            <v>2.5</v>
          </cell>
          <cell r="G25">
            <v>2.5</v>
          </cell>
          <cell r="H25">
            <v>5933700</v>
          </cell>
          <cell r="I25">
            <v>5933700</v>
          </cell>
        </row>
        <row r="26">
          <cell r="B26" t="str">
            <v>XLPE/PVC-M240</v>
          </cell>
          <cell r="C26" t="str">
            <v>Cáp bọc hạ thế lộ tổng M240</v>
          </cell>
          <cell r="D26" t="str">
            <v>Mét</v>
          </cell>
          <cell r="E26">
            <v>24</v>
          </cell>
          <cell r="F26">
            <v>2.5</v>
          </cell>
          <cell r="G26">
            <v>60</v>
          </cell>
          <cell r="H26">
            <v>701700</v>
          </cell>
          <cell r="I26">
            <v>16840800</v>
          </cell>
        </row>
        <row r="27">
          <cell r="B27" t="str">
            <v>XLPE/PVC-M120</v>
          </cell>
          <cell r="C27" t="str">
            <v>Cáp bọc hạ thế lộ tổng M120</v>
          </cell>
          <cell r="D27" t="str">
            <v>Mét</v>
          </cell>
          <cell r="E27">
            <v>8</v>
          </cell>
          <cell r="F27">
            <v>3</v>
          </cell>
          <cell r="G27">
            <v>24</v>
          </cell>
          <cell r="H27">
            <v>338700</v>
          </cell>
          <cell r="I27">
            <v>2709600</v>
          </cell>
        </row>
        <row r="28">
          <cell r="B28" t="str">
            <v>M(1x4)</v>
          </cell>
          <cell r="C28" t="str">
            <v>Dây đồng bọc M(1x4)-600V</v>
          </cell>
          <cell r="D28" t="str">
            <v>Mét</v>
          </cell>
          <cell r="E28">
            <v>24</v>
          </cell>
          <cell r="F28">
            <v>3.5</v>
          </cell>
          <cell r="G28">
            <v>84</v>
          </cell>
          <cell r="H28">
            <v>12240</v>
          </cell>
          <cell r="I28">
            <v>293760</v>
          </cell>
        </row>
        <row r="29">
          <cell r="B29" t="str">
            <v>M38</v>
          </cell>
          <cell r="C29" t="str">
            <v xml:space="preserve">Cáp bọc nối tiếp địa, ruột đồng </v>
          </cell>
          <cell r="D29" t="str">
            <v>Mét</v>
          </cell>
          <cell r="E29">
            <v>20</v>
          </cell>
          <cell r="F29">
            <v>3</v>
          </cell>
          <cell r="G29">
            <v>60</v>
          </cell>
          <cell r="H29">
            <v>62000</v>
          </cell>
          <cell r="I29">
            <v>1240000</v>
          </cell>
        </row>
        <row r="30">
          <cell r="B30" t="str">
            <v>ĐC-M240</v>
          </cell>
          <cell r="C30" t="str">
            <v>Đầu cốt đồng M240</v>
          </cell>
          <cell r="D30" t="str">
            <v>Cái</v>
          </cell>
          <cell r="E30">
            <v>6</v>
          </cell>
          <cell r="F30">
            <v>3</v>
          </cell>
          <cell r="G30">
            <v>18</v>
          </cell>
          <cell r="H30">
            <v>99600</v>
          </cell>
          <cell r="I30">
            <v>597600</v>
          </cell>
        </row>
        <row r="31">
          <cell r="B31" t="str">
            <v>ĐC-M120</v>
          </cell>
          <cell r="C31" t="str">
            <v>Đầu cốt đồng cho dây M120</v>
          </cell>
          <cell r="D31" t="str">
            <v>Cái</v>
          </cell>
          <cell r="E31">
            <v>2</v>
          </cell>
          <cell r="F31">
            <v>5.5</v>
          </cell>
          <cell r="G31">
            <v>11</v>
          </cell>
          <cell r="H31">
            <v>50900</v>
          </cell>
          <cell r="I31">
            <v>101800</v>
          </cell>
        </row>
        <row r="32">
          <cell r="B32" t="str">
            <v>ĐC-M38</v>
          </cell>
          <cell r="C32" t="str">
            <v>Đầu cốt cho cáp M(1x38)</v>
          </cell>
          <cell r="D32" t="str">
            <v>Cái</v>
          </cell>
          <cell r="E32">
            <v>15</v>
          </cell>
          <cell r="F32">
            <v>5</v>
          </cell>
          <cell r="G32">
            <v>75</v>
          </cell>
          <cell r="H32">
            <v>11200</v>
          </cell>
          <cell r="I32">
            <v>168000</v>
          </cell>
        </row>
        <row r="33">
          <cell r="B33" t="str">
            <v>M8x40</v>
          </cell>
          <cell r="C33" t="str">
            <v>Bu lông</v>
          </cell>
          <cell r="D33" t="str">
            <v>Bộ</v>
          </cell>
          <cell r="E33">
            <v>9</v>
          </cell>
          <cell r="F33">
            <v>4.5</v>
          </cell>
          <cell r="G33">
            <v>40.5</v>
          </cell>
          <cell r="H33">
            <v>10000</v>
          </cell>
          <cell r="I33">
            <v>90000</v>
          </cell>
        </row>
        <row r="34">
          <cell r="B34" t="str">
            <v>KR-M35</v>
          </cell>
          <cell r="C34" t="str">
            <v xml:space="preserve">Kẹp răng nối dây tiếp địa </v>
          </cell>
          <cell r="D34" t="str">
            <v>Cái</v>
          </cell>
          <cell r="E34">
            <v>6</v>
          </cell>
          <cell r="F34">
            <v>4</v>
          </cell>
          <cell r="G34">
            <v>24</v>
          </cell>
          <cell r="H34">
            <v>32300</v>
          </cell>
          <cell r="I34">
            <v>193800</v>
          </cell>
        </row>
        <row r="35">
          <cell r="B35" t="str">
            <v>f125/110</v>
          </cell>
          <cell r="C35" t="str">
            <v>Ống nhựa xoắn luồn cáp lộ tổng</v>
          </cell>
          <cell r="D35" t="str">
            <v>Mét</v>
          </cell>
          <cell r="E35">
            <v>8</v>
          </cell>
          <cell r="F35">
            <v>2.1589999999999998</v>
          </cell>
          <cell r="G35">
            <v>17.271999999999998</v>
          </cell>
          <cell r="H35">
            <v>151800</v>
          </cell>
          <cell r="I35">
            <v>1214400</v>
          </cell>
        </row>
        <row r="36">
          <cell r="B36" t="str">
            <v>F27/34</v>
          </cell>
          <cell r="C36" t="str">
            <v>Ống thép luồn tiếp địa fi27/34</v>
          </cell>
          <cell r="D36" t="str">
            <v>Mét</v>
          </cell>
          <cell r="E36">
            <v>6</v>
          </cell>
          <cell r="F36">
            <v>1.0660000000000001</v>
          </cell>
          <cell r="G36">
            <v>6.3960000000000008</v>
          </cell>
          <cell r="H36">
            <v>55275</v>
          </cell>
          <cell r="I36">
            <v>331650</v>
          </cell>
        </row>
        <row r="37">
          <cell r="B37" t="str">
            <v>ĐT+KĐ</v>
          </cell>
          <cell r="C37" t="str">
            <v>Đai thép (1,5m) + Khóa đai buộc</v>
          </cell>
          <cell r="D37" t="str">
            <v>Cái</v>
          </cell>
          <cell r="E37">
            <v>8</v>
          </cell>
          <cell r="F37">
            <v>1.3089999999999999</v>
          </cell>
          <cell r="G37">
            <v>10.472</v>
          </cell>
          <cell r="H37">
            <v>10100</v>
          </cell>
          <cell r="I37">
            <v>80800</v>
          </cell>
        </row>
        <row r="38">
          <cell r="B38" t="str">
            <v>BTTBA</v>
          </cell>
          <cell r="C38" t="str">
            <v>Bảng tên trạm biến áp</v>
          </cell>
          <cell r="D38" t="str">
            <v>Cái</v>
          </cell>
          <cell r="E38">
            <v>1</v>
          </cell>
          <cell r="F38">
            <v>0.85</v>
          </cell>
          <cell r="G38">
            <v>0.85</v>
          </cell>
          <cell r="H38">
            <v>50000</v>
          </cell>
          <cell r="I38">
            <v>50000</v>
          </cell>
        </row>
        <row r="39">
          <cell r="B39" t="str">
            <v>BBC</v>
          </cell>
          <cell r="C39" t="str">
            <v>Biển cấm trèo</v>
          </cell>
          <cell r="D39" t="str">
            <v>Cái</v>
          </cell>
          <cell r="E39">
            <v>1</v>
          </cell>
          <cell r="F39">
            <v>0.1</v>
          </cell>
          <cell r="G39">
            <v>0.1</v>
          </cell>
          <cell r="H39">
            <v>50000</v>
          </cell>
          <cell r="I39">
            <v>50000</v>
          </cell>
        </row>
        <row r="40">
          <cell r="C40" t="str">
            <v>Phần xây dựng</v>
          </cell>
          <cell r="I40">
            <v>8053660</v>
          </cell>
        </row>
        <row r="41">
          <cell r="B41" t="str">
            <v>XMBA-LT</v>
          </cell>
          <cell r="C41" t="str">
            <v>Xà đỡ máy biến áp cột BTLT -14m</v>
          </cell>
          <cell r="D41" t="str">
            <v>bộ</v>
          </cell>
          <cell r="E41">
            <v>1</v>
          </cell>
          <cell r="F41">
            <v>132.96</v>
          </cell>
          <cell r="G41">
            <v>132.96</v>
          </cell>
          <cell r="H41">
            <v>27800</v>
          </cell>
          <cell r="I41">
            <v>3696288</v>
          </cell>
        </row>
        <row r="42">
          <cell r="B42" t="str">
            <v>XCC-LT</v>
          </cell>
          <cell r="C42" t="str">
            <v>Xà cầu chì tự rơi cột BTLT-14m</v>
          </cell>
          <cell r="D42" t="str">
            <v>bộ</v>
          </cell>
          <cell r="E42">
            <v>1</v>
          </cell>
          <cell r="F42">
            <v>25.96</v>
          </cell>
          <cell r="G42">
            <v>25.96</v>
          </cell>
          <cell r="H42">
            <v>27800</v>
          </cell>
          <cell r="I42">
            <v>721688</v>
          </cell>
        </row>
        <row r="43">
          <cell r="B43" t="str">
            <v>XSĐ-LT</v>
          </cell>
          <cell r="C43" t="str">
            <v>Xà sứ đỡ cột BTLT -14m</v>
          </cell>
          <cell r="D43" t="str">
            <v>bộ</v>
          </cell>
          <cell r="E43">
            <v>2</v>
          </cell>
          <cell r="F43">
            <v>28.72</v>
          </cell>
          <cell r="G43">
            <v>57.44</v>
          </cell>
          <cell r="H43">
            <v>27800</v>
          </cell>
          <cell r="I43">
            <v>1596832</v>
          </cell>
        </row>
        <row r="44">
          <cell r="B44" t="str">
            <v>TGMBA-LT</v>
          </cell>
          <cell r="C44" t="str">
            <v>Tăng đơ giữ máy biến áp cột BTLT -14m</v>
          </cell>
          <cell r="D44" t="str">
            <v>bộ</v>
          </cell>
          <cell r="E44">
            <v>1</v>
          </cell>
          <cell r="F44">
            <v>16.46</v>
          </cell>
          <cell r="G44">
            <v>16.46</v>
          </cell>
          <cell r="H44">
            <v>27800</v>
          </cell>
          <cell r="I44">
            <v>457588</v>
          </cell>
        </row>
        <row r="45">
          <cell r="B45" t="str">
            <v>XTĐ-LT</v>
          </cell>
          <cell r="C45" t="str">
            <v>Xà tủ điện hạ thế cột BTLT</v>
          </cell>
          <cell r="D45" t="str">
            <v>bộ</v>
          </cell>
          <cell r="E45">
            <v>1</v>
          </cell>
          <cell r="F45">
            <v>52.36</v>
          </cell>
          <cell r="G45">
            <v>52.36</v>
          </cell>
          <cell r="H45">
            <v>27800</v>
          </cell>
          <cell r="I45">
            <v>1455608</v>
          </cell>
        </row>
        <row r="46">
          <cell r="B46" t="str">
            <v>TTLV</v>
          </cell>
          <cell r="C46" t="str">
            <v>Thanh lắp thu lôi van</v>
          </cell>
          <cell r="D46" t="str">
            <v>bộ</v>
          </cell>
          <cell r="E46">
            <v>1</v>
          </cell>
          <cell r="F46">
            <v>4.5199999999999996</v>
          </cell>
          <cell r="G46">
            <v>4.5199999999999996</v>
          </cell>
          <cell r="H46">
            <v>27800</v>
          </cell>
          <cell r="I46">
            <v>125655.99999999999</v>
          </cell>
        </row>
      </sheetData>
      <sheetData sheetId="33">
        <row r="26">
          <cell r="D26">
            <v>3.4285999999999999</v>
          </cell>
        </row>
      </sheetData>
      <sheetData sheetId="34" refreshError="1"/>
      <sheetData sheetId="35">
        <row r="7">
          <cell r="B7" t="str">
            <v>MT-1</v>
          </cell>
        </row>
      </sheetData>
      <sheetData sheetId="36">
        <row r="11">
          <cell r="B11" t="str">
            <v>MT-2</v>
          </cell>
        </row>
      </sheetData>
      <sheetData sheetId="37">
        <row r="5">
          <cell r="A5">
            <v>1</v>
          </cell>
          <cell r="B5">
            <v>5880</v>
          </cell>
          <cell r="C5">
            <v>6993</v>
          </cell>
          <cell r="D5">
            <v>10290</v>
          </cell>
          <cell r="E5">
            <v>14910</v>
          </cell>
          <cell r="F5">
            <v>21630</v>
          </cell>
        </row>
        <row r="6">
          <cell r="A6">
            <v>2</v>
          </cell>
          <cell r="B6">
            <v>3255</v>
          </cell>
          <cell r="C6">
            <v>3875</v>
          </cell>
          <cell r="D6">
            <v>5691</v>
          </cell>
          <cell r="E6">
            <v>8253</v>
          </cell>
          <cell r="F6">
            <v>11970</v>
          </cell>
        </row>
        <row r="7">
          <cell r="A7">
            <v>3</v>
          </cell>
          <cell r="B7">
            <v>2342</v>
          </cell>
          <cell r="C7">
            <v>2783</v>
          </cell>
          <cell r="D7">
            <v>4095</v>
          </cell>
          <cell r="E7">
            <v>5943</v>
          </cell>
          <cell r="F7">
            <v>8610</v>
          </cell>
        </row>
        <row r="8">
          <cell r="A8">
            <v>4</v>
          </cell>
          <cell r="B8">
            <v>1922</v>
          </cell>
          <cell r="C8">
            <v>2279</v>
          </cell>
          <cell r="D8">
            <v>3350</v>
          </cell>
          <cell r="E8">
            <v>4862</v>
          </cell>
          <cell r="F8">
            <v>7046</v>
          </cell>
        </row>
        <row r="9">
          <cell r="A9">
            <v>5</v>
          </cell>
          <cell r="B9">
            <v>1680</v>
          </cell>
          <cell r="C9">
            <v>1995</v>
          </cell>
          <cell r="D9">
            <v>2940</v>
          </cell>
          <cell r="E9">
            <v>4263</v>
          </cell>
          <cell r="F9">
            <v>6185</v>
          </cell>
        </row>
        <row r="10">
          <cell r="A10">
            <v>6</v>
          </cell>
          <cell r="B10">
            <v>1523</v>
          </cell>
          <cell r="C10">
            <v>1806</v>
          </cell>
          <cell r="D10">
            <v>2657</v>
          </cell>
          <cell r="E10">
            <v>3854</v>
          </cell>
          <cell r="F10">
            <v>5586</v>
          </cell>
        </row>
        <row r="11">
          <cell r="A11">
            <v>7</v>
          </cell>
          <cell r="B11">
            <v>1397</v>
          </cell>
          <cell r="C11">
            <v>1670</v>
          </cell>
          <cell r="D11">
            <v>2447</v>
          </cell>
          <cell r="E11">
            <v>3549</v>
          </cell>
          <cell r="F11">
            <v>5145</v>
          </cell>
        </row>
        <row r="12">
          <cell r="A12">
            <v>8</v>
          </cell>
          <cell r="B12">
            <v>1313</v>
          </cell>
          <cell r="C12">
            <v>1554</v>
          </cell>
          <cell r="D12">
            <v>2289</v>
          </cell>
          <cell r="E12">
            <v>3318</v>
          </cell>
          <cell r="F12">
            <v>4809</v>
          </cell>
        </row>
        <row r="13">
          <cell r="A13">
            <v>9</v>
          </cell>
          <cell r="B13">
            <v>1229</v>
          </cell>
          <cell r="C13">
            <v>1470</v>
          </cell>
          <cell r="D13">
            <v>2153</v>
          </cell>
          <cell r="E13">
            <v>3129</v>
          </cell>
          <cell r="F13">
            <v>4526</v>
          </cell>
        </row>
        <row r="14">
          <cell r="A14">
            <v>10</v>
          </cell>
          <cell r="B14">
            <v>1166</v>
          </cell>
          <cell r="C14">
            <v>1397</v>
          </cell>
          <cell r="D14">
            <v>2048</v>
          </cell>
          <cell r="E14">
            <v>2972</v>
          </cell>
          <cell r="F14">
            <v>4305</v>
          </cell>
        </row>
        <row r="15">
          <cell r="A15">
            <v>11</v>
          </cell>
          <cell r="B15">
            <v>1113</v>
          </cell>
          <cell r="C15">
            <v>1334</v>
          </cell>
          <cell r="D15">
            <v>1953</v>
          </cell>
          <cell r="E15">
            <v>2835</v>
          </cell>
          <cell r="F15">
            <v>4106</v>
          </cell>
        </row>
        <row r="16">
          <cell r="A16">
            <v>12</v>
          </cell>
          <cell r="B16">
            <v>1071</v>
          </cell>
          <cell r="C16">
            <v>1271</v>
          </cell>
          <cell r="D16">
            <v>1869</v>
          </cell>
          <cell r="E16">
            <v>2709</v>
          </cell>
          <cell r="F16">
            <v>3927</v>
          </cell>
        </row>
        <row r="17">
          <cell r="A17">
            <v>13</v>
          </cell>
          <cell r="B17">
            <v>1019</v>
          </cell>
          <cell r="C17">
            <v>1208</v>
          </cell>
          <cell r="D17">
            <v>1775</v>
          </cell>
          <cell r="E17">
            <v>2583</v>
          </cell>
          <cell r="F17">
            <v>3738</v>
          </cell>
        </row>
        <row r="18">
          <cell r="A18">
            <v>14</v>
          </cell>
          <cell r="B18">
            <v>966</v>
          </cell>
          <cell r="C18">
            <v>1155</v>
          </cell>
          <cell r="D18">
            <v>1701</v>
          </cell>
          <cell r="E18">
            <v>2457</v>
          </cell>
          <cell r="F18">
            <v>3570</v>
          </cell>
        </row>
        <row r="19">
          <cell r="A19">
            <v>15</v>
          </cell>
          <cell r="B19">
            <v>924</v>
          </cell>
          <cell r="C19">
            <v>1103</v>
          </cell>
          <cell r="D19">
            <v>1628</v>
          </cell>
          <cell r="E19">
            <v>2352</v>
          </cell>
          <cell r="F19">
            <v>3413</v>
          </cell>
        </row>
        <row r="20">
          <cell r="A20">
            <v>16</v>
          </cell>
          <cell r="B20">
            <v>893</v>
          </cell>
          <cell r="C20">
            <v>1061</v>
          </cell>
          <cell r="D20">
            <v>1554</v>
          </cell>
          <cell r="E20">
            <v>2258</v>
          </cell>
          <cell r="F20">
            <v>3266</v>
          </cell>
        </row>
        <row r="21">
          <cell r="A21">
            <v>17</v>
          </cell>
          <cell r="B21">
            <v>861</v>
          </cell>
          <cell r="C21">
            <v>1029</v>
          </cell>
          <cell r="D21">
            <v>1502</v>
          </cell>
          <cell r="E21">
            <v>2184</v>
          </cell>
          <cell r="F21">
            <v>3171</v>
          </cell>
        </row>
        <row r="22">
          <cell r="A22">
            <v>18</v>
          </cell>
          <cell r="B22">
            <v>840</v>
          </cell>
          <cell r="C22">
            <v>998</v>
          </cell>
          <cell r="D22">
            <v>1470</v>
          </cell>
          <cell r="E22">
            <v>2132</v>
          </cell>
          <cell r="F22">
            <v>3087</v>
          </cell>
        </row>
        <row r="23">
          <cell r="A23">
            <v>19</v>
          </cell>
          <cell r="B23">
            <v>819</v>
          </cell>
          <cell r="C23">
            <v>966</v>
          </cell>
          <cell r="D23">
            <v>1428</v>
          </cell>
          <cell r="E23">
            <v>2069</v>
          </cell>
          <cell r="F23">
            <v>2993</v>
          </cell>
        </row>
        <row r="24">
          <cell r="A24">
            <v>20</v>
          </cell>
          <cell r="B24">
            <v>788</v>
          </cell>
          <cell r="C24">
            <v>935</v>
          </cell>
          <cell r="D24">
            <v>1376</v>
          </cell>
          <cell r="E24">
            <v>1995</v>
          </cell>
          <cell r="F24">
            <v>2898</v>
          </cell>
        </row>
        <row r="25">
          <cell r="A25">
            <v>21</v>
          </cell>
          <cell r="B25">
            <v>756</v>
          </cell>
          <cell r="C25">
            <v>903</v>
          </cell>
          <cell r="D25">
            <v>1323</v>
          </cell>
          <cell r="E25">
            <v>1922</v>
          </cell>
          <cell r="F25">
            <v>2783</v>
          </cell>
        </row>
        <row r="26">
          <cell r="A26">
            <v>22</v>
          </cell>
          <cell r="B26">
            <v>725</v>
          </cell>
          <cell r="C26">
            <v>861</v>
          </cell>
          <cell r="D26">
            <v>1271</v>
          </cell>
          <cell r="E26">
            <v>1848</v>
          </cell>
          <cell r="F26">
            <v>2678</v>
          </cell>
        </row>
        <row r="27">
          <cell r="A27">
            <v>23</v>
          </cell>
          <cell r="B27">
            <v>704</v>
          </cell>
          <cell r="C27">
            <v>830</v>
          </cell>
          <cell r="D27">
            <v>1229</v>
          </cell>
          <cell r="E27">
            <v>1775</v>
          </cell>
          <cell r="F27">
            <v>2573</v>
          </cell>
        </row>
        <row r="28">
          <cell r="A28">
            <v>24</v>
          </cell>
          <cell r="B28">
            <v>683</v>
          </cell>
          <cell r="C28">
            <v>809</v>
          </cell>
          <cell r="D28">
            <v>1187</v>
          </cell>
          <cell r="E28">
            <v>1722</v>
          </cell>
          <cell r="F28">
            <v>2489</v>
          </cell>
        </row>
        <row r="29">
          <cell r="A29">
            <v>25</v>
          </cell>
          <cell r="B29">
            <v>651</v>
          </cell>
          <cell r="C29">
            <v>777</v>
          </cell>
          <cell r="D29">
            <v>1145</v>
          </cell>
          <cell r="E29">
            <v>1659</v>
          </cell>
          <cell r="F29">
            <v>2415</v>
          </cell>
        </row>
        <row r="30">
          <cell r="A30">
            <v>26</v>
          </cell>
          <cell r="B30">
            <v>630</v>
          </cell>
          <cell r="C30">
            <v>756</v>
          </cell>
          <cell r="D30">
            <v>1113</v>
          </cell>
          <cell r="E30">
            <v>1607</v>
          </cell>
          <cell r="F30">
            <v>2331</v>
          </cell>
        </row>
        <row r="31">
          <cell r="A31">
            <v>27</v>
          </cell>
          <cell r="B31">
            <v>609</v>
          </cell>
          <cell r="D31">
            <v>1071</v>
          </cell>
          <cell r="E31">
            <v>1554</v>
          </cell>
          <cell r="F31">
            <v>2258</v>
          </cell>
        </row>
        <row r="32">
          <cell r="A32">
            <v>28</v>
          </cell>
          <cell r="B32">
            <v>588</v>
          </cell>
          <cell r="C32">
            <v>704</v>
          </cell>
          <cell r="D32">
            <v>1040</v>
          </cell>
          <cell r="E32">
            <v>1502</v>
          </cell>
          <cell r="F32">
            <v>2174</v>
          </cell>
        </row>
        <row r="33">
          <cell r="A33">
            <v>29</v>
          </cell>
          <cell r="B33">
            <v>578</v>
          </cell>
          <cell r="C33">
            <v>683</v>
          </cell>
          <cell r="D33">
            <v>998</v>
          </cell>
          <cell r="E33">
            <v>1449</v>
          </cell>
          <cell r="F33">
            <v>2100</v>
          </cell>
        </row>
        <row r="34">
          <cell r="A34">
            <v>30</v>
          </cell>
          <cell r="B34">
            <v>557</v>
          </cell>
          <cell r="C34">
            <v>662</v>
          </cell>
          <cell r="D34">
            <v>966</v>
          </cell>
          <cell r="E34">
            <v>1407</v>
          </cell>
          <cell r="F34">
            <v>2037</v>
          </cell>
        </row>
        <row r="35">
          <cell r="A35">
            <v>31</v>
          </cell>
          <cell r="B35">
            <v>536</v>
          </cell>
          <cell r="C35">
            <v>641</v>
          </cell>
          <cell r="D35">
            <v>945</v>
          </cell>
          <cell r="E35">
            <v>1365</v>
          </cell>
          <cell r="F35">
            <v>1974</v>
          </cell>
        </row>
        <row r="36">
          <cell r="A36">
            <v>32</v>
          </cell>
          <cell r="B36">
            <v>536</v>
          </cell>
          <cell r="C36">
            <v>641</v>
          </cell>
          <cell r="D36">
            <v>945</v>
          </cell>
          <cell r="E36">
            <v>1365</v>
          </cell>
          <cell r="F36">
            <v>1974</v>
          </cell>
        </row>
        <row r="37">
          <cell r="A37">
            <v>33</v>
          </cell>
          <cell r="B37">
            <v>536</v>
          </cell>
          <cell r="C37">
            <v>641</v>
          </cell>
          <cell r="D37">
            <v>945</v>
          </cell>
          <cell r="E37">
            <v>1365</v>
          </cell>
          <cell r="F37">
            <v>1974</v>
          </cell>
        </row>
        <row r="38">
          <cell r="A38">
            <v>34</v>
          </cell>
          <cell r="B38">
            <v>536</v>
          </cell>
          <cell r="C38">
            <v>641</v>
          </cell>
          <cell r="D38">
            <v>945</v>
          </cell>
          <cell r="E38">
            <v>1365</v>
          </cell>
          <cell r="F38">
            <v>1974</v>
          </cell>
        </row>
        <row r="39">
          <cell r="A39">
            <v>35</v>
          </cell>
          <cell r="B39">
            <v>536</v>
          </cell>
          <cell r="C39">
            <v>641</v>
          </cell>
          <cell r="D39">
            <v>945</v>
          </cell>
          <cell r="E39">
            <v>1365</v>
          </cell>
          <cell r="F39">
            <v>1974</v>
          </cell>
        </row>
        <row r="40">
          <cell r="A40">
            <v>36</v>
          </cell>
          <cell r="B40">
            <v>525</v>
          </cell>
          <cell r="C40">
            <v>620</v>
          </cell>
          <cell r="D40">
            <v>914</v>
          </cell>
          <cell r="E40">
            <v>1323</v>
          </cell>
          <cell r="F40">
            <v>1922</v>
          </cell>
        </row>
        <row r="41">
          <cell r="A41">
            <v>37</v>
          </cell>
          <cell r="B41">
            <v>525</v>
          </cell>
          <cell r="C41">
            <v>620</v>
          </cell>
          <cell r="D41">
            <v>914</v>
          </cell>
          <cell r="E41">
            <v>1323</v>
          </cell>
          <cell r="F41">
            <v>1922</v>
          </cell>
        </row>
        <row r="42">
          <cell r="A42">
            <v>38</v>
          </cell>
          <cell r="B42">
            <v>525</v>
          </cell>
          <cell r="C42">
            <v>620</v>
          </cell>
          <cell r="D42">
            <v>914</v>
          </cell>
          <cell r="E42">
            <v>1323</v>
          </cell>
          <cell r="F42">
            <v>1922</v>
          </cell>
        </row>
        <row r="43">
          <cell r="A43">
            <v>39</v>
          </cell>
          <cell r="B43">
            <v>525</v>
          </cell>
          <cell r="C43">
            <v>620</v>
          </cell>
          <cell r="D43">
            <v>914</v>
          </cell>
          <cell r="E43">
            <v>1323</v>
          </cell>
          <cell r="F43">
            <v>1922</v>
          </cell>
        </row>
        <row r="44">
          <cell r="A44">
            <v>40</v>
          </cell>
          <cell r="B44">
            <v>525</v>
          </cell>
          <cell r="C44">
            <v>620</v>
          </cell>
          <cell r="D44">
            <v>914</v>
          </cell>
          <cell r="E44">
            <v>1323</v>
          </cell>
          <cell r="F44">
            <v>1922</v>
          </cell>
        </row>
        <row r="45">
          <cell r="A45">
            <v>41</v>
          </cell>
          <cell r="B45">
            <v>515</v>
          </cell>
          <cell r="C45">
            <v>609</v>
          </cell>
          <cell r="D45">
            <v>893</v>
          </cell>
          <cell r="E45">
            <v>1302</v>
          </cell>
          <cell r="F45">
            <v>1880</v>
          </cell>
        </row>
        <row r="46">
          <cell r="A46">
            <v>42</v>
          </cell>
          <cell r="B46">
            <v>515</v>
          </cell>
          <cell r="C46">
            <v>609</v>
          </cell>
          <cell r="D46">
            <v>893</v>
          </cell>
          <cell r="E46">
            <v>1302</v>
          </cell>
          <cell r="F46">
            <v>1880</v>
          </cell>
        </row>
        <row r="47">
          <cell r="A47">
            <v>43</v>
          </cell>
          <cell r="B47">
            <v>515</v>
          </cell>
          <cell r="C47">
            <v>609</v>
          </cell>
          <cell r="D47">
            <v>893</v>
          </cell>
          <cell r="E47">
            <v>1302</v>
          </cell>
          <cell r="F47">
            <v>1880</v>
          </cell>
        </row>
        <row r="48">
          <cell r="A48">
            <v>44</v>
          </cell>
          <cell r="B48">
            <v>515</v>
          </cell>
          <cell r="C48">
            <v>609</v>
          </cell>
          <cell r="D48">
            <v>893</v>
          </cell>
          <cell r="E48">
            <v>1302</v>
          </cell>
          <cell r="F48">
            <v>1880</v>
          </cell>
        </row>
        <row r="49">
          <cell r="A49">
            <v>45</v>
          </cell>
          <cell r="B49">
            <v>515</v>
          </cell>
          <cell r="C49">
            <v>609</v>
          </cell>
          <cell r="D49">
            <v>893</v>
          </cell>
          <cell r="E49">
            <v>1302</v>
          </cell>
          <cell r="F49">
            <v>1880</v>
          </cell>
        </row>
        <row r="50">
          <cell r="A50">
            <v>46</v>
          </cell>
          <cell r="B50">
            <v>504</v>
          </cell>
          <cell r="C50">
            <v>599</v>
          </cell>
          <cell r="D50">
            <v>872</v>
          </cell>
          <cell r="E50">
            <v>1271</v>
          </cell>
          <cell r="F50">
            <v>1808</v>
          </cell>
        </row>
        <row r="51">
          <cell r="A51">
            <v>47</v>
          </cell>
          <cell r="B51">
            <v>504</v>
          </cell>
          <cell r="C51">
            <v>599</v>
          </cell>
          <cell r="D51">
            <v>872</v>
          </cell>
          <cell r="E51">
            <v>1271</v>
          </cell>
          <cell r="F51">
            <v>1808</v>
          </cell>
        </row>
        <row r="52">
          <cell r="A52">
            <v>48</v>
          </cell>
          <cell r="B52">
            <v>504</v>
          </cell>
          <cell r="C52">
            <v>599</v>
          </cell>
          <cell r="D52">
            <v>872</v>
          </cell>
          <cell r="E52">
            <v>1271</v>
          </cell>
          <cell r="F52">
            <v>1808</v>
          </cell>
        </row>
        <row r="53">
          <cell r="A53">
            <v>49</v>
          </cell>
          <cell r="B53">
            <v>504</v>
          </cell>
          <cell r="C53">
            <v>599</v>
          </cell>
          <cell r="D53">
            <v>872</v>
          </cell>
          <cell r="E53">
            <v>1271</v>
          </cell>
          <cell r="F53">
            <v>1808</v>
          </cell>
        </row>
        <row r="54">
          <cell r="A54">
            <v>50</v>
          </cell>
          <cell r="B54">
            <v>504</v>
          </cell>
          <cell r="C54">
            <v>599</v>
          </cell>
          <cell r="D54">
            <v>872</v>
          </cell>
          <cell r="E54">
            <v>1271</v>
          </cell>
          <cell r="F54">
            <v>1808</v>
          </cell>
        </row>
        <row r="55">
          <cell r="A55">
            <v>51</v>
          </cell>
          <cell r="B55">
            <v>494</v>
          </cell>
          <cell r="C55">
            <v>588</v>
          </cell>
          <cell r="D55">
            <v>861</v>
          </cell>
          <cell r="E55">
            <v>1250</v>
          </cell>
          <cell r="F55">
            <v>1806</v>
          </cell>
        </row>
        <row r="56">
          <cell r="A56">
            <v>52</v>
          </cell>
          <cell r="B56">
            <v>494</v>
          </cell>
          <cell r="C56">
            <v>588</v>
          </cell>
          <cell r="D56">
            <v>861</v>
          </cell>
          <cell r="E56">
            <v>1250</v>
          </cell>
          <cell r="F56">
            <v>1806</v>
          </cell>
        </row>
        <row r="57">
          <cell r="A57">
            <v>53</v>
          </cell>
          <cell r="B57">
            <v>494</v>
          </cell>
          <cell r="C57">
            <v>588</v>
          </cell>
          <cell r="D57">
            <v>861</v>
          </cell>
          <cell r="E57">
            <v>1250</v>
          </cell>
          <cell r="F57">
            <v>1806</v>
          </cell>
        </row>
        <row r="58">
          <cell r="A58">
            <v>54</v>
          </cell>
          <cell r="B58">
            <v>494</v>
          </cell>
          <cell r="C58">
            <v>588</v>
          </cell>
          <cell r="D58">
            <v>861</v>
          </cell>
          <cell r="E58">
            <v>1250</v>
          </cell>
          <cell r="F58">
            <v>1806</v>
          </cell>
        </row>
        <row r="59">
          <cell r="A59">
            <v>55</v>
          </cell>
          <cell r="B59">
            <v>494</v>
          </cell>
          <cell r="C59">
            <v>588</v>
          </cell>
          <cell r="D59">
            <v>861</v>
          </cell>
          <cell r="E59">
            <v>1250</v>
          </cell>
          <cell r="F59">
            <v>1806</v>
          </cell>
        </row>
        <row r="60">
          <cell r="A60">
            <v>56</v>
          </cell>
          <cell r="B60">
            <v>483</v>
          </cell>
          <cell r="C60">
            <v>578</v>
          </cell>
          <cell r="D60">
            <v>851</v>
          </cell>
          <cell r="E60">
            <v>1229</v>
          </cell>
          <cell r="F60">
            <v>1775</v>
          </cell>
        </row>
        <row r="61">
          <cell r="A61">
            <v>57</v>
          </cell>
          <cell r="B61">
            <v>483</v>
          </cell>
          <cell r="C61">
            <v>578</v>
          </cell>
          <cell r="D61">
            <v>851</v>
          </cell>
          <cell r="E61">
            <v>1229</v>
          </cell>
          <cell r="F61">
            <v>1775</v>
          </cell>
        </row>
        <row r="62">
          <cell r="A62">
            <v>58</v>
          </cell>
          <cell r="B62">
            <v>483</v>
          </cell>
          <cell r="C62">
            <v>578</v>
          </cell>
          <cell r="D62">
            <v>851</v>
          </cell>
          <cell r="E62">
            <v>1229</v>
          </cell>
          <cell r="F62">
            <v>1775</v>
          </cell>
        </row>
        <row r="63">
          <cell r="A63">
            <v>59</v>
          </cell>
          <cell r="B63">
            <v>483</v>
          </cell>
          <cell r="C63">
            <v>578</v>
          </cell>
          <cell r="D63">
            <v>851</v>
          </cell>
          <cell r="E63">
            <v>1229</v>
          </cell>
          <cell r="F63">
            <v>1775</v>
          </cell>
        </row>
        <row r="64">
          <cell r="A64">
            <v>60</v>
          </cell>
          <cell r="B64">
            <v>483</v>
          </cell>
          <cell r="C64">
            <v>578</v>
          </cell>
          <cell r="D64">
            <v>851</v>
          </cell>
          <cell r="E64">
            <v>1229</v>
          </cell>
          <cell r="F64">
            <v>1775</v>
          </cell>
        </row>
        <row r="65">
          <cell r="A65">
            <v>61</v>
          </cell>
          <cell r="B65">
            <v>478</v>
          </cell>
          <cell r="C65">
            <v>567</v>
          </cell>
          <cell r="D65">
            <v>830</v>
          </cell>
          <cell r="E65">
            <v>1208</v>
          </cell>
          <cell r="F65">
            <v>1754</v>
          </cell>
        </row>
        <row r="66">
          <cell r="A66">
            <v>62</v>
          </cell>
          <cell r="B66">
            <v>478</v>
          </cell>
          <cell r="C66">
            <v>567</v>
          </cell>
          <cell r="D66">
            <v>830</v>
          </cell>
          <cell r="E66">
            <v>1208</v>
          </cell>
          <cell r="F66">
            <v>1754</v>
          </cell>
        </row>
        <row r="67">
          <cell r="A67">
            <v>63</v>
          </cell>
          <cell r="B67">
            <v>478</v>
          </cell>
          <cell r="C67">
            <v>567</v>
          </cell>
          <cell r="D67">
            <v>830</v>
          </cell>
          <cell r="E67">
            <v>1208</v>
          </cell>
          <cell r="F67">
            <v>1754</v>
          </cell>
        </row>
        <row r="68">
          <cell r="A68">
            <v>64</v>
          </cell>
          <cell r="B68">
            <v>478</v>
          </cell>
          <cell r="C68">
            <v>567</v>
          </cell>
          <cell r="D68">
            <v>830</v>
          </cell>
          <cell r="E68">
            <v>1208</v>
          </cell>
          <cell r="F68">
            <v>1754</v>
          </cell>
        </row>
        <row r="69">
          <cell r="A69">
            <v>65</v>
          </cell>
          <cell r="B69">
            <v>478</v>
          </cell>
          <cell r="C69">
            <v>567</v>
          </cell>
          <cell r="D69">
            <v>830</v>
          </cell>
          <cell r="E69">
            <v>1208</v>
          </cell>
          <cell r="F69">
            <v>1754</v>
          </cell>
        </row>
        <row r="70">
          <cell r="A70">
            <v>66</v>
          </cell>
          <cell r="B70">
            <v>478</v>
          </cell>
          <cell r="C70">
            <v>567</v>
          </cell>
          <cell r="D70">
            <v>830</v>
          </cell>
          <cell r="E70">
            <v>1208</v>
          </cell>
          <cell r="F70">
            <v>1754</v>
          </cell>
        </row>
        <row r="71">
          <cell r="A71">
            <v>67</v>
          </cell>
          <cell r="B71">
            <v>478</v>
          </cell>
          <cell r="C71">
            <v>567</v>
          </cell>
          <cell r="D71">
            <v>830</v>
          </cell>
          <cell r="E71">
            <v>1208</v>
          </cell>
          <cell r="F71">
            <v>1754</v>
          </cell>
        </row>
        <row r="72">
          <cell r="A72">
            <v>68</v>
          </cell>
          <cell r="B72">
            <v>478</v>
          </cell>
          <cell r="C72">
            <v>567</v>
          </cell>
          <cell r="D72">
            <v>830</v>
          </cell>
          <cell r="E72">
            <v>1208</v>
          </cell>
          <cell r="F72">
            <v>1754</v>
          </cell>
        </row>
        <row r="73">
          <cell r="A73">
            <v>69</v>
          </cell>
          <cell r="B73">
            <v>478</v>
          </cell>
          <cell r="C73">
            <v>567</v>
          </cell>
          <cell r="D73">
            <v>830</v>
          </cell>
          <cell r="E73">
            <v>1208</v>
          </cell>
          <cell r="F73">
            <v>1754</v>
          </cell>
        </row>
        <row r="74">
          <cell r="A74">
            <v>70</v>
          </cell>
          <cell r="B74">
            <v>478</v>
          </cell>
          <cell r="C74">
            <v>567</v>
          </cell>
          <cell r="D74">
            <v>830</v>
          </cell>
          <cell r="E74">
            <v>1208</v>
          </cell>
          <cell r="F74">
            <v>1754</v>
          </cell>
        </row>
        <row r="75">
          <cell r="A75">
            <v>71</v>
          </cell>
          <cell r="B75">
            <v>473</v>
          </cell>
          <cell r="C75">
            <v>562</v>
          </cell>
          <cell r="D75">
            <v>819</v>
          </cell>
          <cell r="E75">
            <v>1187</v>
          </cell>
          <cell r="F75">
            <v>1722</v>
          </cell>
        </row>
        <row r="76">
          <cell r="A76">
            <v>72</v>
          </cell>
          <cell r="B76">
            <v>473</v>
          </cell>
          <cell r="C76">
            <v>562</v>
          </cell>
          <cell r="D76">
            <v>819</v>
          </cell>
          <cell r="E76">
            <v>1187</v>
          </cell>
          <cell r="F76">
            <v>1722</v>
          </cell>
        </row>
        <row r="77">
          <cell r="A77">
            <v>73</v>
          </cell>
          <cell r="B77">
            <v>473</v>
          </cell>
          <cell r="C77">
            <v>562</v>
          </cell>
          <cell r="D77">
            <v>819</v>
          </cell>
          <cell r="E77">
            <v>1187</v>
          </cell>
          <cell r="F77">
            <v>1722</v>
          </cell>
        </row>
        <row r="78">
          <cell r="A78">
            <v>74</v>
          </cell>
          <cell r="B78">
            <v>473</v>
          </cell>
          <cell r="C78">
            <v>562</v>
          </cell>
          <cell r="D78">
            <v>819</v>
          </cell>
          <cell r="E78">
            <v>1187</v>
          </cell>
          <cell r="F78">
            <v>1722</v>
          </cell>
        </row>
        <row r="79">
          <cell r="A79">
            <v>75</v>
          </cell>
          <cell r="B79">
            <v>473</v>
          </cell>
          <cell r="C79">
            <v>562</v>
          </cell>
          <cell r="D79">
            <v>819</v>
          </cell>
          <cell r="E79">
            <v>1187</v>
          </cell>
          <cell r="F79">
            <v>1722</v>
          </cell>
        </row>
        <row r="80">
          <cell r="A80">
            <v>76</v>
          </cell>
          <cell r="B80">
            <v>473</v>
          </cell>
          <cell r="C80">
            <v>562</v>
          </cell>
          <cell r="D80">
            <v>819</v>
          </cell>
          <cell r="E80">
            <v>1187</v>
          </cell>
          <cell r="F80">
            <v>1722</v>
          </cell>
        </row>
        <row r="81">
          <cell r="A81">
            <v>77</v>
          </cell>
          <cell r="B81">
            <v>473</v>
          </cell>
          <cell r="C81">
            <v>562</v>
          </cell>
          <cell r="D81">
            <v>819</v>
          </cell>
          <cell r="E81">
            <v>1187</v>
          </cell>
          <cell r="F81">
            <v>1722</v>
          </cell>
        </row>
        <row r="82">
          <cell r="A82">
            <v>78</v>
          </cell>
          <cell r="B82">
            <v>473</v>
          </cell>
          <cell r="C82">
            <v>562</v>
          </cell>
          <cell r="D82">
            <v>819</v>
          </cell>
          <cell r="E82">
            <v>1187</v>
          </cell>
          <cell r="F82">
            <v>1722</v>
          </cell>
        </row>
        <row r="83">
          <cell r="A83">
            <v>79</v>
          </cell>
          <cell r="B83">
            <v>473</v>
          </cell>
          <cell r="C83">
            <v>562</v>
          </cell>
          <cell r="D83">
            <v>819</v>
          </cell>
          <cell r="E83">
            <v>1187</v>
          </cell>
          <cell r="F83">
            <v>1722</v>
          </cell>
        </row>
        <row r="84">
          <cell r="A84">
            <v>80</v>
          </cell>
          <cell r="B84">
            <v>473</v>
          </cell>
          <cell r="C84">
            <v>562</v>
          </cell>
          <cell r="D84">
            <v>819</v>
          </cell>
          <cell r="E84">
            <v>1187</v>
          </cell>
          <cell r="F84">
            <v>1722</v>
          </cell>
        </row>
        <row r="85">
          <cell r="A85">
            <v>81</v>
          </cell>
          <cell r="B85">
            <v>467</v>
          </cell>
          <cell r="C85">
            <v>557</v>
          </cell>
          <cell r="D85">
            <v>814</v>
          </cell>
          <cell r="E85">
            <v>1176</v>
          </cell>
          <cell r="F85">
            <v>1712</v>
          </cell>
        </row>
        <row r="86">
          <cell r="A86">
            <v>82</v>
          </cell>
          <cell r="B86">
            <v>467</v>
          </cell>
          <cell r="C86">
            <v>557</v>
          </cell>
          <cell r="D86">
            <v>814</v>
          </cell>
          <cell r="E86">
            <v>1176</v>
          </cell>
          <cell r="F86">
            <v>1712</v>
          </cell>
        </row>
        <row r="87">
          <cell r="A87">
            <v>83</v>
          </cell>
          <cell r="B87">
            <v>467</v>
          </cell>
          <cell r="C87">
            <v>557</v>
          </cell>
          <cell r="D87">
            <v>814</v>
          </cell>
          <cell r="E87">
            <v>1176</v>
          </cell>
          <cell r="F87">
            <v>1712</v>
          </cell>
        </row>
        <row r="88">
          <cell r="A88">
            <v>84</v>
          </cell>
          <cell r="B88">
            <v>467</v>
          </cell>
          <cell r="C88">
            <v>557</v>
          </cell>
          <cell r="D88">
            <v>814</v>
          </cell>
          <cell r="E88">
            <v>1176</v>
          </cell>
          <cell r="F88">
            <v>1712</v>
          </cell>
        </row>
        <row r="89">
          <cell r="A89">
            <v>85</v>
          </cell>
          <cell r="B89">
            <v>467</v>
          </cell>
          <cell r="C89">
            <v>557</v>
          </cell>
          <cell r="D89">
            <v>814</v>
          </cell>
          <cell r="E89">
            <v>1176</v>
          </cell>
          <cell r="F89">
            <v>1712</v>
          </cell>
        </row>
        <row r="90">
          <cell r="A90">
            <v>86</v>
          </cell>
          <cell r="B90">
            <v>467</v>
          </cell>
          <cell r="C90">
            <v>557</v>
          </cell>
          <cell r="D90">
            <v>814</v>
          </cell>
          <cell r="E90">
            <v>1176</v>
          </cell>
          <cell r="F90">
            <v>1712</v>
          </cell>
        </row>
        <row r="91">
          <cell r="A91">
            <v>87</v>
          </cell>
          <cell r="B91">
            <v>467</v>
          </cell>
          <cell r="C91">
            <v>557</v>
          </cell>
          <cell r="D91">
            <v>814</v>
          </cell>
          <cell r="E91">
            <v>1176</v>
          </cell>
          <cell r="F91">
            <v>1712</v>
          </cell>
        </row>
        <row r="92">
          <cell r="A92">
            <v>88</v>
          </cell>
          <cell r="B92">
            <v>467</v>
          </cell>
          <cell r="C92">
            <v>557</v>
          </cell>
          <cell r="D92">
            <v>814</v>
          </cell>
          <cell r="E92">
            <v>1176</v>
          </cell>
          <cell r="F92">
            <v>1712</v>
          </cell>
        </row>
        <row r="93">
          <cell r="A93">
            <v>89</v>
          </cell>
          <cell r="B93">
            <v>467</v>
          </cell>
          <cell r="C93">
            <v>557</v>
          </cell>
          <cell r="D93">
            <v>814</v>
          </cell>
          <cell r="E93">
            <v>1176</v>
          </cell>
          <cell r="F93">
            <v>1712</v>
          </cell>
        </row>
        <row r="94">
          <cell r="A94">
            <v>90</v>
          </cell>
          <cell r="B94">
            <v>467</v>
          </cell>
          <cell r="C94">
            <v>557</v>
          </cell>
          <cell r="D94">
            <v>814</v>
          </cell>
          <cell r="E94">
            <v>1176</v>
          </cell>
          <cell r="F94">
            <v>1712</v>
          </cell>
        </row>
        <row r="95">
          <cell r="A95">
            <v>91</v>
          </cell>
          <cell r="B95">
            <v>462</v>
          </cell>
          <cell r="C95">
            <v>551</v>
          </cell>
          <cell r="D95">
            <v>809</v>
          </cell>
          <cell r="E95">
            <v>1166</v>
          </cell>
          <cell r="F95">
            <v>1691</v>
          </cell>
        </row>
        <row r="96">
          <cell r="A96">
            <v>92</v>
          </cell>
          <cell r="B96">
            <v>462</v>
          </cell>
          <cell r="C96">
            <v>551</v>
          </cell>
          <cell r="D96">
            <v>809</v>
          </cell>
          <cell r="E96">
            <v>1166</v>
          </cell>
          <cell r="F96">
            <v>1691</v>
          </cell>
        </row>
        <row r="97">
          <cell r="A97">
            <v>93</v>
          </cell>
          <cell r="B97">
            <v>462</v>
          </cell>
          <cell r="C97">
            <v>551</v>
          </cell>
          <cell r="D97">
            <v>809</v>
          </cell>
          <cell r="E97">
            <v>1166</v>
          </cell>
          <cell r="F97">
            <v>1691</v>
          </cell>
        </row>
        <row r="98">
          <cell r="A98">
            <v>94</v>
          </cell>
          <cell r="B98">
            <v>462</v>
          </cell>
          <cell r="C98">
            <v>551</v>
          </cell>
          <cell r="D98">
            <v>809</v>
          </cell>
          <cell r="E98">
            <v>1166</v>
          </cell>
          <cell r="F98">
            <v>1691</v>
          </cell>
        </row>
        <row r="99">
          <cell r="A99">
            <v>95</v>
          </cell>
          <cell r="B99">
            <v>462</v>
          </cell>
          <cell r="C99">
            <v>551</v>
          </cell>
          <cell r="D99">
            <v>809</v>
          </cell>
          <cell r="E99">
            <v>1166</v>
          </cell>
          <cell r="F99">
            <v>1691</v>
          </cell>
        </row>
        <row r="100">
          <cell r="A100">
            <v>96</v>
          </cell>
          <cell r="B100">
            <v>462</v>
          </cell>
          <cell r="C100">
            <v>551</v>
          </cell>
          <cell r="D100">
            <v>809</v>
          </cell>
          <cell r="E100">
            <v>1166</v>
          </cell>
          <cell r="F100">
            <v>1691</v>
          </cell>
        </row>
        <row r="101">
          <cell r="A101">
            <v>97</v>
          </cell>
          <cell r="B101">
            <v>462</v>
          </cell>
          <cell r="C101">
            <v>551</v>
          </cell>
          <cell r="D101">
            <v>809</v>
          </cell>
          <cell r="E101">
            <v>1166</v>
          </cell>
          <cell r="F101">
            <v>1691</v>
          </cell>
        </row>
        <row r="102">
          <cell r="A102">
            <v>98</v>
          </cell>
          <cell r="B102">
            <v>462</v>
          </cell>
          <cell r="C102">
            <v>551</v>
          </cell>
          <cell r="D102">
            <v>809</v>
          </cell>
          <cell r="E102">
            <v>1166</v>
          </cell>
          <cell r="F102">
            <v>1691</v>
          </cell>
        </row>
        <row r="103">
          <cell r="A103">
            <v>99</v>
          </cell>
          <cell r="B103">
            <v>462</v>
          </cell>
          <cell r="C103">
            <v>551</v>
          </cell>
          <cell r="D103">
            <v>809</v>
          </cell>
          <cell r="E103">
            <v>1166</v>
          </cell>
          <cell r="F103">
            <v>1691</v>
          </cell>
        </row>
        <row r="104">
          <cell r="A104">
            <v>100</v>
          </cell>
          <cell r="B104">
            <v>462</v>
          </cell>
          <cell r="C104">
            <v>551</v>
          </cell>
          <cell r="D104">
            <v>809</v>
          </cell>
          <cell r="E104">
            <v>1166</v>
          </cell>
          <cell r="F104">
            <v>1691</v>
          </cell>
        </row>
        <row r="105">
          <cell r="A105">
            <v>101</v>
          </cell>
          <cell r="B105">
            <v>457</v>
          </cell>
          <cell r="C105">
            <v>546</v>
          </cell>
          <cell r="D105">
            <v>798</v>
          </cell>
          <cell r="E105">
            <v>1155</v>
          </cell>
          <cell r="F105">
            <v>1680</v>
          </cell>
        </row>
      </sheetData>
      <sheetData sheetId="38" refreshError="1"/>
      <sheetData sheetId="39">
        <row r="1">
          <cell r="A1" t="str">
            <v>ĐƠN GIÁ LẮP MÁY BIẾN ÁP (KHU VỰC 2)</v>
          </cell>
        </row>
      </sheetData>
      <sheetData sheetId="40">
        <row r="1">
          <cell r="A1" t="str">
            <v xml:space="preserve">ĐƠN GIÁ LẮP ĐƯỜNG DÂY TẢI ĐIỆN </v>
          </cell>
        </row>
      </sheetData>
      <sheetData sheetId="41" refreshError="1"/>
      <sheetData sheetId="42" refreshError="1"/>
      <sheetData sheetId="43" refreshError="1"/>
      <sheetData sheetId="44">
        <row r="5">
          <cell r="B5" t="str">
            <v>Nhân công</v>
          </cell>
        </row>
      </sheetData>
      <sheetData sheetId="45" refreshError="1"/>
      <sheetData sheetId="46" refreshError="1"/>
      <sheetData sheetId="47">
        <row r="1">
          <cell r="A1" t="str">
            <v>CHƯƠNG I</v>
          </cell>
        </row>
      </sheetData>
      <sheetData sheetId="4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iPhiKhac"/>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gaBay"/>
      <sheetName val="LongMy"/>
      <sheetName val="ChauThanhA"/>
      <sheetName val="ViThanh"/>
      <sheetName val="ChauThanh"/>
      <sheetName val="PhungHiep"/>
      <sheetName val="ViThuy"/>
      <sheetName val="TongHopGoi3"/>
      <sheetName val="TongHopGoi1"/>
      <sheetName val="Goi1Hoanchinh"/>
      <sheetName val="Ghichu"/>
      <sheetName val="ThongTu31"/>
    </sheetNames>
    <sheetDataSet>
      <sheetData sheetId="0">
        <row r="13">
          <cell r="D13" t="str">
            <v>T0004</v>
          </cell>
          <cell r="E13" t="str">
            <v>TN0003</v>
          </cell>
          <cell r="F13" t="str">
            <v>Acetyl leucin</v>
          </cell>
          <cell r="G13" t="str">
            <v>Tanegonin - 500mg</v>
          </cell>
          <cell r="H13" t="str">
            <v>500mg</v>
          </cell>
          <cell r="I13" t="str">
            <v>viên</v>
          </cell>
          <cell r="J13" t="str">
            <v>H/2v/10</v>
          </cell>
          <cell r="K13" t="str">
            <v>Pharimexco</v>
          </cell>
          <cell r="L13" t="str">
            <v>Việt Nam</v>
          </cell>
          <cell r="M13" t="str">
            <v>Lô 02</v>
          </cell>
          <cell r="O13">
            <v>39600</v>
          </cell>
          <cell r="P13">
            <v>735</v>
          </cell>
          <cell r="Q13">
            <v>40000</v>
          </cell>
          <cell r="R13">
            <v>998</v>
          </cell>
          <cell r="S13">
            <v>29400000</v>
          </cell>
        </row>
        <row r="14">
          <cell r="D14" t="str">
            <v>T0005</v>
          </cell>
          <cell r="E14" t="str">
            <v>TN0004</v>
          </cell>
          <cell r="F14" t="str">
            <v xml:space="preserve">Acetyl salicylic acid   </v>
          </cell>
          <cell r="G14" t="str">
            <v>Aspirin 81mg</v>
          </cell>
          <cell r="H14" t="str">
            <v>81mg</v>
          </cell>
          <cell r="I14" t="str">
            <v>viên</v>
          </cell>
          <cell r="J14" t="str">
            <v>H/10v/10</v>
          </cell>
          <cell r="K14" t="str">
            <v>Pharimexco</v>
          </cell>
          <cell r="L14" t="str">
            <v>Việt Nam</v>
          </cell>
          <cell r="M14" t="str">
            <v>Lô 02</v>
          </cell>
          <cell r="O14">
            <v>1520</v>
          </cell>
          <cell r="P14">
            <v>126</v>
          </cell>
          <cell r="Q14">
            <v>2000</v>
          </cell>
          <cell r="R14">
            <v>147</v>
          </cell>
          <cell r="S14">
            <v>252000</v>
          </cell>
        </row>
        <row r="15">
          <cell r="D15" t="str">
            <v>T0006</v>
          </cell>
          <cell r="E15" t="str">
            <v>TN0005</v>
          </cell>
          <cell r="F15" t="str">
            <v>Acetyl-cystein</v>
          </cell>
          <cell r="G15" t="str">
            <v>Mitux E</v>
          </cell>
          <cell r="H15" t="str">
            <v>100mg</v>
          </cell>
          <cell r="I15" t="str">
            <v>gói</v>
          </cell>
          <cell r="J15" t="str">
            <v>h/25 gói</v>
          </cell>
          <cell r="K15" t="str">
            <v>CTCP Dược Hậu Giang</v>
          </cell>
          <cell r="L15" t="str">
            <v>Việt Nam</v>
          </cell>
          <cell r="M15" t="str">
            <v>Lô 02</v>
          </cell>
          <cell r="O15">
            <v>19324</v>
          </cell>
          <cell r="P15">
            <v>1050</v>
          </cell>
          <cell r="Q15">
            <v>20000</v>
          </cell>
          <cell r="R15">
            <v>1050</v>
          </cell>
          <cell r="S15">
            <v>21000000</v>
          </cell>
        </row>
        <row r="16">
          <cell r="D16" t="str">
            <v>T0007</v>
          </cell>
          <cell r="E16" t="str">
            <v>TN0006</v>
          </cell>
          <cell r="F16" t="str">
            <v>Acetyl-cystein</v>
          </cell>
          <cell r="G16" t="str">
            <v>Acetylcystein - 200mg</v>
          </cell>
          <cell r="H16" t="str">
            <v>200mg</v>
          </cell>
          <cell r="I16" t="str">
            <v>gói</v>
          </cell>
          <cell r="J16" t="str">
            <v>H/30</v>
          </cell>
          <cell r="K16" t="str">
            <v>Pharimexco</v>
          </cell>
          <cell r="L16" t="str">
            <v>Việt Nam</v>
          </cell>
          <cell r="M16" t="str">
            <v>Lô 02</v>
          </cell>
          <cell r="O16">
            <v>24336</v>
          </cell>
          <cell r="P16">
            <v>795</v>
          </cell>
          <cell r="Q16">
            <v>25000</v>
          </cell>
          <cell r="R16">
            <v>861</v>
          </cell>
          <cell r="S16">
            <v>19875000</v>
          </cell>
        </row>
        <row r="17">
          <cell r="D17" t="str">
            <v>T0019</v>
          </cell>
          <cell r="E17" t="str">
            <v>TN0004</v>
          </cell>
          <cell r="F17" t="str">
            <v>Acid Nalidicid</v>
          </cell>
          <cell r="G17" t="str">
            <v>Aginalxic</v>
          </cell>
          <cell r="H17" t="str">
            <v>500mg</v>
          </cell>
          <cell r="I17" t="str">
            <v>viên</v>
          </cell>
          <cell r="J17" t="str">
            <v>H/10 vỉ x 10v</v>
          </cell>
          <cell r="K17" t="str">
            <v>Agimexpharm</v>
          </cell>
          <cell r="L17" t="str">
            <v>Việt Nam</v>
          </cell>
          <cell r="M17" t="str">
            <v>Lô 02</v>
          </cell>
          <cell r="O17">
            <v>1596</v>
          </cell>
          <cell r="P17">
            <v>1250</v>
          </cell>
          <cell r="Q17">
            <v>2000</v>
          </cell>
          <cell r="R17">
            <v>1700</v>
          </cell>
          <cell r="S17">
            <v>2500000</v>
          </cell>
        </row>
        <row r="18">
          <cell r="D18" t="str">
            <v>T0030</v>
          </cell>
          <cell r="E18" t="str">
            <v>TN0016</v>
          </cell>
          <cell r="F18" t="str">
            <v xml:space="preserve">Allopurinol     </v>
          </cell>
          <cell r="G18" t="str">
            <v>ALLOPURINOL 300MG</v>
          </cell>
          <cell r="H18" t="str">
            <v>300mg</v>
          </cell>
          <cell r="I18" t="str">
            <v>viên</v>
          </cell>
          <cell r="J18" t="str">
            <v>HỘP 2 VĨ X 10 VNE</v>
          </cell>
          <cell r="K18" t="str">
            <v>DOMESCO</v>
          </cell>
          <cell r="L18" t="str">
            <v>Việt Nam</v>
          </cell>
          <cell r="M18" t="str">
            <v>Lô 02</v>
          </cell>
          <cell r="O18">
            <v>530</v>
          </cell>
          <cell r="P18">
            <v>550</v>
          </cell>
          <cell r="Q18">
            <v>1000</v>
          </cell>
          <cell r="R18">
            <v>578</v>
          </cell>
          <cell r="S18">
            <v>550000</v>
          </cell>
        </row>
        <row r="19">
          <cell r="D19" t="str">
            <v>T0035</v>
          </cell>
          <cell r="E19" t="str">
            <v>TN0019</v>
          </cell>
          <cell r="F19" t="str">
            <v>Alphachymotrypsin</v>
          </cell>
          <cell r="G19" t="str">
            <v>Alphachymotrypsin 4,2mg</v>
          </cell>
          <cell r="H19" t="str">
            <v>4,2mg</v>
          </cell>
          <cell r="I19" t="str">
            <v>viên</v>
          </cell>
          <cell r="J19" t="str">
            <v>V/10, H/50</v>
          </cell>
          <cell r="K19" t="str">
            <v>TV.Pharm</v>
          </cell>
          <cell r="L19" t="str">
            <v>Việt Nam</v>
          </cell>
          <cell r="M19" t="str">
            <v>Lô 02</v>
          </cell>
          <cell r="O19">
            <v>101252</v>
          </cell>
          <cell r="P19">
            <v>450</v>
          </cell>
          <cell r="Q19">
            <v>150000</v>
          </cell>
          <cell r="R19">
            <v>810</v>
          </cell>
          <cell r="S19">
            <v>67500000</v>
          </cell>
        </row>
        <row r="20">
          <cell r="D20" t="str">
            <v>T0039</v>
          </cell>
          <cell r="E20" t="str">
            <v>TN0009</v>
          </cell>
          <cell r="F20" t="str">
            <v xml:space="preserve">Alumium hydroxyd </v>
          </cell>
          <cell r="G20" t="str">
            <v>Stoccel</v>
          </cell>
          <cell r="H20" t="str">
            <v>12.38g</v>
          </cell>
          <cell r="I20" t="str">
            <v>gói</v>
          </cell>
          <cell r="J20" t="str">
            <v>Hộp /24 gói</v>
          </cell>
          <cell r="K20" t="str">
            <v>CTCP Dược Hậu Giang</v>
          </cell>
          <cell r="L20" t="str">
            <v>Việt Nam</v>
          </cell>
          <cell r="M20" t="str">
            <v>Lô 02</v>
          </cell>
          <cell r="O20">
            <v>42264</v>
          </cell>
          <cell r="P20">
            <v>2100</v>
          </cell>
          <cell r="Q20">
            <v>53000</v>
          </cell>
          <cell r="R20">
            <v>2415</v>
          </cell>
          <cell r="S20">
            <v>111300000</v>
          </cell>
        </row>
        <row r="21">
          <cell r="D21" t="str">
            <v>T0675</v>
          </cell>
          <cell r="F21" t="str">
            <v>Alimemazine</v>
          </cell>
          <cell r="G21" t="str">
            <v>Aligic</v>
          </cell>
          <cell r="H21" t="str">
            <v>5mg</v>
          </cell>
          <cell r="I21" t="str">
            <v>viên</v>
          </cell>
          <cell r="K21" t="str">
            <v>BV Pharma</v>
          </cell>
          <cell r="L21" t="str">
            <v>Việt Nam</v>
          </cell>
          <cell r="M21" t="str">
            <v>Lô 02</v>
          </cell>
          <cell r="O21">
            <v>38967</v>
          </cell>
          <cell r="P21">
            <v>100</v>
          </cell>
          <cell r="Q21">
            <v>40500</v>
          </cell>
          <cell r="S21">
            <v>4050000</v>
          </cell>
        </row>
        <row r="22">
          <cell r="D22" t="str">
            <v>T0041</v>
          </cell>
          <cell r="E22" t="str">
            <v>TN0022</v>
          </cell>
          <cell r="F22" t="str">
            <v xml:space="preserve">Alverine citrate              </v>
          </cell>
          <cell r="G22" t="str">
            <v>Spacmarizin 40mg</v>
          </cell>
          <cell r="H22" t="str">
            <v>40mg</v>
          </cell>
          <cell r="I22" t="str">
            <v>viên</v>
          </cell>
          <cell r="J22" t="str">
            <v>V/15, H/300</v>
          </cell>
          <cell r="K22" t="str">
            <v>TV.Pharm</v>
          </cell>
          <cell r="L22" t="str">
            <v>Việt Nam</v>
          </cell>
          <cell r="M22" t="str">
            <v>Lô 02</v>
          </cell>
          <cell r="O22">
            <v>30240</v>
          </cell>
          <cell r="P22">
            <v>175</v>
          </cell>
          <cell r="Q22">
            <v>35000</v>
          </cell>
          <cell r="R22">
            <v>175</v>
          </cell>
          <cell r="S22">
            <v>6125000</v>
          </cell>
        </row>
        <row r="23">
          <cell r="D23" t="str">
            <v>T0058</v>
          </cell>
          <cell r="E23" t="str">
            <v>TN0028</v>
          </cell>
          <cell r="F23" t="str">
            <v xml:space="preserve">Amoxicillin    </v>
          </cell>
          <cell r="G23" t="str">
            <v>MOXACIN</v>
          </cell>
          <cell r="H23" t="str">
            <v>250mg</v>
          </cell>
          <cell r="I23" t="str">
            <v>gói</v>
          </cell>
          <cell r="J23" t="str">
            <v>HỘP 12 GÓI</v>
          </cell>
          <cell r="K23" t="str">
            <v>DOMESCO</v>
          </cell>
          <cell r="L23" t="str">
            <v>Việt Nam</v>
          </cell>
          <cell r="M23" t="str">
            <v>Lô 02</v>
          </cell>
          <cell r="O23">
            <v>15873</v>
          </cell>
          <cell r="P23">
            <v>900</v>
          </cell>
          <cell r="Q23">
            <v>20000</v>
          </cell>
          <cell r="R23">
            <v>1036</v>
          </cell>
          <cell r="S23">
            <v>18000000</v>
          </cell>
        </row>
        <row r="24">
          <cell r="D24" t="str">
            <v>T0061</v>
          </cell>
          <cell r="E24" t="str">
            <v>NQ0010</v>
          </cell>
          <cell r="F24" t="str">
            <v>Amoxicillin-A.Clavulanic</v>
          </cell>
          <cell r="G24" t="str">
            <v>pms-Claminat 250/31.25</v>
          </cell>
          <cell r="H24" t="str">
            <v>250mg+31,5mg</v>
          </cell>
          <cell r="I24" t="str">
            <v>gói</v>
          </cell>
          <cell r="J24" t="str">
            <v>h/12 gói</v>
          </cell>
          <cell r="K24" t="str">
            <v>Imexpharm</v>
          </cell>
          <cell r="L24" t="str">
            <v>Việt Nam</v>
          </cell>
          <cell r="M24" t="str">
            <v>Lô 02</v>
          </cell>
          <cell r="O24">
            <v>3259</v>
          </cell>
          <cell r="P24">
            <v>5985</v>
          </cell>
          <cell r="Q24">
            <v>6000</v>
          </cell>
          <cell r="R24">
            <v>7122</v>
          </cell>
          <cell r="S24">
            <v>35910000</v>
          </cell>
        </row>
        <row r="25">
          <cell r="D25" t="str">
            <v>T0063</v>
          </cell>
          <cell r="E25" t="str">
            <v>TN0030</v>
          </cell>
          <cell r="F25" t="str">
            <v>Amoxicillin-A.Clavulanic (Klamentin® hoặc tương đương điều trị)</v>
          </cell>
          <cell r="G25" t="str">
            <v>Klamentin 625mg</v>
          </cell>
          <cell r="H25" t="str">
            <v xml:space="preserve">  500mg +125mg</v>
          </cell>
          <cell r="I25" t="str">
            <v>viên</v>
          </cell>
          <cell r="J25" t="str">
            <v>v/4 h/12 viên</v>
          </cell>
          <cell r="K25" t="str">
            <v>CTCP Dược Hậu Giang</v>
          </cell>
          <cell r="L25" t="str">
            <v>Việt Nam</v>
          </cell>
          <cell r="M25" t="str">
            <v>Lô 02</v>
          </cell>
          <cell r="O25">
            <v>5462</v>
          </cell>
          <cell r="P25">
            <v>6500</v>
          </cell>
          <cell r="Q25">
            <v>10000</v>
          </cell>
          <cell r="R25">
            <v>6500</v>
          </cell>
          <cell r="S25">
            <v>65000000</v>
          </cell>
        </row>
        <row r="26">
          <cell r="D26" t="str">
            <v>T0066</v>
          </cell>
          <cell r="E26" t="str">
            <v>TN0033</v>
          </cell>
          <cell r="F26" t="str">
            <v xml:space="preserve">Amoxycillin  </v>
          </cell>
          <cell r="G26" t="str">
            <v>AMOXICILLIN 500MG</v>
          </cell>
          <cell r="H26" t="str">
            <v>500mg</v>
          </cell>
          <cell r="I26" t="str">
            <v>viên</v>
          </cell>
          <cell r="J26" t="str">
            <v>HỘP 10 VĨ X 10 VNS</v>
          </cell>
          <cell r="K26" t="str">
            <v>DOMESCO</v>
          </cell>
          <cell r="L26" t="str">
            <v>Việt Nam</v>
          </cell>
          <cell r="M26" t="str">
            <v>Lô 02</v>
          </cell>
          <cell r="O26">
            <v>76986</v>
          </cell>
          <cell r="P26">
            <v>660</v>
          </cell>
          <cell r="Q26">
            <v>100000</v>
          </cell>
          <cell r="R26">
            <v>1470</v>
          </cell>
          <cell r="S26">
            <v>66000000</v>
          </cell>
        </row>
        <row r="27">
          <cell r="D27" t="str">
            <v>T0092</v>
          </cell>
          <cell r="E27" t="str">
            <v>TN0048</v>
          </cell>
          <cell r="F27" t="str">
            <v xml:space="preserve">Bromhexin            </v>
          </cell>
          <cell r="G27" t="str">
            <v>Disolvan 8mg</v>
          </cell>
          <cell r="H27" t="str">
            <v xml:space="preserve"> 8mg</v>
          </cell>
          <cell r="I27" t="str">
            <v>viên</v>
          </cell>
          <cell r="J27" t="str">
            <v>Hộp 10vỉ x 20VNE</v>
          </cell>
          <cell r="K27" t="str">
            <v>Mekophar</v>
          </cell>
          <cell r="L27" t="str">
            <v>Việt Nam</v>
          </cell>
          <cell r="M27" t="str">
            <v>Lô 02</v>
          </cell>
          <cell r="O27">
            <v>9845</v>
          </cell>
          <cell r="P27">
            <v>50</v>
          </cell>
          <cell r="Q27">
            <v>10000</v>
          </cell>
          <cell r="R27">
            <v>112</v>
          </cell>
          <cell r="S27">
            <v>500000</v>
          </cell>
        </row>
        <row r="28">
          <cell r="D28" t="str">
            <v>T0676</v>
          </cell>
          <cell r="F28" t="str">
            <v xml:space="preserve">Bromhexin            </v>
          </cell>
          <cell r="G28" t="str">
            <v xml:space="preserve">Bromhexin            </v>
          </cell>
          <cell r="H28" t="str">
            <v>4mg</v>
          </cell>
          <cell r="I28" t="str">
            <v>viên</v>
          </cell>
          <cell r="K28" t="str">
            <v>CTCP Dược Hậu Giang</v>
          </cell>
          <cell r="L28" t="str">
            <v>Việt Nam</v>
          </cell>
          <cell r="M28" t="str">
            <v>Lô 02</v>
          </cell>
          <cell r="O28">
            <v>9863</v>
          </cell>
          <cell r="P28">
            <v>65</v>
          </cell>
          <cell r="Q28">
            <v>10000</v>
          </cell>
          <cell r="R28">
            <v>14000</v>
          </cell>
          <cell r="S28">
            <v>650000</v>
          </cell>
        </row>
        <row r="29">
          <cell r="D29" t="str">
            <v>T0098</v>
          </cell>
          <cell r="E29" t="str">
            <v>TN0051</v>
          </cell>
          <cell r="F29" t="str">
            <v>Calci + D3</v>
          </cell>
          <cell r="G29" t="str">
            <v>Davita bone sugar free</v>
          </cell>
          <cell r="H29" t="str">
            <v>600mg+400 IU</v>
          </cell>
          <cell r="I29" t="str">
            <v>Viên sủi</v>
          </cell>
          <cell r="J29" t="str">
            <v>tube/10 viên</v>
          </cell>
          <cell r="K29" t="str">
            <v>CTCP Dược Hậu Giang</v>
          </cell>
          <cell r="L29" t="str">
            <v>Việt Nam</v>
          </cell>
          <cell r="M29" t="str">
            <v>Lô 02</v>
          </cell>
          <cell r="O29">
            <v>30680</v>
          </cell>
          <cell r="P29">
            <v>2419</v>
          </cell>
          <cell r="Q29">
            <v>33000</v>
          </cell>
          <cell r="R29">
            <v>2419</v>
          </cell>
          <cell r="S29">
            <v>79827000</v>
          </cell>
        </row>
        <row r="30">
          <cell r="D30" t="str">
            <v>T0687</v>
          </cell>
          <cell r="F30" t="str">
            <v>Calci + D3</v>
          </cell>
          <cell r="G30" t="str">
            <v>Calvit-D</v>
          </cell>
          <cell r="H30" t="str">
            <v>500mg+200UI</v>
          </cell>
          <cell r="I30" t="str">
            <v>viên</v>
          </cell>
          <cell r="K30" t="str">
            <v>CTCP Dược Hậu Giang</v>
          </cell>
          <cell r="L30" t="str">
            <v>Việt Nam</v>
          </cell>
          <cell r="M30" t="str">
            <v>Lô 02</v>
          </cell>
          <cell r="O30">
            <v>9792</v>
          </cell>
          <cell r="P30">
            <v>155</v>
          </cell>
          <cell r="Q30">
            <v>10000</v>
          </cell>
          <cell r="S30">
            <v>1550000</v>
          </cell>
        </row>
        <row r="31">
          <cell r="D31" t="str">
            <v>T0112</v>
          </cell>
          <cell r="E31" t="str">
            <v>TN0059</v>
          </cell>
          <cell r="F31" t="str">
            <v xml:space="preserve">Cao Ginkgo biloba </v>
          </cell>
          <cell r="G31" t="str">
            <v>DOROCAN</v>
          </cell>
          <cell r="H31" t="str">
            <v>40mg</v>
          </cell>
          <cell r="I31" t="str">
            <v>viên</v>
          </cell>
          <cell r="J31" t="str">
            <v>HỘP 3 VĨ X 10 VBF</v>
          </cell>
          <cell r="K31" t="str">
            <v>DOMESCO</v>
          </cell>
          <cell r="L31" t="str">
            <v>Việt Nam</v>
          </cell>
          <cell r="M31" t="str">
            <v>Lô 02</v>
          </cell>
          <cell r="O31">
            <v>8352</v>
          </cell>
          <cell r="P31">
            <v>450</v>
          </cell>
          <cell r="Q31">
            <v>8000</v>
          </cell>
          <cell r="R31">
            <v>573</v>
          </cell>
          <cell r="S31">
            <v>3600000</v>
          </cell>
        </row>
        <row r="32">
          <cell r="D32" t="str">
            <v>T0115</v>
          </cell>
          <cell r="E32" t="str">
            <v>TN0061</v>
          </cell>
          <cell r="F32" t="str">
            <v xml:space="preserve">Captopril      </v>
          </cell>
          <cell r="G32" t="str">
            <v>DOTORIN</v>
          </cell>
          <cell r="H32" t="str">
            <v>25mg</v>
          </cell>
          <cell r="I32" t="str">
            <v>viên</v>
          </cell>
          <cell r="J32" t="str">
            <v>HỘP 10 VĨ X 10 VNE</v>
          </cell>
          <cell r="K32" t="str">
            <v>DOMESCO</v>
          </cell>
          <cell r="L32" t="str">
            <v>Việt Nam</v>
          </cell>
          <cell r="M32" t="str">
            <v>Lô 02</v>
          </cell>
          <cell r="O32">
            <v>1487</v>
          </cell>
          <cell r="P32">
            <v>250</v>
          </cell>
          <cell r="Q32">
            <v>5000</v>
          </cell>
          <cell r="R32">
            <v>399</v>
          </cell>
          <cell r="S32">
            <v>1250000</v>
          </cell>
        </row>
        <row r="33">
          <cell r="D33" t="str">
            <v>T0122</v>
          </cell>
          <cell r="E33" t="str">
            <v>NQ0022</v>
          </cell>
          <cell r="F33" t="str">
            <v>Cefaclor</v>
          </cell>
          <cell r="G33" t="str">
            <v>pms-Imeclor 125 gói</v>
          </cell>
          <cell r="H33" t="str">
            <v>125mg</v>
          </cell>
          <cell r="I33" t="str">
            <v>gói</v>
          </cell>
          <cell r="J33" t="str">
            <v>h/12 gói</v>
          </cell>
          <cell r="K33" t="str">
            <v>Imexpharm</v>
          </cell>
          <cell r="L33" t="str">
            <v>Việt Nam</v>
          </cell>
          <cell r="M33" t="str">
            <v>Lô 02</v>
          </cell>
          <cell r="O33">
            <v>2845</v>
          </cell>
          <cell r="P33">
            <v>5150</v>
          </cell>
          <cell r="Q33">
            <v>6000</v>
          </cell>
          <cell r="R33">
            <v>3750</v>
          </cell>
          <cell r="S33">
            <v>30900000</v>
          </cell>
        </row>
        <row r="34">
          <cell r="D34" t="str">
            <v>T0128</v>
          </cell>
          <cell r="E34" t="str">
            <v>TN0068</v>
          </cell>
          <cell r="F34" t="str">
            <v>Cefadroxyl</v>
          </cell>
          <cell r="G34" t="str">
            <v>Mekocefal 500mg</v>
          </cell>
          <cell r="H34" t="str">
            <v>500mg</v>
          </cell>
          <cell r="I34" t="str">
            <v>viên</v>
          </cell>
          <cell r="J34" t="str">
            <v>Hộp 1vỉ x 10VNA</v>
          </cell>
          <cell r="K34" t="str">
            <v>Mekophar</v>
          </cell>
          <cell r="L34" t="str">
            <v>Việt Nam</v>
          </cell>
          <cell r="M34" t="str">
            <v>Lô 02</v>
          </cell>
          <cell r="O34">
            <v>3687</v>
          </cell>
          <cell r="P34">
            <v>1100</v>
          </cell>
          <cell r="Q34">
            <v>5000</v>
          </cell>
          <cell r="R34">
            <v>2310</v>
          </cell>
          <cell r="S34">
            <v>5500000</v>
          </cell>
        </row>
        <row r="35">
          <cell r="D35" t="str">
            <v>T0176</v>
          </cell>
          <cell r="E35" t="str">
            <v>TN0083</v>
          </cell>
          <cell r="F35" t="str">
            <v>Cefuroxim (Haginat® hoặc tương đương điều trị)</v>
          </cell>
          <cell r="G35" t="str">
            <v>Haginat 125mg</v>
          </cell>
          <cell r="H35" t="str">
            <v>125mg</v>
          </cell>
          <cell r="I35" t="str">
            <v>gói</v>
          </cell>
          <cell r="J35" t="str">
            <v>h/10 gói</v>
          </cell>
          <cell r="K35" t="str">
            <v>CTCP Dược Hậu Giang</v>
          </cell>
          <cell r="L35" t="str">
            <v>Việt Nam</v>
          </cell>
          <cell r="M35" t="str">
            <v>Lô 02</v>
          </cell>
          <cell r="O35">
            <v>2954</v>
          </cell>
          <cell r="P35">
            <v>8925</v>
          </cell>
          <cell r="Q35">
            <v>3000</v>
          </cell>
          <cell r="R35">
            <v>8925</v>
          </cell>
          <cell r="S35">
            <v>26775000</v>
          </cell>
        </row>
        <row r="36">
          <cell r="D36" t="str">
            <v>T0183</v>
          </cell>
          <cell r="E36" t="str">
            <v>TN0087</v>
          </cell>
          <cell r="F36" t="str">
            <v xml:space="preserve">Cephalexin   </v>
          </cell>
          <cell r="G36" t="str">
            <v>CEFALEXIN 500MG</v>
          </cell>
          <cell r="H36" t="str">
            <v>500mg</v>
          </cell>
          <cell r="I36" t="str">
            <v>viên</v>
          </cell>
          <cell r="J36" t="str">
            <v>HỘP 10 VĨ X 10 VNA</v>
          </cell>
          <cell r="K36" t="str">
            <v>DOMESCO</v>
          </cell>
          <cell r="L36" t="str">
            <v>Việt Nam</v>
          </cell>
          <cell r="M36" t="str">
            <v>Lô 02</v>
          </cell>
          <cell r="O36">
            <v>85869</v>
          </cell>
          <cell r="P36">
            <v>780</v>
          </cell>
          <cell r="Q36">
            <v>97000</v>
          </cell>
          <cell r="R36">
            <v>1617</v>
          </cell>
          <cell r="S36">
            <v>75660000</v>
          </cell>
        </row>
        <row r="37">
          <cell r="D37" t="str">
            <v>T0185</v>
          </cell>
          <cell r="E37" t="str">
            <v>TN0089</v>
          </cell>
          <cell r="F37" t="str">
            <v xml:space="preserve">Cephalexin   </v>
          </cell>
          <cell r="G37" t="str">
            <v>TV-Cefalexin 250mg (gói)</v>
          </cell>
          <cell r="H37" t="str">
            <v>250mg</v>
          </cell>
          <cell r="I37" t="str">
            <v>GóI</v>
          </cell>
          <cell r="J37" t="str">
            <v>H/10</v>
          </cell>
          <cell r="K37" t="str">
            <v>TV.Pharm</v>
          </cell>
          <cell r="L37" t="str">
            <v>Việt Nam</v>
          </cell>
          <cell r="M37" t="str">
            <v>Lô 02</v>
          </cell>
          <cell r="O37">
            <v>5733</v>
          </cell>
          <cell r="P37">
            <v>1000</v>
          </cell>
          <cell r="Q37">
            <v>6000</v>
          </cell>
          <cell r="R37">
            <v>1150</v>
          </cell>
          <cell r="S37">
            <v>6000000</v>
          </cell>
        </row>
        <row r="38">
          <cell r="D38" t="str">
            <v>T0187</v>
          </cell>
          <cell r="E38" t="str">
            <v>TN0103</v>
          </cell>
          <cell r="F38" t="str">
            <v xml:space="preserve">Chlopheniramin  </v>
          </cell>
          <cell r="G38" t="str">
            <v xml:space="preserve">Chlopheniramin  4mg </v>
          </cell>
          <cell r="H38" t="str">
            <v>4mg</v>
          </cell>
          <cell r="I38" t="str">
            <v>viên</v>
          </cell>
          <cell r="J38" t="str">
            <v>Lọ 150 viên</v>
          </cell>
          <cell r="K38" t="str">
            <v>Bidiphar 1</v>
          </cell>
          <cell r="L38" t="str">
            <v>Việt Nam</v>
          </cell>
          <cell r="M38" t="str">
            <v>Lô 02</v>
          </cell>
          <cell r="O38">
            <v>53098</v>
          </cell>
          <cell r="P38">
            <v>42</v>
          </cell>
          <cell r="Q38">
            <v>56000</v>
          </cell>
          <cell r="R38">
            <v>106</v>
          </cell>
          <cell r="S38">
            <v>2352000</v>
          </cell>
        </row>
        <row r="39">
          <cell r="D39" t="str">
            <v>T0188</v>
          </cell>
          <cell r="E39" t="str">
            <v>TN0104</v>
          </cell>
          <cell r="F39" t="str">
            <v xml:space="preserve">Chloramphenicol    </v>
          </cell>
          <cell r="G39" t="str">
            <v>Chloramphenicol  0,4% 5ml</v>
          </cell>
          <cell r="H39" t="str">
            <v>0,4%</v>
          </cell>
          <cell r="I39" t="str">
            <v>lọ</v>
          </cell>
          <cell r="J39" t="str">
            <v>Hộp 1 lọ</v>
          </cell>
          <cell r="K39" t="str">
            <v>Bidiphar 1</v>
          </cell>
          <cell r="L39" t="str">
            <v>Việt Nam</v>
          </cell>
          <cell r="M39" t="str">
            <v>Lô 02</v>
          </cell>
          <cell r="O39">
            <v>560</v>
          </cell>
          <cell r="P39">
            <v>1995</v>
          </cell>
          <cell r="Q39">
            <v>1000</v>
          </cell>
          <cell r="R39">
            <v>2100</v>
          </cell>
          <cell r="S39">
            <v>1995000</v>
          </cell>
        </row>
        <row r="40">
          <cell r="D40" t="str">
            <v>T0190</v>
          </cell>
          <cell r="E40" t="str">
            <v>TN0091</v>
          </cell>
          <cell r="F40" t="str">
            <v xml:space="preserve">Cinnarizin </v>
          </cell>
          <cell r="G40" t="str">
            <v>Cinnarizin 25mg</v>
          </cell>
          <cell r="H40" t="str">
            <v>25mg</v>
          </cell>
          <cell r="I40" t="str">
            <v>viên</v>
          </cell>
          <cell r="J40" t="str">
            <v>H/10v/10</v>
          </cell>
          <cell r="K40" t="str">
            <v>Pharimexco</v>
          </cell>
          <cell r="L40" t="str">
            <v>Việt Nam</v>
          </cell>
          <cell r="M40" t="str">
            <v>Lô 02</v>
          </cell>
          <cell r="O40">
            <v>2193</v>
          </cell>
          <cell r="P40">
            <v>145</v>
          </cell>
          <cell r="Q40">
            <v>2000</v>
          </cell>
          <cell r="R40">
            <v>168</v>
          </cell>
          <cell r="S40">
            <v>290000</v>
          </cell>
        </row>
        <row r="41">
          <cell r="D41" t="str">
            <v>T0193</v>
          </cell>
          <cell r="E41" t="str">
            <v>TN0092</v>
          </cell>
          <cell r="F41" t="str">
            <v xml:space="preserve">Ciprofloxacin     </v>
          </cell>
          <cell r="G41" t="str">
            <v>DOROCIPLO</v>
          </cell>
          <cell r="H41" t="str">
            <v>500mg</v>
          </cell>
          <cell r="I41" t="str">
            <v>viên</v>
          </cell>
          <cell r="J41" t="str">
            <v>HỘP 10 VĨ X 10 VBF</v>
          </cell>
          <cell r="K41" t="str">
            <v>DOMESCO</v>
          </cell>
          <cell r="L41" t="str">
            <v>Việt Nam</v>
          </cell>
          <cell r="M41" t="str">
            <v>Lô 02</v>
          </cell>
          <cell r="O41">
            <v>3756</v>
          </cell>
          <cell r="P41">
            <v>710</v>
          </cell>
          <cell r="Q41">
            <v>4000</v>
          </cell>
          <cell r="R41">
            <v>733</v>
          </cell>
          <cell r="S41">
            <v>2840000</v>
          </cell>
        </row>
        <row r="42">
          <cell r="D42" t="str">
            <v>T0219</v>
          </cell>
          <cell r="E42" t="str">
            <v>TN0111</v>
          </cell>
          <cell r="F42" t="str">
            <v xml:space="preserve">Diclofenac    </v>
          </cell>
          <cell r="G42" t="str">
            <v>DICLOFENAC 50</v>
          </cell>
          <cell r="H42" t="str">
            <v>50mg</v>
          </cell>
          <cell r="I42" t="str">
            <v>viên</v>
          </cell>
          <cell r="J42" t="str">
            <v xml:space="preserve">Hộp 5 vỉ x 10 viên </v>
          </cell>
          <cell r="K42" t="str">
            <v>Vacopharm</v>
          </cell>
          <cell r="L42" t="str">
            <v>Việt Nam</v>
          </cell>
          <cell r="M42" t="str">
            <v>Lô 02</v>
          </cell>
          <cell r="O42">
            <v>17654</v>
          </cell>
          <cell r="P42">
            <v>142</v>
          </cell>
          <cell r="Q42">
            <v>19000</v>
          </cell>
          <cell r="R42">
            <v>142</v>
          </cell>
          <cell r="S42">
            <v>2698000</v>
          </cell>
        </row>
        <row r="43">
          <cell r="D43" t="str">
            <v>T0224</v>
          </cell>
          <cell r="E43" t="str">
            <v>TN0116</v>
          </cell>
          <cell r="F43" t="str">
            <v xml:space="preserve">Diosmectite </v>
          </cell>
          <cell r="G43" t="str">
            <v>Hamétt</v>
          </cell>
          <cell r="H43" t="str">
            <v>3g</v>
          </cell>
          <cell r="I43" t="str">
            <v>gói</v>
          </cell>
          <cell r="J43" t="str">
            <v>h/15 gói</v>
          </cell>
          <cell r="K43" t="str">
            <v>CTCP Dược Hậu Giang</v>
          </cell>
          <cell r="L43" t="str">
            <v>Việt Nam</v>
          </cell>
          <cell r="M43" t="str">
            <v>Lô 02</v>
          </cell>
          <cell r="O43">
            <v>3579</v>
          </cell>
          <cell r="P43">
            <v>2100</v>
          </cell>
          <cell r="Q43">
            <v>4000</v>
          </cell>
          <cell r="R43">
            <v>2100</v>
          </cell>
          <cell r="S43">
            <v>8400000</v>
          </cell>
        </row>
        <row r="44">
          <cell r="D44" t="str">
            <v>T0231</v>
          </cell>
          <cell r="E44" t="str">
            <v>TN0117</v>
          </cell>
          <cell r="F44" t="str">
            <v>Domperidol 10mg</v>
          </cell>
          <cell r="G44" t="str">
            <v>Mobium</v>
          </cell>
          <cell r="H44" t="str">
            <v>10mg</v>
          </cell>
          <cell r="I44" t="str">
            <v>viên</v>
          </cell>
          <cell r="J44" t="str">
            <v>H/10v/10</v>
          </cell>
          <cell r="K44" t="str">
            <v>Pharimexco</v>
          </cell>
          <cell r="L44" t="str">
            <v>Việt Nam</v>
          </cell>
          <cell r="M44" t="str">
            <v>Lô 02</v>
          </cell>
          <cell r="O44">
            <v>31896</v>
          </cell>
          <cell r="P44">
            <v>174</v>
          </cell>
          <cell r="Q44">
            <v>32000</v>
          </cell>
          <cell r="R44">
            <v>189</v>
          </cell>
          <cell r="S44">
            <v>5568000</v>
          </cell>
        </row>
        <row r="45">
          <cell r="D45" t="str">
            <v>T0235</v>
          </cell>
          <cell r="E45" t="str">
            <v>TN0118</v>
          </cell>
          <cell r="F45" t="str">
            <v xml:space="preserve">Doxycycline   </v>
          </cell>
          <cell r="G45" t="str">
            <v>Doxycyline 100mg</v>
          </cell>
          <cell r="H45" t="str">
            <v>100mg</v>
          </cell>
          <cell r="I45" t="str">
            <v>viên</v>
          </cell>
          <cell r="J45" t="str">
            <v>Hộp 10vỉ x 10VNA</v>
          </cell>
          <cell r="K45" t="str">
            <v>Mekophar</v>
          </cell>
          <cell r="L45" t="str">
            <v>Việt Nam</v>
          </cell>
          <cell r="M45" t="str">
            <v>Lô 02</v>
          </cell>
          <cell r="O45">
            <v>750</v>
          </cell>
          <cell r="P45">
            <v>336</v>
          </cell>
          <cell r="Q45">
            <v>1000</v>
          </cell>
          <cell r="R45">
            <v>378</v>
          </cell>
          <cell r="S45">
            <v>336000</v>
          </cell>
        </row>
        <row r="46">
          <cell r="D46" t="str">
            <v>T0239</v>
          </cell>
          <cell r="E46" t="str">
            <v>TN0120</v>
          </cell>
          <cell r="F46" t="str">
            <v>Enalapril</v>
          </cell>
          <cell r="G46" t="str">
            <v>Meyerlapril 5</v>
          </cell>
          <cell r="H46" t="str">
            <v>5mg</v>
          </cell>
          <cell r="I46" t="str">
            <v>viên</v>
          </cell>
          <cell r="J46" t="str">
            <v>H/10V/10V</v>
          </cell>
          <cell r="K46" t="str">
            <v>Meyer-Bpc</v>
          </cell>
          <cell r="L46" t="str">
            <v>Việt Nam</v>
          </cell>
          <cell r="M46" t="str">
            <v>Lô 02</v>
          </cell>
          <cell r="O46">
            <v>3567</v>
          </cell>
          <cell r="P46">
            <v>400</v>
          </cell>
          <cell r="Q46">
            <v>5000</v>
          </cell>
          <cell r="R46">
            <v>756</v>
          </cell>
          <cell r="S46">
            <v>2000000</v>
          </cell>
        </row>
        <row r="47">
          <cell r="D47" t="str">
            <v>T0305</v>
          </cell>
          <cell r="E47" t="str">
            <v>TN0143</v>
          </cell>
          <cell r="F47" t="str">
            <v xml:space="preserve">Glucosamin      </v>
          </cell>
          <cell r="G47" t="str">
            <v>Glucosamin 500mg</v>
          </cell>
          <cell r="H47" t="str">
            <v>500mg</v>
          </cell>
          <cell r="I47" t="str">
            <v>viên</v>
          </cell>
          <cell r="J47" t="str">
            <v>H/10v/10</v>
          </cell>
          <cell r="K47" t="str">
            <v>Pharimexco</v>
          </cell>
          <cell r="L47" t="str">
            <v>Việt Nam</v>
          </cell>
          <cell r="M47" t="str">
            <v>Lô 02</v>
          </cell>
          <cell r="O47">
            <v>1259</v>
          </cell>
          <cell r="P47">
            <v>585</v>
          </cell>
          <cell r="Q47">
            <v>1500</v>
          </cell>
          <cell r="R47">
            <v>693</v>
          </cell>
          <cell r="S47">
            <v>877500</v>
          </cell>
        </row>
        <row r="48">
          <cell r="D48" t="str">
            <v>T0306</v>
          </cell>
          <cell r="E48" t="str">
            <v>TN0144</v>
          </cell>
          <cell r="F48" t="str">
            <v xml:space="preserve">Glucosamin sulfat </v>
          </cell>
          <cell r="G48" t="str">
            <v>Glukos 750mg</v>
          </cell>
          <cell r="H48" t="str">
            <v>750mg</v>
          </cell>
          <cell r="I48" t="str">
            <v>viên</v>
          </cell>
          <cell r="J48" t="str">
            <v>ch/100 viên</v>
          </cell>
          <cell r="K48" t="str">
            <v>CTCP Dược Hậu Giang</v>
          </cell>
          <cell r="L48" t="str">
            <v>Việt Nam</v>
          </cell>
          <cell r="M48" t="str">
            <v>Lô 02</v>
          </cell>
          <cell r="O48">
            <v>2360</v>
          </cell>
          <cell r="P48">
            <v>1798</v>
          </cell>
          <cell r="Q48">
            <v>2500</v>
          </cell>
          <cell r="R48">
            <v>1798</v>
          </cell>
          <cell r="S48">
            <v>4495000</v>
          </cell>
        </row>
        <row r="49">
          <cell r="D49" t="str">
            <v>T0368</v>
          </cell>
          <cell r="E49" t="str">
            <v>TN0042</v>
          </cell>
          <cell r="F49" t="str">
            <v xml:space="preserve">Ketoconazole     </v>
          </cell>
          <cell r="G49" t="str">
            <v>Ketoconazol Stada 200mg</v>
          </cell>
          <cell r="H49" t="str">
            <v>200mg</v>
          </cell>
          <cell r="I49" t="str">
            <v>viên</v>
          </cell>
          <cell r="J49" t="str">
            <v>Hộp 10vỉ x 10viên nén</v>
          </cell>
          <cell r="K49" t="str">
            <v>Liên doanh Stada-Việt Nam</v>
          </cell>
          <cell r="L49" t="str">
            <v>Việt Nam</v>
          </cell>
          <cell r="M49" t="str">
            <v>Lô 02</v>
          </cell>
          <cell r="O49">
            <v>784</v>
          </cell>
          <cell r="P49">
            <v>800</v>
          </cell>
          <cell r="Q49">
            <v>1000</v>
          </cell>
          <cell r="R49">
            <v>1000</v>
          </cell>
          <cell r="S49">
            <v>800000</v>
          </cell>
        </row>
        <row r="50">
          <cell r="D50" t="str">
            <v>T0371</v>
          </cell>
          <cell r="E50" t="str">
            <v>TN0171</v>
          </cell>
          <cell r="F50" t="str">
            <v xml:space="preserve">Lactobacillus acidophilus </v>
          </cell>
          <cell r="G50" t="str">
            <v>Ybio</v>
          </cell>
          <cell r="H50" t="str">
            <v>1 tỷ CFU</v>
          </cell>
          <cell r="I50" t="str">
            <v>gói</v>
          </cell>
          <cell r="J50" t="str">
            <v>h/25 gói</v>
          </cell>
          <cell r="K50" t="str">
            <v>CTCP Dược Hậu Giang</v>
          </cell>
          <cell r="L50" t="str">
            <v>Việt Nam</v>
          </cell>
          <cell r="M50" t="str">
            <v>Lô 02</v>
          </cell>
          <cell r="O50">
            <v>18144</v>
          </cell>
          <cell r="P50">
            <v>1365</v>
          </cell>
          <cell r="Q50">
            <v>20000</v>
          </cell>
          <cell r="R50">
            <v>1365</v>
          </cell>
          <cell r="S50">
            <v>27300000</v>
          </cell>
        </row>
        <row r="51">
          <cell r="D51" t="str">
            <v>T0387</v>
          </cell>
          <cell r="E51" t="str">
            <v>TN0176</v>
          </cell>
          <cell r="F51" t="str">
            <v>Loperamide</v>
          </cell>
          <cell r="G51" t="str">
            <v>LOPERAMID 2MG</v>
          </cell>
          <cell r="H51" t="str">
            <v>2mg</v>
          </cell>
          <cell r="I51" t="str">
            <v>viên</v>
          </cell>
          <cell r="J51" t="str">
            <v>HỘP 5 VĨ X 10 VNA</v>
          </cell>
          <cell r="K51" t="str">
            <v>DOMESCO</v>
          </cell>
          <cell r="L51" t="str">
            <v>Việt Nam</v>
          </cell>
          <cell r="M51" t="str">
            <v>Lô 02</v>
          </cell>
          <cell r="O51">
            <v>4845</v>
          </cell>
          <cell r="P51">
            <v>200</v>
          </cell>
          <cell r="Q51">
            <v>5000</v>
          </cell>
          <cell r="R51">
            <v>200</v>
          </cell>
          <cell r="S51">
            <v>1000000</v>
          </cell>
        </row>
        <row r="52">
          <cell r="D52" t="str">
            <v>T0389</v>
          </cell>
          <cell r="E52" t="str">
            <v>TN0177</v>
          </cell>
          <cell r="F52" t="str">
            <v>Loratadin</v>
          </cell>
          <cell r="G52" t="str">
            <v>Loratadin 10mg</v>
          </cell>
          <cell r="H52" t="str">
            <v>10mg</v>
          </cell>
          <cell r="I52" t="str">
            <v>viên</v>
          </cell>
          <cell r="J52" t="str">
            <v>H/2v/10</v>
          </cell>
          <cell r="K52" t="str">
            <v>Pharimexco</v>
          </cell>
          <cell r="L52" t="str">
            <v>Việt Nam</v>
          </cell>
          <cell r="M52" t="str">
            <v>Lô 02</v>
          </cell>
          <cell r="O52">
            <v>31876</v>
          </cell>
          <cell r="P52">
            <v>400</v>
          </cell>
          <cell r="Q52">
            <v>32000</v>
          </cell>
          <cell r="R52">
            <v>525</v>
          </cell>
          <cell r="S52">
            <v>12800000</v>
          </cell>
        </row>
        <row r="53">
          <cell r="D53" t="str">
            <v>T0403</v>
          </cell>
          <cell r="E53" t="str">
            <v>TN0185</v>
          </cell>
          <cell r="F53" t="str">
            <v>Magne - B6</v>
          </cell>
          <cell r="G53" t="str">
            <v>Magnesium B6</v>
          </cell>
          <cell r="H53" t="str">
            <v>470mg+5mg</v>
          </cell>
          <cell r="I53" t="str">
            <v>viên</v>
          </cell>
          <cell r="J53" t="str">
            <v>Hộp 50 viên</v>
          </cell>
          <cell r="K53" t="str">
            <v>Bidiphar 1</v>
          </cell>
          <cell r="L53" t="str">
            <v>Việt Nam</v>
          </cell>
          <cell r="M53" t="str">
            <v>Lô 02</v>
          </cell>
          <cell r="O53">
            <v>39672</v>
          </cell>
          <cell r="P53">
            <v>252</v>
          </cell>
          <cell r="Q53">
            <v>40000</v>
          </cell>
          <cell r="R53">
            <v>294</v>
          </cell>
          <cell r="S53">
            <v>10080000</v>
          </cell>
        </row>
        <row r="54">
          <cell r="D54" t="str">
            <v>T0406</v>
          </cell>
          <cell r="E54" t="str">
            <v>TN0187</v>
          </cell>
          <cell r="F54" t="str">
            <v xml:space="preserve">Malva purpurea…Camphor Xanh methylen </v>
          </cell>
          <cell r="G54" t="str">
            <v>DOMITAZOL</v>
          </cell>
          <cell r="H54" t="str">
            <v>250mg20mg25mg</v>
          </cell>
          <cell r="I54" t="str">
            <v>viên</v>
          </cell>
          <cell r="J54" t="str">
            <v>HỘP 5 VĨ X 10 VBĐ</v>
          </cell>
          <cell r="K54" t="str">
            <v>DOMESCO</v>
          </cell>
          <cell r="L54" t="str">
            <v>Việt Nam</v>
          </cell>
          <cell r="M54" t="str">
            <v>Lô 02</v>
          </cell>
          <cell r="O54">
            <v>2880</v>
          </cell>
          <cell r="P54">
            <v>920</v>
          </cell>
          <cell r="Q54">
            <v>3000</v>
          </cell>
          <cell r="R54">
            <v>920</v>
          </cell>
          <cell r="S54">
            <v>2760000</v>
          </cell>
        </row>
        <row r="55">
          <cell r="D55" t="str">
            <v>T0408</v>
          </cell>
          <cell r="E55" t="str">
            <v>TN0194</v>
          </cell>
          <cell r="F55" t="str">
            <v xml:space="preserve">Mebendazol    </v>
          </cell>
          <cell r="G55" t="str">
            <v>Fubenzon</v>
          </cell>
          <cell r="H55" t="str">
            <v>500mg</v>
          </cell>
          <cell r="I55" t="str">
            <v>viên</v>
          </cell>
          <cell r="J55" t="str">
            <v>h/1 viên</v>
          </cell>
          <cell r="K55" t="str">
            <v>CTCP Dược Hậu Giang</v>
          </cell>
          <cell r="L55" t="str">
            <v>Việt Nam</v>
          </cell>
          <cell r="M55" t="str">
            <v>Lô 02</v>
          </cell>
          <cell r="O55">
            <v>215</v>
          </cell>
          <cell r="P55">
            <v>5000</v>
          </cell>
          <cell r="Q55">
            <v>300</v>
          </cell>
          <cell r="R55">
            <v>5000</v>
          </cell>
          <cell r="S55">
            <v>1500000</v>
          </cell>
        </row>
        <row r="56">
          <cell r="D56" t="str">
            <v>T0412</v>
          </cell>
          <cell r="E56" t="str">
            <v>NQ0065</v>
          </cell>
          <cell r="F56" t="str">
            <v>Meloxicam</v>
          </cell>
          <cell r="G56" t="str">
            <v>Kamelox</v>
          </cell>
          <cell r="H56" t="str">
            <v>7.5mg</v>
          </cell>
          <cell r="I56" t="str">
            <v>viên</v>
          </cell>
          <cell r="J56" t="str">
            <v>Hộp 02 vỉ x10 viên</v>
          </cell>
          <cell r="K56" t="str">
            <v>Khánh Hòa</v>
          </cell>
          <cell r="L56" t="str">
            <v>Việt Nam</v>
          </cell>
          <cell r="M56" t="str">
            <v>Lô 02</v>
          </cell>
          <cell r="O56">
            <v>4571</v>
          </cell>
          <cell r="P56">
            <v>370</v>
          </cell>
          <cell r="Q56">
            <v>5000</v>
          </cell>
          <cell r="R56">
            <v>945</v>
          </cell>
          <cell r="S56">
            <v>1850000</v>
          </cell>
        </row>
        <row r="57">
          <cell r="D57" t="str">
            <v>T0413</v>
          </cell>
          <cell r="E57" t="str">
            <v>NQ0066</v>
          </cell>
          <cell r="F57" t="str">
            <v>Meloxicam</v>
          </cell>
          <cell r="G57" t="str">
            <v>MOBIMED 15</v>
          </cell>
          <cell r="H57" t="str">
            <v>15mg</v>
          </cell>
          <cell r="I57" t="str">
            <v>viên</v>
          </cell>
          <cell r="J57" t="str">
            <v>Hộp 20 viên</v>
          </cell>
          <cell r="K57" t="str">
            <v>Pymepharco ld Belipharm(Bỉ)</v>
          </cell>
          <cell r="L57" t="str">
            <v>Việt Nam</v>
          </cell>
          <cell r="M57" t="str">
            <v>Lô 02</v>
          </cell>
          <cell r="O57">
            <v>34278</v>
          </cell>
          <cell r="P57">
            <v>1250</v>
          </cell>
          <cell r="Q57">
            <v>35000</v>
          </cell>
          <cell r="R57">
            <v>1800</v>
          </cell>
          <cell r="S57">
            <v>43750000</v>
          </cell>
        </row>
        <row r="58">
          <cell r="D58" t="str">
            <v>T0417</v>
          </cell>
          <cell r="E58" t="str">
            <v>TN0198</v>
          </cell>
          <cell r="F58" t="str">
            <v xml:space="preserve">Mephenesin        </v>
          </cell>
          <cell r="G58" t="str">
            <v>Detracyl 250</v>
          </cell>
          <cell r="H58" t="str">
            <v>250mg</v>
          </cell>
          <cell r="I58" t="str">
            <v>viên</v>
          </cell>
          <cell r="J58" t="str">
            <v>H/10v/20</v>
          </cell>
          <cell r="K58" t="str">
            <v>Pharimexco</v>
          </cell>
          <cell r="L58" t="str">
            <v>Việt Nam</v>
          </cell>
          <cell r="M58" t="str">
            <v>Lô 02</v>
          </cell>
          <cell r="O58">
            <v>10368</v>
          </cell>
          <cell r="P58">
            <v>180</v>
          </cell>
          <cell r="Q58">
            <v>11000</v>
          </cell>
          <cell r="R58">
            <v>252</v>
          </cell>
          <cell r="S58">
            <v>1980000</v>
          </cell>
        </row>
        <row r="59">
          <cell r="D59" t="str">
            <v>T0437</v>
          </cell>
          <cell r="E59" t="str">
            <v>TN0209</v>
          </cell>
          <cell r="F59" t="str">
            <v xml:space="preserve">Metronidazol      </v>
          </cell>
          <cell r="G59" t="str">
            <v>Metronidazol 250mg</v>
          </cell>
          <cell r="H59" t="str">
            <v>250mg</v>
          </cell>
          <cell r="I59" t="str">
            <v>viên</v>
          </cell>
          <cell r="J59" t="str">
            <v>Hộp 100 viên</v>
          </cell>
          <cell r="K59" t="str">
            <v>Bidiphar 1</v>
          </cell>
          <cell r="L59" t="str">
            <v>Việt Nam</v>
          </cell>
          <cell r="M59" t="str">
            <v>Lô 02</v>
          </cell>
          <cell r="O59">
            <v>572</v>
          </cell>
          <cell r="P59">
            <v>210</v>
          </cell>
          <cell r="Q59">
            <v>1500</v>
          </cell>
          <cell r="R59">
            <v>246</v>
          </cell>
          <cell r="S59">
            <v>315000</v>
          </cell>
        </row>
        <row r="60">
          <cell r="D60" t="str">
            <v>T0454</v>
          </cell>
          <cell r="E60" t="str">
            <v>TN0215</v>
          </cell>
          <cell r="F60" t="str">
            <v>Natriclorid  0,9%</v>
          </cell>
          <cell r="G60" t="str">
            <v>Efticol 0,9%</v>
          </cell>
          <cell r="H60" t="str">
            <v>0,9%/10ml</v>
          </cell>
          <cell r="I60" t="str">
            <v>Lọ 10ml</v>
          </cell>
          <cell r="J60" t="str">
            <v>Hộp 1 chai 10ml</v>
          </cell>
          <cell r="K60" t="str">
            <v>F.T Pharma</v>
          </cell>
          <cell r="L60" t="str">
            <v>Việt Nam</v>
          </cell>
          <cell r="M60" t="str">
            <v>Lô 02</v>
          </cell>
          <cell r="O60">
            <v>1984</v>
          </cell>
          <cell r="P60">
            <v>1785</v>
          </cell>
          <cell r="Q60">
            <v>2000</v>
          </cell>
          <cell r="R60">
            <v>2625</v>
          </cell>
          <cell r="S60">
            <v>3570000</v>
          </cell>
        </row>
        <row r="61">
          <cell r="D61" t="str">
            <v>T0488</v>
          </cell>
          <cell r="E61" t="str">
            <v>TN0231</v>
          </cell>
          <cell r="F61" t="str">
            <v xml:space="preserve">Ofloxacin         </v>
          </cell>
          <cell r="G61" t="str">
            <v>DOLOCEP</v>
          </cell>
          <cell r="H61" t="str">
            <v>200mg</v>
          </cell>
          <cell r="I61" t="str">
            <v>viên</v>
          </cell>
          <cell r="J61" t="str">
            <v>HỘP 2 VĨ X 10 VBF</v>
          </cell>
          <cell r="K61" t="str">
            <v>DOMESCO</v>
          </cell>
          <cell r="L61" t="str">
            <v>Việt Nam</v>
          </cell>
          <cell r="M61" t="str">
            <v>Lô 02</v>
          </cell>
          <cell r="O61">
            <v>1390</v>
          </cell>
          <cell r="P61">
            <v>550</v>
          </cell>
          <cell r="Q61">
            <v>3000</v>
          </cell>
          <cell r="R61">
            <v>593</v>
          </cell>
          <cell r="S61">
            <v>1650000</v>
          </cell>
        </row>
        <row r="62">
          <cell r="D62" t="str">
            <v>T0495</v>
          </cell>
          <cell r="E62" t="str">
            <v>NQ0074</v>
          </cell>
          <cell r="F62" t="str">
            <v xml:space="preserve">Omeprazole     </v>
          </cell>
          <cell r="G62" t="str">
            <v>Meyerazol</v>
          </cell>
          <cell r="H62" t="str">
            <v>20MG</v>
          </cell>
          <cell r="I62" t="str">
            <v>viên</v>
          </cell>
          <cell r="J62" t="str">
            <v>H/3V/10V</v>
          </cell>
          <cell r="K62" t="str">
            <v>Meyer-Bpc</v>
          </cell>
          <cell r="L62" t="str">
            <v>Việt Nam</v>
          </cell>
          <cell r="M62" t="str">
            <v>Lô 02</v>
          </cell>
          <cell r="O62">
            <v>38994</v>
          </cell>
          <cell r="P62">
            <v>672</v>
          </cell>
          <cell r="Q62">
            <v>50000</v>
          </cell>
          <cell r="R62">
            <v>819</v>
          </cell>
          <cell r="S62">
            <v>33600000</v>
          </cell>
        </row>
        <row r="63">
          <cell r="D63" t="str">
            <v>T0509</v>
          </cell>
          <cell r="E63" t="str">
            <v>TN0239</v>
          </cell>
          <cell r="F63" t="str">
            <v xml:space="preserve">Paracetamol   </v>
          </cell>
          <cell r="G63" t="str">
            <v>Acepron 80mg</v>
          </cell>
          <cell r="H63" t="str">
            <v>80mg</v>
          </cell>
          <cell r="I63" t="str">
            <v>gói</v>
          </cell>
          <cell r="J63" t="str">
            <v>H/20</v>
          </cell>
          <cell r="K63" t="str">
            <v>Pharimexco</v>
          </cell>
          <cell r="L63" t="str">
            <v>Việt Nam</v>
          </cell>
          <cell r="M63" t="str">
            <v>Lô 02</v>
          </cell>
          <cell r="O63">
            <v>1983</v>
          </cell>
          <cell r="P63">
            <v>520</v>
          </cell>
          <cell r="Q63">
            <v>2000</v>
          </cell>
          <cell r="R63">
            <v>735</v>
          </cell>
          <cell r="S63">
            <v>1040000</v>
          </cell>
        </row>
        <row r="64">
          <cell r="D64" t="str">
            <v>T0510</v>
          </cell>
          <cell r="E64" t="str">
            <v>TN0240</v>
          </cell>
          <cell r="F64" t="str">
            <v xml:space="preserve">Paracetamol      </v>
          </cell>
          <cell r="G64" t="str">
            <v>Hapacol 650mg</v>
          </cell>
          <cell r="H64" t="str">
            <v>650mg</v>
          </cell>
          <cell r="I64" t="str">
            <v>viên</v>
          </cell>
          <cell r="J64" t="str">
            <v>v/5 h/50 viên</v>
          </cell>
          <cell r="K64" t="str">
            <v>CTCP Dược Hậu Giang</v>
          </cell>
          <cell r="L64" t="str">
            <v>Việt Nam</v>
          </cell>
          <cell r="M64" t="str">
            <v>Lô 02</v>
          </cell>
          <cell r="O64">
            <v>90259</v>
          </cell>
          <cell r="P64">
            <v>462</v>
          </cell>
          <cell r="Q64">
            <v>101400</v>
          </cell>
          <cell r="R64">
            <v>452</v>
          </cell>
          <cell r="S64">
            <v>46846800</v>
          </cell>
        </row>
        <row r="65">
          <cell r="D65" t="str">
            <v>T0512</v>
          </cell>
          <cell r="E65" t="str">
            <v>TN0241</v>
          </cell>
          <cell r="F65" t="str">
            <v xml:space="preserve">Paracetamol      </v>
          </cell>
          <cell r="G65" t="str">
            <v>DOPAGAN 150MG</v>
          </cell>
          <cell r="H65" t="str">
            <v>150mg</v>
          </cell>
          <cell r="I65" t="str">
            <v>gói</v>
          </cell>
          <cell r="J65" t="str">
            <v>HỘP 12 GÓI</v>
          </cell>
          <cell r="K65" t="str">
            <v>DOMESCO</v>
          </cell>
          <cell r="L65" t="str">
            <v>Việt Nam</v>
          </cell>
          <cell r="M65" t="str">
            <v>Lô 02</v>
          </cell>
          <cell r="O65">
            <v>1984</v>
          </cell>
          <cell r="P65">
            <v>950</v>
          </cell>
          <cell r="Q65">
            <v>2000</v>
          </cell>
          <cell r="R65">
            <v>1200</v>
          </cell>
          <cell r="S65">
            <v>1900000</v>
          </cell>
        </row>
        <row r="66">
          <cell r="D66" t="str">
            <v>T0507</v>
          </cell>
          <cell r="E66" t="str">
            <v>TN0238</v>
          </cell>
          <cell r="F66" t="str">
            <v>Paracetamol</v>
          </cell>
          <cell r="G66" t="str">
            <v>Hapacol 500mg sủi</v>
          </cell>
          <cell r="H66" t="str">
            <v>500mg</v>
          </cell>
          <cell r="I66" t="str">
            <v>Viên sủi</v>
          </cell>
          <cell r="J66" t="str">
            <v>v/4 h/16 viên</v>
          </cell>
          <cell r="K66" t="str">
            <v>CTCP Dược Hậu Giang</v>
          </cell>
          <cell r="L66" t="str">
            <v>Việt Nam</v>
          </cell>
          <cell r="M66" t="str">
            <v>Lô 02</v>
          </cell>
          <cell r="O66">
            <v>2984</v>
          </cell>
          <cell r="P66">
            <v>1575</v>
          </cell>
          <cell r="Q66">
            <v>4000</v>
          </cell>
          <cell r="R66">
            <v>1575</v>
          </cell>
          <cell r="S66">
            <v>6300000</v>
          </cell>
        </row>
        <row r="67">
          <cell r="D67" t="str">
            <v>T0513</v>
          </cell>
          <cell r="E67" t="str">
            <v>TN0242</v>
          </cell>
          <cell r="F67" t="str">
            <v xml:space="preserve">Paracetamol      </v>
          </cell>
          <cell r="G67" t="str">
            <v>Acepron 325</v>
          </cell>
          <cell r="H67" t="str">
            <v>325mg</v>
          </cell>
          <cell r="I67" t="str">
            <v>viên</v>
          </cell>
          <cell r="J67" t="str">
            <v>H/10v/10</v>
          </cell>
          <cell r="K67" t="str">
            <v>Pharimexco</v>
          </cell>
          <cell r="L67" t="str">
            <v>Việt Nam</v>
          </cell>
          <cell r="M67" t="str">
            <v>Lô 02</v>
          </cell>
          <cell r="O67">
            <v>50236</v>
          </cell>
          <cell r="P67">
            <v>120</v>
          </cell>
          <cell r="Q67">
            <v>60500</v>
          </cell>
          <cell r="R67">
            <v>142</v>
          </cell>
          <cell r="S67">
            <v>7260000</v>
          </cell>
        </row>
        <row r="68">
          <cell r="D68" t="str">
            <v>T0514</v>
          </cell>
          <cell r="E68" t="str">
            <v>TN0243</v>
          </cell>
          <cell r="F68" t="str">
            <v xml:space="preserve">Paracetamol            </v>
          </cell>
          <cell r="G68" t="str">
            <v>Paracetamol 500mg</v>
          </cell>
          <cell r="H68" t="str">
            <v>500mg</v>
          </cell>
          <cell r="I68" t="str">
            <v>viên</v>
          </cell>
          <cell r="J68" t="str">
            <v>H/50v/10</v>
          </cell>
          <cell r="K68" t="str">
            <v>Pharimexco</v>
          </cell>
          <cell r="L68" t="str">
            <v>Việt Nam</v>
          </cell>
          <cell r="M68" t="str">
            <v>Lô 02</v>
          </cell>
          <cell r="O68">
            <v>9860</v>
          </cell>
          <cell r="P68">
            <v>126</v>
          </cell>
          <cell r="Q68">
            <v>10000</v>
          </cell>
          <cell r="R68">
            <v>182</v>
          </cell>
          <cell r="S68">
            <v>1260000</v>
          </cell>
        </row>
        <row r="69">
          <cell r="D69" t="str">
            <v>T0516</v>
          </cell>
          <cell r="E69" t="str">
            <v>TN0245</v>
          </cell>
          <cell r="F69" t="str">
            <v xml:space="preserve">Paracetamol            </v>
          </cell>
          <cell r="G69" t="str">
            <v>Hapacol kids</v>
          </cell>
          <cell r="H69" t="str">
            <v>150 mg + 75mg</v>
          </cell>
          <cell r="I69" t="str">
            <v>gói</v>
          </cell>
          <cell r="J69" t="str">
            <v>h/25 gói</v>
          </cell>
          <cell r="K69" t="str">
            <v>CTCP Dược Hậu Giang</v>
          </cell>
          <cell r="L69" t="str">
            <v>Việt Nam</v>
          </cell>
          <cell r="M69" t="str">
            <v>Lô 02</v>
          </cell>
          <cell r="O69">
            <v>9573</v>
          </cell>
          <cell r="P69">
            <v>1260</v>
          </cell>
          <cell r="Q69">
            <v>10000</v>
          </cell>
          <cell r="R69">
            <v>1386</v>
          </cell>
          <cell r="S69">
            <v>12600000</v>
          </cell>
        </row>
        <row r="70">
          <cell r="D70" t="str">
            <v>T0517</v>
          </cell>
          <cell r="E70" t="str">
            <v>TN0246</v>
          </cell>
          <cell r="F70" t="str">
            <v xml:space="preserve">Paracetamol            </v>
          </cell>
          <cell r="G70" t="str">
            <v>Mexcold 150mg</v>
          </cell>
          <cell r="H70" t="str">
            <v>150mg</v>
          </cell>
          <cell r="I70" t="str">
            <v>viên đặt</v>
          </cell>
          <cell r="J70" t="str">
            <v>vỉ/05, h/10v</v>
          </cell>
          <cell r="K70" t="str">
            <v>Imexpharm</v>
          </cell>
          <cell r="L70" t="str">
            <v>Việt Nam</v>
          </cell>
          <cell r="M70" t="str">
            <v>Lô 02</v>
          </cell>
          <cell r="O70">
            <v>6305</v>
          </cell>
          <cell r="P70">
            <v>1470</v>
          </cell>
          <cell r="Q70">
            <v>7400</v>
          </cell>
          <cell r="R70">
            <v>1690</v>
          </cell>
          <cell r="S70">
            <v>10878000</v>
          </cell>
        </row>
        <row r="71">
          <cell r="D71" t="str">
            <v>T0518</v>
          </cell>
          <cell r="E71" t="str">
            <v>TN0247</v>
          </cell>
          <cell r="F71" t="str">
            <v xml:space="preserve">Paracetamol            </v>
          </cell>
          <cell r="G71" t="str">
            <v>Acepron 250mg</v>
          </cell>
          <cell r="H71" t="str">
            <v>250mg</v>
          </cell>
          <cell r="I71" t="str">
            <v>gói</v>
          </cell>
          <cell r="J71" t="str">
            <v>H/20</v>
          </cell>
          <cell r="K71" t="str">
            <v>Pharimexco</v>
          </cell>
          <cell r="L71" t="str">
            <v>Việt Nam</v>
          </cell>
          <cell r="M71" t="str">
            <v>Lô 02</v>
          </cell>
          <cell r="O71">
            <v>8673</v>
          </cell>
          <cell r="P71">
            <v>940</v>
          </cell>
          <cell r="Q71">
            <v>9000</v>
          </cell>
          <cell r="R71">
            <v>945</v>
          </cell>
          <cell r="S71">
            <v>8460000</v>
          </cell>
        </row>
        <row r="72">
          <cell r="D72" t="str">
            <v>T0519</v>
          </cell>
          <cell r="E72" t="str">
            <v>TN0248</v>
          </cell>
          <cell r="F72" t="str">
            <v xml:space="preserve">Paracetamol            </v>
          </cell>
          <cell r="G72" t="str">
            <v>Mexcold 80mg</v>
          </cell>
          <cell r="H72" t="str">
            <v>80 mg</v>
          </cell>
          <cell r="I72" t="str">
            <v>viên đặt</v>
          </cell>
          <cell r="J72" t="str">
            <v>vỉ/05, h/10v</v>
          </cell>
          <cell r="K72" t="str">
            <v>Imexpharm</v>
          </cell>
          <cell r="L72" t="str">
            <v>Việt Nam</v>
          </cell>
          <cell r="M72" t="str">
            <v>Lô 02</v>
          </cell>
          <cell r="O72">
            <v>2783</v>
          </cell>
          <cell r="P72">
            <v>1155</v>
          </cell>
          <cell r="Q72">
            <v>3000</v>
          </cell>
          <cell r="R72">
            <v>1328</v>
          </cell>
          <cell r="S72">
            <v>3465000</v>
          </cell>
        </row>
        <row r="73">
          <cell r="D73" t="str">
            <v>T0826</v>
          </cell>
          <cell r="F73" t="str">
            <v xml:space="preserve">Paracetamol+ibuprofen            </v>
          </cell>
          <cell r="G73" t="str">
            <v>Hapacol đau nhức</v>
          </cell>
          <cell r="H73" t="str">
            <v>325mg+200</v>
          </cell>
          <cell r="I73" t="str">
            <v>viên</v>
          </cell>
          <cell r="K73" t="str">
            <v>CTCP Dược Hậu Giang</v>
          </cell>
          <cell r="L73" t="str">
            <v>Việt Nam</v>
          </cell>
          <cell r="M73" t="str">
            <v>Lô 02</v>
          </cell>
          <cell r="O73">
            <v>13468</v>
          </cell>
          <cell r="P73">
            <v>500</v>
          </cell>
          <cell r="Q73">
            <v>14500</v>
          </cell>
          <cell r="S73">
            <v>7250000</v>
          </cell>
        </row>
        <row r="74">
          <cell r="D74" t="str">
            <v>T0525</v>
          </cell>
          <cell r="E74" t="str">
            <v>TN0253</v>
          </cell>
          <cell r="F74" t="str">
            <v>Perfloxacine</v>
          </cell>
          <cell r="G74" t="str">
            <v>Vinpecine</v>
          </cell>
          <cell r="H74" t="str">
            <v>400mg/5ml</v>
          </cell>
          <cell r="I74" t="str">
            <v>ống</v>
          </cell>
          <cell r="J74" t="str">
            <v>Hộp 10 ống</v>
          </cell>
          <cell r="K74" t="str">
            <v>Vinphaco</v>
          </cell>
          <cell r="L74" t="str">
            <v>Việt Nam</v>
          </cell>
          <cell r="M74" t="str">
            <v>Lô 02</v>
          </cell>
          <cell r="O74">
            <v>396</v>
          </cell>
          <cell r="P74">
            <v>22800</v>
          </cell>
          <cell r="Q74">
            <v>500</v>
          </cell>
          <cell r="R74">
            <v>23100</v>
          </cell>
          <cell r="S74">
            <v>11400000</v>
          </cell>
        </row>
        <row r="75">
          <cell r="D75" t="str">
            <v>T0535</v>
          </cell>
          <cell r="E75" t="str">
            <v>TN0268</v>
          </cell>
          <cell r="F75" t="str">
            <v>Phenoxy methylpenicilin</v>
          </cell>
          <cell r="G75" t="str">
            <v>Penicillin V 400000IU</v>
          </cell>
          <cell r="H75" t="str">
            <v>400.000UI</v>
          </cell>
          <cell r="I75" t="str">
            <v>viên</v>
          </cell>
          <cell r="J75" t="str">
            <v>Hộp 10vỉ x 10VBP</v>
          </cell>
          <cell r="K75" t="str">
            <v>Mekophar</v>
          </cell>
          <cell r="L75" t="str">
            <v>Việt Nam</v>
          </cell>
          <cell r="M75" t="str">
            <v>Lô 02</v>
          </cell>
          <cell r="O75">
            <v>160</v>
          </cell>
          <cell r="P75">
            <v>300</v>
          </cell>
          <cell r="Q75">
            <v>500</v>
          </cell>
          <cell r="R75">
            <v>500</v>
          </cell>
          <cell r="S75">
            <v>150000</v>
          </cell>
        </row>
        <row r="76">
          <cell r="D76" t="str">
            <v>T0543</v>
          </cell>
          <cell r="E76" t="str">
            <v>NQ0075</v>
          </cell>
          <cell r="F76" t="str">
            <v>Piracetam</v>
          </cell>
          <cell r="G76" t="str">
            <v>Hasancetam 800</v>
          </cell>
          <cell r="H76" t="str">
            <v>800mg</v>
          </cell>
          <cell r="I76" t="str">
            <v>viên</v>
          </cell>
          <cell r="J76" t="str">
            <v>3 vỉ x 10 viên</v>
          </cell>
          <cell r="K76" t="str">
            <v>HASAN-DERMAPHARM</v>
          </cell>
          <cell r="L76" t="str">
            <v>Việt Nam</v>
          </cell>
          <cell r="M76" t="str">
            <v>Lô 02</v>
          </cell>
          <cell r="O76">
            <v>2034</v>
          </cell>
          <cell r="P76">
            <v>693</v>
          </cell>
          <cell r="Q76">
            <v>2000</v>
          </cell>
          <cell r="R76">
            <v>780</v>
          </cell>
          <cell r="S76">
            <v>1386000</v>
          </cell>
        </row>
        <row r="77">
          <cell r="D77" t="str">
            <v>T0553</v>
          </cell>
          <cell r="E77" t="str">
            <v>TN0265</v>
          </cell>
          <cell r="F77" t="str">
            <v xml:space="preserve">Prednisolon       </v>
          </cell>
          <cell r="G77" t="str">
            <v>Hydrocolacyl</v>
          </cell>
          <cell r="H77" t="str">
            <v>5mg</v>
          </cell>
          <cell r="I77" t="str">
            <v>viên</v>
          </cell>
          <cell r="J77" t="str">
            <v>Hộp 10 vỉ x20 viên</v>
          </cell>
          <cell r="K77" t="str">
            <v>Khánh Hòa</v>
          </cell>
          <cell r="L77" t="str">
            <v>Việt Nam</v>
          </cell>
          <cell r="M77" t="str">
            <v>Lô 02</v>
          </cell>
          <cell r="O77">
            <v>3672</v>
          </cell>
          <cell r="P77">
            <v>230</v>
          </cell>
          <cell r="Q77">
            <v>4000</v>
          </cell>
          <cell r="R77">
            <v>340</v>
          </cell>
          <cell r="S77">
            <v>920000</v>
          </cell>
        </row>
        <row r="78">
          <cell r="D78" t="str">
            <v>T0576</v>
          </cell>
          <cell r="E78" t="str">
            <v>TN0278</v>
          </cell>
          <cell r="F78" t="str">
            <v xml:space="preserve">Salbutamol        </v>
          </cell>
          <cell r="G78" t="str">
            <v>Salbutamol 2mg</v>
          </cell>
          <cell r="H78" t="str">
            <v>2mg</v>
          </cell>
          <cell r="I78" t="str">
            <v>viên</v>
          </cell>
          <cell r="J78" t="str">
            <v>Lọ 500 viên</v>
          </cell>
          <cell r="K78" t="str">
            <v>Bidiphar 1</v>
          </cell>
          <cell r="L78" t="str">
            <v>Việt Nam</v>
          </cell>
          <cell r="M78" t="str">
            <v>Lô 02</v>
          </cell>
          <cell r="P78">
            <v>53</v>
          </cell>
          <cell r="Q78">
            <v>500</v>
          </cell>
          <cell r="R78">
            <v>103</v>
          </cell>
          <cell r="S78">
            <v>26500</v>
          </cell>
        </row>
        <row r="79">
          <cell r="D79" t="str">
            <v>T0589</v>
          </cell>
          <cell r="E79" t="str">
            <v>TN0284</v>
          </cell>
          <cell r="F79" t="str">
            <v xml:space="preserve">Sorbitol      </v>
          </cell>
          <cell r="G79" t="str">
            <v>SORBITOL</v>
          </cell>
          <cell r="H79" t="str">
            <v>5g</v>
          </cell>
          <cell r="I79" t="str">
            <v>gói</v>
          </cell>
          <cell r="J79" t="str">
            <v>HỘP 25 GÓI</v>
          </cell>
          <cell r="K79" t="str">
            <v>DOMESCO</v>
          </cell>
          <cell r="L79" t="str">
            <v>Việt Nam</v>
          </cell>
          <cell r="M79" t="str">
            <v>Lô 02</v>
          </cell>
          <cell r="O79">
            <v>2736</v>
          </cell>
          <cell r="P79">
            <v>450</v>
          </cell>
          <cell r="Q79">
            <v>3000</v>
          </cell>
          <cell r="R79">
            <v>864</v>
          </cell>
          <cell r="S79">
            <v>1350000</v>
          </cell>
        </row>
        <row r="80">
          <cell r="D80" t="str">
            <v>T0590</v>
          </cell>
          <cell r="E80" t="str">
            <v>TN0285</v>
          </cell>
          <cell r="F80" t="str">
            <v>Spiramycin</v>
          </cell>
          <cell r="G80" t="str">
            <v>DOROPYCIN 0.75</v>
          </cell>
          <cell r="H80" t="str">
            <v>0,75M UI</v>
          </cell>
          <cell r="I80" t="str">
            <v>gói</v>
          </cell>
          <cell r="J80" t="str">
            <v>HỘP 20 GÓI</v>
          </cell>
          <cell r="K80" t="str">
            <v>DOMESCO</v>
          </cell>
          <cell r="L80" t="str">
            <v>Việt Nam</v>
          </cell>
          <cell r="M80" t="str">
            <v>Lô 02</v>
          </cell>
          <cell r="O80">
            <v>1754</v>
          </cell>
          <cell r="P80">
            <v>1200</v>
          </cell>
          <cell r="Q80">
            <v>2000</v>
          </cell>
          <cell r="R80">
            <v>1523</v>
          </cell>
          <cell r="S80">
            <v>2400000</v>
          </cell>
        </row>
        <row r="81">
          <cell r="D81" t="str">
            <v>T0591</v>
          </cell>
          <cell r="E81" t="str">
            <v>TN0286</v>
          </cell>
          <cell r="F81" t="str">
            <v>Spiramycin</v>
          </cell>
          <cell r="G81" t="str">
            <v>DOROPYCIN 1.5</v>
          </cell>
          <cell r="H81" t="str">
            <v>1,5M UI</v>
          </cell>
          <cell r="I81" t="str">
            <v>viên</v>
          </cell>
          <cell r="J81" t="str">
            <v>HỘP 2 VĨ X 8 VBF</v>
          </cell>
          <cell r="K81" t="str">
            <v>DOMESCO</v>
          </cell>
          <cell r="L81" t="str">
            <v>Việt Nam</v>
          </cell>
          <cell r="M81" t="str">
            <v>Lô 02</v>
          </cell>
          <cell r="O81">
            <v>596</v>
          </cell>
          <cell r="P81">
            <v>1500</v>
          </cell>
          <cell r="Q81">
            <v>2000</v>
          </cell>
          <cell r="R81">
            <v>1740</v>
          </cell>
          <cell r="S81">
            <v>3000000</v>
          </cell>
        </row>
        <row r="82">
          <cell r="D82" t="str">
            <v>T0592</v>
          </cell>
          <cell r="E82" t="str">
            <v>TN0287</v>
          </cell>
          <cell r="F82" t="str">
            <v>Spiramycin</v>
          </cell>
          <cell r="G82" t="str">
            <v>DOROPYCIN 3</v>
          </cell>
          <cell r="H82" t="str">
            <v>3M UI</v>
          </cell>
          <cell r="I82" t="str">
            <v>viên</v>
          </cell>
          <cell r="J82" t="str">
            <v>HỘP 2 VĨ X  5VBF</v>
          </cell>
          <cell r="K82" t="str">
            <v>DOMESCO</v>
          </cell>
          <cell r="L82" t="str">
            <v>Việt Nam</v>
          </cell>
          <cell r="M82" t="str">
            <v>Lô 02</v>
          </cell>
          <cell r="O82">
            <v>3784</v>
          </cell>
          <cell r="P82">
            <v>2800</v>
          </cell>
          <cell r="Q82">
            <v>4000</v>
          </cell>
          <cell r="R82">
            <v>3389</v>
          </cell>
          <cell r="S82">
            <v>11200000</v>
          </cell>
        </row>
        <row r="83">
          <cell r="D83" t="str">
            <v>T0568</v>
          </cell>
          <cell r="E83" t="str">
            <v>TN0272</v>
          </cell>
          <cell r="F83" t="str">
            <v xml:space="preserve">Ranitidin </v>
          </cell>
          <cell r="G83" t="str">
            <v>RANITIDIN 300MG</v>
          </cell>
          <cell r="H83" t="str">
            <v>300mg</v>
          </cell>
          <cell r="I83" t="str">
            <v>viên</v>
          </cell>
          <cell r="J83" t="str">
            <v>HỘP 3 VĨ X 10 VBF</v>
          </cell>
          <cell r="K83" t="str">
            <v>DOMESCO</v>
          </cell>
          <cell r="L83" t="str">
            <v>Việt Nam</v>
          </cell>
          <cell r="M83" t="str">
            <v>Lô 02</v>
          </cell>
          <cell r="N83">
            <v>10000</v>
          </cell>
          <cell r="O83">
            <v>4204</v>
          </cell>
          <cell r="P83">
            <v>450</v>
          </cell>
          <cell r="Q83">
            <v>4500</v>
          </cell>
          <cell r="S83">
            <v>2025000</v>
          </cell>
        </row>
        <row r="84">
          <cell r="D84" t="str">
            <v>T0605</v>
          </cell>
          <cell r="E84" t="str">
            <v>TN0066</v>
          </cell>
          <cell r="F84" t="str">
            <v>Sylimarin</v>
          </cell>
          <cell r="G84" t="str">
            <v>Liverstad</v>
          </cell>
          <cell r="H84" t="str">
            <v>70mg</v>
          </cell>
          <cell r="I84" t="str">
            <v>viên</v>
          </cell>
          <cell r="J84" t="str">
            <v>Hộp 10vỉ x10viên nang</v>
          </cell>
          <cell r="K84" t="str">
            <v>Liên doanh Stada-Việt Nam</v>
          </cell>
          <cell r="L84" t="str">
            <v>Việt Nam</v>
          </cell>
          <cell r="M84" t="str">
            <v>Lô 02</v>
          </cell>
          <cell r="O84">
            <v>986</v>
          </cell>
          <cell r="P84">
            <v>550</v>
          </cell>
          <cell r="Q84">
            <v>1200</v>
          </cell>
          <cell r="R84">
            <v>980</v>
          </cell>
          <cell r="S84">
            <v>660000</v>
          </cell>
        </row>
        <row r="85">
          <cell r="D85" t="str">
            <v>T0603</v>
          </cell>
          <cell r="E85" t="str">
            <v>TN0292</v>
          </cell>
          <cell r="F85" t="str">
            <v xml:space="preserve">Sulpirid       </v>
          </cell>
          <cell r="G85" t="str">
            <v>MAXDOTYL</v>
          </cell>
          <cell r="H85" t="str">
            <v>50mg</v>
          </cell>
          <cell r="I85" t="str">
            <v>viên</v>
          </cell>
          <cell r="J85" t="str">
            <v>HỘP 2 VĨ X 15 VNE</v>
          </cell>
          <cell r="K85" t="str">
            <v>DOMESCO</v>
          </cell>
          <cell r="L85" t="str">
            <v>Việt Nam</v>
          </cell>
          <cell r="M85" t="str">
            <v>Lô 02</v>
          </cell>
          <cell r="O85">
            <v>20498</v>
          </cell>
          <cell r="P85">
            <v>205</v>
          </cell>
          <cell r="Q85">
            <v>22000</v>
          </cell>
          <cell r="R85">
            <v>231</v>
          </cell>
          <cell r="S85">
            <v>4510000</v>
          </cell>
        </row>
        <row r="86">
          <cell r="D86" t="str">
            <v>T0612</v>
          </cell>
          <cell r="E86" t="str">
            <v>TN0296</v>
          </cell>
          <cell r="F86" t="str">
            <v>Terpin-Codein</v>
          </cell>
          <cell r="G86" t="str">
            <v>Terpin Codein 5</v>
          </cell>
          <cell r="H86" t="str">
            <v>100mg + 5mg</v>
          </cell>
          <cell r="I86" t="str">
            <v>viên</v>
          </cell>
          <cell r="J86" t="str">
            <v>H/10v/10</v>
          </cell>
          <cell r="K86" t="str">
            <v>Pharimexco</v>
          </cell>
          <cell r="L86" t="str">
            <v>Việt Nam</v>
          </cell>
          <cell r="M86" t="str">
            <v>Lô 02</v>
          </cell>
          <cell r="O86">
            <v>50630</v>
          </cell>
          <cell r="P86">
            <v>180</v>
          </cell>
          <cell r="Q86">
            <v>51000</v>
          </cell>
          <cell r="R86">
            <v>2200</v>
          </cell>
          <cell r="S86">
            <v>9180000</v>
          </cell>
        </row>
        <row r="87">
          <cell r="D87" t="str">
            <v>T0635</v>
          </cell>
          <cell r="E87" t="str">
            <v>TN0310</v>
          </cell>
          <cell r="F87" t="str">
            <v xml:space="preserve">Trimetazidin         </v>
          </cell>
          <cell r="G87" t="str">
            <v>VACOLAREN</v>
          </cell>
          <cell r="H87" t="str">
            <v>20mg</v>
          </cell>
          <cell r="I87" t="str">
            <v>viên</v>
          </cell>
          <cell r="J87" t="str">
            <v>Hộp 2 vỉ x 30 viên</v>
          </cell>
          <cell r="K87" t="str">
            <v>Vacopharm</v>
          </cell>
          <cell r="L87" t="str">
            <v>Việt Nam</v>
          </cell>
          <cell r="M87" t="str">
            <v>Lô 02</v>
          </cell>
          <cell r="O87">
            <v>13892</v>
          </cell>
          <cell r="P87">
            <v>175</v>
          </cell>
          <cell r="Q87">
            <v>14000</v>
          </cell>
          <cell r="R87">
            <v>500</v>
          </cell>
          <cell r="S87">
            <v>2450000</v>
          </cell>
        </row>
        <row r="88">
          <cell r="D88" t="str">
            <v>T0646</v>
          </cell>
          <cell r="E88" t="str">
            <v>TN0312</v>
          </cell>
          <cell r="F88" t="str">
            <v>Vitamin A - D</v>
          </cell>
          <cell r="G88" t="str">
            <v>VITAMIN A&amp;D</v>
          </cell>
          <cell r="H88" t="str">
            <v>5000UI + 400UI</v>
          </cell>
          <cell r="I88" t="str">
            <v>viên</v>
          </cell>
          <cell r="J88" t="str">
            <v>HỘP 4 VĨ X 10 VNM</v>
          </cell>
          <cell r="K88" t="str">
            <v>DOMESCO</v>
          </cell>
          <cell r="L88" t="str">
            <v>Việt Nam</v>
          </cell>
          <cell r="M88" t="str">
            <v>Lô 02</v>
          </cell>
          <cell r="O88">
            <v>2100</v>
          </cell>
          <cell r="P88">
            <v>280</v>
          </cell>
          <cell r="Q88">
            <v>2500</v>
          </cell>
          <cell r="R88">
            <v>305</v>
          </cell>
          <cell r="S88">
            <v>700000</v>
          </cell>
        </row>
        <row r="89">
          <cell r="D89" t="str">
            <v>T0647</v>
          </cell>
          <cell r="E89" t="str">
            <v>TN0314</v>
          </cell>
          <cell r="F89" t="str">
            <v>Vitamin B1</v>
          </cell>
          <cell r="G89" t="str">
            <v>Vitamin B1 250mg</v>
          </cell>
          <cell r="H89" t="str">
            <v>250mg</v>
          </cell>
          <cell r="I89" t="str">
            <v>viên</v>
          </cell>
          <cell r="J89" t="str">
            <v>Hộp 10 vì x 10 viên</v>
          </cell>
          <cell r="K89" t="str">
            <v>Tipharco</v>
          </cell>
          <cell r="L89" t="str">
            <v>Việt Nam</v>
          </cell>
          <cell r="M89" t="str">
            <v>Lô 02</v>
          </cell>
          <cell r="O89">
            <v>31680</v>
          </cell>
          <cell r="P89">
            <v>219</v>
          </cell>
          <cell r="Q89">
            <v>40000</v>
          </cell>
          <cell r="R89">
            <v>300</v>
          </cell>
          <cell r="S89">
            <v>8760000</v>
          </cell>
        </row>
        <row r="90">
          <cell r="D90" t="str">
            <v>T0653</v>
          </cell>
          <cell r="E90" t="str">
            <v>TN0318</v>
          </cell>
          <cell r="F90" t="str">
            <v>Vitamin B6</v>
          </cell>
          <cell r="G90" t="str">
            <v>Vitamin B6</v>
          </cell>
          <cell r="H90" t="str">
            <v>250mg</v>
          </cell>
          <cell r="I90" t="str">
            <v>viên</v>
          </cell>
          <cell r="J90" t="str">
            <v>Hộp 10 vỉ x 10 viên</v>
          </cell>
          <cell r="K90" t="str">
            <v>Tipharco</v>
          </cell>
          <cell r="L90" t="str">
            <v>Việt Nam</v>
          </cell>
          <cell r="M90" t="str">
            <v>Lô 02</v>
          </cell>
          <cell r="O90">
            <v>720</v>
          </cell>
          <cell r="P90">
            <v>275</v>
          </cell>
          <cell r="Q90">
            <v>1000</v>
          </cell>
          <cell r="R90">
            <v>400</v>
          </cell>
          <cell r="S90">
            <v>275000</v>
          </cell>
        </row>
        <row r="91">
          <cell r="D91" t="str">
            <v>T0655</v>
          </cell>
          <cell r="E91" t="str">
            <v>TN0320</v>
          </cell>
          <cell r="F91" t="str">
            <v>Vitamin C</v>
          </cell>
          <cell r="G91" t="str">
            <v xml:space="preserve">Vitamin C </v>
          </cell>
          <cell r="H91" t="str">
            <v>500mg</v>
          </cell>
          <cell r="I91" t="str">
            <v>viên</v>
          </cell>
          <cell r="J91" t="str">
            <v>Lọ 100 viên</v>
          </cell>
          <cell r="K91" t="str">
            <v>Bidiphar 1</v>
          </cell>
          <cell r="L91" t="str">
            <v>Việt Nam</v>
          </cell>
          <cell r="M91" t="str">
            <v>Lô 02</v>
          </cell>
          <cell r="O91">
            <v>42320</v>
          </cell>
          <cell r="P91">
            <v>294</v>
          </cell>
          <cell r="Q91">
            <v>50000</v>
          </cell>
          <cell r="R91">
            <v>357</v>
          </cell>
          <cell r="S91">
            <v>14700000</v>
          </cell>
        </row>
        <row r="92">
          <cell r="D92" t="str">
            <v>T0659</v>
          </cell>
          <cell r="E92" t="str">
            <v>TN0324</v>
          </cell>
          <cell r="F92" t="str">
            <v>Vitamin E</v>
          </cell>
          <cell r="G92" t="str">
            <v>Vitamin E 400UI (V/15)</v>
          </cell>
          <cell r="H92" t="str">
            <v>400UI</v>
          </cell>
          <cell r="I92" t="str">
            <v>viên</v>
          </cell>
          <cell r="J92" t="str">
            <v>V/15, H/150</v>
          </cell>
          <cell r="K92" t="str">
            <v>TV.Pharm</v>
          </cell>
          <cell r="L92" t="str">
            <v>Việt Nam</v>
          </cell>
          <cell r="M92" t="str">
            <v>Lô 02</v>
          </cell>
          <cell r="O92">
            <v>4760</v>
          </cell>
          <cell r="P92">
            <v>779</v>
          </cell>
          <cell r="Q92">
            <v>5000</v>
          </cell>
          <cell r="R92">
            <v>1000</v>
          </cell>
          <cell r="S92">
            <v>3895000</v>
          </cell>
        </row>
        <row r="93">
          <cell r="D93" t="str">
            <v>T0033</v>
          </cell>
          <cell r="E93" t="str">
            <v>CA0006</v>
          </cell>
          <cell r="F93" t="str">
            <v>Alpha Amylase, Papain, Simethicone</v>
          </cell>
          <cell r="G93" t="str">
            <v>Neopeptin</v>
          </cell>
          <cell r="H93" t="str">
            <v>0,1g + 0,1g +30mg</v>
          </cell>
          <cell r="I93" t="str">
            <v>viên</v>
          </cell>
          <cell r="J93" t="str">
            <v>H/10V/10V</v>
          </cell>
          <cell r="K93" t="str">
            <v>Raptakos</v>
          </cell>
          <cell r="L93" t="str">
            <v>Ấn Độ</v>
          </cell>
          <cell r="M93" t="str">
            <v>Lô 03</v>
          </cell>
          <cell r="O93">
            <v>5040</v>
          </cell>
          <cell r="P93">
            <v>1512</v>
          </cell>
          <cell r="Q93">
            <v>6000</v>
          </cell>
          <cell r="R93">
            <v>1523</v>
          </cell>
          <cell r="S93">
            <v>9072000</v>
          </cell>
        </row>
        <row r="94">
          <cell r="D94" t="str">
            <v>T0054</v>
          </cell>
          <cell r="E94" t="str">
            <v>TN0025</v>
          </cell>
          <cell r="F94" t="str">
            <v>Amlodipine (Apitim® hoặc tương đương điều trị)</v>
          </cell>
          <cell r="G94" t="str">
            <v>Apitim 5mg</v>
          </cell>
          <cell r="H94" t="str">
            <v>5mg</v>
          </cell>
          <cell r="I94" t="str">
            <v>viên</v>
          </cell>
          <cell r="J94" t="str">
            <v>v/10 h/30 viên</v>
          </cell>
          <cell r="K94" t="str">
            <v>CTCP Dược Hậu Giang</v>
          </cell>
          <cell r="L94" t="str">
            <v>Việt Nam</v>
          </cell>
          <cell r="M94" t="str">
            <v>Lô 04</v>
          </cell>
          <cell r="O94">
            <v>54986</v>
          </cell>
          <cell r="P94">
            <v>840</v>
          </cell>
          <cell r="Q94">
            <v>60000</v>
          </cell>
          <cell r="R94">
            <v>840</v>
          </cell>
          <cell r="S94">
            <v>50400000</v>
          </cell>
        </row>
      </sheetData>
      <sheetData sheetId="1">
        <row r="15">
          <cell r="C15" t="str">
            <v>T0001</v>
          </cell>
        </row>
      </sheetData>
      <sheetData sheetId="2">
        <row r="15">
          <cell r="B15" t="str">
            <v>T0245</v>
          </cell>
        </row>
      </sheetData>
      <sheetData sheetId="3">
        <row r="8">
          <cell r="B8" t="str">
            <v>T0006</v>
          </cell>
          <cell r="C8" t="str">
            <v xml:space="preserve">Acetyl cystein </v>
          </cell>
          <cell r="D8" t="str">
            <v>Mitux E</v>
          </cell>
          <cell r="E8" t="str">
            <v>100mg</v>
          </cell>
          <cell r="F8" t="str">
            <v>Gói</v>
          </cell>
          <cell r="G8" t="str">
            <v>Lô 2</v>
          </cell>
          <cell r="H8" t="str">
            <v>Việt Nam</v>
          </cell>
          <cell r="I8">
            <v>3000</v>
          </cell>
          <cell r="J8">
            <v>1050</v>
          </cell>
          <cell r="K8">
            <v>3150000</v>
          </cell>
        </row>
        <row r="9">
          <cell r="B9" t="str">
            <v>T0007</v>
          </cell>
          <cell r="C9" t="str">
            <v xml:space="preserve">Acetyl cystein </v>
          </cell>
          <cell r="D9" t="str">
            <v>Mitux 200mg</v>
          </cell>
          <cell r="E9" t="str">
            <v>200mg</v>
          </cell>
          <cell r="F9" t="str">
            <v>Gói</v>
          </cell>
          <cell r="G9" t="str">
            <v>Lô 2</v>
          </cell>
          <cell r="H9" t="str">
            <v>Việt Nam</v>
          </cell>
          <cell r="I9">
            <v>3000</v>
          </cell>
          <cell r="J9">
            <v>795</v>
          </cell>
          <cell r="K9">
            <v>2385000</v>
          </cell>
        </row>
        <row r="10">
          <cell r="B10" t="str">
            <v>T0004</v>
          </cell>
          <cell r="C10" t="str">
            <v xml:space="preserve">Acetyl Leucin </v>
          </cell>
          <cell r="D10" t="str">
            <v>Tanegonin</v>
          </cell>
          <cell r="E10" t="str">
            <v>500mg</v>
          </cell>
          <cell r="F10" t="str">
            <v>Viên</v>
          </cell>
          <cell r="G10" t="str">
            <v>Lô 2</v>
          </cell>
          <cell r="H10" t="str">
            <v>Việt Nam</v>
          </cell>
          <cell r="I10">
            <v>10000</v>
          </cell>
          <cell r="J10">
            <v>735</v>
          </cell>
          <cell r="K10">
            <v>7350000</v>
          </cell>
        </row>
        <row r="11">
          <cell r="B11" t="str">
            <v>T0005</v>
          </cell>
          <cell r="C11" t="str">
            <v>Acid acetyl salicylic</v>
          </cell>
          <cell r="D11" t="str">
            <v>Aspirin</v>
          </cell>
          <cell r="E11" t="str">
            <v>81mg</v>
          </cell>
          <cell r="F11" t="str">
            <v>Viên</v>
          </cell>
          <cell r="G11" t="str">
            <v>Lô 2</v>
          </cell>
          <cell r="H11" t="str">
            <v>Việt Nam</v>
          </cell>
          <cell r="I11">
            <v>2000</v>
          </cell>
          <cell r="J11">
            <v>126</v>
          </cell>
          <cell r="K11">
            <v>252000</v>
          </cell>
        </row>
        <row r="12">
          <cell r="B12" t="str">
            <v>T0035</v>
          </cell>
          <cell r="C12" t="str">
            <v>Alpha chymotripsin</v>
          </cell>
          <cell r="D12" t="str">
            <v>Alphachymotripsin</v>
          </cell>
          <cell r="E12" t="str">
            <v>4,2mg</v>
          </cell>
          <cell r="F12" t="str">
            <v>Viên</v>
          </cell>
          <cell r="G12" t="str">
            <v>Lô 2</v>
          </cell>
          <cell r="H12" t="str">
            <v>Việt Nam</v>
          </cell>
          <cell r="I12">
            <v>30000</v>
          </cell>
          <cell r="J12">
            <v>450</v>
          </cell>
          <cell r="K12">
            <v>13500000</v>
          </cell>
        </row>
        <row r="13">
          <cell r="B13" t="str">
            <v>T0039</v>
          </cell>
          <cell r="C13" t="str">
            <v xml:space="preserve">Alumium hydroxyd </v>
          </cell>
          <cell r="D13" t="str">
            <v>Stoccel P</v>
          </cell>
          <cell r="E13" t="str">
            <v>20% 12,38g</v>
          </cell>
          <cell r="F13" t="str">
            <v>Gói</v>
          </cell>
          <cell r="G13" t="str">
            <v>Lô 2</v>
          </cell>
          <cell r="H13" t="str">
            <v>Việt Nam</v>
          </cell>
          <cell r="I13">
            <v>10000</v>
          </cell>
          <cell r="J13">
            <v>2100</v>
          </cell>
          <cell r="K13">
            <v>21000000</v>
          </cell>
        </row>
        <row r="14">
          <cell r="B14" t="str">
            <v>T0041</v>
          </cell>
          <cell r="C14" t="str">
            <v xml:space="preserve">Alverine citrate </v>
          </cell>
          <cell r="D14" t="str">
            <v>Alverine 40mg</v>
          </cell>
          <cell r="E14" t="str">
            <v>40mg</v>
          </cell>
          <cell r="F14" t="str">
            <v>Viên</v>
          </cell>
          <cell r="G14" t="str">
            <v>Lô 2</v>
          </cell>
          <cell r="H14" t="str">
            <v>Việt Nam</v>
          </cell>
          <cell r="I14">
            <v>20000</v>
          </cell>
          <cell r="J14">
            <v>175</v>
          </cell>
          <cell r="K14">
            <v>3500000</v>
          </cell>
        </row>
        <row r="15">
          <cell r="B15" t="str">
            <v>T0054</v>
          </cell>
          <cell r="C15" t="str">
            <v xml:space="preserve">Amlodipin </v>
          </cell>
          <cell r="D15" t="str">
            <v>Apitim 5mg</v>
          </cell>
          <cell r="E15" t="str">
            <v>5mg</v>
          </cell>
          <cell r="F15" t="str">
            <v>Viên</v>
          </cell>
          <cell r="G15" t="str">
            <v>Lô 2</v>
          </cell>
          <cell r="H15" t="str">
            <v>Việt Nam</v>
          </cell>
          <cell r="I15">
            <v>10000</v>
          </cell>
          <cell r="J15">
            <v>840</v>
          </cell>
          <cell r="K15">
            <v>8400000</v>
          </cell>
        </row>
        <row r="16">
          <cell r="B16" t="str">
            <v>T0066</v>
          </cell>
          <cell r="C16" t="str">
            <v>Amoxycilin</v>
          </cell>
          <cell r="D16" t="str">
            <v>Hagimox 500mg</v>
          </cell>
          <cell r="E16" t="str">
            <v>500mg</v>
          </cell>
          <cell r="F16" t="str">
            <v>Viên</v>
          </cell>
          <cell r="G16" t="str">
            <v>Lô 2</v>
          </cell>
          <cell r="H16" t="str">
            <v>Việt Nam</v>
          </cell>
          <cell r="I16">
            <v>10000</v>
          </cell>
          <cell r="J16">
            <v>660</v>
          </cell>
          <cell r="K16">
            <v>6600000</v>
          </cell>
        </row>
        <row r="17">
          <cell r="B17" t="str">
            <v>T0058</v>
          </cell>
          <cell r="C17" t="str">
            <v xml:space="preserve">Amoxycilin </v>
          </cell>
          <cell r="D17" t="str">
            <v>Hagimox 250mg</v>
          </cell>
          <cell r="E17" t="str">
            <v>250mg</v>
          </cell>
          <cell r="F17" t="str">
            <v>Gói</v>
          </cell>
          <cell r="G17" t="str">
            <v>Lô 2</v>
          </cell>
          <cell r="H17" t="str">
            <v>Việt Nam</v>
          </cell>
          <cell r="I17">
            <v>1000</v>
          </cell>
          <cell r="J17">
            <v>900</v>
          </cell>
          <cell r="K17">
            <v>900000</v>
          </cell>
        </row>
        <row r="18">
          <cell r="B18" t="str">
            <v>T0059</v>
          </cell>
          <cell r="C18" t="str">
            <v xml:space="preserve">Amoxycilin </v>
          </cell>
          <cell r="D18" t="str">
            <v>Hagimox 250mg</v>
          </cell>
          <cell r="E18" t="str">
            <v>250mg</v>
          </cell>
          <cell r="F18" t="str">
            <v>Viên</v>
          </cell>
          <cell r="G18" t="str">
            <v>Lô 2</v>
          </cell>
          <cell r="H18" t="str">
            <v>Việt Nam</v>
          </cell>
          <cell r="I18">
            <v>2000</v>
          </cell>
          <cell r="J18">
            <v>420</v>
          </cell>
          <cell r="K18">
            <v>840000</v>
          </cell>
        </row>
        <row r="19">
          <cell r="B19" t="str">
            <v>T0063</v>
          </cell>
          <cell r="C19" t="str">
            <v>Amoxycilin;
Acid Clavulanic</v>
          </cell>
          <cell r="D19" t="str">
            <v>Klamentin 625mg</v>
          </cell>
          <cell r="E19" t="str">
            <v>500mg + 125mg</v>
          </cell>
          <cell r="F19" t="str">
            <v>Viên</v>
          </cell>
          <cell r="G19" t="str">
            <v>Lô 2</v>
          </cell>
          <cell r="H19" t="str">
            <v>Việt Nam</v>
          </cell>
          <cell r="I19">
            <v>4000</v>
          </cell>
          <cell r="J19">
            <v>6500</v>
          </cell>
          <cell r="K19">
            <v>26000000</v>
          </cell>
        </row>
        <row r="20">
          <cell r="B20" t="str">
            <v>T0065</v>
          </cell>
          <cell r="C20" t="str">
            <v xml:space="preserve">Amoxycilin;
Acid Clavulanic </v>
          </cell>
          <cell r="D20" t="str">
            <v xml:space="preserve">Klamentin 250mg </v>
          </cell>
          <cell r="E20" t="str">
            <v>250mg + 31,25mg</v>
          </cell>
          <cell r="F20" t="str">
            <v>Gói</v>
          </cell>
          <cell r="G20" t="str">
            <v>Lô 2</v>
          </cell>
          <cell r="H20" t="str">
            <v>Việt Nam</v>
          </cell>
          <cell r="I20">
            <v>2000</v>
          </cell>
          <cell r="J20">
            <v>5500</v>
          </cell>
          <cell r="K20">
            <v>11000000</v>
          </cell>
        </row>
        <row r="21">
          <cell r="B21" t="str">
            <v>T0079</v>
          </cell>
          <cell r="C21" t="str">
            <v>Atropin sulfat</v>
          </cell>
          <cell r="D21" t="str">
            <v>Atropin sulfat</v>
          </cell>
          <cell r="E21" t="str">
            <v>0,25mg/ml</v>
          </cell>
          <cell r="F21" t="str">
            <v>Ống</v>
          </cell>
          <cell r="G21" t="str">
            <v>Lô 2</v>
          </cell>
          <cell r="H21" t="str">
            <v>Việt Nam</v>
          </cell>
          <cell r="I21">
            <v>200</v>
          </cell>
          <cell r="J21">
            <v>720</v>
          </cell>
          <cell r="K21">
            <v>144000</v>
          </cell>
        </row>
        <row r="22">
          <cell r="B22" t="str">
            <v>T0406</v>
          </cell>
          <cell r="C22" t="str">
            <v xml:space="preserve">Bột malva;
Campho monobromid;
Xanh methylen: </v>
          </cell>
          <cell r="D22" t="str">
            <v xml:space="preserve">Domitazol </v>
          </cell>
          <cell r="E22" t="str">
            <v>250mg
20mg
25mg</v>
          </cell>
          <cell r="F22" t="str">
            <v>Viên</v>
          </cell>
          <cell r="G22" t="str">
            <v>Lô 2</v>
          </cell>
          <cell r="H22" t="str">
            <v>Việt Nam</v>
          </cell>
          <cell r="I22">
            <v>4000</v>
          </cell>
          <cell r="J22">
            <v>920</v>
          </cell>
          <cell r="K22">
            <v>3680000</v>
          </cell>
        </row>
        <row r="23">
          <cell r="B23" t="str">
            <v>T0676</v>
          </cell>
          <cell r="C23" t="str">
            <v>Bromhexin 4mg</v>
          </cell>
          <cell r="D23" t="str">
            <v>Bromhexin 4mg</v>
          </cell>
          <cell r="E23" t="str">
            <v>4mg</v>
          </cell>
          <cell r="F23" t="str">
            <v>Viên</v>
          </cell>
          <cell r="G23" t="str">
            <v>Lô 2</v>
          </cell>
          <cell r="H23" t="str">
            <v>Việt Nam</v>
          </cell>
          <cell r="I23">
            <v>6000</v>
          </cell>
          <cell r="J23">
            <v>65</v>
          </cell>
          <cell r="K23">
            <v>390000</v>
          </cell>
        </row>
        <row r="24">
          <cell r="B24" t="str">
            <v>T0109</v>
          </cell>
          <cell r="C24" t="str">
            <v>Calciforte</v>
          </cell>
          <cell r="D24" t="str">
            <v>Calciforte</v>
          </cell>
          <cell r="E24" t="str">
            <v>0,5mg/5ml</v>
          </cell>
          <cell r="F24" t="str">
            <v>Ống</v>
          </cell>
          <cell r="G24" t="str">
            <v>Lô 2</v>
          </cell>
          <cell r="H24" t="str">
            <v>Việt Nam</v>
          </cell>
          <cell r="I24">
            <v>100</v>
          </cell>
          <cell r="J24">
            <v>4630</v>
          </cell>
          <cell r="K24">
            <v>463000</v>
          </cell>
        </row>
        <row r="25">
          <cell r="B25" t="str">
            <v>T0687</v>
          </cell>
          <cell r="C25" t="str">
            <v>Calvit D</v>
          </cell>
          <cell r="D25" t="str">
            <v>Calvit D</v>
          </cell>
          <cell r="E25" t="str">
            <v>500mg + 200UI</v>
          </cell>
          <cell r="F25" t="str">
            <v>Viên</v>
          </cell>
          <cell r="G25" t="str">
            <v>Lô 2</v>
          </cell>
          <cell r="H25" t="str">
            <v>Việt Nam</v>
          </cell>
          <cell r="I25">
            <v>20000</v>
          </cell>
          <cell r="J25">
            <v>155</v>
          </cell>
          <cell r="K25">
            <v>3100000</v>
          </cell>
        </row>
        <row r="26">
          <cell r="B26" t="str">
            <v>T0115</v>
          </cell>
          <cell r="C26" t="str">
            <v xml:space="preserve">Captoril </v>
          </cell>
          <cell r="D26" t="str">
            <v>Captoril 25mg</v>
          </cell>
          <cell r="E26" t="str">
            <v>25mg</v>
          </cell>
          <cell r="F26" t="str">
            <v>Viên</v>
          </cell>
          <cell r="G26" t="str">
            <v>Lô 2</v>
          </cell>
          <cell r="H26" t="str">
            <v>Việt Nam</v>
          </cell>
          <cell r="I26">
            <v>1000</v>
          </cell>
          <cell r="J26">
            <v>250</v>
          </cell>
          <cell r="K26">
            <v>250000</v>
          </cell>
        </row>
        <row r="27">
          <cell r="B27" t="str">
            <v>T0124</v>
          </cell>
          <cell r="C27" t="str">
            <v>Cefaclor</v>
          </cell>
          <cell r="D27" t="str">
            <v>Kefcin 250mg</v>
          </cell>
          <cell r="E27" t="str">
            <v>250mg</v>
          </cell>
          <cell r="F27" t="str">
            <v>Viên</v>
          </cell>
          <cell r="G27" t="str">
            <v>Lô 2</v>
          </cell>
          <cell r="H27" t="str">
            <v>Việt Nam</v>
          </cell>
          <cell r="I27">
            <v>2000</v>
          </cell>
          <cell r="J27">
            <v>2100</v>
          </cell>
          <cell r="K27">
            <v>4200000</v>
          </cell>
        </row>
        <row r="28">
          <cell r="B28" t="str">
            <v>T0185</v>
          </cell>
          <cell r="C28" t="str">
            <v>Cephalexin</v>
          </cell>
          <cell r="D28" t="str">
            <v>Hapenxin 250mg</v>
          </cell>
          <cell r="E28" t="str">
            <v>250mg</v>
          </cell>
          <cell r="F28" t="str">
            <v>Gói</v>
          </cell>
          <cell r="G28" t="str">
            <v>Lô 2</v>
          </cell>
          <cell r="H28" t="str">
            <v>Việt Nam</v>
          </cell>
          <cell r="I28">
            <v>2000</v>
          </cell>
          <cell r="J28">
            <v>1000</v>
          </cell>
          <cell r="K28">
            <v>2000000</v>
          </cell>
        </row>
        <row r="29">
          <cell r="B29" t="str">
            <v>T0184</v>
          </cell>
          <cell r="C29" t="str">
            <v xml:space="preserve">Cephalexin </v>
          </cell>
          <cell r="D29" t="str">
            <v>Hapenxin 250mg</v>
          </cell>
          <cell r="E29" t="str">
            <v>250mg</v>
          </cell>
          <cell r="F29" t="str">
            <v>Viên</v>
          </cell>
          <cell r="G29" t="str">
            <v>Lô 2</v>
          </cell>
          <cell r="H29" t="str">
            <v>Việt Nam</v>
          </cell>
          <cell r="I29">
            <v>8000</v>
          </cell>
          <cell r="J29">
            <v>550</v>
          </cell>
          <cell r="K29">
            <v>4400000</v>
          </cell>
        </row>
        <row r="30">
          <cell r="B30" t="str">
            <v>T0183</v>
          </cell>
          <cell r="C30" t="str">
            <v xml:space="preserve">Cephalexin </v>
          </cell>
          <cell r="D30" t="str">
            <v>Hapenxin 500mg</v>
          </cell>
          <cell r="E30" t="str">
            <v>500mg</v>
          </cell>
          <cell r="F30" t="str">
            <v>Viên</v>
          </cell>
          <cell r="G30" t="str">
            <v>Lô 2</v>
          </cell>
          <cell r="H30" t="str">
            <v>Việt Nam</v>
          </cell>
          <cell r="I30">
            <v>20000</v>
          </cell>
          <cell r="J30">
            <v>780</v>
          </cell>
          <cell r="K30">
            <v>15600000</v>
          </cell>
        </row>
        <row r="31">
          <cell r="B31" t="str">
            <v>T0186</v>
          </cell>
          <cell r="C31" t="str">
            <v>Cetirizin</v>
          </cell>
          <cell r="D31" t="str">
            <v>Cetirizin</v>
          </cell>
          <cell r="E31" t="str">
            <v>10mg</v>
          </cell>
          <cell r="F31" t="str">
            <v>Viên</v>
          </cell>
          <cell r="G31" t="str">
            <v>Lô 2</v>
          </cell>
          <cell r="H31" t="str">
            <v>Việt Nam</v>
          </cell>
          <cell r="I31">
            <v>10000</v>
          </cell>
          <cell r="J31">
            <v>140</v>
          </cell>
          <cell r="K31">
            <v>1400000</v>
          </cell>
        </row>
        <row r="32">
          <cell r="B32" t="str">
            <v>T0190</v>
          </cell>
          <cell r="C32" t="str">
            <v xml:space="preserve">Cinnarine </v>
          </cell>
          <cell r="D32" t="str">
            <v>Cinnarine 25mg</v>
          </cell>
          <cell r="E32" t="str">
            <v>25mg</v>
          </cell>
          <cell r="F32" t="str">
            <v>Viên</v>
          </cell>
          <cell r="G32" t="str">
            <v>Lô 2</v>
          </cell>
          <cell r="H32" t="str">
            <v>Việt Nam</v>
          </cell>
          <cell r="I32">
            <v>5000</v>
          </cell>
          <cell r="J32">
            <v>145</v>
          </cell>
          <cell r="K32">
            <v>725000</v>
          </cell>
        </row>
        <row r="33">
          <cell r="B33" t="str">
            <v>T0193</v>
          </cell>
          <cell r="C33" t="str">
            <v xml:space="preserve">Ciproloxacin </v>
          </cell>
          <cell r="D33" t="str">
            <v>Cifga 500mg</v>
          </cell>
          <cell r="E33" t="str">
            <v>500mg</v>
          </cell>
          <cell r="F33" t="str">
            <v>Viên</v>
          </cell>
          <cell r="G33" t="str">
            <v>Lô 2</v>
          </cell>
          <cell r="H33" t="str">
            <v>Việt Nam</v>
          </cell>
          <cell r="I33">
            <v>3000</v>
          </cell>
          <cell r="J33">
            <v>710</v>
          </cell>
          <cell r="K33">
            <v>2130000</v>
          </cell>
        </row>
        <row r="34">
          <cell r="B34" t="str">
            <v>T0187</v>
          </cell>
          <cell r="C34" t="str">
            <v xml:space="preserve">Clopheniramin </v>
          </cell>
          <cell r="D34" t="str">
            <v>Clorpheniramin 4mg</v>
          </cell>
          <cell r="E34" t="str">
            <v>4mg</v>
          </cell>
          <cell r="F34" t="str">
            <v>Viên</v>
          </cell>
          <cell r="G34" t="str">
            <v>Lô 2</v>
          </cell>
          <cell r="H34" t="str">
            <v>Việt Nam</v>
          </cell>
          <cell r="I34">
            <v>20000</v>
          </cell>
          <cell r="J34">
            <v>42</v>
          </cell>
          <cell r="K34">
            <v>840000</v>
          </cell>
        </row>
        <row r="35">
          <cell r="B35" t="str">
            <v>T0188</v>
          </cell>
          <cell r="C35" t="str">
            <v xml:space="preserve">Cloramphenicol </v>
          </cell>
          <cell r="D35" t="str">
            <v xml:space="preserve">Cloramphenicol 0,4% </v>
          </cell>
          <cell r="E35" t="str">
            <v>0,4%</v>
          </cell>
          <cell r="F35" t="str">
            <v>Lọ</v>
          </cell>
          <cell r="G35" t="str">
            <v>Lô 2</v>
          </cell>
          <cell r="H35" t="str">
            <v>Việt Nam</v>
          </cell>
          <cell r="I35">
            <v>200</v>
          </cell>
          <cell r="J35">
            <v>1995</v>
          </cell>
          <cell r="K35">
            <v>399000</v>
          </cell>
        </row>
        <row r="36">
          <cell r="B36" t="str">
            <v>T0210</v>
          </cell>
          <cell r="C36" t="str">
            <v xml:space="preserve">Dexchlorphemiramine </v>
          </cell>
          <cell r="D36" t="str">
            <v>Polaz 2</v>
          </cell>
          <cell r="E36" t="str">
            <v>2mg</v>
          </cell>
          <cell r="F36" t="str">
            <v>Viên</v>
          </cell>
          <cell r="G36" t="str">
            <v>Lô 2</v>
          </cell>
          <cell r="H36" t="str">
            <v>Việt Nam</v>
          </cell>
          <cell r="I36">
            <v>2000</v>
          </cell>
          <cell r="J36">
            <v>100</v>
          </cell>
          <cell r="K36">
            <v>200000</v>
          </cell>
        </row>
        <row r="37">
          <cell r="B37" t="str">
            <v>T0213</v>
          </cell>
          <cell r="C37" t="str">
            <v xml:space="preserve">Dextromethorphan </v>
          </cell>
          <cell r="D37" t="str">
            <v>Coltoux</v>
          </cell>
          <cell r="E37" t="str">
            <v>15mg</v>
          </cell>
          <cell r="F37" t="str">
            <v>Viên</v>
          </cell>
          <cell r="G37" t="str">
            <v>Lô 2</v>
          </cell>
          <cell r="H37" t="str">
            <v>Việt Nam</v>
          </cell>
          <cell r="I37">
            <v>5000</v>
          </cell>
          <cell r="J37">
            <v>210</v>
          </cell>
          <cell r="K37">
            <v>1050000</v>
          </cell>
        </row>
        <row r="38">
          <cell r="B38" t="str">
            <v>T0219</v>
          </cell>
          <cell r="C38" t="str">
            <v xml:space="preserve">Diclofenac </v>
          </cell>
          <cell r="D38" t="str">
            <v>Diclofenac 50mg</v>
          </cell>
          <cell r="E38" t="str">
            <v>50mg</v>
          </cell>
          <cell r="F38" t="str">
            <v>Viên</v>
          </cell>
          <cell r="G38" t="str">
            <v>Lô 2</v>
          </cell>
          <cell r="H38" t="str">
            <v>Việt Nam</v>
          </cell>
          <cell r="I38">
            <v>10000</v>
          </cell>
          <cell r="J38">
            <v>142</v>
          </cell>
          <cell r="K38">
            <v>1420000</v>
          </cell>
        </row>
        <row r="39">
          <cell r="B39" t="str">
            <v>T0218</v>
          </cell>
          <cell r="C39" t="str">
            <v xml:space="preserve">Diclofenac </v>
          </cell>
          <cell r="D39" t="str">
            <v>Diclofenac 75mg/3ml</v>
          </cell>
          <cell r="E39" t="str">
            <v>75mg/3ml</v>
          </cell>
          <cell r="F39" t="str">
            <v>Ống</v>
          </cell>
          <cell r="G39" t="str">
            <v>Lô 2</v>
          </cell>
          <cell r="H39" t="str">
            <v>Việt Nam</v>
          </cell>
          <cell r="I39">
            <v>1000</v>
          </cell>
          <cell r="J39">
            <v>1100</v>
          </cell>
          <cell r="K39">
            <v>1100000</v>
          </cell>
        </row>
        <row r="40">
          <cell r="B40" t="str">
            <v>T0806</v>
          </cell>
          <cell r="C40" t="str">
            <v>Digoxin</v>
          </cell>
          <cell r="D40" t="str">
            <v>DigoxineQualy</v>
          </cell>
          <cell r="E40" t="str">
            <v>0,25mg</v>
          </cell>
          <cell r="F40" t="str">
            <v>Viên</v>
          </cell>
          <cell r="G40" t="str">
            <v>Lô 2</v>
          </cell>
          <cell r="H40" t="str">
            <v>Việt Nam</v>
          </cell>
          <cell r="I40">
            <v>100</v>
          </cell>
          <cell r="J40">
            <v>735</v>
          </cell>
          <cell r="K40">
            <v>73500</v>
          </cell>
        </row>
        <row r="41">
          <cell r="B41" t="str">
            <v>T0224</v>
          </cell>
          <cell r="C41" t="str">
            <v xml:space="preserve">Diosmectite </v>
          </cell>
          <cell r="D41" t="str">
            <v>Hamétt</v>
          </cell>
          <cell r="E41" t="str">
            <v>3g</v>
          </cell>
          <cell r="F41" t="str">
            <v>Gói</v>
          </cell>
          <cell r="G41" t="str">
            <v>Lô 2</v>
          </cell>
          <cell r="H41" t="str">
            <v>Việt Nam</v>
          </cell>
          <cell r="I41">
            <v>5000</v>
          </cell>
          <cell r="J41">
            <v>2100</v>
          </cell>
          <cell r="K41">
            <v>10500000</v>
          </cell>
        </row>
        <row r="42">
          <cell r="B42" t="str">
            <v>T0231</v>
          </cell>
          <cell r="C42" t="str">
            <v xml:space="preserve">Domperidon </v>
          </cell>
          <cell r="D42" t="str">
            <v>Modom - S</v>
          </cell>
          <cell r="E42" t="str">
            <v>10mg</v>
          </cell>
          <cell r="F42" t="str">
            <v>Viên</v>
          </cell>
          <cell r="G42" t="str">
            <v>Lô 2</v>
          </cell>
          <cell r="H42" t="str">
            <v>Việt Nam</v>
          </cell>
          <cell r="I42">
            <v>20000</v>
          </cell>
          <cell r="J42">
            <v>174</v>
          </cell>
          <cell r="K42">
            <v>3480000</v>
          </cell>
        </row>
        <row r="43">
          <cell r="B43" t="str">
            <v>T0238</v>
          </cell>
          <cell r="C43" t="str">
            <v xml:space="preserve">Drotaverine HCL </v>
          </cell>
          <cell r="D43" t="str">
            <v>No-Spa</v>
          </cell>
          <cell r="E43" t="str">
            <v>40mg</v>
          </cell>
          <cell r="F43" t="str">
            <v>Viên</v>
          </cell>
          <cell r="G43" t="str">
            <v>Lô 2</v>
          </cell>
          <cell r="H43" t="str">
            <v>Việt Nam</v>
          </cell>
          <cell r="I43">
            <v>10000</v>
          </cell>
          <cell r="J43">
            <v>450</v>
          </cell>
          <cell r="K43">
            <v>4500000</v>
          </cell>
        </row>
        <row r="44">
          <cell r="B44" t="str">
            <v>T0237</v>
          </cell>
          <cell r="C44" t="str">
            <v xml:space="preserve">Drotaverine HCL </v>
          </cell>
          <cell r="D44" t="str">
            <v xml:space="preserve">Drotaverine HCL </v>
          </cell>
          <cell r="E44" t="str">
            <v>40mg/2ml</v>
          </cell>
          <cell r="F44" t="str">
            <v>Ống</v>
          </cell>
          <cell r="G44" t="str">
            <v>Lô 2</v>
          </cell>
          <cell r="H44" t="str">
            <v>Việt Nam</v>
          </cell>
          <cell r="I44">
            <v>500</v>
          </cell>
          <cell r="J44">
            <v>5250</v>
          </cell>
          <cell r="K44">
            <v>2625000</v>
          </cell>
        </row>
        <row r="45">
          <cell r="B45" t="str">
            <v>T0248</v>
          </cell>
          <cell r="C45" t="str">
            <v>Eprazinol</v>
          </cell>
          <cell r="D45" t="str">
            <v>Molitiux</v>
          </cell>
          <cell r="E45" t="str">
            <v>50mg</v>
          </cell>
          <cell r="F45" t="str">
            <v>Viên</v>
          </cell>
          <cell r="G45" t="str">
            <v>Lô 2</v>
          </cell>
          <cell r="H45" t="str">
            <v>Việt Nam</v>
          </cell>
          <cell r="I45">
            <v>10000</v>
          </cell>
          <cell r="J45">
            <v>750</v>
          </cell>
          <cell r="K45">
            <v>7500000</v>
          </cell>
        </row>
        <row r="46">
          <cell r="B46" t="str">
            <v>T0368</v>
          </cell>
          <cell r="C46" t="str">
            <v>Etoral 200mg</v>
          </cell>
          <cell r="D46" t="str">
            <v>Etoral 200mg</v>
          </cell>
          <cell r="E46" t="str">
            <v>200mg</v>
          </cell>
          <cell r="F46" t="str">
            <v>Viên</v>
          </cell>
          <cell r="G46" t="str">
            <v>Lô 2</v>
          </cell>
          <cell r="H46" t="str">
            <v>Việt Nam</v>
          </cell>
          <cell r="I46">
            <v>1000</v>
          </cell>
          <cell r="J46">
            <v>1050</v>
          </cell>
          <cell r="K46">
            <v>1050000</v>
          </cell>
        </row>
        <row r="47">
          <cell r="B47" t="str">
            <v>T0296</v>
          </cell>
          <cell r="C47" t="str">
            <v xml:space="preserve">Gentamycin </v>
          </cell>
          <cell r="D47" t="str">
            <v>Gentamycin 80mg</v>
          </cell>
          <cell r="E47" t="str">
            <v>80mg</v>
          </cell>
          <cell r="F47" t="str">
            <v>Ống</v>
          </cell>
          <cell r="G47" t="str">
            <v>Lô 2</v>
          </cell>
          <cell r="H47" t="str">
            <v>Việt Nam</v>
          </cell>
          <cell r="I47">
            <v>500</v>
          </cell>
          <cell r="J47">
            <v>1200</v>
          </cell>
          <cell r="K47">
            <v>600000</v>
          </cell>
        </row>
        <row r="48">
          <cell r="B48" t="str">
            <v>T0112</v>
          </cell>
          <cell r="C48" t="str">
            <v>Ginkgo Biloba 40mg</v>
          </cell>
          <cell r="D48" t="str">
            <v>Taginba v/15  h/20</v>
          </cell>
          <cell r="F48" t="str">
            <v>Viên</v>
          </cell>
          <cell r="G48" t="str">
            <v>Lô 2</v>
          </cell>
          <cell r="H48" t="str">
            <v>Việt Nam</v>
          </cell>
          <cell r="I48">
            <v>5000</v>
          </cell>
          <cell r="J48">
            <v>450</v>
          </cell>
          <cell r="K48">
            <v>2250000</v>
          </cell>
        </row>
        <row r="49">
          <cell r="B49" t="str">
            <v>T0306</v>
          </cell>
          <cell r="C49" t="str">
            <v>Glucosamin</v>
          </cell>
          <cell r="D49" t="str">
            <v>Glukos</v>
          </cell>
          <cell r="E49" t="str">
            <v>750mg</v>
          </cell>
          <cell r="F49" t="str">
            <v>Viên</v>
          </cell>
          <cell r="G49" t="str">
            <v>Lô 2</v>
          </cell>
          <cell r="H49" t="str">
            <v>Việt Nam</v>
          </cell>
          <cell r="I49">
            <v>5000</v>
          </cell>
          <cell r="J49">
            <v>1798</v>
          </cell>
          <cell r="K49">
            <v>8990000</v>
          </cell>
        </row>
        <row r="50">
          <cell r="B50" t="str">
            <v>T0313</v>
          </cell>
          <cell r="C50" t="str">
            <v xml:space="preserve">Glucose 30% </v>
          </cell>
          <cell r="D50" t="str">
            <v xml:space="preserve">Glucose 30% </v>
          </cell>
          <cell r="E50" t="str">
            <v>5ml</v>
          </cell>
          <cell r="F50" t="str">
            <v>Ống</v>
          </cell>
          <cell r="G50" t="str">
            <v>Lô 2</v>
          </cell>
          <cell r="H50" t="str">
            <v>Việt Nam</v>
          </cell>
          <cell r="I50">
            <v>200</v>
          </cell>
          <cell r="J50">
            <v>1050</v>
          </cell>
          <cell r="K50">
            <v>210000</v>
          </cell>
        </row>
        <row r="51">
          <cell r="B51" t="str">
            <v>T0332</v>
          </cell>
          <cell r="C51" t="str">
            <v xml:space="preserve">Hyoscin - N - butylbromid </v>
          </cell>
          <cell r="D51" t="str">
            <v xml:space="preserve">Bistin </v>
          </cell>
          <cell r="E51" t="str">
            <v>10mg</v>
          </cell>
          <cell r="F51" t="str">
            <v>Viên</v>
          </cell>
          <cell r="G51" t="str">
            <v>Lô 2</v>
          </cell>
          <cell r="H51" t="str">
            <v>Việt Nam</v>
          </cell>
          <cell r="I51">
            <v>6000</v>
          </cell>
          <cell r="J51">
            <v>772</v>
          </cell>
          <cell r="K51">
            <v>4632000</v>
          </cell>
        </row>
        <row r="52">
          <cell r="B52" t="str">
            <v>T0335</v>
          </cell>
          <cell r="C52" t="str">
            <v xml:space="preserve">Ibuprofen </v>
          </cell>
          <cell r="D52" t="str">
            <v>Hagifen 400mg</v>
          </cell>
          <cell r="E52" t="str">
            <v>400mg</v>
          </cell>
          <cell r="F52" t="str">
            <v>Viên</v>
          </cell>
          <cell r="G52" t="str">
            <v>Lô 2</v>
          </cell>
          <cell r="H52" t="str">
            <v>Việt Nam</v>
          </cell>
          <cell r="I52">
            <v>10000</v>
          </cell>
          <cell r="J52">
            <v>308</v>
          </cell>
          <cell r="K52">
            <v>3080000</v>
          </cell>
        </row>
        <row r="53">
          <cell r="B53" t="str">
            <v>T0369</v>
          </cell>
          <cell r="C53" t="str">
            <v>Ketoconazol</v>
          </cell>
          <cell r="D53" t="str">
            <v>Etoral cream 5g</v>
          </cell>
          <cell r="E53" t="str">
            <v>0,1g</v>
          </cell>
          <cell r="F53" t="str">
            <v>Tube</v>
          </cell>
          <cell r="G53" t="str">
            <v>Lô 2</v>
          </cell>
          <cell r="H53" t="str">
            <v>Việt Nam</v>
          </cell>
          <cell r="I53">
            <v>500</v>
          </cell>
          <cell r="J53">
            <v>4200</v>
          </cell>
          <cell r="K53">
            <v>2100000</v>
          </cell>
        </row>
        <row r="54">
          <cell r="B54" t="str">
            <v>T0371</v>
          </cell>
          <cell r="C54" t="str">
            <v xml:space="preserve">Lactobacillus acidophilus </v>
          </cell>
          <cell r="D54" t="str">
            <v>Ybio</v>
          </cell>
          <cell r="E54" t="str">
            <v>109 CFU/gói</v>
          </cell>
          <cell r="F54" t="str">
            <v>Gói</v>
          </cell>
          <cell r="G54" t="str">
            <v>Lô 2</v>
          </cell>
          <cell r="H54" t="str">
            <v>Việt Nam</v>
          </cell>
          <cell r="I54">
            <v>5000</v>
          </cell>
          <cell r="J54">
            <v>1365</v>
          </cell>
          <cell r="K54">
            <v>6825000</v>
          </cell>
        </row>
        <row r="55">
          <cell r="B55" t="str">
            <v>T0382</v>
          </cell>
          <cell r="C55" t="str">
            <v>Lidocain</v>
          </cell>
          <cell r="D55" t="str">
            <v>Lidocain</v>
          </cell>
          <cell r="E55" t="str">
            <v>2%/2ml</v>
          </cell>
          <cell r="F55" t="str">
            <v>Ống</v>
          </cell>
          <cell r="G55" t="str">
            <v>Lô 2</v>
          </cell>
          <cell r="H55" t="str">
            <v>Việt Nam</v>
          </cell>
          <cell r="I55">
            <v>1000</v>
          </cell>
          <cell r="J55">
            <v>600</v>
          </cell>
          <cell r="K55">
            <v>600000</v>
          </cell>
        </row>
        <row r="56">
          <cell r="B56" t="str">
            <v>T0387</v>
          </cell>
          <cell r="C56" t="str">
            <v>Loperamide</v>
          </cell>
          <cell r="D56" t="str">
            <v>Loperamide</v>
          </cell>
          <cell r="E56" t="str">
            <v>2mg</v>
          </cell>
          <cell r="F56" t="str">
            <v>Viên</v>
          </cell>
          <cell r="G56" t="str">
            <v>Lô 2</v>
          </cell>
          <cell r="H56" t="str">
            <v>Việt Nam</v>
          </cell>
          <cell r="I56">
            <v>1000</v>
          </cell>
          <cell r="J56">
            <v>200</v>
          </cell>
          <cell r="K56">
            <v>200000</v>
          </cell>
        </row>
        <row r="57">
          <cell r="B57" t="str">
            <v>T0389</v>
          </cell>
          <cell r="C57" t="str">
            <v xml:space="preserve">Loratadin </v>
          </cell>
          <cell r="D57" t="str">
            <v>Clanoz</v>
          </cell>
          <cell r="E57" t="str">
            <v>10mg</v>
          </cell>
          <cell r="F57" t="str">
            <v>Viên</v>
          </cell>
          <cell r="G57" t="str">
            <v>Lô 2</v>
          </cell>
          <cell r="H57" t="str">
            <v>Việt Nam</v>
          </cell>
          <cell r="I57">
            <v>5000</v>
          </cell>
          <cell r="J57">
            <v>400</v>
          </cell>
          <cell r="K57">
            <v>2000000</v>
          </cell>
        </row>
        <row r="58">
          <cell r="B58" t="str">
            <v>T0759</v>
          </cell>
          <cell r="C58" t="str">
            <v>Maalox</v>
          </cell>
          <cell r="D58" t="str">
            <v>Maalox</v>
          </cell>
          <cell r="E58" t="str">
            <v>400mg;
400mg</v>
          </cell>
          <cell r="F58" t="str">
            <v>Viên</v>
          </cell>
          <cell r="G58" t="str">
            <v>Lô 2</v>
          </cell>
          <cell r="H58" t="str">
            <v>Việt Nam</v>
          </cell>
          <cell r="I58">
            <v>10000</v>
          </cell>
          <cell r="J58">
            <v>1020</v>
          </cell>
          <cell r="K58">
            <v>10200000</v>
          </cell>
        </row>
        <row r="59">
          <cell r="B59" t="str">
            <v>T0403</v>
          </cell>
          <cell r="C59" t="str">
            <v xml:space="preserve">Magnesi; Vit B6 </v>
          </cell>
          <cell r="D59" t="str">
            <v>Magnesi - B6</v>
          </cell>
          <cell r="E59" t="str">
            <v>5mg + 470mg</v>
          </cell>
          <cell r="F59" t="str">
            <v>Viên</v>
          </cell>
          <cell r="G59" t="str">
            <v>Lô 2</v>
          </cell>
          <cell r="H59" t="str">
            <v>Việt Nam</v>
          </cell>
          <cell r="I59">
            <v>20000</v>
          </cell>
          <cell r="J59">
            <v>252</v>
          </cell>
          <cell r="K59">
            <v>5040000</v>
          </cell>
        </row>
        <row r="60">
          <cell r="B60" t="str">
            <v>T0408</v>
          </cell>
          <cell r="C60" t="str">
            <v xml:space="preserve">Mebendazol </v>
          </cell>
          <cell r="D60" t="str">
            <v xml:space="preserve">Fubenzon </v>
          </cell>
          <cell r="E60" t="str">
            <v>500mg</v>
          </cell>
          <cell r="F60" t="str">
            <v>Viên</v>
          </cell>
          <cell r="G60" t="str">
            <v>Lô 2</v>
          </cell>
          <cell r="H60" t="str">
            <v>Việt Nam</v>
          </cell>
          <cell r="I60">
            <v>1000</v>
          </cell>
          <cell r="J60">
            <v>5000</v>
          </cell>
          <cell r="K60">
            <v>5000000</v>
          </cell>
        </row>
        <row r="61">
          <cell r="B61" t="str">
            <v>T0412</v>
          </cell>
          <cell r="C61" t="str">
            <v>Meloxicam</v>
          </cell>
          <cell r="D61" t="str">
            <v>Mebilax 7,5mg</v>
          </cell>
          <cell r="E61" t="str">
            <v>7,5mg</v>
          </cell>
          <cell r="F61" t="str">
            <v>Viên</v>
          </cell>
          <cell r="G61" t="str">
            <v>Lô 2</v>
          </cell>
          <cell r="H61" t="str">
            <v>Việt Nam</v>
          </cell>
          <cell r="I61">
            <v>10000</v>
          </cell>
          <cell r="J61">
            <v>145</v>
          </cell>
          <cell r="K61">
            <v>1450000</v>
          </cell>
        </row>
        <row r="62">
          <cell r="B62" t="str">
            <v>T0417</v>
          </cell>
          <cell r="C62" t="str">
            <v xml:space="preserve">Mephenesin </v>
          </cell>
          <cell r="D62" t="str">
            <v>Patest</v>
          </cell>
          <cell r="E62" t="str">
            <v>250mg</v>
          </cell>
          <cell r="F62" t="str">
            <v>Viên</v>
          </cell>
          <cell r="G62" t="str">
            <v>Lô 2</v>
          </cell>
          <cell r="H62" t="str">
            <v>Việt Nam</v>
          </cell>
          <cell r="I62">
            <v>20000</v>
          </cell>
          <cell r="J62">
            <v>180</v>
          </cell>
          <cell r="K62">
            <v>3600000</v>
          </cell>
        </row>
        <row r="63">
          <cell r="B63" t="str">
            <v>T0418</v>
          </cell>
          <cell r="C63" t="str">
            <v>Metformin hydrocloric</v>
          </cell>
          <cell r="D63" t="str">
            <v>Glumeform 850mg</v>
          </cell>
          <cell r="E63" t="str">
            <v>850mg</v>
          </cell>
          <cell r="F63" t="str">
            <v>Viên</v>
          </cell>
          <cell r="G63" t="str">
            <v>Lô 2</v>
          </cell>
          <cell r="H63" t="str">
            <v>Việt Nam</v>
          </cell>
          <cell r="I63">
            <v>5000</v>
          </cell>
          <cell r="J63">
            <v>1200</v>
          </cell>
          <cell r="K63">
            <v>6000000</v>
          </cell>
        </row>
        <row r="64">
          <cell r="B64" t="str">
            <v>T0434</v>
          </cell>
          <cell r="C64" t="str">
            <v>Metoclopramid</v>
          </cell>
          <cell r="D64" t="str">
            <v>Bidiperan 10mg</v>
          </cell>
          <cell r="E64" t="str">
            <v>10mg/2ml</v>
          </cell>
          <cell r="F64" t="str">
            <v>Ống</v>
          </cell>
          <cell r="G64" t="str">
            <v>Lô 2</v>
          </cell>
          <cell r="H64" t="str">
            <v>Việt Nam</v>
          </cell>
          <cell r="I64">
            <v>200</v>
          </cell>
          <cell r="J64">
            <v>1680</v>
          </cell>
          <cell r="K64">
            <v>336000</v>
          </cell>
        </row>
        <row r="65">
          <cell r="B65" t="str">
            <v>T0437</v>
          </cell>
          <cell r="C65" t="str">
            <v>Metronidazol</v>
          </cell>
          <cell r="D65" t="str">
            <v>Metronidazol 250mg</v>
          </cell>
          <cell r="E65" t="str">
            <v>250mg</v>
          </cell>
          <cell r="F65" t="str">
            <v>Viên</v>
          </cell>
          <cell r="G65" t="str">
            <v>Lô 2</v>
          </cell>
          <cell r="H65" t="str">
            <v>Việt Nam</v>
          </cell>
          <cell r="I65">
            <v>5000</v>
          </cell>
          <cell r="J65">
            <v>210</v>
          </cell>
          <cell r="K65">
            <v>1050000</v>
          </cell>
        </row>
        <row r="66">
          <cell r="B66" t="str">
            <v>T0438</v>
          </cell>
          <cell r="C66" t="str">
            <v>Metronidazol+Cloram+Dexa+Nystatin</v>
          </cell>
          <cell r="D66" t="str">
            <v>MEGYNA PK</v>
          </cell>
          <cell r="E66" t="str">
            <v>200+80+ 0,5mg+ 100.00IU</v>
          </cell>
          <cell r="F66" t="str">
            <v>Viên</v>
          </cell>
          <cell r="G66" t="str">
            <v>Lô 2</v>
          </cell>
          <cell r="H66" t="str">
            <v>Việt Nam</v>
          </cell>
          <cell r="I66">
            <v>1000</v>
          </cell>
          <cell r="J66">
            <v>715</v>
          </cell>
          <cell r="K66">
            <v>715000</v>
          </cell>
        </row>
        <row r="67">
          <cell r="B67" t="str">
            <v>T0471</v>
          </cell>
          <cell r="C67" t="str">
            <v xml:space="preserve">Nifedipin </v>
          </cell>
          <cell r="D67" t="str">
            <v>Nifedipin T20 Stada Retard</v>
          </cell>
          <cell r="E67" t="str">
            <v>20mg</v>
          </cell>
          <cell r="F67" t="str">
            <v>Viên</v>
          </cell>
          <cell r="G67" t="str">
            <v>Lô 2</v>
          </cell>
          <cell r="H67" t="str">
            <v>Việt Nam</v>
          </cell>
          <cell r="I67">
            <v>3000</v>
          </cell>
          <cell r="J67">
            <v>504</v>
          </cell>
          <cell r="K67">
            <v>1512000</v>
          </cell>
        </row>
        <row r="68">
          <cell r="B68" t="str">
            <v>T0475</v>
          </cell>
          <cell r="C68" t="str">
            <v xml:space="preserve">Nitro glycerin </v>
          </cell>
          <cell r="D68" t="str">
            <v>Limitral</v>
          </cell>
          <cell r="E68" t="str">
            <v>2,5mg</v>
          </cell>
          <cell r="F68" t="str">
            <v>Viên</v>
          </cell>
          <cell r="G68" t="str">
            <v>Lô 2</v>
          </cell>
          <cell r="H68" t="str">
            <v>Việt Nam</v>
          </cell>
          <cell r="I68">
            <v>5000</v>
          </cell>
          <cell r="J68">
            <v>650</v>
          </cell>
          <cell r="K68">
            <v>3250000</v>
          </cell>
        </row>
        <row r="69">
          <cell r="B69" t="str">
            <v>T0481</v>
          </cell>
          <cell r="C69" t="str">
            <v>Nystatin</v>
          </cell>
          <cell r="D69" t="str">
            <v>Nystatin 500.000UI</v>
          </cell>
          <cell r="E69" t="str">
            <v>500.000 UI</v>
          </cell>
          <cell r="F69" t="str">
            <v>Viên</v>
          </cell>
          <cell r="G69" t="str">
            <v>Lô 2</v>
          </cell>
          <cell r="H69" t="str">
            <v>Việt Nam</v>
          </cell>
          <cell r="I69">
            <v>1000</v>
          </cell>
          <cell r="J69">
            <v>520</v>
          </cell>
          <cell r="K69">
            <v>520000</v>
          </cell>
        </row>
        <row r="70">
          <cell r="B70" t="str">
            <v>T0486</v>
          </cell>
          <cell r="C70" t="str">
            <v xml:space="preserve">Ofloxacin        </v>
          </cell>
          <cell r="D70" t="str">
            <v>Ofloxacin nhỏ mắt</v>
          </cell>
          <cell r="E70" t="str">
            <v>0,3%/5ml</v>
          </cell>
          <cell r="F70" t="str">
            <v>Chai</v>
          </cell>
          <cell r="G70" t="str">
            <v>Lô 2</v>
          </cell>
          <cell r="H70" t="str">
            <v>Việt Nam</v>
          </cell>
          <cell r="I70">
            <v>500</v>
          </cell>
          <cell r="J70">
            <v>7400</v>
          </cell>
          <cell r="K70">
            <v>3700000</v>
          </cell>
        </row>
        <row r="71">
          <cell r="B71" t="str">
            <v>T0494</v>
          </cell>
          <cell r="C71" t="str">
            <v xml:space="preserve">Omeprazol </v>
          </cell>
          <cell r="D71" t="str">
            <v>Omeprazol 20mg</v>
          </cell>
          <cell r="E71" t="str">
            <v>20mg</v>
          </cell>
          <cell r="F71" t="str">
            <v>Viên</v>
          </cell>
          <cell r="G71" t="str">
            <v>Lô 2</v>
          </cell>
          <cell r="H71" t="str">
            <v>Việt Nam</v>
          </cell>
          <cell r="I71">
            <v>20000</v>
          </cell>
          <cell r="J71">
            <v>420</v>
          </cell>
          <cell r="K71">
            <v>8400000</v>
          </cell>
        </row>
        <row r="72">
          <cell r="B72" t="str">
            <v>T0679</v>
          </cell>
          <cell r="C72" t="str">
            <v>Oresol 245</v>
          </cell>
          <cell r="D72" t="str">
            <v>Oresol 245</v>
          </cell>
          <cell r="E72" t="str">
            <v>2,7g + 520mg + 580mg + 300mg</v>
          </cell>
          <cell r="F72" t="str">
            <v>Gói</v>
          </cell>
          <cell r="G72" t="str">
            <v>Lô 2</v>
          </cell>
          <cell r="H72" t="str">
            <v>Việt Nam</v>
          </cell>
          <cell r="I72">
            <v>2000</v>
          </cell>
          <cell r="J72">
            <v>1103</v>
          </cell>
          <cell r="K72">
            <v>2206000</v>
          </cell>
        </row>
        <row r="73">
          <cell r="B73" t="str">
            <v>T0513</v>
          </cell>
          <cell r="C73" t="str">
            <v>Paracetamol</v>
          </cell>
          <cell r="D73" t="str">
            <v>Hapacol 325mg</v>
          </cell>
          <cell r="E73" t="str">
            <v>325mg</v>
          </cell>
          <cell r="F73" t="str">
            <v>Viên</v>
          </cell>
          <cell r="G73" t="str">
            <v>Lô 2</v>
          </cell>
          <cell r="H73" t="str">
            <v>Việt Nam</v>
          </cell>
          <cell r="I73">
            <v>10000</v>
          </cell>
          <cell r="J73">
            <v>120</v>
          </cell>
          <cell r="K73">
            <v>1200000</v>
          </cell>
        </row>
        <row r="74">
          <cell r="B74" t="str">
            <v>T0518</v>
          </cell>
          <cell r="C74" t="str">
            <v xml:space="preserve">Paracetamol </v>
          </cell>
          <cell r="D74" t="str">
            <v>Hapacol 250mg</v>
          </cell>
          <cell r="E74" t="str">
            <v>250mg</v>
          </cell>
          <cell r="F74" t="str">
            <v>Gói</v>
          </cell>
          <cell r="G74" t="str">
            <v>Lô 2</v>
          </cell>
          <cell r="H74" t="str">
            <v>Việt Nam</v>
          </cell>
          <cell r="I74">
            <v>3000</v>
          </cell>
          <cell r="J74">
            <v>940</v>
          </cell>
          <cell r="K74">
            <v>2820000</v>
          </cell>
        </row>
        <row r="75">
          <cell r="B75" t="str">
            <v>T0514</v>
          </cell>
          <cell r="C75" t="str">
            <v xml:space="preserve">Paracetamol </v>
          </cell>
          <cell r="D75" t="str">
            <v xml:space="preserve">Hapacol Blue </v>
          </cell>
          <cell r="E75" t="str">
            <v>500mg</v>
          </cell>
          <cell r="F75" t="str">
            <v>Viên</v>
          </cell>
          <cell r="G75" t="str">
            <v>Lô 2</v>
          </cell>
          <cell r="H75" t="str">
            <v>Việt Nam</v>
          </cell>
          <cell r="I75">
            <v>15000</v>
          </cell>
          <cell r="J75">
            <v>126</v>
          </cell>
          <cell r="K75">
            <v>1890000</v>
          </cell>
        </row>
        <row r="76">
          <cell r="B76" t="str">
            <v>T0507</v>
          </cell>
          <cell r="C76" t="str">
            <v xml:space="preserve">Paracetamol </v>
          </cell>
          <cell r="D76" t="str">
            <v>Hapacol 500mg sủi</v>
          </cell>
          <cell r="E76" t="str">
            <v>500mg</v>
          </cell>
          <cell r="F76" t="str">
            <v>Viên</v>
          </cell>
          <cell r="G76" t="str">
            <v>Lô 2</v>
          </cell>
          <cell r="H76" t="str">
            <v>Việt Nam</v>
          </cell>
          <cell r="I76">
            <v>2000</v>
          </cell>
          <cell r="J76">
            <v>1575</v>
          </cell>
          <cell r="K76">
            <v>3150000</v>
          </cell>
        </row>
        <row r="77">
          <cell r="B77" t="str">
            <v>T0510</v>
          </cell>
          <cell r="C77" t="str">
            <v xml:space="preserve">Paracetamol </v>
          </cell>
          <cell r="D77" t="str">
            <v>Hapacol 650mg</v>
          </cell>
          <cell r="E77" t="str">
            <v>650mg</v>
          </cell>
          <cell r="F77" t="str">
            <v>Viên</v>
          </cell>
          <cell r="G77" t="str">
            <v>Lô 2</v>
          </cell>
          <cell r="H77" t="str">
            <v>Việt Nam</v>
          </cell>
          <cell r="I77">
            <v>35000</v>
          </cell>
          <cell r="J77">
            <v>462</v>
          </cell>
          <cell r="K77">
            <v>16170000</v>
          </cell>
        </row>
        <row r="78">
          <cell r="B78" t="str">
            <v>T0509</v>
          </cell>
          <cell r="C78" t="str">
            <v xml:space="preserve">Paracetamol </v>
          </cell>
          <cell r="D78" t="str">
            <v>Hapacol 80mg</v>
          </cell>
          <cell r="E78" t="str">
            <v>80mg</v>
          </cell>
          <cell r="F78" t="str">
            <v>Gói</v>
          </cell>
          <cell r="G78" t="str">
            <v>Lô 2</v>
          </cell>
          <cell r="H78" t="str">
            <v>Việt Nam</v>
          </cell>
          <cell r="I78">
            <v>1000</v>
          </cell>
          <cell r="J78">
            <v>520</v>
          </cell>
          <cell r="K78">
            <v>520000</v>
          </cell>
        </row>
        <row r="79">
          <cell r="B79" t="str">
            <v>T0516</v>
          </cell>
          <cell r="C79" t="str">
            <v>Paracetamol
Vit C</v>
          </cell>
          <cell r="D79" t="str">
            <v>Hapacol Kids</v>
          </cell>
          <cell r="E79" t="str">
            <v>150mg + 75mg</v>
          </cell>
          <cell r="F79" t="str">
            <v>Gói</v>
          </cell>
          <cell r="G79" t="str">
            <v>Lô 2</v>
          </cell>
          <cell r="H79" t="str">
            <v>Việt Nam</v>
          </cell>
          <cell r="I79">
            <v>5000</v>
          </cell>
          <cell r="J79">
            <v>1260</v>
          </cell>
          <cell r="K79">
            <v>6300000</v>
          </cell>
        </row>
        <row r="80">
          <cell r="B80" t="str">
            <v>T0543</v>
          </cell>
          <cell r="C80" t="str">
            <v>Piracetam 800mg</v>
          </cell>
          <cell r="D80" t="str">
            <v>Piracetam 800mg</v>
          </cell>
          <cell r="E80" t="str">
            <v>800mg</v>
          </cell>
          <cell r="F80" t="str">
            <v>Viên</v>
          </cell>
          <cell r="G80" t="str">
            <v>Lô 2</v>
          </cell>
          <cell r="H80" t="str">
            <v>Việt Nam</v>
          </cell>
          <cell r="I80">
            <v>5000</v>
          </cell>
          <cell r="J80">
            <v>998</v>
          </cell>
          <cell r="K80">
            <v>4990000</v>
          </cell>
        </row>
        <row r="81">
          <cell r="B81" t="str">
            <v>T0553</v>
          </cell>
          <cell r="C81" t="str">
            <v xml:space="preserve">Prednisolon </v>
          </cell>
          <cell r="D81" t="str">
            <v>Prednisolon 5mg</v>
          </cell>
          <cell r="E81" t="str">
            <v>5mg</v>
          </cell>
          <cell r="F81" t="str">
            <v>Viên</v>
          </cell>
          <cell r="G81" t="str">
            <v>Lô 2</v>
          </cell>
          <cell r="H81" t="str">
            <v>Việt Nam</v>
          </cell>
          <cell r="I81">
            <v>30000</v>
          </cell>
          <cell r="J81">
            <v>230</v>
          </cell>
          <cell r="K81">
            <v>6900000</v>
          </cell>
        </row>
        <row r="82">
          <cell r="B82" t="str">
            <v>T0576</v>
          </cell>
          <cell r="C82" t="str">
            <v xml:space="preserve">Salbutamol </v>
          </cell>
          <cell r="D82" t="str">
            <v>Hasalbu 2mg</v>
          </cell>
          <cell r="E82" t="str">
            <v>2mg</v>
          </cell>
          <cell r="F82" t="str">
            <v>Viên</v>
          </cell>
          <cell r="G82" t="str">
            <v>Lô 2</v>
          </cell>
          <cell r="H82" t="str">
            <v>Việt Nam</v>
          </cell>
          <cell r="I82">
            <v>20000</v>
          </cell>
          <cell r="J82">
            <v>53</v>
          </cell>
          <cell r="K82">
            <v>1060000</v>
          </cell>
        </row>
        <row r="83">
          <cell r="B83" t="str">
            <v>T0267</v>
          </cell>
          <cell r="C83" t="str">
            <v>Sắt,B12,Acid Folic</v>
          </cell>
          <cell r="D83" t="str">
            <v>Davita Fevit</v>
          </cell>
          <cell r="E83" t="str">
            <v>162mg + 0,75mg + 7,5mcg</v>
          </cell>
          <cell r="F83" t="str">
            <v>Viên</v>
          </cell>
          <cell r="G83" t="str">
            <v>Lô 2</v>
          </cell>
          <cell r="H83" t="str">
            <v>Việt Nam</v>
          </cell>
          <cell r="I83">
            <v>1000</v>
          </cell>
          <cell r="J83">
            <v>578</v>
          </cell>
          <cell r="K83">
            <v>578000</v>
          </cell>
        </row>
        <row r="84">
          <cell r="B84" t="str">
            <v>T0589</v>
          </cell>
          <cell r="C84" t="str">
            <v>Sorbitol</v>
          </cell>
          <cell r="D84" t="str">
            <v xml:space="preserve">Sorbitol </v>
          </cell>
          <cell r="E84" t="str">
            <v>5g</v>
          </cell>
          <cell r="F84" t="str">
            <v>Gói</v>
          </cell>
          <cell r="G84" t="str">
            <v>Lô 2</v>
          </cell>
          <cell r="H84" t="str">
            <v>Việt Nam</v>
          </cell>
          <cell r="I84">
            <v>3000</v>
          </cell>
          <cell r="J84">
            <v>450</v>
          </cell>
          <cell r="K84">
            <v>1350000</v>
          </cell>
        </row>
        <row r="85">
          <cell r="B85" t="str">
            <v>T0591</v>
          </cell>
          <cell r="C85" t="str">
            <v xml:space="preserve">Spiramycin 1,5 M </v>
          </cell>
          <cell r="D85" t="str">
            <v>Rovas 1,5MUI</v>
          </cell>
          <cell r="E85" t="str">
            <v>1,5M UI</v>
          </cell>
          <cell r="F85" t="str">
            <v>Viên</v>
          </cell>
          <cell r="G85" t="str">
            <v>Lô 2</v>
          </cell>
          <cell r="H85" t="str">
            <v>Việt Nam</v>
          </cell>
          <cell r="I85">
            <v>2000</v>
          </cell>
          <cell r="J85">
            <v>1500</v>
          </cell>
          <cell r="K85">
            <v>3000000</v>
          </cell>
        </row>
        <row r="86">
          <cell r="B86" t="str">
            <v>T0592</v>
          </cell>
          <cell r="C86" t="str">
            <v xml:space="preserve">Spiramycin 3M </v>
          </cell>
          <cell r="D86" t="str">
            <v>Rovas 3MUI</v>
          </cell>
          <cell r="E86" t="str">
            <v>3M UI</v>
          </cell>
          <cell r="F86" t="str">
            <v>Viên</v>
          </cell>
          <cell r="G86" t="str">
            <v>Lô 2</v>
          </cell>
          <cell r="H86" t="str">
            <v>Việt Nam</v>
          </cell>
          <cell r="I86">
            <v>2000</v>
          </cell>
          <cell r="J86">
            <v>2800</v>
          </cell>
          <cell r="K86">
            <v>5600000</v>
          </cell>
        </row>
        <row r="87">
          <cell r="B87" t="str">
            <v>T0594</v>
          </cell>
          <cell r="C87" t="str">
            <v xml:space="preserve">Spiramycin -Metronidazol </v>
          </cell>
          <cell r="D87" t="str">
            <v>DOROGYN</v>
          </cell>
          <cell r="E87" t="str">
            <v>0,75MUI + 125mg</v>
          </cell>
          <cell r="F87" t="str">
            <v>Viên</v>
          </cell>
          <cell r="G87" t="str">
            <v>Lô 2</v>
          </cell>
          <cell r="H87" t="str">
            <v>Việt Nam</v>
          </cell>
          <cell r="I87">
            <v>2000</v>
          </cell>
          <cell r="J87">
            <v>1050</v>
          </cell>
          <cell r="K87">
            <v>2100000</v>
          </cell>
        </row>
        <row r="88">
          <cell r="B88" t="str">
            <v>T0603</v>
          </cell>
          <cell r="C88" t="str">
            <v>Sulpiride</v>
          </cell>
          <cell r="D88" t="str">
            <v>Sulpiride</v>
          </cell>
          <cell r="E88" t="str">
            <v>50mg</v>
          </cell>
          <cell r="F88" t="str">
            <v>Viên</v>
          </cell>
          <cell r="G88" t="str">
            <v>Lô 2</v>
          </cell>
          <cell r="H88" t="str">
            <v>Việt Nam</v>
          </cell>
          <cell r="I88">
            <v>2000</v>
          </cell>
          <cell r="J88">
            <v>205</v>
          </cell>
          <cell r="K88">
            <v>410000</v>
          </cell>
        </row>
        <row r="89">
          <cell r="B89" t="str">
            <v>T0612</v>
          </cell>
          <cell r="C89" t="str">
            <v xml:space="preserve">Terpin,
Codein </v>
          </cell>
          <cell r="D89" t="str">
            <v>Copin tab</v>
          </cell>
          <cell r="E89" t="str">
            <v>100mg + 5mg</v>
          </cell>
          <cell r="F89" t="str">
            <v>Viên</v>
          </cell>
          <cell r="G89" t="str">
            <v>Lô 2</v>
          </cell>
          <cell r="H89" t="str">
            <v>Việt Nam</v>
          </cell>
          <cell r="I89">
            <v>10000</v>
          </cell>
          <cell r="J89">
            <v>180</v>
          </cell>
          <cell r="K89">
            <v>1800000</v>
          </cell>
        </row>
        <row r="90">
          <cell r="B90" t="str">
            <v>T0635</v>
          </cell>
          <cell r="C90" t="str">
            <v>Trimetazidin</v>
          </cell>
          <cell r="D90" t="str">
            <v>Vastec</v>
          </cell>
          <cell r="E90" t="str">
            <v>20mg</v>
          </cell>
          <cell r="F90" t="str">
            <v>Viên</v>
          </cell>
          <cell r="G90" t="str">
            <v>Lô 2</v>
          </cell>
          <cell r="H90" t="str">
            <v>Việt Nam</v>
          </cell>
          <cell r="I90">
            <v>10000</v>
          </cell>
          <cell r="J90">
            <v>175</v>
          </cell>
          <cell r="K90">
            <v>1750000</v>
          </cell>
        </row>
        <row r="91">
          <cell r="B91" t="str">
            <v>T0601</v>
          </cell>
          <cell r="C91" t="str">
            <v xml:space="preserve">Trimethoprim
Sulfamethoxazole </v>
          </cell>
          <cell r="D91" t="str">
            <v>Cotrim Stada</v>
          </cell>
          <cell r="E91" t="str">
            <v>400mg;
80mg</v>
          </cell>
          <cell r="F91" t="str">
            <v>Viên</v>
          </cell>
          <cell r="G91" t="str">
            <v>Lô 2</v>
          </cell>
          <cell r="H91" t="str">
            <v>Việt Nam</v>
          </cell>
          <cell r="I91">
            <v>1000</v>
          </cell>
          <cell r="J91">
            <v>315</v>
          </cell>
          <cell r="K91">
            <v>315000</v>
          </cell>
        </row>
        <row r="92">
          <cell r="B92" t="str">
            <v>T0646</v>
          </cell>
          <cell r="C92" t="str">
            <v>Vit A + Vit D</v>
          </cell>
          <cell r="D92" t="str">
            <v>ADO</v>
          </cell>
          <cell r="E92" t="str">
            <v>5.000UI + 400UI</v>
          </cell>
          <cell r="F92" t="str">
            <v>Viên</v>
          </cell>
          <cell r="G92" t="str">
            <v>Lô 2</v>
          </cell>
          <cell r="H92" t="str">
            <v>Việt Nam</v>
          </cell>
          <cell r="I92">
            <v>2000</v>
          </cell>
          <cell r="J92">
            <v>280</v>
          </cell>
          <cell r="K92">
            <v>560000</v>
          </cell>
        </row>
        <row r="93">
          <cell r="B93" t="str">
            <v>T0647</v>
          </cell>
          <cell r="C93" t="str">
            <v xml:space="preserve">Vitamin B1 </v>
          </cell>
          <cell r="D93" t="str">
            <v>Vitamin B1 250mg</v>
          </cell>
          <cell r="E93" t="str">
            <v>250mg</v>
          </cell>
          <cell r="F93" t="str">
            <v>Viên</v>
          </cell>
          <cell r="G93" t="str">
            <v>Lô 2</v>
          </cell>
          <cell r="H93" t="str">
            <v>Việt Nam</v>
          </cell>
          <cell r="I93">
            <v>10000</v>
          </cell>
          <cell r="J93">
            <v>219</v>
          </cell>
          <cell r="K93">
            <v>2190000</v>
          </cell>
        </row>
        <row r="94">
          <cell r="B94" t="str">
            <v>T0656</v>
          </cell>
          <cell r="C94" t="str">
            <v xml:space="preserve">Vitamin C </v>
          </cell>
          <cell r="D94" t="str">
            <v>Vitamin C 500mg</v>
          </cell>
          <cell r="E94" t="str">
            <v>0,5g</v>
          </cell>
          <cell r="F94" t="str">
            <v>Ống</v>
          </cell>
          <cell r="G94" t="str">
            <v>Lô 2</v>
          </cell>
          <cell r="H94" t="str">
            <v>Việt Nam</v>
          </cell>
          <cell r="I94">
            <v>1000</v>
          </cell>
          <cell r="J94">
            <v>1764</v>
          </cell>
          <cell r="K94">
            <v>1764000</v>
          </cell>
        </row>
        <row r="95">
          <cell r="B95" t="str">
            <v>T0660</v>
          </cell>
          <cell r="C95" t="str">
            <v xml:space="preserve">Vitamin C </v>
          </cell>
          <cell r="D95" t="str">
            <v>Vitamin C 500mg</v>
          </cell>
          <cell r="E95" t="str">
            <v>500mg</v>
          </cell>
          <cell r="F95" t="str">
            <v>Viên</v>
          </cell>
          <cell r="G95" t="str">
            <v>Lô 2</v>
          </cell>
          <cell r="H95" t="str">
            <v>Việt Nam</v>
          </cell>
          <cell r="I95">
            <v>15000</v>
          </cell>
          <cell r="J95">
            <v>294</v>
          </cell>
          <cell r="K95">
            <v>4410000</v>
          </cell>
        </row>
        <row r="96">
          <cell r="B96" t="str">
            <v>T0659</v>
          </cell>
          <cell r="C96" t="str">
            <v xml:space="preserve">Vitamin E </v>
          </cell>
          <cell r="D96" t="str">
            <v>Vitamin E 400UI</v>
          </cell>
          <cell r="E96" t="str">
            <v>400UI</v>
          </cell>
          <cell r="F96" t="str">
            <v>Viên</v>
          </cell>
          <cell r="G96" t="str">
            <v>Lô 2</v>
          </cell>
          <cell r="H96" t="str">
            <v>Việt Nam</v>
          </cell>
          <cell r="I96">
            <v>5000</v>
          </cell>
          <cell r="J96">
            <v>779</v>
          </cell>
          <cell r="K96">
            <v>3895000</v>
          </cell>
        </row>
        <row r="97">
          <cell r="B97" t="str">
            <v>T0033</v>
          </cell>
          <cell r="C97" t="str">
            <v>Alpha Amylase, Papain, Simethicone</v>
          </cell>
          <cell r="D97" t="str">
            <v>Neopeptin</v>
          </cell>
          <cell r="E97" t="str">
            <v>0,1g + 0,1g +30mg</v>
          </cell>
          <cell r="F97" t="str">
            <v>Viên</v>
          </cell>
          <cell r="G97" t="str">
            <v>Lô 3</v>
          </cell>
          <cell r="H97" t="str">
            <v>Án độ</v>
          </cell>
          <cell r="I97">
            <v>10000</v>
          </cell>
          <cell r="J97">
            <v>1512</v>
          </cell>
          <cell r="K97">
            <v>15120000</v>
          </cell>
        </row>
        <row r="100">
          <cell r="B100" t="str">
            <v>DD0001</v>
          </cell>
          <cell r="C100" t="str">
            <v>Astiso ,bìm bìm biếc, cao biển súc,diệp hạ châu</v>
          </cell>
          <cell r="D100" t="str">
            <v>Liverbil / nang cứng</v>
          </cell>
          <cell r="E100" t="str">
            <v>400mg+400mg+400mg+400mg</v>
          </cell>
          <cell r="F100" t="str">
            <v>viên nang</v>
          </cell>
          <cell r="G100" t="str">
            <v>Lô 2</v>
          </cell>
          <cell r="H100" t="str">
            <v>Việt Nam</v>
          </cell>
          <cell r="I100">
            <v>5000</v>
          </cell>
          <cell r="J100">
            <v>676</v>
          </cell>
          <cell r="K100">
            <v>3380000</v>
          </cell>
        </row>
        <row r="101">
          <cell r="B101" t="str">
            <v>DD0059</v>
          </cell>
          <cell r="C101" t="str">
            <v>Choliver</v>
          </cell>
          <cell r="D101" t="str">
            <v>Choliver</v>
          </cell>
          <cell r="E101" t="str">
            <v>25mg + 25mg + 50mg</v>
          </cell>
          <cell r="F101" t="str">
            <v>Viên</v>
          </cell>
          <cell r="G101" t="str">
            <v>Lô 2</v>
          </cell>
          <cell r="H101" t="str">
            <v>Việt Nam</v>
          </cell>
          <cell r="I101">
            <v>20000</v>
          </cell>
          <cell r="J101">
            <v>158</v>
          </cell>
          <cell r="K101">
            <v>3160000</v>
          </cell>
        </row>
        <row r="102">
          <cell r="B102" t="str">
            <v>DD0017</v>
          </cell>
          <cell r="C102" t="str">
            <v>Cúc hoa, Hạ khô thảo, Trạch tả, Hoài sơn, Sinh địa, Hà thủ ô, Đương quy, Thỏ ty tử, Thảo quyết minh.</v>
          </cell>
          <cell r="D102" t="str">
            <v>Sáng mắt</v>
          </cell>
          <cell r="E102" t="str">
            <v>0,024g, 0,0125g, 0,04g, 0,16g, 0,125g, 0,05g, 0,04, 0,16g</v>
          </cell>
          <cell r="F102" t="str">
            <v>viên</v>
          </cell>
          <cell r="G102" t="str">
            <v>Lô 2</v>
          </cell>
          <cell r="H102" t="str">
            <v>Việt Nam</v>
          </cell>
          <cell r="I102">
            <v>5000</v>
          </cell>
          <cell r="J102">
            <v>590</v>
          </cell>
          <cell r="K102">
            <v>2950000</v>
          </cell>
        </row>
        <row r="103">
          <cell r="B103" t="str">
            <v>DD0014</v>
          </cell>
          <cell r="C103" t="str">
            <v>Kim tiền thảo</v>
          </cell>
          <cell r="D103" t="str">
            <v>Kim tiền thảo</v>
          </cell>
          <cell r="E103" t="str">
            <v>200mg, 100mg</v>
          </cell>
          <cell r="F103" t="str">
            <v>Viên</v>
          </cell>
          <cell r="G103" t="str">
            <v>Lô 2</v>
          </cell>
          <cell r="H103" t="str">
            <v>Việt Nam</v>
          </cell>
          <cell r="I103">
            <v>10000</v>
          </cell>
          <cell r="J103">
            <v>350</v>
          </cell>
          <cell r="K103">
            <v>3500000</v>
          </cell>
        </row>
        <row r="104">
          <cell r="B104" t="str">
            <v>T0260</v>
          </cell>
          <cell r="C104" t="str">
            <v>Eucalyptol + Menthol+Tinh dầu tần+Tinh dầu gừng</v>
          </cell>
          <cell r="D104" t="str">
            <v>Eugica</v>
          </cell>
          <cell r="E104" t="str">
            <v>100mg +0,5mg
0,18mg +0,5mg</v>
          </cell>
          <cell r="F104" t="str">
            <v>Viên</v>
          </cell>
          <cell r="G104" t="str">
            <v>Lô 2</v>
          </cell>
          <cell r="H104" t="str">
            <v>Việt Nam</v>
          </cell>
          <cell r="I104">
            <v>18000</v>
          </cell>
          <cell r="J104">
            <v>336</v>
          </cell>
          <cell r="K104">
            <v>6048000</v>
          </cell>
        </row>
        <row r="105">
          <cell r="B105" t="str">
            <v>T0262</v>
          </cell>
          <cell r="C105" t="str">
            <v>Cồn bọ mắm 
Cao lỏng núc nác 
Siro viễn chí 
Siro vỏ quít 
Siro an tức hương 
Siro húng chanh 
Eucalyptol
Natri benzoat</v>
          </cell>
          <cell r="D105" t="str">
            <v>Sp Eugica 60ml</v>
          </cell>
          <cell r="E105" t="str">
            <v>1,2g + 1,2g + 6g + 18g + 12g + 25,5g + 0,12g + 1,8g vừa đủ 60ml</v>
          </cell>
          <cell r="F105" t="str">
            <v>Chai</v>
          </cell>
          <cell r="G105" t="str">
            <v>Lô 2</v>
          </cell>
          <cell r="H105" t="str">
            <v>Việt Nam</v>
          </cell>
          <cell r="I105">
            <v>1000</v>
          </cell>
          <cell r="J105">
            <v>13000</v>
          </cell>
          <cell r="K105">
            <v>13000000</v>
          </cell>
        </row>
      </sheetData>
      <sheetData sheetId="4">
        <row r="18">
          <cell r="C18" t="str">
            <v>T0806</v>
          </cell>
        </row>
      </sheetData>
      <sheetData sheetId="5">
        <row r="12">
          <cell r="C12" t="str">
            <v>T0006</v>
          </cell>
          <cell r="D12" t="str">
            <v>TN0005</v>
          </cell>
          <cell r="E12" t="str">
            <v>Acetyl-cystein</v>
          </cell>
          <cell r="F12" t="str">
            <v>Mitux E</v>
          </cell>
          <cell r="G12" t="str">
            <v>100mg</v>
          </cell>
          <cell r="H12" t="str">
            <v>gói</v>
          </cell>
          <cell r="I12" t="str">
            <v>h/25 gói</v>
          </cell>
          <cell r="J12" t="str">
            <v>CTCP Dược Hậu Giang</v>
          </cell>
          <cell r="K12" t="str">
            <v>Việt Nam</v>
          </cell>
          <cell r="L12" t="str">
            <v>Lô 02</v>
          </cell>
          <cell r="M12">
            <v>1050</v>
          </cell>
          <cell r="N12">
            <v>9000</v>
          </cell>
          <cell r="O12">
            <v>1050</v>
          </cell>
          <cell r="P12">
            <v>10000</v>
          </cell>
          <cell r="Q12">
            <v>1050</v>
          </cell>
          <cell r="R12">
            <v>10500000</v>
          </cell>
        </row>
        <row r="13">
          <cell r="C13" t="str">
            <v>T0007</v>
          </cell>
          <cell r="D13" t="str">
            <v>TN0006</v>
          </cell>
          <cell r="E13" t="str">
            <v>Acetyl-cystein</v>
          </cell>
          <cell r="F13" t="str">
            <v>Acetylcystein - 200mg</v>
          </cell>
          <cell r="G13" t="str">
            <v>200mg</v>
          </cell>
          <cell r="H13" t="str">
            <v>goi</v>
          </cell>
          <cell r="I13" t="str">
            <v>H/30</v>
          </cell>
          <cell r="J13" t="str">
            <v>Pharimexco</v>
          </cell>
          <cell r="K13" t="str">
            <v>Việt Nam</v>
          </cell>
          <cell r="L13" t="str">
            <v>Lô 02</v>
          </cell>
          <cell r="M13">
            <v>795</v>
          </cell>
          <cell r="N13">
            <v>9000</v>
          </cell>
          <cell r="O13">
            <v>795</v>
          </cell>
          <cell r="P13">
            <v>10000</v>
          </cell>
          <cell r="Q13">
            <v>795</v>
          </cell>
          <cell r="R13">
            <v>7950000</v>
          </cell>
        </row>
        <row r="14">
          <cell r="C14" t="str">
            <v>T0018</v>
          </cell>
          <cell r="D14" t="str">
            <v>TN0010</v>
          </cell>
          <cell r="E14" t="str">
            <v>Acid citric, NaHCO3,Na2CO3</v>
          </cell>
          <cell r="F14" t="str">
            <v>Edoz kids</v>
          </cell>
          <cell r="G14" t="str">
            <v xml:space="preserve">620mg + 580mg + 140mg </v>
          </cell>
          <cell r="H14" t="str">
            <v>viên</v>
          </cell>
          <cell r="I14" t="str">
            <v>h/24 gói</v>
          </cell>
          <cell r="J14" t="str">
            <v>CTCP Dược Hậu Giang</v>
          </cell>
          <cell r="K14" t="str">
            <v>Việt Nam</v>
          </cell>
          <cell r="L14" t="str">
            <v>Lô 02</v>
          </cell>
          <cell r="M14">
            <v>1300</v>
          </cell>
          <cell r="N14">
            <v>10000</v>
          </cell>
          <cell r="O14">
            <v>1300</v>
          </cell>
          <cell r="P14">
            <v>12000</v>
          </cell>
          <cell r="Q14">
            <v>1300</v>
          </cell>
          <cell r="R14">
            <v>15600000</v>
          </cell>
        </row>
        <row r="15">
          <cell r="C15" t="str">
            <v>T0019</v>
          </cell>
          <cell r="D15" t="str">
            <v>TN0004</v>
          </cell>
          <cell r="E15" t="str">
            <v>Acid Nalidicid</v>
          </cell>
          <cell r="F15" t="str">
            <v>Aginalxic</v>
          </cell>
          <cell r="G15" t="str">
            <v>500mg</v>
          </cell>
          <cell r="H15" t="str">
            <v>viên</v>
          </cell>
          <cell r="I15" t="str">
            <v>H/10 vỉ x 10v</v>
          </cell>
          <cell r="J15" t="str">
            <v>Agimexpharm</v>
          </cell>
          <cell r="K15" t="str">
            <v>Việt Nam</v>
          </cell>
          <cell r="L15" t="str">
            <v>Lô 02</v>
          </cell>
          <cell r="M15">
            <v>1250</v>
          </cell>
          <cell r="N15">
            <v>1800</v>
          </cell>
          <cell r="O15">
            <v>1250</v>
          </cell>
          <cell r="P15">
            <v>2000</v>
          </cell>
          <cell r="Q15">
            <v>1250</v>
          </cell>
          <cell r="R15">
            <v>2500000</v>
          </cell>
        </row>
        <row r="16">
          <cell r="C16" t="str">
            <v>T0021</v>
          </cell>
          <cell r="D16" t="str">
            <v>TN0013</v>
          </cell>
          <cell r="E16" t="str">
            <v xml:space="preserve">Acyclovir         </v>
          </cell>
          <cell r="F16" t="str">
            <v>ACYCLOVIR 200MG</v>
          </cell>
          <cell r="G16" t="str">
            <v>200mg</v>
          </cell>
          <cell r="H16" t="str">
            <v>tube</v>
          </cell>
          <cell r="I16" t="str">
            <v>HỘP 3 VĨ X 10 VNE</v>
          </cell>
          <cell r="J16" t="str">
            <v>DOMESCO</v>
          </cell>
          <cell r="K16" t="str">
            <v>Việt Nam</v>
          </cell>
          <cell r="L16" t="str">
            <v>Lô 02</v>
          </cell>
          <cell r="M16">
            <v>750</v>
          </cell>
          <cell r="N16">
            <v>150</v>
          </cell>
          <cell r="O16">
            <v>750</v>
          </cell>
          <cell r="P16">
            <v>200</v>
          </cell>
          <cell r="Q16">
            <v>750</v>
          </cell>
          <cell r="R16">
            <v>150000</v>
          </cell>
        </row>
        <row r="17">
          <cell r="C17" t="str">
            <v>T0024</v>
          </cell>
          <cell r="D17" t="str">
            <v>NQ0005</v>
          </cell>
          <cell r="E17" t="str">
            <v>Albendazol</v>
          </cell>
          <cell r="F17" t="str">
            <v>Albendazol 400mg</v>
          </cell>
          <cell r="G17" t="str">
            <v>400mg</v>
          </cell>
          <cell r="H17" t="str">
            <v>viên</v>
          </cell>
          <cell r="I17" t="str">
            <v>H/1 vỉ x 1v</v>
          </cell>
          <cell r="J17" t="str">
            <v>Stada - VN</v>
          </cell>
          <cell r="K17" t="str">
            <v>Việt Nam</v>
          </cell>
          <cell r="L17" t="str">
            <v>Lô 02</v>
          </cell>
          <cell r="M17">
            <v>2000</v>
          </cell>
          <cell r="N17">
            <v>500</v>
          </cell>
          <cell r="O17">
            <v>2000</v>
          </cell>
          <cell r="P17">
            <v>500</v>
          </cell>
          <cell r="Q17">
            <v>2000</v>
          </cell>
          <cell r="R17">
            <v>1000000</v>
          </cell>
        </row>
        <row r="18">
          <cell r="C18" t="str">
            <v>T0030</v>
          </cell>
          <cell r="D18" t="str">
            <v>TN0016</v>
          </cell>
          <cell r="E18" t="str">
            <v xml:space="preserve">Allopurinol     </v>
          </cell>
          <cell r="F18" t="str">
            <v>ALLOPURINOL 300MG</v>
          </cell>
          <cell r="G18" t="str">
            <v>300mg</v>
          </cell>
          <cell r="H18" t="str">
            <v>viên</v>
          </cell>
          <cell r="I18" t="str">
            <v>HỘP 2 VĨ X 10 VNE</v>
          </cell>
          <cell r="J18" t="str">
            <v>DOMESCO</v>
          </cell>
          <cell r="K18" t="str">
            <v>Việt Nam</v>
          </cell>
          <cell r="L18" t="str">
            <v>Lô 02</v>
          </cell>
          <cell r="M18">
            <v>550</v>
          </cell>
          <cell r="N18">
            <v>800</v>
          </cell>
          <cell r="O18">
            <v>550</v>
          </cell>
          <cell r="P18">
            <v>1000</v>
          </cell>
          <cell r="Q18">
            <v>550</v>
          </cell>
          <cell r="R18">
            <v>550000</v>
          </cell>
        </row>
        <row r="19">
          <cell r="C19" t="str">
            <v>T0032</v>
          </cell>
          <cell r="D19" t="str">
            <v>TN0007</v>
          </cell>
          <cell r="E19" t="str">
            <v>Alpha - terpineol 0.9g</v>
          </cell>
          <cell r="F19" t="str">
            <v>E`Rossan care</v>
          </cell>
          <cell r="G19" t="str">
            <v>0,9g</v>
          </cell>
          <cell r="H19" t="str">
            <v>ống</v>
          </cell>
          <cell r="I19" t="str">
            <v>h/1 tube</v>
          </cell>
          <cell r="J19" t="str">
            <v>CTCP Dược Hậu Giang</v>
          </cell>
          <cell r="K19" t="str">
            <v>Việt Nam</v>
          </cell>
          <cell r="L19" t="str">
            <v>Lô 02</v>
          </cell>
          <cell r="M19">
            <v>1300</v>
          </cell>
          <cell r="N19">
            <v>1200</v>
          </cell>
          <cell r="O19">
            <v>13000</v>
          </cell>
          <cell r="P19">
            <v>1500</v>
          </cell>
          <cell r="Q19">
            <v>13000</v>
          </cell>
          <cell r="R19">
            <v>19500000</v>
          </cell>
        </row>
        <row r="20">
          <cell r="C20" t="str">
            <v>T0035</v>
          </cell>
          <cell r="D20" t="str">
            <v>TN0019</v>
          </cell>
          <cell r="E20" t="str">
            <v>Alphachymotrypsin</v>
          </cell>
          <cell r="F20" t="str">
            <v>Alphachymotrypsin 4,2mg</v>
          </cell>
          <cell r="G20" t="str">
            <v>4,2mg</v>
          </cell>
          <cell r="H20" t="str">
            <v>viên</v>
          </cell>
          <cell r="I20" t="str">
            <v>V/10, H/50</v>
          </cell>
          <cell r="J20" t="str">
            <v>TV.Pharm</v>
          </cell>
          <cell r="K20" t="str">
            <v>Việt Nam</v>
          </cell>
          <cell r="L20" t="str">
            <v>Lô 02</v>
          </cell>
          <cell r="M20">
            <v>450</v>
          </cell>
          <cell r="N20">
            <v>90000</v>
          </cell>
          <cell r="O20">
            <v>450</v>
          </cell>
          <cell r="P20">
            <v>100000</v>
          </cell>
          <cell r="Q20">
            <v>450</v>
          </cell>
          <cell r="R20">
            <v>45000000</v>
          </cell>
        </row>
        <row r="21">
          <cell r="C21" t="str">
            <v>T0037</v>
          </cell>
          <cell r="D21" t="str">
            <v>NQ0006</v>
          </cell>
          <cell r="E21" t="str">
            <v>Aluminium,Magie,Simethicone</v>
          </cell>
          <cell r="F21" t="str">
            <v>VAROGEL</v>
          </cell>
          <cell r="G21" t="str">
            <v>0,4g + 0,8g + 0,06g</v>
          </cell>
          <cell r="H21" t="str">
            <v>goi</v>
          </cell>
          <cell r="I21" t="str">
            <v>Hộp 20 gói</v>
          </cell>
          <cell r="J21" t="str">
            <v>CTY TNHH DP SHINPOONG DAEWOO</v>
          </cell>
          <cell r="K21" t="str">
            <v>Việt Nam</v>
          </cell>
          <cell r="L21" t="str">
            <v>Lô 02</v>
          </cell>
          <cell r="M21">
            <v>2900</v>
          </cell>
          <cell r="N21">
            <v>18000</v>
          </cell>
          <cell r="O21">
            <v>2900</v>
          </cell>
          <cell r="P21">
            <v>20000</v>
          </cell>
          <cell r="Q21">
            <v>2900</v>
          </cell>
          <cell r="R21">
            <v>58000000</v>
          </cell>
        </row>
        <row r="22">
          <cell r="C22" t="str">
            <v>T0041</v>
          </cell>
          <cell r="D22" t="str">
            <v>TN0022</v>
          </cell>
          <cell r="E22" t="str">
            <v xml:space="preserve">Alverine citrate              </v>
          </cell>
          <cell r="F22" t="str">
            <v>Spacmarizin 40mg</v>
          </cell>
          <cell r="G22" t="str">
            <v>40mg</v>
          </cell>
          <cell r="H22" t="str">
            <v>viên</v>
          </cell>
          <cell r="I22" t="str">
            <v>V/15, H/300</v>
          </cell>
          <cell r="J22" t="str">
            <v>TV.Pharm</v>
          </cell>
          <cell r="K22" t="str">
            <v>Việt Nam</v>
          </cell>
          <cell r="L22" t="str">
            <v>Lô 02</v>
          </cell>
          <cell r="M22">
            <v>175</v>
          </cell>
          <cell r="N22">
            <v>18000</v>
          </cell>
          <cell r="O22">
            <v>175</v>
          </cell>
          <cell r="P22">
            <v>20000</v>
          </cell>
          <cell r="Q22">
            <v>175</v>
          </cell>
          <cell r="R22">
            <v>3500000</v>
          </cell>
        </row>
        <row r="23">
          <cell r="C23" t="str">
            <v>T0054</v>
          </cell>
          <cell r="D23" t="str">
            <v>TN0025</v>
          </cell>
          <cell r="E23" t="str">
            <v>Amlodipine (Apitim® hoặc tương đương điều trị)</v>
          </cell>
          <cell r="F23" t="str">
            <v>Apitim 5mg</v>
          </cell>
          <cell r="G23" t="str">
            <v>5mg</v>
          </cell>
          <cell r="H23" t="str">
            <v>viên</v>
          </cell>
          <cell r="I23" t="str">
            <v>v/10 h/30 viên</v>
          </cell>
          <cell r="J23" t="str">
            <v>CTCP Dược Hậu Giang</v>
          </cell>
          <cell r="K23" t="str">
            <v>Việt Nam</v>
          </cell>
          <cell r="L23" t="str">
            <v>Lô 02</v>
          </cell>
          <cell r="M23">
            <v>840</v>
          </cell>
          <cell r="N23">
            <v>18000</v>
          </cell>
          <cell r="O23">
            <v>840</v>
          </cell>
          <cell r="P23">
            <v>20000</v>
          </cell>
          <cell r="Q23">
            <v>840</v>
          </cell>
          <cell r="R23">
            <v>16800000</v>
          </cell>
        </row>
        <row r="24">
          <cell r="C24" t="str">
            <v>T0055</v>
          </cell>
          <cell r="D24" t="str">
            <v>TN0026</v>
          </cell>
          <cell r="E24" t="str">
            <v>Amoxcillin-A.Clavulanic</v>
          </cell>
          <cell r="F24" t="str">
            <v>Klamentin 500mg</v>
          </cell>
          <cell r="G24" t="str">
            <v>500mg+62,5mg</v>
          </cell>
          <cell r="H24" t="str">
            <v>gói</v>
          </cell>
          <cell r="I24" t="str">
            <v>h/12 gói</v>
          </cell>
          <cell r="J24" t="str">
            <v>CTCP Dược Hậu Giang</v>
          </cell>
          <cell r="K24" t="str">
            <v>Việt Nam</v>
          </cell>
          <cell r="L24" t="str">
            <v>Lô 02</v>
          </cell>
          <cell r="M24">
            <v>4500</v>
          </cell>
          <cell r="N24">
            <v>9000</v>
          </cell>
          <cell r="O24">
            <v>9000</v>
          </cell>
          <cell r="P24">
            <v>10000</v>
          </cell>
          <cell r="Q24">
            <v>9000</v>
          </cell>
          <cell r="R24">
            <v>90000000</v>
          </cell>
        </row>
        <row r="25">
          <cell r="C25" t="str">
            <v>T0058</v>
          </cell>
          <cell r="D25" t="str">
            <v>TN0028</v>
          </cell>
          <cell r="E25" t="str">
            <v xml:space="preserve">Amoxicillin    </v>
          </cell>
          <cell r="F25" t="str">
            <v>MOXACIN</v>
          </cell>
          <cell r="G25" t="str">
            <v>250mg</v>
          </cell>
          <cell r="H25" t="str">
            <v>viên</v>
          </cell>
          <cell r="I25" t="str">
            <v>HỘP 12 GÓI</v>
          </cell>
          <cell r="J25" t="str">
            <v>DOMESCO</v>
          </cell>
          <cell r="K25" t="str">
            <v>Việt Nam</v>
          </cell>
          <cell r="L25" t="str">
            <v>Lô 02</v>
          </cell>
          <cell r="M25">
            <v>900</v>
          </cell>
          <cell r="N25">
            <v>8500</v>
          </cell>
          <cell r="O25">
            <v>900</v>
          </cell>
          <cell r="P25">
            <v>10000</v>
          </cell>
          <cell r="Q25">
            <v>900</v>
          </cell>
          <cell r="R25">
            <v>9000000</v>
          </cell>
        </row>
        <row r="26">
          <cell r="C26" t="str">
            <v>T0061</v>
          </cell>
          <cell r="D26" t="str">
            <v>NQ0010</v>
          </cell>
          <cell r="E26" t="str">
            <v>Amoxicillin-A.Clavulanic</v>
          </cell>
          <cell r="F26" t="str">
            <v>pms-Claminat 250/31.25</v>
          </cell>
          <cell r="G26" t="str">
            <v>250mg+31,5mg</v>
          </cell>
          <cell r="H26" t="str">
            <v>viên</v>
          </cell>
          <cell r="I26" t="str">
            <v>h/12 gói</v>
          </cell>
          <cell r="J26" t="str">
            <v>Imexpharm</v>
          </cell>
          <cell r="K26" t="str">
            <v>Việt Nam</v>
          </cell>
          <cell r="L26" t="str">
            <v>Lô 02</v>
          </cell>
          <cell r="M26">
            <v>5985</v>
          </cell>
          <cell r="N26">
            <v>9000</v>
          </cell>
          <cell r="O26">
            <v>5985</v>
          </cell>
          <cell r="P26">
            <v>10000</v>
          </cell>
          <cell r="Q26">
            <v>5985</v>
          </cell>
          <cell r="R26">
            <v>59850000</v>
          </cell>
        </row>
        <row r="27">
          <cell r="C27" t="str">
            <v>T0062</v>
          </cell>
          <cell r="D27" t="str">
            <v>NQ0011</v>
          </cell>
          <cell r="E27" t="str">
            <v>Amoxicillin-A.Clavulanic</v>
          </cell>
          <cell r="F27" t="str">
            <v>pms-Claminat 625mg</v>
          </cell>
          <cell r="G27" t="str">
            <v>500mg+125mg</v>
          </cell>
          <cell r="H27" t="str">
            <v>viên</v>
          </cell>
          <cell r="I27" t="str">
            <v>vỉ/07, h/14v</v>
          </cell>
          <cell r="J27" t="str">
            <v>Imexpharm</v>
          </cell>
          <cell r="K27" t="str">
            <v>Việt Nam</v>
          </cell>
          <cell r="L27" t="str">
            <v>Lô 02</v>
          </cell>
          <cell r="M27">
            <v>7035</v>
          </cell>
          <cell r="N27">
            <v>18000</v>
          </cell>
          <cell r="O27">
            <v>7035</v>
          </cell>
          <cell r="P27">
            <v>20000</v>
          </cell>
          <cell r="Q27">
            <v>7035</v>
          </cell>
          <cell r="R27">
            <v>140700000</v>
          </cell>
        </row>
        <row r="28">
          <cell r="C28" t="str">
            <v>T0063</v>
          </cell>
          <cell r="D28" t="str">
            <v>TN0030</v>
          </cell>
          <cell r="E28" t="str">
            <v>Amoxicillin-A.Clavulanic (Klamentin® hoặc tương đương điều trị)</v>
          </cell>
          <cell r="F28" t="str">
            <v>Klamentin 625mg</v>
          </cell>
          <cell r="G28" t="str">
            <v xml:space="preserve">  500mg +125mg</v>
          </cell>
          <cell r="H28" t="str">
            <v>viên</v>
          </cell>
          <cell r="I28" t="str">
            <v>v/4 h/12 viên</v>
          </cell>
          <cell r="J28" t="str">
            <v>CTCP Dược Hậu Giang</v>
          </cell>
          <cell r="K28" t="str">
            <v>Việt Nam</v>
          </cell>
          <cell r="L28" t="str">
            <v>Lô 02</v>
          </cell>
          <cell r="M28">
            <v>6500</v>
          </cell>
          <cell r="N28">
            <v>27000</v>
          </cell>
          <cell r="O28">
            <v>6500</v>
          </cell>
          <cell r="P28">
            <v>30000</v>
          </cell>
          <cell r="Q28">
            <v>6500</v>
          </cell>
          <cell r="R28">
            <v>195000000</v>
          </cell>
        </row>
        <row r="29">
          <cell r="C29" t="str">
            <v>T0065</v>
          </cell>
          <cell r="D29" t="str">
            <v>TN0032</v>
          </cell>
          <cell r="E29" t="str">
            <v>Amoxicillin-A.Clavulanic (Klamentin® hoặc tương đương điều trị)</v>
          </cell>
          <cell r="F29" t="str">
            <v>Klamentin 250mg</v>
          </cell>
          <cell r="G29" t="str">
            <v>250mg+31,5mg</v>
          </cell>
          <cell r="H29" t="str">
            <v>viên</v>
          </cell>
          <cell r="I29" t="str">
            <v>h/12 gói</v>
          </cell>
          <cell r="J29" t="str">
            <v>CTCP Dược Hậu Giang</v>
          </cell>
          <cell r="K29" t="str">
            <v>Việt Nam</v>
          </cell>
          <cell r="L29" t="str">
            <v>Lô 02</v>
          </cell>
          <cell r="M29">
            <v>5500</v>
          </cell>
          <cell r="N29">
            <v>9000</v>
          </cell>
          <cell r="O29">
            <v>5500</v>
          </cell>
          <cell r="P29">
            <v>10000</v>
          </cell>
          <cell r="Q29">
            <v>5500</v>
          </cell>
          <cell r="R29">
            <v>55000000</v>
          </cell>
        </row>
        <row r="30">
          <cell r="C30" t="str">
            <v>T0066</v>
          </cell>
          <cell r="D30" t="str">
            <v>TN0033</v>
          </cell>
          <cell r="E30" t="str">
            <v xml:space="preserve">Amoxycillin  </v>
          </cell>
          <cell r="F30" t="str">
            <v>AMOXICILLIN 500MG</v>
          </cell>
          <cell r="G30" t="str">
            <v>500mg</v>
          </cell>
          <cell r="H30" t="str">
            <v>viên nang mềm</v>
          </cell>
          <cell r="I30" t="str">
            <v>HỘP 10 VĨ X 10 VNS</v>
          </cell>
          <cell r="J30" t="str">
            <v>DOMESCO</v>
          </cell>
          <cell r="K30" t="str">
            <v>Việt Nam</v>
          </cell>
          <cell r="L30" t="str">
            <v>Lô 02</v>
          </cell>
          <cell r="M30">
            <v>660</v>
          </cell>
          <cell r="N30">
            <v>10000</v>
          </cell>
          <cell r="O30">
            <v>660</v>
          </cell>
          <cell r="P30">
            <v>12000</v>
          </cell>
          <cell r="Q30">
            <v>660</v>
          </cell>
          <cell r="R30">
            <v>7920000</v>
          </cell>
        </row>
        <row r="31">
          <cell r="C31" t="str">
            <v>T0079</v>
          </cell>
          <cell r="D31" t="str">
            <v>TN0041</v>
          </cell>
          <cell r="E31" t="str">
            <v xml:space="preserve">Atropin sulfat    </v>
          </cell>
          <cell r="F31" t="str">
            <v xml:space="preserve">Atropin sulfat    </v>
          </cell>
          <cell r="G31" t="str">
            <v>0,25mg/1ml</v>
          </cell>
          <cell r="H31" t="str">
            <v>ống</v>
          </cell>
          <cell r="I31" t="str">
            <v>h/100 ống 1ml</v>
          </cell>
          <cell r="J31" t="str">
            <v>CTCP DP Vĩnh Phúc</v>
          </cell>
          <cell r="K31" t="str">
            <v>Việt Nam</v>
          </cell>
          <cell r="L31" t="str">
            <v>Lô 02</v>
          </cell>
          <cell r="M31">
            <v>720</v>
          </cell>
          <cell r="N31">
            <v>200</v>
          </cell>
          <cell r="O31">
            <v>720</v>
          </cell>
          <cell r="P31">
            <v>300</v>
          </cell>
          <cell r="Q31">
            <v>720</v>
          </cell>
          <cell r="R31">
            <v>216000</v>
          </cell>
        </row>
        <row r="32">
          <cell r="C32" t="str">
            <v>T0082</v>
          </cell>
          <cell r="D32" t="str">
            <v>TN0044</v>
          </cell>
          <cell r="E32" t="str">
            <v>B1,,B6, E,PP, Dpanthenol, Lysine, calcium</v>
          </cell>
          <cell r="F32" t="str">
            <v>Unikis 70ml</v>
          </cell>
          <cell r="G32" t="str">
            <v>70 ml</v>
          </cell>
          <cell r="H32" t="str">
            <v>chai</v>
          </cell>
          <cell r="I32" t="str">
            <v>h/1 chai</v>
          </cell>
          <cell r="J32" t="str">
            <v>CTCP Dược Hậu Giang</v>
          </cell>
          <cell r="K32" t="str">
            <v>Việt Nam</v>
          </cell>
          <cell r="L32" t="str">
            <v>Lô 02</v>
          </cell>
          <cell r="M32">
            <v>25200</v>
          </cell>
          <cell r="N32">
            <v>3500</v>
          </cell>
          <cell r="O32">
            <v>25200</v>
          </cell>
          <cell r="P32">
            <v>4000</v>
          </cell>
          <cell r="Q32">
            <v>25200</v>
          </cell>
          <cell r="R32">
            <v>100800000</v>
          </cell>
        </row>
        <row r="33">
          <cell r="C33" t="str">
            <v>T0092</v>
          </cell>
          <cell r="D33" t="str">
            <v>TN0048</v>
          </cell>
          <cell r="E33" t="str">
            <v xml:space="preserve">Bromhexin            </v>
          </cell>
          <cell r="F33" t="str">
            <v>Disolvan 8mg</v>
          </cell>
          <cell r="G33" t="str">
            <v xml:space="preserve"> 8mg</v>
          </cell>
          <cell r="H33" t="str">
            <v>vien</v>
          </cell>
          <cell r="I33" t="str">
            <v>Hộp 10vỉ x 20VNE</v>
          </cell>
          <cell r="J33" t="str">
            <v>Mekophar</v>
          </cell>
          <cell r="K33" t="str">
            <v>Việt Nam</v>
          </cell>
          <cell r="L33" t="str">
            <v>Lô 02</v>
          </cell>
          <cell r="M33">
            <v>50</v>
          </cell>
          <cell r="N33">
            <v>8500</v>
          </cell>
          <cell r="O33">
            <v>50</v>
          </cell>
          <cell r="P33">
            <v>10000</v>
          </cell>
          <cell r="Q33">
            <v>50</v>
          </cell>
          <cell r="R33">
            <v>500000</v>
          </cell>
        </row>
        <row r="34">
          <cell r="C34" t="str">
            <v>T0098</v>
          </cell>
          <cell r="D34" t="str">
            <v>TN0051</v>
          </cell>
          <cell r="E34" t="str">
            <v>Calci + D3</v>
          </cell>
          <cell r="F34" t="str">
            <v>Davita bone sugar free</v>
          </cell>
          <cell r="G34" t="str">
            <v>600mg+400 IU</v>
          </cell>
          <cell r="H34" t="str">
            <v>viên</v>
          </cell>
          <cell r="I34" t="str">
            <v>tube/10 viên</v>
          </cell>
          <cell r="J34" t="str">
            <v>CTCP Dược Hậu Giang</v>
          </cell>
          <cell r="K34" t="str">
            <v>Việt Nam</v>
          </cell>
          <cell r="L34" t="str">
            <v>Lô 02</v>
          </cell>
          <cell r="M34">
            <v>2419</v>
          </cell>
          <cell r="N34">
            <v>8500</v>
          </cell>
          <cell r="O34">
            <v>2419</v>
          </cell>
          <cell r="P34">
            <v>10000</v>
          </cell>
          <cell r="Q34">
            <v>2419</v>
          </cell>
          <cell r="R34">
            <v>24190000</v>
          </cell>
        </row>
        <row r="35">
          <cell r="C35" t="str">
            <v>T0102</v>
          </cell>
          <cell r="D35" t="str">
            <v>NQ0016</v>
          </cell>
          <cell r="E35" t="str">
            <v>Calci lactat gluconat + Calci carbonat</v>
          </cell>
          <cell r="F35" t="str">
            <v>Calcium Hasan 500</v>
          </cell>
          <cell r="G35" t="str">
            <v xml:space="preserve">2940mg + 300mg </v>
          </cell>
          <cell r="H35" t="str">
            <v>viên</v>
          </cell>
          <cell r="I35" t="str">
            <v>tuýp 20 viên</v>
          </cell>
          <cell r="J35" t="str">
            <v>HASAN-DERMAPHARM</v>
          </cell>
          <cell r="K35" t="str">
            <v>Việt Nam</v>
          </cell>
          <cell r="L35" t="str">
            <v>Lô 02</v>
          </cell>
          <cell r="M35">
            <v>1995</v>
          </cell>
          <cell r="N35">
            <v>1800</v>
          </cell>
          <cell r="O35">
            <v>1995</v>
          </cell>
          <cell r="P35">
            <v>5000</v>
          </cell>
          <cell r="Q35">
            <v>1995</v>
          </cell>
          <cell r="R35">
            <v>9975000</v>
          </cell>
        </row>
        <row r="36">
          <cell r="C36" t="str">
            <v>T0105</v>
          </cell>
          <cell r="D36" t="str">
            <v>NQ0017</v>
          </cell>
          <cell r="E36" t="str">
            <v>Calciclorid dihydratKaliclorid Natri clorid Natri Lactte Nước cất pha tiêm vừa đủ 500ml</v>
          </cell>
          <cell r="F36" t="str">
            <v>LACTATED RINGER 500ML</v>
          </cell>
          <cell r="G36" t="str">
            <v>0,10g0,15g3.0g0.55g</v>
          </cell>
          <cell r="H36" t="str">
            <v>viên nang mềm</v>
          </cell>
          <cell r="I36" t="str">
            <v>Chai 500ml</v>
          </cell>
          <cell r="J36" t="str">
            <v>OTSUKA-OPV</v>
          </cell>
          <cell r="K36" t="str">
            <v>Việt Nam</v>
          </cell>
          <cell r="L36" t="str">
            <v>Lô 02</v>
          </cell>
          <cell r="M36">
            <v>9500</v>
          </cell>
          <cell r="N36">
            <v>450</v>
          </cell>
          <cell r="O36">
            <v>9500</v>
          </cell>
          <cell r="P36">
            <v>500</v>
          </cell>
          <cell r="Q36">
            <v>9500</v>
          </cell>
          <cell r="R36">
            <v>4750000</v>
          </cell>
        </row>
        <row r="37">
          <cell r="C37" t="str">
            <v>T0109</v>
          </cell>
          <cell r="D37" t="str">
            <v>TN0013</v>
          </cell>
          <cell r="E37" t="str">
            <v xml:space="preserve">Calcium glubionate     </v>
          </cell>
          <cell r="F37" t="str">
            <v>Calcifore 687,5mg/5ml</v>
          </cell>
          <cell r="G37" t="str">
            <v>0,5mg/5ml</v>
          </cell>
          <cell r="H37" t="str">
            <v>Ống 5ml</v>
          </cell>
          <cell r="I37" t="str">
            <v>H/10 ống x 5ml</v>
          </cell>
          <cell r="J37" t="str">
            <v>Fresenius Kabi Bidiphar</v>
          </cell>
          <cell r="K37" t="str">
            <v>Việt Nam</v>
          </cell>
          <cell r="L37" t="str">
            <v>Lô 02</v>
          </cell>
          <cell r="M37">
            <v>4630</v>
          </cell>
          <cell r="N37">
            <v>200</v>
          </cell>
          <cell r="O37">
            <v>4630</v>
          </cell>
          <cell r="P37">
            <v>200</v>
          </cell>
          <cell r="Q37">
            <v>4630</v>
          </cell>
          <cell r="R37">
            <v>926000</v>
          </cell>
        </row>
        <row r="38">
          <cell r="C38" t="str">
            <v>T0116</v>
          </cell>
          <cell r="D38" t="str">
            <v>NQ0006</v>
          </cell>
          <cell r="E38" t="str">
            <v>Captoril</v>
          </cell>
          <cell r="F38" t="str">
            <v>Captopril Stada 25mg</v>
          </cell>
          <cell r="G38" t="str">
            <v>25 mg</v>
          </cell>
          <cell r="H38" t="str">
            <v>viên</v>
          </cell>
          <cell r="I38" t="str">
            <v>Hộp 10vỉ x 10viên nén</v>
          </cell>
          <cell r="J38" t="str">
            <v>Liên doanh Stada</v>
          </cell>
          <cell r="K38" t="str">
            <v>Việt Nam</v>
          </cell>
          <cell r="L38" t="str">
            <v>Lô 02</v>
          </cell>
          <cell r="O38">
            <v>500</v>
          </cell>
          <cell r="P38">
            <v>1000</v>
          </cell>
          <cell r="Q38">
            <v>500</v>
          </cell>
          <cell r="R38">
            <v>500000</v>
          </cell>
        </row>
        <row r="39">
          <cell r="C39" t="str">
            <v>T0118</v>
          </cell>
          <cell r="D39" t="str">
            <v>NQ0020</v>
          </cell>
          <cell r="E39" t="str">
            <v>Carbazochrom dihyrat</v>
          </cell>
          <cell r="F39" t="str">
            <v>Adrenoxyl</v>
          </cell>
          <cell r="G39" t="str">
            <v>10mg</v>
          </cell>
          <cell r="H39" t="str">
            <v>viên</v>
          </cell>
          <cell r="I39" t="str">
            <v>Hộp 1 vỉ x 16 viên nén</v>
          </cell>
          <cell r="J39" t="str">
            <v>Sanofi-Synthelabo VNLD Pháp</v>
          </cell>
          <cell r="K39" t="str">
            <v>Việt Nam</v>
          </cell>
          <cell r="L39" t="str">
            <v>Lô 02</v>
          </cell>
          <cell r="M39">
            <v>1250</v>
          </cell>
          <cell r="N39">
            <v>500</v>
          </cell>
          <cell r="O39">
            <v>1250</v>
          </cell>
          <cell r="P39">
            <v>1000</v>
          </cell>
          <cell r="Q39">
            <v>1250</v>
          </cell>
          <cell r="R39">
            <v>1250000</v>
          </cell>
        </row>
        <row r="40">
          <cell r="C40" t="str">
            <v>T0122</v>
          </cell>
          <cell r="D40" t="str">
            <v>NQ0022</v>
          </cell>
          <cell r="E40" t="str">
            <v>Cefaclor</v>
          </cell>
          <cell r="F40" t="str">
            <v>pms-Imeclor 125 gói</v>
          </cell>
          <cell r="G40" t="str">
            <v>125mg</v>
          </cell>
          <cell r="H40" t="str">
            <v>gói</v>
          </cell>
          <cell r="I40" t="str">
            <v>h/12 gói</v>
          </cell>
          <cell r="J40" t="str">
            <v>Imexpharm</v>
          </cell>
          <cell r="K40" t="str">
            <v>Việt Nam</v>
          </cell>
          <cell r="L40" t="str">
            <v>Lô 02</v>
          </cell>
          <cell r="M40">
            <v>3150</v>
          </cell>
          <cell r="N40">
            <v>4000</v>
          </cell>
          <cell r="O40">
            <v>3150</v>
          </cell>
          <cell r="P40">
            <v>5000</v>
          </cell>
          <cell r="Q40">
            <v>3150</v>
          </cell>
          <cell r="R40">
            <v>15750000</v>
          </cell>
        </row>
        <row r="41">
          <cell r="C41" t="str">
            <v>T0128</v>
          </cell>
          <cell r="D41" t="str">
            <v>TN0068</v>
          </cell>
          <cell r="E41" t="str">
            <v>Cefadroxyl</v>
          </cell>
          <cell r="F41" t="str">
            <v>Mekocefal 500mg</v>
          </cell>
          <cell r="G41" t="str">
            <v>500mg</v>
          </cell>
          <cell r="H41" t="str">
            <v>viên</v>
          </cell>
          <cell r="I41" t="str">
            <v>Hộp 1vỉ x 10VNA</v>
          </cell>
          <cell r="J41" t="str">
            <v>Mekophar</v>
          </cell>
          <cell r="K41" t="str">
            <v>Việt Nam</v>
          </cell>
          <cell r="L41" t="str">
            <v>Lô 02</v>
          </cell>
          <cell r="O41">
            <v>1100</v>
          </cell>
          <cell r="P41">
            <v>5000</v>
          </cell>
          <cell r="Q41">
            <v>1100</v>
          </cell>
          <cell r="R41">
            <v>5500000</v>
          </cell>
        </row>
        <row r="42">
          <cell r="C42" t="str">
            <v>T0139</v>
          </cell>
          <cell r="D42" t="str">
            <v>NQ0024</v>
          </cell>
          <cell r="E42" t="str">
            <v xml:space="preserve">Cefixim  </v>
          </cell>
          <cell r="F42" t="str">
            <v>CROCIN KID</v>
          </cell>
          <cell r="G42" t="str">
            <v>100mg</v>
          </cell>
          <cell r="H42" t="str">
            <v>viên</v>
          </cell>
          <cell r="I42" t="str">
            <v>Hộp 25 gói</v>
          </cell>
          <cell r="J42" t="str">
            <v>Pymepharco ld Belipharm(Bỉ)</v>
          </cell>
          <cell r="K42" t="str">
            <v>Việt Nam</v>
          </cell>
          <cell r="L42" t="str">
            <v>Lô 02</v>
          </cell>
          <cell r="O42">
            <v>5500</v>
          </cell>
          <cell r="P42">
            <v>10000</v>
          </cell>
          <cell r="Q42">
            <v>5500</v>
          </cell>
          <cell r="R42">
            <v>55000000</v>
          </cell>
        </row>
        <row r="43">
          <cell r="C43" t="str">
            <v>T0140</v>
          </cell>
          <cell r="D43" t="str">
            <v>NQ0025</v>
          </cell>
          <cell r="E43" t="str">
            <v xml:space="preserve">Cefixim  </v>
          </cell>
          <cell r="F43" t="str">
            <v>MINICEF 200</v>
          </cell>
          <cell r="G43" t="str">
            <v>200mg</v>
          </cell>
          <cell r="H43" t="str">
            <v>viên</v>
          </cell>
          <cell r="I43" t="str">
            <v>Hộp 10 viên</v>
          </cell>
          <cell r="J43" t="str">
            <v>Pymepharco ld Belipharm(Bỉ)</v>
          </cell>
          <cell r="K43" t="str">
            <v>Việt Nam</v>
          </cell>
          <cell r="L43" t="str">
            <v>Lô 02</v>
          </cell>
          <cell r="O43">
            <v>6190</v>
          </cell>
          <cell r="P43">
            <v>10000</v>
          </cell>
          <cell r="Q43">
            <v>6190</v>
          </cell>
          <cell r="R43">
            <v>61900000</v>
          </cell>
        </row>
        <row r="44">
          <cell r="C44" t="str">
            <v>T0145</v>
          </cell>
          <cell r="D44" t="str">
            <v>TN0075</v>
          </cell>
          <cell r="E44" t="str">
            <v xml:space="preserve">Cefixim      </v>
          </cell>
          <cell r="F44" t="str">
            <v>Bicefixim 50</v>
          </cell>
          <cell r="G44" t="str">
            <v>50mg</v>
          </cell>
          <cell r="H44" t="str">
            <v>gói</v>
          </cell>
          <cell r="I44" t="str">
            <v>Hộp 20 gói</v>
          </cell>
          <cell r="J44" t="str">
            <v>Bidiphar 1</v>
          </cell>
          <cell r="K44" t="str">
            <v>Việt Nam</v>
          </cell>
          <cell r="L44" t="str">
            <v>Lô 02</v>
          </cell>
          <cell r="O44">
            <v>2835</v>
          </cell>
          <cell r="P44">
            <v>10000</v>
          </cell>
          <cell r="Q44">
            <v>2835</v>
          </cell>
          <cell r="R44">
            <v>28350000</v>
          </cell>
        </row>
        <row r="45">
          <cell r="C45" t="str">
            <v>T0181</v>
          </cell>
          <cell r="E45" t="str">
            <v>Cecoxibe</v>
          </cell>
          <cell r="F45" t="str">
            <v>Cecoxibe</v>
          </cell>
          <cell r="G45" t="str">
            <v>200mg</v>
          </cell>
          <cell r="H45" t="str">
            <v>viên</v>
          </cell>
          <cell r="I45" t="str">
            <v>Hộp 100vien</v>
          </cell>
          <cell r="J45" t="str">
            <v>TV.Pharm</v>
          </cell>
          <cell r="K45" t="str">
            <v>Việt Nam</v>
          </cell>
          <cell r="L45" t="str">
            <v>Lô2</v>
          </cell>
          <cell r="O45">
            <v>588</v>
          </cell>
          <cell r="P45">
            <v>10000</v>
          </cell>
          <cell r="Q45">
            <v>588</v>
          </cell>
          <cell r="R45">
            <v>5880000</v>
          </cell>
        </row>
        <row r="46">
          <cell r="C46" t="str">
            <v>T0174</v>
          </cell>
          <cell r="D46" t="str">
            <v>TN0081</v>
          </cell>
          <cell r="E46" t="str">
            <v>Cefuroxim</v>
          </cell>
          <cell r="F46" t="str">
            <v xml:space="preserve">Travinat </v>
          </cell>
          <cell r="G46" t="str">
            <v>250mg</v>
          </cell>
          <cell r="H46" t="str">
            <v>vien</v>
          </cell>
          <cell r="I46" t="str">
            <v>V/10, H/20</v>
          </cell>
          <cell r="J46" t="str">
            <v>TV.Pharm</v>
          </cell>
          <cell r="K46" t="str">
            <v>Việt Nam</v>
          </cell>
          <cell r="L46" t="str">
            <v>Lô 02</v>
          </cell>
          <cell r="O46">
            <v>2600</v>
          </cell>
          <cell r="P46">
            <v>5000</v>
          </cell>
          <cell r="Q46">
            <v>2600</v>
          </cell>
          <cell r="R46">
            <v>13000000</v>
          </cell>
        </row>
        <row r="47">
          <cell r="C47" t="str">
            <v>T0176</v>
          </cell>
          <cell r="D47" t="str">
            <v>TN0083</v>
          </cell>
          <cell r="E47" t="str">
            <v>Cefuroxim (Haginat® hoặc tương đương điều trị)</v>
          </cell>
          <cell r="F47" t="str">
            <v>Haginat</v>
          </cell>
          <cell r="G47" t="str">
            <v>125mg</v>
          </cell>
          <cell r="H47" t="str">
            <v>gói</v>
          </cell>
          <cell r="I47" t="str">
            <v>h/10 gói</v>
          </cell>
          <cell r="J47" t="str">
            <v>CTCP Dược Hậu Giang</v>
          </cell>
          <cell r="K47" t="str">
            <v>Việt Nam</v>
          </cell>
          <cell r="L47" t="str">
            <v>Lô 02</v>
          </cell>
          <cell r="M47">
            <v>8925</v>
          </cell>
          <cell r="N47">
            <v>9000</v>
          </cell>
          <cell r="O47">
            <v>8925</v>
          </cell>
          <cell r="P47">
            <v>10000</v>
          </cell>
          <cell r="Q47">
            <v>8925</v>
          </cell>
          <cell r="R47">
            <v>89250000</v>
          </cell>
        </row>
        <row r="48">
          <cell r="C48" t="str">
            <v>T0177</v>
          </cell>
          <cell r="D48" t="str">
            <v>TN0084</v>
          </cell>
          <cell r="E48" t="str">
            <v>Cefuroxim (Haginat® hoặc tương đương điều trị)</v>
          </cell>
          <cell r="F48" t="str">
            <v>Haginat</v>
          </cell>
          <cell r="G48" t="str">
            <v>500mg</v>
          </cell>
          <cell r="H48" t="str">
            <v>viên</v>
          </cell>
          <cell r="I48" t="str">
            <v>v/5 h/10 viên</v>
          </cell>
          <cell r="J48" t="str">
            <v>CTCP Dược Hậu Giang</v>
          </cell>
          <cell r="K48" t="str">
            <v>Việt Nam</v>
          </cell>
          <cell r="L48" t="str">
            <v>Lô 02</v>
          </cell>
          <cell r="M48">
            <v>14900</v>
          </cell>
          <cell r="N48">
            <v>8000</v>
          </cell>
          <cell r="O48">
            <v>14999</v>
          </cell>
          <cell r="P48">
            <v>9000</v>
          </cell>
          <cell r="Q48">
            <v>14999</v>
          </cell>
          <cell r="R48">
            <v>134991000</v>
          </cell>
        </row>
        <row r="49">
          <cell r="C49" t="str">
            <v>T0180</v>
          </cell>
          <cell r="D49" t="str">
            <v>NQ0037</v>
          </cell>
          <cell r="E49" t="str">
            <v>Cefuroxime</v>
          </cell>
          <cell r="F49" t="str">
            <v>Cefucap 500</v>
          </cell>
          <cell r="G49" t="str">
            <v>500mg</v>
          </cell>
          <cell r="H49" t="str">
            <v>viên</v>
          </cell>
          <cell r="I49" t="str">
            <v>Hộp 2 vỉ x 5 viên nén dài bao phim</v>
          </cell>
          <cell r="J49" t="str">
            <v>Công ty Cổ phần Dược Phẩm Cần Giờ</v>
          </cell>
          <cell r="K49" t="str">
            <v>Việt Nam</v>
          </cell>
          <cell r="L49" t="str">
            <v>Lô 02</v>
          </cell>
          <cell r="M49">
            <v>10900</v>
          </cell>
          <cell r="N49">
            <v>8000</v>
          </cell>
          <cell r="O49">
            <v>10900</v>
          </cell>
          <cell r="P49">
            <v>10000</v>
          </cell>
          <cell r="Q49">
            <v>10900</v>
          </cell>
          <cell r="R49">
            <v>109000000</v>
          </cell>
        </row>
        <row r="50">
          <cell r="C50" t="str">
            <v>T0183</v>
          </cell>
          <cell r="D50" t="str">
            <v>TN0087</v>
          </cell>
          <cell r="E50" t="str">
            <v xml:space="preserve">Cephalexin   </v>
          </cell>
          <cell r="F50" t="str">
            <v>CEFALEXIN 500MG</v>
          </cell>
          <cell r="G50" t="str">
            <v>500mg</v>
          </cell>
          <cell r="H50" t="str">
            <v>viên</v>
          </cell>
          <cell r="I50" t="str">
            <v>HỘP 10 VĨ X 10 VNA</v>
          </cell>
          <cell r="J50" t="str">
            <v>DOMESCO</v>
          </cell>
          <cell r="K50" t="str">
            <v>Việt Nam</v>
          </cell>
          <cell r="L50" t="str">
            <v>Lô 02</v>
          </cell>
          <cell r="M50">
            <v>780</v>
          </cell>
          <cell r="N50">
            <v>36000</v>
          </cell>
          <cell r="O50">
            <v>780</v>
          </cell>
          <cell r="P50">
            <v>40000</v>
          </cell>
          <cell r="Q50">
            <v>780</v>
          </cell>
          <cell r="R50">
            <v>31200000</v>
          </cell>
        </row>
        <row r="51">
          <cell r="C51" t="str">
            <v>T0186</v>
          </cell>
          <cell r="D51" t="str">
            <v>TN0090</v>
          </cell>
          <cell r="E51" t="str">
            <v>Cetirizin</v>
          </cell>
          <cell r="F51" t="str">
            <v>Cetirizin 10mg</v>
          </cell>
          <cell r="G51" t="str">
            <v>10mg</v>
          </cell>
          <cell r="H51" t="str">
            <v>viên</v>
          </cell>
          <cell r="I51" t="str">
            <v>H/10v/10</v>
          </cell>
          <cell r="J51" t="str">
            <v>Pharimexco</v>
          </cell>
          <cell r="K51" t="str">
            <v>Việt Nam</v>
          </cell>
          <cell r="L51" t="str">
            <v>Lô 02</v>
          </cell>
          <cell r="M51">
            <v>140</v>
          </cell>
          <cell r="N51">
            <v>9000</v>
          </cell>
          <cell r="O51">
            <v>140</v>
          </cell>
          <cell r="P51">
            <v>10000</v>
          </cell>
          <cell r="Q51">
            <v>140</v>
          </cell>
          <cell r="R51">
            <v>1400000</v>
          </cell>
        </row>
        <row r="52">
          <cell r="C52" t="str">
            <v>T0187</v>
          </cell>
          <cell r="D52" t="str">
            <v>TN0103</v>
          </cell>
          <cell r="E52" t="str">
            <v xml:space="preserve">Chlopheniramin  </v>
          </cell>
          <cell r="F52" t="str">
            <v xml:space="preserve">Chlopheniramin  4mg </v>
          </cell>
          <cell r="G52" t="str">
            <v>4mg</v>
          </cell>
          <cell r="H52" t="str">
            <v>viên</v>
          </cell>
          <cell r="I52" t="str">
            <v>Lọ 150 viên</v>
          </cell>
          <cell r="J52" t="str">
            <v>Bidiphar 1</v>
          </cell>
          <cell r="K52" t="str">
            <v>Việt Nam</v>
          </cell>
          <cell r="L52" t="str">
            <v>Lô 02</v>
          </cell>
          <cell r="M52">
            <v>42</v>
          </cell>
          <cell r="N52">
            <v>18000</v>
          </cell>
          <cell r="O52">
            <v>42</v>
          </cell>
          <cell r="P52">
            <v>20000</v>
          </cell>
          <cell r="Q52">
            <v>42</v>
          </cell>
          <cell r="R52">
            <v>840000</v>
          </cell>
        </row>
        <row r="53">
          <cell r="C53" t="str">
            <v>T0188</v>
          </cell>
          <cell r="D53" t="str">
            <v>TN0104</v>
          </cell>
          <cell r="E53" t="str">
            <v xml:space="preserve">Chloramphenicol    </v>
          </cell>
          <cell r="F53" t="str">
            <v>Chloramphenicol  0,4% 5ml</v>
          </cell>
          <cell r="G53" t="str">
            <v>0,4%</v>
          </cell>
          <cell r="H53" t="str">
            <v>lọ</v>
          </cell>
          <cell r="I53" t="str">
            <v>Hộp 1 lọ</v>
          </cell>
          <cell r="J53" t="str">
            <v>Bidiphar 1</v>
          </cell>
          <cell r="K53" t="str">
            <v>Việt Nam</v>
          </cell>
          <cell r="L53" t="str">
            <v>Lô 02</v>
          </cell>
          <cell r="O53">
            <v>1995</v>
          </cell>
          <cell r="P53">
            <v>200</v>
          </cell>
          <cell r="Q53">
            <v>1995</v>
          </cell>
          <cell r="R53">
            <v>399000</v>
          </cell>
        </row>
        <row r="54">
          <cell r="C54" t="str">
            <v>T0193</v>
          </cell>
          <cell r="D54" t="str">
            <v>TN0092</v>
          </cell>
          <cell r="E54" t="str">
            <v xml:space="preserve">Ciprofloxacin     </v>
          </cell>
          <cell r="F54" t="str">
            <v>DOROCIPLO</v>
          </cell>
          <cell r="G54" t="str">
            <v>500mg</v>
          </cell>
          <cell r="H54" t="str">
            <v>viên</v>
          </cell>
          <cell r="I54" t="str">
            <v>HỘP 10 VĨ X 10 VBF</v>
          </cell>
          <cell r="J54" t="str">
            <v>DOMESCO</v>
          </cell>
          <cell r="K54" t="str">
            <v>Việt Nam</v>
          </cell>
          <cell r="L54" t="str">
            <v>Lô 02</v>
          </cell>
          <cell r="M54">
            <v>710</v>
          </cell>
          <cell r="N54">
            <v>7000</v>
          </cell>
          <cell r="O54">
            <v>710</v>
          </cell>
          <cell r="P54">
            <v>8000</v>
          </cell>
          <cell r="Q54">
            <v>710</v>
          </cell>
          <cell r="R54">
            <v>5680000</v>
          </cell>
        </row>
        <row r="55">
          <cell r="C55" t="str">
            <v>T0194</v>
          </cell>
          <cell r="D55" t="str">
            <v>TN0093</v>
          </cell>
          <cell r="E55" t="str">
            <v xml:space="preserve">Ciprofloxacin      </v>
          </cell>
          <cell r="F55" t="str">
            <v>Ciprofloxacin 0,3% 5ml</v>
          </cell>
          <cell r="G55" t="str">
            <v>0,3%/5ml</v>
          </cell>
          <cell r="H55" t="str">
            <v>lọ</v>
          </cell>
          <cell r="I55" t="str">
            <v>Hộp 1 lọ</v>
          </cell>
          <cell r="J55" t="str">
            <v>Bidiphar 1</v>
          </cell>
          <cell r="K55" t="str">
            <v>Việt Nam</v>
          </cell>
          <cell r="L55" t="str">
            <v>Lô 02</v>
          </cell>
          <cell r="O55">
            <v>4620</v>
          </cell>
          <cell r="P55">
            <v>500</v>
          </cell>
          <cell r="Q55">
            <v>4620</v>
          </cell>
          <cell r="R55">
            <v>2310000</v>
          </cell>
        </row>
        <row r="56">
          <cell r="C56" t="str">
            <v>T0198</v>
          </cell>
          <cell r="D56" t="str">
            <v>TN0095</v>
          </cell>
          <cell r="E56" t="str">
            <v xml:space="preserve">Clarithromycin      </v>
          </cell>
          <cell r="F56" t="str">
            <v>Clabact 500mg</v>
          </cell>
          <cell r="G56" t="str">
            <v>500mg</v>
          </cell>
          <cell r="H56" t="str">
            <v>viên</v>
          </cell>
          <cell r="I56" t="str">
            <v>v/7 h/14 viên</v>
          </cell>
          <cell r="J56" t="str">
            <v>CTCP Dược Hậu Giang</v>
          </cell>
          <cell r="K56" t="str">
            <v>Việt Nam</v>
          </cell>
          <cell r="L56" t="str">
            <v>Lô 02</v>
          </cell>
          <cell r="M56">
            <v>5250</v>
          </cell>
          <cell r="N56">
            <v>8000</v>
          </cell>
          <cell r="O56">
            <v>5250</v>
          </cell>
          <cell r="P56">
            <v>10000</v>
          </cell>
          <cell r="Q56">
            <v>5250</v>
          </cell>
          <cell r="R56">
            <v>52500000</v>
          </cell>
        </row>
        <row r="57">
          <cell r="C57" t="str">
            <v>T0199</v>
          </cell>
          <cell r="D57" t="str">
            <v>TN0096</v>
          </cell>
          <cell r="E57" t="str">
            <v xml:space="preserve">Clarithromycin      </v>
          </cell>
          <cell r="F57" t="str">
            <v>Clabact 250mg</v>
          </cell>
          <cell r="G57" t="str">
            <v>250mg</v>
          </cell>
          <cell r="H57" t="str">
            <v>viên</v>
          </cell>
          <cell r="I57" t="str">
            <v>v/10 h/20 viên</v>
          </cell>
          <cell r="J57" t="str">
            <v>CTCP Dược Hậu Giang</v>
          </cell>
          <cell r="K57" t="str">
            <v>Việt Nam</v>
          </cell>
          <cell r="L57" t="str">
            <v>Lô 02</v>
          </cell>
          <cell r="O57">
            <v>2625</v>
          </cell>
          <cell r="P57">
            <v>5000</v>
          </cell>
          <cell r="Q57">
            <v>2625</v>
          </cell>
          <cell r="R57">
            <v>13125000</v>
          </cell>
        </row>
        <row r="58">
          <cell r="C58" t="str">
            <v>T0209</v>
          </cell>
          <cell r="D58" t="str">
            <v>TN0106</v>
          </cell>
          <cell r="E58" t="str">
            <v xml:space="preserve">Dexamethasone   </v>
          </cell>
          <cell r="F58" t="str">
            <v>Dexamethasone 4mg</v>
          </cell>
          <cell r="G58" t="str">
            <v>4mg/1ml</v>
          </cell>
          <cell r="H58" t="str">
            <v>ống</v>
          </cell>
          <cell r="I58" t="str">
            <v>Hộp 10 ống</v>
          </cell>
          <cell r="J58" t="str">
            <v>Fresenius Kabi Bidiphar</v>
          </cell>
          <cell r="K58" t="str">
            <v>Việt Nam</v>
          </cell>
          <cell r="L58" t="str">
            <v>Lô 02</v>
          </cell>
          <cell r="M58">
            <v>966</v>
          </cell>
          <cell r="N58">
            <v>400</v>
          </cell>
          <cell r="O58">
            <v>966</v>
          </cell>
          <cell r="P58">
            <v>500</v>
          </cell>
          <cell r="Q58">
            <v>966</v>
          </cell>
          <cell r="R58">
            <v>483000</v>
          </cell>
        </row>
        <row r="59">
          <cell r="C59" t="str">
            <v>T0218</v>
          </cell>
          <cell r="D59" t="str">
            <v>TN0110</v>
          </cell>
          <cell r="E59" t="str">
            <v xml:space="preserve">Diclofenac  </v>
          </cell>
          <cell r="F59" t="str">
            <v xml:space="preserve">Diclofenac  </v>
          </cell>
          <cell r="G59" t="str">
            <v>75mg/3ml</v>
          </cell>
          <cell r="H59" t="str">
            <v>ống</v>
          </cell>
          <cell r="I59" t="str">
            <v>h/10 ống 3ml</v>
          </cell>
          <cell r="J59" t="str">
            <v>CTCP DP Vĩnh Phúc</v>
          </cell>
          <cell r="K59" t="str">
            <v>Việt Nam</v>
          </cell>
          <cell r="L59" t="str">
            <v>Lô 02</v>
          </cell>
          <cell r="M59">
            <v>1100</v>
          </cell>
          <cell r="N59">
            <v>400</v>
          </cell>
          <cell r="O59">
            <v>1100</v>
          </cell>
          <cell r="P59">
            <v>500</v>
          </cell>
          <cell r="Q59">
            <v>1100</v>
          </cell>
          <cell r="R59">
            <v>550000</v>
          </cell>
        </row>
        <row r="60">
          <cell r="C60" t="str">
            <v>T0219</v>
          </cell>
          <cell r="D60" t="str">
            <v>TN0111</v>
          </cell>
          <cell r="E60" t="str">
            <v xml:space="preserve">Diclofenac    </v>
          </cell>
          <cell r="F60" t="str">
            <v>DICLOFENAC 50</v>
          </cell>
          <cell r="G60" t="str">
            <v>50mg</v>
          </cell>
          <cell r="H60" t="str">
            <v>viên</v>
          </cell>
          <cell r="I60" t="str">
            <v xml:space="preserve">Hộp 5 vỉ x 10 viên </v>
          </cell>
          <cell r="J60" t="str">
            <v>Vacopharm</v>
          </cell>
          <cell r="K60" t="str">
            <v>Việt Nam</v>
          </cell>
          <cell r="L60" t="str">
            <v>Lô 02</v>
          </cell>
          <cell r="M60">
            <v>142</v>
          </cell>
          <cell r="N60">
            <v>2000</v>
          </cell>
          <cell r="O60">
            <v>142</v>
          </cell>
          <cell r="P60">
            <v>15000</v>
          </cell>
          <cell r="Q60">
            <v>142</v>
          </cell>
          <cell r="R60">
            <v>2130000</v>
          </cell>
        </row>
        <row r="61">
          <cell r="C61" t="str">
            <v>T0224</v>
          </cell>
          <cell r="D61" t="str">
            <v>TN0116</v>
          </cell>
          <cell r="E61" t="str">
            <v xml:space="preserve">Diosmectite </v>
          </cell>
          <cell r="F61" t="str">
            <v>Hamétt</v>
          </cell>
          <cell r="G61" t="str">
            <v>3g</v>
          </cell>
          <cell r="H61" t="str">
            <v>gói</v>
          </cell>
          <cell r="I61" t="str">
            <v>h/15 gói</v>
          </cell>
          <cell r="J61" t="str">
            <v>CTCP Dược Hậu Giang</v>
          </cell>
          <cell r="K61" t="str">
            <v>Việt Nam</v>
          </cell>
          <cell r="L61" t="str">
            <v>Lô 02</v>
          </cell>
          <cell r="M61">
            <v>2100</v>
          </cell>
          <cell r="N61">
            <v>5000</v>
          </cell>
          <cell r="O61">
            <v>2100</v>
          </cell>
          <cell r="P61">
            <v>10000</v>
          </cell>
          <cell r="Q61">
            <v>2100</v>
          </cell>
          <cell r="R61">
            <v>21000000</v>
          </cell>
        </row>
        <row r="62">
          <cell r="C62" t="str">
            <v>T0231</v>
          </cell>
          <cell r="D62" t="str">
            <v>TN0117</v>
          </cell>
          <cell r="E62" t="str">
            <v>Domperidol 10mg</v>
          </cell>
          <cell r="F62" t="str">
            <v>Mobium</v>
          </cell>
          <cell r="G62" t="str">
            <v>10mg</v>
          </cell>
          <cell r="H62" t="str">
            <v>viên</v>
          </cell>
          <cell r="I62" t="str">
            <v>H/10v/10</v>
          </cell>
          <cell r="J62" t="str">
            <v>Pharimexco</v>
          </cell>
          <cell r="K62" t="str">
            <v>Việt Nam</v>
          </cell>
          <cell r="L62" t="str">
            <v>Lô 02</v>
          </cell>
          <cell r="M62">
            <v>174</v>
          </cell>
          <cell r="N62">
            <v>45000</v>
          </cell>
          <cell r="O62">
            <v>174</v>
          </cell>
          <cell r="P62">
            <v>50000</v>
          </cell>
          <cell r="Q62">
            <v>174</v>
          </cell>
          <cell r="R62">
            <v>8700000</v>
          </cell>
        </row>
        <row r="63">
          <cell r="C63" t="str">
            <v>T0238</v>
          </cell>
          <cell r="D63" t="str">
            <v>NQ0043</v>
          </cell>
          <cell r="E63" t="str">
            <v>Drotaverine</v>
          </cell>
          <cell r="F63" t="str">
            <v>PYME NO- 40</v>
          </cell>
          <cell r="G63" t="str">
            <v>40mg</v>
          </cell>
          <cell r="H63" t="str">
            <v>viên</v>
          </cell>
          <cell r="I63" t="str">
            <v>Hộp 50 viên</v>
          </cell>
          <cell r="J63" t="str">
            <v>Pymepharco ld Belipharm(Bỉ)</v>
          </cell>
          <cell r="K63" t="str">
            <v>Việt Nam</v>
          </cell>
          <cell r="L63" t="str">
            <v>Lô 02</v>
          </cell>
          <cell r="M63">
            <v>450</v>
          </cell>
          <cell r="N63">
            <v>8000</v>
          </cell>
          <cell r="O63">
            <v>450</v>
          </cell>
          <cell r="P63">
            <v>8000</v>
          </cell>
          <cell r="Q63">
            <v>450</v>
          </cell>
          <cell r="R63">
            <v>3600000</v>
          </cell>
        </row>
        <row r="64">
          <cell r="C64" t="str">
            <v>T0248</v>
          </cell>
          <cell r="D64" t="str">
            <v>TN0123</v>
          </cell>
          <cell r="E64" t="str">
            <v xml:space="preserve">Eprazinon    </v>
          </cell>
          <cell r="F64" t="str">
            <v>MOLITOUX</v>
          </cell>
          <cell r="G64" t="str">
            <v>50mg</v>
          </cell>
          <cell r="H64" t="str">
            <v>viên</v>
          </cell>
          <cell r="I64" t="str">
            <v>HỘP 2 VĨ X 15 VBF</v>
          </cell>
          <cell r="J64" t="str">
            <v>DOMESCO</v>
          </cell>
          <cell r="K64" t="str">
            <v>Việt Nam</v>
          </cell>
          <cell r="L64" t="str">
            <v>Lô 02</v>
          </cell>
          <cell r="M64">
            <v>750</v>
          </cell>
          <cell r="N64">
            <v>18000</v>
          </cell>
          <cell r="O64">
            <v>750</v>
          </cell>
          <cell r="P64">
            <v>20000</v>
          </cell>
          <cell r="Q64">
            <v>750</v>
          </cell>
          <cell r="R64">
            <v>15000000</v>
          </cell>
        </row>
        <row r="65">
          <cell r="C65" t="str">
            <v>T0274</v>
          </cell>
          <cell r="D65" t="str">
            <v>TN0132</v>
          </cell>
          <cell r="E65" t="str">
            <v xml:space="preserve">Fexofenadin     </v>
          </cell>
          <cell r="F65" t="str">
            <v>Telfor 60mg</v>
          </cell>
          <cell r="G65" t="str">
            <v>60mg</v>
          </cell>
          <cell r="H65" t="str">
            <v>viên</v>
          </cell>
          <cell r="I65" t="str">
            <v>v/10 h/20 viên</v>
          </cell>
          <cell r="J65" t="str">
            <v>CTCP Dược Hậu Giang</v>
          </cell>
          <cell r="K65" t="str">
            <v>Việt Nam</v>
          </cell>
          <cell r="L65" t="str">
            <v>Lô 02</v>
          </cell>
          <cell r="M65">
            <v>1599</v>
          </cell>
          <cell r="N65">
            <v>20000</v>
          </cell>
          <cell r="O65">
            <v>1599</v>
          </cell>
          <cell r="P65">
            <v>20000</v>
          </cell>
          <cell r="Q65">
            <v>1599</v>
          </cell>
          <cell r="R65">
            <v>31980000</v>
          </cell>
        </row>
        <row r="66">
          <cell r="C66" t="str">
            <v>T0277</v>
          </cell>
          <cell r="D66" t="str">
            <v>TN0033</v>
          </cell>
          <cell r="E66" t="str">
            <v>Fexofenadin …..120mg</v>
          </cell>
          <cell r="F66" t="str">
            <v>Fexofenadin 120</v>
          </cell>
          <cell r="G66" t="str">
            <v>120mg</v>
          </cell>
          <cell r="H66" t="str">
            <v>viên</v>
          </cell>
          <cell r="I66" t="str">
            <v>H/1v/10</v>
          </cell>
          <cell r="J66" t="str">
            <v>Công ty CP Dược phẩm Cửu Long</v>
          </cell>
          <cell r="K66" t="str">
            <v>Việt Nam</v>
          </cell>
          <cell r="L66" t="str">
            <v>Lô 02</v>
          </cell>
          <cell r="O66">
            <v>1450</v>
          </cell>
          <cell r="P66">
            <v>5000</v>
          </cell>
          <cell r="Q66">
            <v>1450</v>
          </cell>
          <cell r="R66">
            <v>7250000</v>
          </cell>
        </row>
        <row r="67">
          <cell r="C67" t="str">
            <v>T0288</v>
          </cell>
          <cell r="D67" t="str">
            <v>TN0137</v>
          </cell>
          <cell r="E67" t="str">
            <v>Furosemid</v>
          </cell>
          <cell r="F67" t="str">
            <v>Furosemid 40mg</v>
          </cell>
          <cell r="G67" t="str">
            <v>40mg</v>
          </cell>
          <cell r="H67" t="str">
            <v>viên</v>
          </cell>
          <cell r="I67" t="str">
            <v>Hộp 10vỉ x 30VNE</v>
          </cell>
          <cell r="J67" t="str">
            <v>Mekophar</v>
          </cell>
          <cell r="K67" t="str">
            <v>Việt Nam</v>
          </cell>
          <cell r="L67" t="str">
            <v>Lô 02</v>
          </cell>
          <cell r="M67">
            <v>132</v>
          </cell>
          <cell r="N67">
            <v>2500</v>
          </cell>
          <cell r="O67">
            <v>132</v>
          </cell>
          <cell r="P67">
            <v>1000</v>
          </cell>
          <cell r="Q67">
            <v>132</v>
          </cell>
          <cell r="R67">
            <v>132000</v>
          </cell>
        </row>
        <row r="68">
          <cell r="C68" t="str">
            <v>T0294</v>
          </cell>
          <cell r="D68" t="str">
            <v>TN0139</v>
          </cell>
          <cell r="E68" t="str">
            <v>Gentamicin</v>
          </cell>
          <cell r="F68" t="str">
            <v>Gentamicin  0,3% 5ml</v>
          </cell>
          <cell r="G68" t="str">
            <v>0,3% 5ml</v>
          </cell>
          <cell r="H68" t="str">
            <v>lọ</v>
          </cell>
          <cell r="I68" t="str">
            <v>Hộp 1 lọ</v>
          </cell>
          <cell r="J68" t="str">
            <v>Bidiphar 1</v>
          </cell>
          <cell r="K68" t="str">
            <v>Việt Nam</v>
          </cell>
          <cell r="L68" t="str">
            <v>Lô 02</v>
          </cell>
          <cell r="M68">
            <v>2310</v>
          </cell>
          <cell r="N68">
            <v>500</v>
          </cell>
          <cell r="O68">
            <v>2310</v>
          </cell>
          <cell r="P68">
            <v>600</v>
          </cell>
          <cell r="Q68">
            <v>2310</v>
          </cell>
          <cell r="R68">
            <v>1386000</v>
          </cell>
        </row>
        <row r="69">
          <cell r="C69" t="str">
            <v>T0295</v>
          </cell>
          <cell r="D69" t="str">
            <v>TN0140</v>
          </cell>
          <cell r="E69" t="str">
            <v>Gentamicin</v>
          </cell>
          <cell r="F69" t="str">
            <v>Gentamycin 40mg</v>
          </cell>
          <cell r="G69" t="str">
            <v>40mg</v>
          </cell>
          <cell r="H69" t="str">
            <v>ống</v>
          </cell>
          <cell r="I69" t="str">
            <v>Hộp 10 ống</v>
          </cell>
          <cell r="J69" t="str">
            <v>Fresenius Kabi Bidiphar</v>
          </cell>
          <cell r="K69" t="str">
            <v>Việt Nam</v>
          </cell>
          <cell r="L69" t="str">
            <v>Lô 02</v>
          </cell>
          <cell r="M69">
            <v>945</v>
          </cell>
          <cell r="N69">
            <v>400</v>
          </cell>
          <cell r="O69">
            <v>945</v>
          </cell>
          <cell r="P69">
            <v>500</v>
          </cell>
          <cell r="Q69">
            <v>945</v>
          </cell>
          <cell r="R69">
            <v>472500</v>
          </cell>
        </row>
        <row r="70">
          <cell r="C70" t="str">
            <v>T0296</v>
          </cell>
          <cell r="D70" t="str">
            <v>NQ0049</v>
          </cell>
          <cell r="E70" t="str">
            <v>Gentamycin</v>
          </cell>
          <cell r="F70" t="str">
            <v>Gentamycin 80mg</v>
          </cell>
          <cell r="G70" t="str">
            <v>80mg</v>
          </cell>
          <cell r="H70" t="str">
            <v>ống</v>
          </cell>
          <cell r="I70" t="str">
            <v>Hộp 50 ống</v>
          </cell>
          <cell r="J70" t="str">
            <v>Fresenius Kabi Bidiphar</v>
          </cell>
          <cell r="K70" t="str">
            <v>Việt Nam</v>
          </cell>
          <cell r="L70" t="str">
            <v>Lô 02</v>
          </cell>
          <cell r="M70">
            <v>1365</v>
          </cell>
          <cell r="N70">
            <v>500</v>
          </cell>
          <cell r="O70">
            <v>1365</v>
          </cell>
          <cell r="P70">
            <v>500</v>
          </cell>
          <cell r="Q70">
            <v>1365</v>
          </cell>
          <cell r="R70">
            <v>682500</v>
          </cell>
        </row>
        <row r="71">
          <cell r="C71" t="str">
            <v>T0297</v>
          </cell>
          <cell r="D71" t="str">
            <v>TN0141</v>
          </cell>
          <cell r="E71" t="str">
            <v xml:space="preserve">Gentamycine   </v>
          </cell>
          <cell r="F71" t="str">
            <v>Gentamycin 80mg</v>
          </cell>
          <cell r="G71" t="str">
            <v>80mg</v>
          </cell>
          <cell r="H71" t="str">
            <v>ống</v>
          </cell>
          <cell r="I71" t="str">
            <v xml:space="preserve">Hộp 100 </v>
          </cell>
          <cell r="J71" t="str">
            <v>Vinphaco</v>
          </cell>
          <cell r="K71" t="str">
            <v>Việt Nam</v>
          </cell>
          <cell r="L71" t="str">
            <v>Lô 02</v>
          </cell>
          <cell r="N71">
            <v>400</v>
          </cell>
          <cell r="O71">
            <v>1200</v>
          </cell>
          <cell r="P71">
            <v>500</v>
          </cell>
          <cell r="Q71">
            <v>1200</v>
          </cell>
          <cell r="R71">
            <v>600000</v>
          </cell>
        </row>
        <row r="72">
          <cell r="C72" t="str">
            <v>T0298</v>
          </cell>
          <cell r="D72" t="str">
            <v>NQ0053</v>
          </cell>
          <cell r="E72" t="str">
            <v xml:space="preserve">Ginkgo biloba </v>
          </cell>
          <cell r="F72" t="str">
            <v>Ginkgo Biloba</v>
          </cell>
          <cell r="G72" t="str">
            <v>40mg</v>
          </cell>
          <cell r="H72" t="str">
            <v>viên nang mềm</v>
          </cell>
          <cell r="I72" t="str">
            <v>vỉ/10, h/100v</v>
          </cell>
          <cell r="J72" t="str">
            <v>Imexpharm</v>
          </cell>
          <cell r="K72" t="str">
            <v>Việt Nam</v>
          </cell>
          <cell r="L72" t="str">
            <v>Lô 02</v>
          </cell>
          <cell r="M72">
            <v>1250</v>
          </cell>
          <cell r="N72">
            <v>10000</v>
          </cell>
          <cell r="O72">
            <v>1250</v>
          </cell>
          <cell r="P72">
            <v>10000</v>
          </cell>
          <cell r="Q72">
            <v>1250</v>
          </cell>
          <cell r="R72">
            <v>12500000</v>
          </cell>
        </row>
        <row r="73">
          <cell r="C73" t="str">
            <v>T0300</v>
          </cell>
          <cell r="D73" t="str">
            <v>TN0142</v>
          </cell>
          <cell r="E73" t="str">
            <v>Gliclazid</v>
          </cell>
          <cell r="F73" t="str">
            <v>GLICLAZIDE 80MG</v>
          </cell>
          <cell r="G73" t="str">
            <v>80mg</v>
          </cell>
          <cell r="H73" t="str">
            <v>viên</v>
          </cell>
          <cell r="I73" t="str">
            <v>HỘP 6 VĨ X 10 VNE</v>
          </cell>
          <cell r="J73" t="str">
            <v>DOMESCO</v>
          </cell>
          <cell r="K73" t="str">
            <v>Việt Nam</v>
          </cell>
          <cell r="L73" t="str">
            <v>Lô 02</v>
          </cell>
          <cell r="M73">
            <v>580</v>
          </cell>
          <cell r="N73">
            <v>3000</v>
          </cell>
          <cell r="O73">
            <v>580</v>
          </cell>
          <cell r="P73">
            <v>3000</v>
          </cell>
          <cell r="Q73">
            <v>580</v>
          </cell>
          <cell r="R73">
            <v>1740000</v>
          </cell>
        </row>
        <row r="74">
          <cell r="C74" t="str">
            <v>T0305</v>
          </cell>
          <cell r="D74" t="str">
            <v>TN0143</v>
          </cell>
          <cell r="E74" t="str">
            <v xml:space="preserve">Glucosamin      </v>
          </cell>
          <cell r="F74" t="str">
            <v>Glucosamin 500mg</v>
          </cell>
          <cell r="G74" t="str">
            <v>500mg</v>
          </cell>
          <cell r="H74" t="str">
            <v>viên</v>
          </cell>
          <cell r="I74" t="str">
            <v>H/10v/10</v>
          </cell>
          <cell r="J74" t="str">
            <v>Pharimexco</v>
          </cell>
          <cell r="K74" t="str">
            <v>Việt Nam</v>
          </cell>
          <cell r="L74" t="str">
            <v>Lô 02</v>
          </cell>
          <cell r="O74">
            <v>585</v>
          </cell>
          <cell r="P74">
            <v>5000</v>
          </cell>
          <cell r="Q74">
            <v>585</v>
          </cell>
          <cell r="R74">
            <v>2925000</v>
          </cell>
        </row>
        <row r="75">
          <cell r="C75" t="str">
            <v>T0306</v>
          </cell>
          <cell r="D75" t="str">
            <v>TN0144</v>
          </cell>
          <cell r="E75" t="str">
            <v xml:space="preserve">Glucosamin sulfat </v>
          </cell>
          <cell r="F75" t="str">
            <v>Glukos 750mg</v>
          </cell>
          <cell r="G75" t="str">
            <v>750mg</v>
          </cell>
          <cell r="H75" t="str">
            <v>viên</v>
          </cell>
          <cell r="I75" t="str">
            <v>ch/100 viên</v>
          </cell>
          <cell r="J75" t="str">
            <v>CTCP Dược Hậu Giang</v>
          </cell>
          <cell r="K75" t="str">
            <v>Việt Nam</v>
          </cell>
          <cell r="L75" t="str">
            <v>Lô 02</v>
          </cell>
          <cell r="M75">
            <v>1798</v>
          </cell>
          <cell r="N75">
            <v>5000</v>
          </cell>
          <cell r="O75">
            <v>1798</v>
          </cell>
          <cell r="P75">
            <v>5000</v>
          </cell>
          <cell r="Q75">
            <v>1798</v>
          </cell>
          <cell r="R75">
            <v>8990000</v>
          </cell>
        </row>
        <row r="76">
          <cell r="C76" t="str">
            <v>T0314</v>
          </cell>
          <cell r="D76" t="str">
            <v>NQ0052</v>
          </cell>
          <cell r="E76" t="str">
            <v>Glucose 5%</v>
          </cell>
          <cell r="F76" t="str">
            <v>GLUCOSE 5% 500ML</v>
          </cell>
          <cell r="G76" t="str">
            <v>5%/500ml</v>
          </cell>
          <cell r="H76" t="str">
            <v>Chai 500ml</v>
          </cell>
          <cell r="I76" t="str">
            <v>Chai 500ml</v>
          </cell>
          <cell r="J76" t="str">
            <v>OTSUKA-OPV</v>
          </cell>
          <cell r="K76" t="str">
            <v>Việt Nam</v>
          </cell>
          <cell r="L76" t="str">
            <v>Lô 02</v>
          </cell>
          <cell r="M76">
            <v>9500</v>
          </cell>
          <cell r="N76">
            <v>500</v>
          </cell>
          <cell r="O76">
            <v>9500</v>
          </cell>
          <cell r="P76">
            <v>500</v>
          </cell>
          <cell r="Q76">
            <v>9500</v>
          </cell>
          <cell r="R76">
            <v>4750000</v>
          </cell>
        </row>
        <row r="77">
          <cell r="C77" t="str">
            <v>T0329</v>
          </cell>
          <cell r="D77" t="str">
            <v>TN0161</v>
          </cell>
          <cell r="E77" t="str">
            <v>Hydrocortison natrisucinate inj</v>
          </cell>
          <cell r="F77" t="str">
            <v xml:space="preserve">Hydrocortison </v>
          </cell>
          <cell r="G77" t="str">
            <v>100mg</v>
          </cell>
          <cell r="H77" t="str">
            <v>lọ</v>
          </cell>
          <cell r="I77" t="str">
            <v>Hộp 1 lọ + 1 ống</v>
          </cell>
          <cell r="J77" t="str">
            <v>Bidiphar 1</v>
          </cell>
          <cell r="K77" t="str">
            <v>Việt Nam</v>
          </cell>
          <cell r="L77" t="str">
            <v>Lô 02</v>
          </cell>
          <cell r="O77">
            <v>16380</v>
          </cell>
          <cell r="P77">
            <v>500</v>
          </cell>
          <cell r="Q77">
            <v>16380</v>
          </cell>
          <cell r="R77">
            <v>8190000</v>
          </cell>
        </row>
        <row r="78">
          <cell r="C78" t="str">
            <v>T0333</v>
          </cell>
          <cell r="D78" t="str">
            <v>TN0162</v>
          </cell>
          <cell r="E78" t="str">
            <v xml:space="preserve">Hyoscine-N-butylbromide </v>
          </cell>
          <cell r="F78" t="str">
            <v>Bistin</v>
          </cell>
          <cell r="G78" t="str">
            <v>10mg</v>
          </cell>
          <cell r="H78" t="str">
            <v>viên</v>
          </cell>
          <cell r="I78" t="str">
            <v>v/10 h/100 viên</v>
          </cell>
          <cell r="J78" t="str">
            <v>CTCP Dược Hậu Giang</v>
          </cell>
          <cell r="K78" t="str">
            <v>Việt Nam</v>
          </cell>
          <cell r="L78" t="str">
            <v>Lô 02</v>
          </cell>
          <cell r="M78">
            <v>772</v>
          </cell>
          <cell r="N78">
            <v>20000</v>
          </cell>
          <cell r="O78">
            <v>772</v>
          </cell>
          <cell r="P78">
            <v>20000</v>
          </cell>
          <cell r="Q78">
            <v>772</v>
          </cell>
          <cell r="R78">
            <v>15440000</v>
          </cell>
        </row>
        <row r="79">
          <cell r="C79" t="str">
            <v>T0334</v>
          </cell>
          <cell r="D79" t="str">
            <v>TN0163</v>
          </cell>
          <cell r="E79" t="str">
            <v>Hyoscin-N-Butylbromid</v>
          </cell>
          <cell r="F79" t="str">
            <v>Vincopane</v>
          </cell>
          <cell r="G79" t="str">
            <v>20mg/ml</v>
          </cell>
          <cell r="H79" t="str">
            <v>ống</v>
          </cell>
          <cell r="I79" t="str">
            <v>Hộp 10 ống</v>
          </cell>
          <cell r="J79" t="str">
            <v>Vinphaco</v>
          </cell>
          <cell r="K79" t="str">
            <v>Việt Nam</v>
          </cell>
          <cell r="L79" t="str">
            <v>Lô 02</v>
          </cell>
          <cell r="M79">
            <v>8800</v>
          </cell>
          <cell r="N79">
            <v>500</v>
          </cell>
          <cell r="O79">
            <v>8800</v>
          </cell>
          <cell r="P79">
            <v>500</v>
          </cell>
          <cell r="Q79">
            <v>8800</v>
          </cell>
          <cell r="R79">
            <v>4400000</v>
          </cell>
        </row>
        <row r="80">
          <cell r="C80" t="str">
            <v>T0335</v>
          </cell>
          <cell r="D80" t="str">
            <v>TN0164</v>
          </cell>
          <cell r="E80" t="str">
            <v>Ibuprofen</v>
          </cell>
          <cell r="F80" t="str">
            <v>IBUPROFEN 400</v>
          </cell>
          <cell r="G80" t="str">
            <v>400mg</v>
          </cell>
          <cell r="H80" t="str">
            <v>viên</v>
          </cell>
          <cell r="I80" t="str">
            <v xml:space="preserve">Hộp 10 vỉ x 10 viên </v>
          </cell>
          <cell r="J80" t="str">
            <v>Vacopharm</v>
          </cell>
          <cell r="K80" t="str">
            <v>Việt Nam</v>
          </cell>
          <cell r="L80" t="str">
            <v>Lô 02</v>
          </cell>
          <cell r="M80">
            <v>308</v>
          </cell>
          <cell r="N80">
            <v>1000</v>
          </cell>
          <cell r="O80">
            <v>308</v>
          </cell>
          <cell r="P80">
            <v>1500</v>
          </cell>
          <cell r="Q80">
            <v>308</v>
          </cell>
          <cell r="R80">
            <v>462000</v>
          </cell>
        </row>
        <row r="81">
          <cell r="C81" t="str">
            <v>T0368</v>
          </cell>
          <cell r="D81" t="str">
            <v>TN0042</v>
          </cell>
          <cell r="E81" t="str">
            <v xml:space="preserve">Ketoconazole     </v>
          </cell>
          <cell r="F81" t="str">
            <v>Ketoconazol Stada 200mg</v>
          </cell>
          <cell r="G81" t="str">
            <v>200mg</v>
          </cell>
          <cell r="H81" t="str">
            <v>viên</v>
          </cell>
          <cell r="I81" t="str">
            <v>Hộp 10vỉ x 10viên nén</v>
          </cell>
          <cell r="J81" t="str">
            <v>Liên doanh Stada-Việt Nam</v>
          </cell>
          <cell r="K81" t="str">
            <v>Việt Nam</v>
          </cell>
          <cell r="L81" t="str">
            <v>Lô 02</v>
          </cell>
          <cell r="O81">
            <v>800</v>
          </cell>
          <cell r="P81">
            <v>1000</v>
          </cell>
          <cell r="Q81">
            <v>800</v>
          </cell>
          <cell r="R81">
            <v>800000</v>
          </cell>
        </row>
        <row r="82">
          <cell r="C82" t="str">
            <v>T0371</v>
          </cell>
          <cell r="D82" t="str">
            <v>TN0171</v>
          </cell>
          <cell r="E82" t="str">
            <v xml:space="preserve">Lactobacillus acidophilus </v>
          </cell>
          <cell r="F82" t="str">
            <v>Ybio</v>
          </cell>
          <cell r="G82" t="str">
            <v>1 tỷ CFU</v>
          </cell>
          <cell r="H82" t="str">
            <v>gói</v>
          </cell>
          <cell r="I82" t="str">
            <v>h/25 gói</v>
          </cell>
          <cell r="J82" t="str">
            <v>CTCP Dược Hậu Giang</v>
          </cell>
          <cell r="K82" t="str">
            <v>Việt Nam</v>
          </cell>
          <cell r="L82" t="str">
            <v>Lô 02</v>
          </cell>
          <cell r="M82">
            <v>1365</v>
          </cell>
          <cell r="N82">
            <v>20000</v>
          </cell>
          <cell r="O82">
            <v>1365</v>
          </cell>
          <cell r="P82">
            <v>20000</v>
          </cell>
          <cell r="Q82">
            <v>1365</v>
          </cell>
          <cell r="R82">
            <v>27300000</v>
          </cell>
        </row>
        <row r="83">
          <cell r="C83" t="str">
            <v>T0372</v>
          </cell>
          <cell r="D83" t="str">
            <v>NQ0059</v>
          </cell>
          <cell r="E83" t="str">
            <v>Lactobacilus acidophilus</v>
          </cell>
          <cell r="F83" t="str">
            <v>pms-Probio</v>
          </cell>
          <cell r="G83" t="str">
            <v>Tương đương 10 tỉ vi sinh</v>
          </cell>
          <cell r="H83" t="str">
            <v>Gói 1g</v>
          </cell>
          <cell r="I83" t="str">
            <v>h/14 gói</v>
          </cell>
          <cell r="J83" t="str">
            <v>Imexpharm</v>
          </cell>
          <cell r="K83" t="str">
            <v>Việt Nam</v>
          </cell>
          <cell r="L83" t="str">
            <v>Lô 02</v>
          </cell>
          <cell r="M83">
            <v>1260</v>
          </cell>
          <cell r="N83">
            <v>10000</v>
          </cell>
          <cell r="O83">
            <v>1260</v>
          </cell>
          <cell r="P83">
            <v>25000</v>
          </cell>
          <cell r="Q83">
            <v>1260</v>
          </cell>
          <cell r="R83">
            <v>31500000</v>
          </cell>
        </row>
        <row r="84">
          <cell r="C84" t="str">
            <v>T0385</v>
          </cell>
          <cell r="D84" t="str">
            <v>TN0043</v>
          </cell>
          <cell r="E84" t="str">
            <v xml:space="preserve">Lidocain     </v>
          </cell>
          <cell r="F84" t="str">
            <v>Lidocain</v>
          </cell>
          <cell r="G84" t="str">
            <v>2%/2ml</v>
          </cell>
          <cell r="H84" t="str">
            <v>ống</v>
          </cell>
          <cell r="I84" t="str">
            <v>Hộp 100 ống</v>
          </cell>
          <cell r="J84" t="str">
            <v>Vinphaco</v>
          </cell>
          <cell r="K84" t="str">
            <v>Việt Nam</v>
          </cell>
          <cell r="L84" t="str">
            <v>Lô 02</v>
          </cell>
          <cell r="M84">
            <v>600</v>
          </cell>
          <cell r="N84">
            <v>300</v>
          </cell>
          <cell r="O84">
            <v>600</v>
          </cell>
          <cell r="P84">
            <v>300</v>
          </cell>
          <cell r="Q84">
            <v>600</v>
          </cell>
          <cell r="R84">
            <v>180000</v>
          </cell>
        </row>
        <row r="85">
          <cell r="C85" t="str">
            <v>T0387</v>
          </cell>
          <cell r="D85" t="str">
            <v>TN0176</v>
          </cell>
          <cell r="E85" t="str">
            <v>Loperamide</v>
          </cell>
          <cell r="F85" t="str">
            <v>LOPERAMID 2MG</v>
          </cell>
          <cell r="G85" t="str">
            <v>2mg</v>
          </cell>
          <cell r="H85" t="str">
            <v>viên</v>
          </cell>
          <cell r="I85" t="str">
            <v>HỘP 5 VĨ X 10 VNA</v>
          </cell>
          <cell r="J85" t="str">
            <v>DOMESCO</v>
          </cell>
          <cell r="K85" t="str">
            <v>Việt Nam</v>
          </cell>
          <cell r="L85" t="str">
            <v>Lô 02</v>
          </cell>
          <cell r="M85">
            <v>200</v>
          </cell>
          <cell r="N85">
            <v>500</v>
          </cell>
          <cell r="O85">
            <v>200</v>
          </cell>
          <cell r="P85">
            <v>1000</v>
          </cell>
          <cell r="Q85">
            <v>2000</v>
          </cell>
          <cell r="R85">
            <v>2000000</v>
          </cell>
        </row>
        <row r="86">
          <cell r="C86" t="str">
            <v>T0389</v>
          </cell>
          <cell r="D86" t="str">
            <v>TN0177</v>
          </cell>
          <cell r="E86" t="str">
            <v>Loratadin</v>
          </cell>
          <cell r="F86" t="str">
            <v>Loratadin 10mg</v>
          </cell>
          <cell r="G86" t="str">
            <v>10mg</v>
          </cell>
          <cell r="H86" t="str">
            <v>viên</v>
          </cell>
          <cell r="I86" t="str">
            <v>H/2v/10</v>
          </cell>
          <cell r="J86" t="str">
            <v>Pharimexco</v>
          </cell>
          <cell r="K86" t="str">
            <v>Việt Nam</v>
          </cell>
          <cell r="L86" t="str">
            <v>Lô 02</v>
          </cell>
          <cell r="O86">
            <v>400</v>
          </cell>
          <cell r="P86">
            <v>4000</v>
          </cell>
          <cell r="Q86">
            <v>400</v>
          </cell>
          <cell r="R86">
            <v>1600000</v>
          </cell>
        </row>
        <row r="87">
          <cell r="C87" t="str">
            <v>T0397</v>
          </cell>
          <cell r="D87" t="str">
            <v>TN0182</v>
          </cell>
          <cell r="E87" t="str">
            <v>Loxoprofen</v>
          </cell>
          <cell r="F87" t="str">
            <v xml:space="preserve">Loxoprofen Tab </v>
          </cell>
          <cell r="G87" t="str">
            <v xml:space="preserve">60mg        </v>
          </cell>
          <cell r="H87" t="str">
            <v>viên</v>
          </cell>
          <cell r="I87" t="str">
            <v xml:space="preserve">Hộp 100 viên </v>
          </cell>
          <cell r="J87" t="str">
            <v>Cty Dp 3/2</v>
          </cell>
          <cell r="K87" t="str">
            <v>Việt Nam</v>
          </cell>
          <cell r="L87" t="str">
            <v>Lô 02</v>
          </cell>
          <cell r="M87">
            <v>1570</v>
          </cell>
          <cell r="N87">
            <v>140000</v>
          </cell>
          <cell r="O87">
            <v>1575</v>
          </cell>
          <cell r="P87">
            <v>50000</v>
          </cell>
          <cell r="Q87">
            <v>1575</v>
          </cell>
          <cell r="R87">
            <v>78750000</v>
          </cell>
        </row>
        <row r="88">
          <cell r="C88" t="str">
            <v>T0403</v>
          </cell>
          <cell r="D88" t="str">
            <v>TN0185</v>
          </cell>
          <cell r="E88" t="str">
            <v>Magne - B6</v>
          </cell>
          <cell r="F88" t="str">
            <v>Magnesi dihydrat   Pyridoxin hydro</v>
          </cell>
          <cell r="G88" t="str">
            <v>470mg+5mg</v>
          </cell>
          <cell r="H88" t="str">
            <v>viên</v>
          </cell>
          <cell r="I88" t="str">
            <v>Hộp 50 viên</v>
          </cell>
          <cell r="J88" t="str">
            <v>Bidiphar 1</v>
          </cell>
          <cell r="K88" t="str">
            <v>Việt Nam</v>
          </cell>
          <cell r="L88" t="str">
            <v>Lô 02</v>
          </cell>
          <cell r="M88">
            <v>252</v>
          </cell>
          <cell r="N88">
            <v>50000</v>
          </cell>
          <cell r="O88">
            <v>252</v>
          </cell>
          <cell r="P88">
            <v>50000</v>
          </cell>
          <cell r="Q88">
            <v>252</v>
          </cell>
          <cell r="R88">
            <v>12600000</v>
          </cell>
        </row>
        <row r="89">
          <cell r="C89" t="str">
            <v>T0406</v>
          </cell>
          <cell r="D89" t="str">
            <v>TN0187</v>
          </cell>
          <cell r="E89" t="str">
            <v xml:space="preserve">Malva purpurea…Camphor Xanh methylen </v>
          </cell>
          <cell r="F89" t="str">
            <v>DOMITAZOL</v>
          </cell>
          <cell r="G89" t="str">
            <v>250mg20mg25mg</v>
          </cell>
          <cell r="H89" t="str">
            <v>viên</v>
          </cell>
          <cell r="I89" t="str">
            <v>HỘP 5 VĨ X 10 VBĐ</v>
          </cell>
          <cell r="J89" t="str">
            <v>DOMESCO</v>
          </cell>
          <cell r="K89" t="str">
            <v>Việt Nam</v>
          </cell>
          <cell r="L89" t="str">
            <v>Lô 02</v>
          </cell>
          <cell r="M89">
            <v>920</v>
          </cell>
          <cell r="N89">
            <v>5000</v>
          </cell>
          <cell r="O89">
            <v>920</v>
          </cell>
          <cell r="P89">
            <v>5000</v>
          </cell>
          <cell r="Q89">
            <v>920</v>
          </cell>
          <cell r="R89">
            <v>4600000</v>
          </cell>
        </row>
        <row r="90">
          <cell r="C90" t="str">
            <v>T0408</v>
          </cell>
          <cell r="D90" t="str">
            <v>TN0194</v>
          </cell>
          <cell r="E90" t="str">
            <v xml:space="preserve">Mebendazol    </v>
          </cell>
          <cell r="F90" t="str">
            <v>Fubenzon</v>
          </cell>
          <cell r="G90" t="str">
            <v>500mg</v>
          </cell>
          <cell r="H90" t="str">
            <v>viên</v>
          </cell>
          <cell r="I90" t="str">
            <v>h/1 viên</v>
          </cell>
          <cell r="J90" t="str">
            <v>CTCP Dược Hậu Giang</v>
          </cell>
          <cell r="K90" t="str">
            <v>Việt Nam</v>
          </cell>
          <cell r="L90" t="str">
            <v>Lô 02</v>
          </cell>
          <cell r="M90">
            <v>5000</v>
          </cell>
          <cell r="N90">
            <v>100</v>
          </cell>
          <cell r="O90">
            <v>5000</v>
          </cell>
          <cell r="P90">
            <v>100</v>
          </cell>
          <cell r="Q90">
            <v>5000</v>
          </cell>
          <cell r="R90">
            <v>500000</v>
          </cell>
        </row>
        <row r="91">
          <cell r="C91" t="str">
            <v>T0412</v>
          </cell>
          <cell r="D91" t="str">
            <v>NQ0065</v>
          </cell>
          <cell r="E91" t="str">
            <v>Meloxicam</v>
          </cell>
          <cell r="F91" t="str">
            <v>Kamelox</v>
          </cell>
          <cell r="G91" t="str">
            <v>7.5mg</v>
          </cell>
          <cell r="H91" t="str">
            <v>viên</v>
          </cell>
          <cell r="I91" t="str">
            <v>Hộp 02 vỉ x10 viên</v>
          </cell>
          <cell r="J91" t="str">
            <v>Khánh Hòa</v>
          </cell>
          <cell r="K91" t="str">
            <v>Việt Nam</v>
          </cell>
          <cell r="L91" t="str">
            <v>Lô 02</v>
          </cell>
          <cell r="O91">
            <v>370</v>
          </cell>
          <cell r="P91">
            <v>20000</v>
          </cell>
          <cell r="Q91">
            <v>370</v>
          </cell>
          <cell r="R91">
            <v>7400000</v>
          </cell>
        </row>
        <row r="92">
          <cell r="C92" t="str">
            <v>T0415</v>
          </cell>
          <cell r="D92" t="str">
            <v>TN0197</v>
          </cell>
          <cell r="E92" t="str">
            <v>Meloxicam</v>
          </cell>
          <cell r="F92" t="str">
            <v>Mebilax 15mg</v>
          </cell>
          <cell r="G92" t="str">
            <v>15mg</v>
          </cell>
          <cell r="H92" t="str">
            <v>viên</v>
          </cell>
          <cell r="I92" t="str">
            <v>v/10 h/20 viên</v>
          </cell>
          <cell r="J92" t="str">
            <v>CTCP Dược Hậu Giang</v>
          </cell>
          <cell r="K92" t="str">
            <v>Việt Nam</v>
          </cell>
          <cell r="L92" t="str">
            <v>Lô 02</v>
          </cell>
          <cell r="M92">
            <v>1365</v>
          </cell>
          <cell r="N92">
            <v>10000</v>
          </cell>
          <cell r="O92">
            <v>1365</v>
          </cell>
          <cell r="P92">
            <v>10000</v>
          </cell>
          <cell r="Q92">
            <v>2365</v>
          </cell>
          <cell r="R92">
            <v>23650000</v>
          </cell>
        </row>
        <row r="93">
          <cell r="C93" t="str">
            <v>T0417</v>
          </cell>
          <cell r="D93" t="str">
            <v>TN0198</v>
          </cell>
          <cell r="E93" t="str">
            <v xml:space="preserve">Mephenesin        </v>
          </cell>
          <cell r="F93" t="str">
            <v>Detracyl 250</v>
          </cell>
          <cell r="G93" t="str">
            <v>250mg</v>
          </cell>
          <cell r="H93" t="str">
            <v>viên</v>
          </cell>
          <cell r="I93" t="str">
            <v>H/10v/20</v>
          </cell>
          <cell r="J93" t="str">
            <v>Pharimexco</v>
          </cell>
          <cell r="K93" t="str">
            <v>Việt Nam</v>
          </cell>
          <cell r="L93" t="str">
            <v>Lô 02</v>
          </cell>
          <cell r="M93">
            <v>180</v>
          </cell>
          <cell r="N93">
            <v>15000</v>
          </cell>
          <cell r="O93">
            <v>180</v>
          </cell>
          <cell r="P93">
            <v>15000</v>
          </cell>
          <cell r="Q93">
            <v>180</v>
          </cell>
          <cell r="R93">
            <v>2700000</v>
          </cell>
        </row>
        <row r="94">
          <cell r="C94" t="str">
            <v>T0418</v>
          </cell>
          <cell r="D94" t="str">
            <v>TN0199</v>
          </cell>
          <cell r="E94" t="str">
            <v xml:space="preserve">Metformin           </v>
          </cell>
          <cell r="F94" t="str">
            <v>Glumeform 850mg</v>
          </cell>
          <cell r="G94" t="str">
            <v>850mg</v>
          </cell>
          <cell r="H94" t="str">
            <v>viên</v>
          </cell>
          <cell r="I94" t="str">
            <v>v/5 h/50 viên</v>
          </cell>
          <cell r="J94" t="str">
            <v>CTCP Dược Hậu Giang</v>
          </cell>
          <cell r="K94" t="str">
            <v>Việt Nam</v>
          </cell>
          <cell r="L94" t="str">
            <v>Lô 02</v>
          </cell>
          <cell r="M94">
            <v>1200</v>
          </cell>
          <cell r="N94">
            <v>2000</v>
          </cell>
          <cell r="O94">
            <v>1200</v>
          </cell>
          <cell r="P94">
            <v>2000</v>
          </cell>
          <cell r="Q94">
            <v>1200</v>
          </cell>
          <cell r="R94">
            <v>2400000</v>
          </cell>
        </row>
        <row r="95">
          <cell r="C95" t="str">
            <v>T0437</v>
          </cell>
          <cell r="D95" t="str">
            <v>TN0209</v>
          </cell>
          <cell r="E95" t="str">
            <v xml:space="preserve">Metronidazol      </v>
          </cell>
          <cell r="F95" t="str">
            <v>Metronidazol 250mg</v>
          </cell>
          <cell r="G95" t="str">
            <v>250mg</v>
          </cell>
          <cell r="H95" t="str">
            <v>viên</v>
          </cell>
          <cell r="I95" t="str">
            <v>Hộp 100 viên</v>
          </cell>
          <cell r="J95" t="str">
            <v>Bidiphar 1</v>
          </cell>
          <cell r="K95" t="str">
            <v>Việt Nam</v>
          </cell>
          <cell r="L95" t="str">
            <v>Lô 02</v>
          </cell>
          <cell r="M95">
            <v>210</v>
          </cell>
          <cell r="N95">
            <v>3000</v>
          </cell>
          <cell r="O95">
            <v>210</v>
          </cell>
          <cell r="P95">
            <v>3000</v>
          </cell>
          <cell r="Q95">
            <v>210</v>
          </cell>
          <cell r="R95">
            <v>630000</v>
          </cell>
        </row>
        <row r="96">
          <cell r="C96" t="str">
            <v>T0438</v>
          </cell>
          <cell r="D96" t="str">
            <v>TN0210</v>
          </cell>
          <cell r="E96" t="str">
            <v>Metronidazol + Cloramphenicol + Dexamethason + Nystatin</v>
          </cell>
          <cell r="F96" t="str">
            <v>Megyna</v>
          </cell>
          <cell r="G96" t="str">
            <v>200mg + 80mg +0,5mg + 100.00IU</v>
          </cell>
          <cell r="H96" t="str">
            <v>viên</v>
          </cell>
          <cell r="I96" t="str">
            <v>Hộp 10 vỉ x 10 viên</v>
          </cell>
          <cell r="J96" t="str">
            <v>F.T Pharma</v>
          </cell>
          <cell r="K96" t="str">
            <v>Việt Nam</v>
          </cell>
          <cell r="L96" t="str">
            <v>Lô 02</v>
          </cell>
          <cell r="M96">
            <v>715</v>
          </cell>
          <cell r="N96">
            <v>600</v>
          </cell>
          <cell r="O96">
            <v>715</v>
          </cell>
          <cell r="P96">
            <v>800</v>
          </cell>
          <cell r="Q96">
            <v>715</v>
          </cell>
          <cell r="R96">
            <v>572000</v>
          </cell>
        </row>
        <row r="97">
          <cell r="C97" t="str">
            <v>T0443</v>
          </cell>
          <cell r="D97" t="str">
            <v>TN0052</v>
          </cell>
          <cell r="E97" t="str">
            <v>Morphin</v>
          </cell>
          <cell r="F97" t="str">
            <v>MORPHINE 10MG/ML</v>
          </cell>
          <cell r="G97" t="str">
            <v>10mg/ml</v>
          </cell>
          <cell r="H97" t="str">
            <v>ống</v>
          </cell>
          <cell r="I97" t="str">
            <v>Hộp/10 ống</v>
          </cell>
          <cell r="J97" t="str">
            <v>Vidipha</v>
          </cell>
          <cell r="K97" t="str">
            <v>Việt Nam</v>
          </cell>
          <cell r="L97" t="str">
            <v>Lô 02</v>
          </cell>
          <cell r="M97">
            <v>7350</v>
          </cell>
          <cell r="N97">
            <v>30</v>
          </cell>
          <cell r="O97">
            <v>7350</v>
          </cell>
          <cell r="P97">
            <v>30</v>
          </cell>
          <cell r="Q97">
            <v>7350</v>
          </cell>
          <cell r="R97">
            <v>220500</v>
          </cell>
        </row>
        <row r="98">
          <cell r="C98" t="str">
            <v>T0454</v>
          </cell>
          <cell r="D98" t="str">
            <v>TN0215</v>
          </cell>
          <cell r="E98" t="str">
            <v>Natriclorid  0,9%</v>
          </cell>
          <cell r="F98" t="str">
            <v>Efticol 0,9%</v>
          </cell>
          <cell r="G98" t="str">
            <v>0,9%/10ml</v>
          </cell>
          <cell r="H98" t="str">
            <v>Lọ 10ml</v>
          </cell>
          <cell r="I98" t="str">
            <v>Hộp 1 chai 10ml</v>
          </cell>
          <cell r="J98" t="str">
            <v>F.T Pharma</v>
          </cell>
          <cell r="K98" t="str">
            <v>Việt Nam</v>
          </cell>
          <cell r="L98" t="str">
            <v>Lô 02</v>
          </cell>
          <cell r="M98">
            <v>1785</v>
          </cell>
          <cell r="N98">
            <v>200</v>
          </cell>
          <cell r="O98">
            <v>1785</v>
          </cell>
          <cell r="P98">
            <v>200</v>
          </cell>
          <cell r="Q98">
            <v>1785</v>
          </cell>
          <cell r="R98">
            <v>357000</v>
          </cell>
        </row>
        <row r="99">
          <cell r="C99" t="str">
            <v>T0457</v>
          </cell>
          <cell r="D99" t="str">
            <v>NQ0071</v>
          </cell>
          <cell r="E99" t="str">
            <v>Natriclorid  0.9%</v>
          </cell>
          <cell r="F99" t="str">
            <v>SODIUM CHLORIDE 0.9% 500ML</v>
          </cell>
          <cell r="H99" t="str">
            <v>Chai 500ml</v>
          </cell>
          <cell r="I99" t="str">
            <v>Chai 500ml</v>
          </cell>
          <cell r="J99" t="str">
            <v>OTSUKA-OPV</v>
          </cell>
          <cell r="K99" t="str">
            <v>Việt Nam</v>
          </cell>
          <cell r="L99" t="str">
            <v>Lô 02</v>
          </cell>
          <cell r="M99">
            <v>9500</v>
          </cell>
          <cell r="N99">
            <v>500</v>
          </cell>
          <cell r="O99">
            <v>9500</v>
          </cell>
          <cell r="P99">
            <v>500</v>
          </cell>
          <cell r="Q99">
            <v>9500</v>
          </cell>
          <cell r="R99">
            <v>4750000</v>
          </cell>
        </row>
        <row r="100">
          <cell r="C100" t="str">
            <v>T0471</v>
          </cell>
          <cell r="D100" t="str">
            <v>NQ0072</v>
          </cell>
          <cell r="E100" t="str">
            <v>Nifedipin</v>
          </cell>
          <cell r="F100" t="str">
            <v>Nifedipin Hasan 20 retard</v>
          </cell>
          <cell r="G100" t="str">
            <v>20mg</v>
          </cell>
          <cell r="H100" t="str">
            <v>viên</v>
          </cell>
          <cell r="I100" t="str">
            <v>3 vỉ x 10 viên</v>
          </cell>
          <cell r="J100" t="str">
            <v>HASAN-DERMAPHARM</v>
          </cell>
          <cell r="K100" t="str">
            <v>Việt Nam</v>
          </cell>
          <cell r="L100" t="str">
            <v>Lô 02</v>
          </cell>
          <cell r="M100">
            <v>504</v>
          </cell>
          <cell r="N100">
            <v>2000</v>
          </cell>
          <cell r="O100">
            <v>504</v>
          </cell>
          <cell r="P100">
            <v>2000</v>
          </cell>
          <cell r="Q100">
            <v>504</v>
          </cell>
          <cell r="R100">
            <v>1008000</v>
          </cell>
        </row>
        <row r="101">
          <cell r="C101" t="str">
            <v>T0480</v>
          </cell>
          <cell r="D101" t="str">
            <v>TN0225</v>
          </cell>
          <cell r="E101" t="str">
            <v>Nước cất pha tiêm</v>
          </cell>
          <cell r="F101" t="str">
            <v>Nước cất pha tiêm</v>
          </cell>
          <cell r="G101" t="str">
            <v>5ml</v>
          </cell>
          <cell r="H101" t="str">
            <v>ống</v>
          </cell>
          <cell r="I101" t="str">
            <v>Hộp 10 vỉ x 10 ống 5ml</v>
          </cell>
          <cell r="J101" t="str">
            <v>F.T Pharma</v>
          </cell>
          <cell r="K101" t="str">
            <v>Việt Nam</v>
          </cell>
          <cell r="L101" t="str">
            <v>Lô 02</v>
          </cell>
          <cell r="M101">
            <v>650</v>
          </cell>
          <cell r="N101">
            <v>1000</v>
          </cell>
          <cell r="O101">
            <v>650</v>
          </cell>
          <cell r="P101">
            <v>1000</v>
          </cell>
          <cell r="Q101">
            <v>650</v>
          </cell>
          <cell r="R101">
            <v>650000</v>
          </cell>
        </row>
        <row r="102">
          <cell r="C102" t="str">
            <v>T0481</v>
          </cell>
          <cell r="D102" t="str">
            <v>TN0227</v>
          </cell>
          <cell r="E102" t="str">
            <v xml:space="preserve">Nystatin   </v>
          </cell>
          <cell r="F102" t="str">
            <v>Nystatin 500.000UI</v>
          </cell>
          <cell r="G102" t="str">
            <v>500.000 UI</v>
          </cell>
          <cell r="H102" t="str">
            <v>viên</v>
          </cell>
          <cell r="I102" t="str">
            <v>Hộp 2 vỉ x 8 viên</v>
          </cell>
          <cell r="J102" t="str">
            <v>F.T Pharma</v>
          </cell>
          <cell r="K102" t="str">
            <v>Việt Nam</v>
          </cell>
          <cell r="L102" t="str">
            <v>Lô 02</v>
          </cell>
          <cell r="O102">
            <v>520</v>
          </cell>
          <cell r="P102">
            <v>2000</v>
          </cell>
          <cell r="Q102">
            <v>50</v>
          </cell>
          <cell r="R102">
            <v>100000</v>
          </cell>
        </row>
        <row r="103">
          <cell r="C103" t="str">
            <v>T0482</v>
          </cell>
          <cell r="D103" t="str">
            <v>TN0228</v>
          </cell>
          <cell r="E103" t="str">
            <v xml:space="preserve">Nystatin       </v>
          </cell>
          <cell r="F103" t="str">
            <v>Nystatin 25000 IU</v>
          </cell>
          <cell r="G103" t="str">
            <v>25.000 UI/1g</v>
          </cell>
          <cell r="H103" t="str">
            <v>gói</v>
          </cell>
          <cell r="I103" t="str">
            <v>Hộp 20 gói x 1 gam</v>
          </cell>
          <cell r="J103" t="str">
            <v>F.T Pharma</v>
          </cell>
          <cell r="K103" t="str">
            <v>Việt Nam</v>
          </cell>
          <cell r="L103" t="str">
            <v>Lô 02</v>
          </cell>
          <cell r="O103">
            <v>1050</v>
          </cell>
          <cell r="P103">
            <v>1000</v>
          </cell>
          <cell r="Q103">
            <v>1050</v>
          </cell>
          <cell r="R103">
            <v>1050000</v>
          </cell>
        </row>
        <row r="104">
          <cell r="C104" t="str">
            <v>T0483</v>
          </cell>
          <cell r="D104" t="str">
            <v>TN0229</v>
          </cell>
          <cell r="E104" t="str">
            <v>Nystatin + metronidazol + neomycin</v>
          </cell>
          <cell r="F104" t="str">
            <v>Neo-Gynoternan (Viên đặt PK)</v>
          </cell>
          <cell r="G104" t="str">
            <v>500mg + 65.000UI + 100.000UI</v>
          </cell>
          <cell r="H104" t="str">
            <v>Viên Đặt Pk</v>
          </cell>
          <cell r="I104" t="str">
            <v>Hộp 1 vỉ x 10 VNE</v>
          </cell>
          <cell r="J104" t="str">
            <v>Mekophar</v>
          </cell>
          <cell r="K104" t="str">
            <v>Việt Nam</v>
          </cell>
          <cell r="L104" t="str">
            <v>Lô 02</v>
          </cell>
          <cell r="M104">
            <v>1800</v>
          </cell>
          <cell r="N104">
            <v>1000</v>
          </cell>
          <cell r="O104">
            <v>1800</v>
          </cell>
          <cell r="P104">
            <v>2000</v>
          </cell>
          <cell r="Q104">
            <v>1800</v>
          </cell>
          <cell r="R104">
            <v>3600000</v>
          </cell>
        </row>
        <row r="105">
          <cell r="C105" t="str">
            <v>T0486</v>
          </cell>
          <cell r="D105" t="str">
            <v>TN0230</v>
          </cell>
          <cell r="E105" t="str">
            <v xml:space="preserve">Ofloxacin        </v>
          </cell>
          <cell r="F105" t="str">
            <v>Ofloxacin 5ml</v>
          </cell>
          <cell r="G105" t="str">
            <v>0,3%/5ml</v>
          </cell>
          <cell r="H105" t="str">
            <v>lọ</v>
          </cell>
          <cell r="I105" t="str">
            <v>Hộp 1 lọ 5ml</v>
          </cell>
          <cell r="J105" t="str">
            <v>Traphaco</v>
          </cell>
          <cell r="K105" t="str">
            <v>Việt Nam</v>
          </cell>
          <cell r="L105" t="str">
            <v>Lô 02</v>
          </cell>
          <cell r="O105">
            <v>7400</v>
          </cell>
          <cell r="P105">
            <v>500</v>
          </cell>
          <cell r="Q105">
            <v>7400</v>
          </cell>
          <cell r="R105">
            <v>3700000</v>
          </cell>
        </row>
        <row r="106">
          <cell r="C106" t="str">
            <v>T0488</v>
          </cell>
          <cell r="D106" t="str">
            <v>TN0231</v>
          </cell>
          <cell r="E106" t="str">
            <v xml:space="preserve">Ofloxacin         </v>
          </cell>
          <cell r="F106" t="str">
            <v>DOLOCEP</v>
          </cell>
          <cell r="G106" t="str">
            <v>200mg</v>
          </cell>
          <cell r="H106" t="str">
            <v>viên</v>
          </cell>
          <cell r="I106" t="str">
            <v>HỘP 2 VĨ X 10 VBF</v>
          </cell>
          <cell r="J106" t="str">
            <v>DOMESCO</v>
          </cell>
          <cell r="K106" t="str">
            <v>Việt Nam</v>
          </cell>
          <cell r="L106" t="str">
            <v>Lô 02</v>
          </cell>
          <cell r="M106">
            <v>550</v>
          </cell>
          <cell r="N106">
            <v>2000</v>
          </cell>
          <cell r="O106">
            <v>550</v>
          </cell>
          <cell r="P106">
            <v>5000</v>
          </cell>
          <cell r="Q106">
            <v>550</v>
          </cell>
          <cell r="R106">
            <v>2750000</v>
          </cell>
        </row>
        <row r="107">
          <cell r="C107" t="str">
            <v>T0494</v>
          </cell>
          <cell r="D107" t="str">
            <v>TN0233</v>
          </cell>
          <cell r="E107" t="str">
            <v>Omeprazol</v>
          </cell>
          <cell r="F107" t="str">
            <v>TV-Omeprazol 20mg</v>
          </cell>
          <cell r="G107" t="str">
            <v>20mg</v>
          </cell>
          <cell r="H107" t="str">
            <v>viên</v>
          </cell>
          <cell r="I107" t="str">
            <v>V/10, H/30</v>
          </cell>
          <cell r="J107" t="str">
            <v>TV.Pharm</v>
          </cell>
          <cell r="K107" t="str">
            <v>Việt Nam</v>
          </cell>
          <cell r="L107" t="str">
            <v>Lô 02</v>
          </cell>
          <cell r="O107">
            <v>420</v>
          </cell>
          <cell r="P107">
            <v>50000</v>
          </cell>
          <cell r="Q107">
            <v>420</v>
          </cell>
          <cell r="R107">
            <v>21000000</v>
          </cell>
        </row>
        <row r="108">
          <cell r="C108" t="str">
            <v>T0495</v>
          </cell>
          <cell r="D108" t="str">
            <v>NQ0074</v>
          </cell>
          <cell r="E108" t="str">
            <v xml:space="preserve">Omeprazole     </v>
          </cell>
          <cell r="F108" t="str">
            <v>Meyerazol</v>
          </cell>
          <cell r="G108" t="str">
            <v>20MG</v>
          </cell>
          <cell r="H108" t="str">
            <v>viên</v>
          </cell>
          <cell r="I108" t="str">
            <v>H/3V/10V</v>
          </cell>
          <cell r="J108" t="str">
            <v>Meyer-Bpc</v>
          </cell>
          <cell r="K108" t="str">
            <v>Việt Nam</v>
          </cell>
          <cell r="L108" t="str">
            <v>Lô 02</v>
          </cell>
          <cell r="M108">
            <v>672</v>
          </cell>
          <cell r="N108">
            <v>140000</v>
          </cell>
          <cell r="O108">
            <v>672</v>
          </cell>
          <cell r="P108">
            <v>140000</v>
          </cell>
          <cell r="Q108">
            <v>672</v>
          </cell>
          <cell r="R108">
            <v>94080000</v>
          </cell>
        </row>
        <row r="109">
          <cell r="C109" t="str">
            <v>T0498</v>
          </cell>
          <cell r="D109" t="str">
            <v>TN0060</v>
          </cell>
          <cell r="E109" t="str">
            <v>Oxytocin</v>
          </cell>
          <cell r="F109" t="str">
            <v>Vinphatoxin</v>
          </cell>
          <cell r="G109" t="str">
            <v>5UI/ml</v>
          </cell>
          <cell r="H109" t="str">
            <v>ống</v>
          </cell>
          <cell r="I109" t="str">
            <v>Hộp 10 ống</v>
          </cell>
          <cell r="J109" t="str">
            <v>Vinphaco</v>
          </cell>
          <cell r="K109" t="str">
            <v>Việt Nam</v>
          </cell>
          <cell r="L109" t="str">
            <v>Lô 02</v>
          </cell>
          <cell r="M109">
            <v>4000</v>
          </cell>
          <cell r="N109">
            <v>1300</v>
          </cell>
          <cell r="O109">
            <v>4000</v>
          </cell>
          <cell r="P109">
            <v>300</v>
          </cell>
          <cell r="Q109">
            <v>4000</v>
          </cell>
          <cell r="R109">
            <v>1200000</v>
          </cell>
        </row>
        <row r="110">
          <cell r="C110" t="str">
            <v>T0501</v>
          </cell>
          <cell r="D110" t="str">
            <v>TN0236</v>
          </cell>
          <cell r="E110" t="str">
            <v xml:space="preserve">Pantoprazol         </v>
          </cell>
          <cell r="F110" t="str">
            <v>TV-Pantoprazol 40mg</v>
          </cell>
          <cell r="G110" t="str">
            <v>40mg</v>
          </cell>
          <cell r="H110" t="str">
            <v>viên</v>
          </cell>
          <cell r="I110" t="str">
            <v>V/10, H/30</v>
          </cell>
          <cell r="J110" t="str">
            <v>TV.Pharm</v>
          </cell>
          <cell r="K110" t="str">
            <v>Việt Nam</v>
          </cell>
          <cell r="L110" t="str">
            <v>Lô 02</v>
          </cell>
          <cell r="O110">
            <v>1000</v>
          </cell>
          <cell r="P110">
            <v>5000</v>
          </cell>
          <cell r="Q110">
            <v>1000</v>
          </cell>
          <cell r="R110">
            <v>5000000</v>
          </cell>
        </row>
        <row r="111">
          <cell r="C111" t="str">
            <v>T0507</v>
          </cell>
          <cell r="D111" t="str">
            <v>TN0238</v>
          </cell>
          <cell r="E111" t="str">
            <v>Paracetamol</v>
          </cell>
          <cell r="F111" t="str">
            <v>Hapacol 500mg sủi</v>
          </cell>
          <cell r="G111" t="str">
            <v>500mg</v>
          </cell>
          <cell r="H111" t="str">
            <v>Viên sủi</v>
          </cell>
          <cell r="I111" t="str">
            <v>v/4 h/16 viên</v>
          </cell>
          <cell r="J111" t="str">
            <v>CTCP Dược Hậu Giang</v>
          </cell>
          <cell r="K111" t="str">
            <v>Việt Nam</v>
          </cell>
          <cell r="L111" t="str">
            <v>Lô 02</v>
          </cell>
          <cell r="M111">
            <v>1575</v>
          </cell>
          <cell r="N111">
            <v>59000</v>
          </cell>
          <cell r="O111">
            <v>1575</v>
          </cell>
          <cell r="P111">
            <v>40000</v>
          </cell>
          <cell r="Q111">
            <v>1570</v>
          </cell>
          <cell r="R111">
            <v>62800000</v>
          </cell>
        </row>
        <row r="112">
          <cell r="C112" t="str">
            <v>T0508</v>
          </cell>
          <cell r="D112" t="str">
            <v>TN0238</v>
          </cell>
          <cell r="E112" t="str">
            <v>Paracetamol</v>
          </cell>
          <cell r="F112" t="str">
            <v>DOPAGAN- EFFERVESCENT 500MG</v>
          </cell>
          <cell r="G112" t="str">
            <v>500mg</v>
          </cell>
          <cell r="H112" t="str">
            <v>Viên sủi</v>
          </cell>
          <cell r="I112" t="str">
            <v>HỘP 4 VĨ X 4 VSỦI</v>
          </cell>
          <cell r="J112" t="str">
            <v>DOMESCO</v>
          </cell>
          <cell r="K112" t="str">
            <v>Việt Nam</v>
          </cell>
          <cell r="L112" t="str">
            <v>Lô 02</v>
          </cell>
          <cell r="O112">
            <v>945</v>
          </cell>
          <cell r="P112">
            <v>30000</v>
          </cell>
          <cell r="Q112">
            <v>945</v>
          </cell>
          <cell r="R112">
            <v>28350000</v>
          </cell>
        </row>
        <row r="113">
          <cell r="C113" t="str">
            <v>T0510</v>
          </cell>
          <cell r="D113" t="str">
            <v>TN0240</v>
          </cell>
          <cell r="E113" t="str">
            <v xml:space="preserve">Paracetamol      </v>
          </cell>
          <cell r="F113" t="str">
            <v>Hapacol 650mg</v>
          </cell>
          <cell r="G113" t="str">
            <v>650mg</v>
          </cell>
          <cell r="H113" t="str">
            <v>viên</v>
          </cell>
          <cell r="I113" t="str">
            <v>v/5 h/50 viên</v>
          </cell>
          <cell r="J113" t="str">
            <v>CTCP Dược Hậu Giang</v>
          </cell>
          <cell r="K113" t="str">
            <v>Việt Nam</v>
          </cell>
          <cell r="L113" t="str">
            <v>Lô 02</v>
          </cell>
          <cell r="M113">
            <v>462</v>
          </cell>
          <cell r="N113">
            <v>60000</v>
          </cell>
          <cell r="O113">
            <v>462</v>
          </cell>
          <cell r="P113">
            <v>60000</v>
          </cell>
          <cell r="Q113">
            <v>462</v>
          </cell>
          <cell r="R113">
            <v>27720000</v>
          </cell>
        </row>
        <row r="114">
          <cell r="C114" t="str">
            <v>T0513</v>
          </cell>
          <cell r="D114" t="str">
            <v>TN0242</v>
          </cell>
          <cell r="E114" t="str">
            <v xml:space="preserve">Paracetamol      </v>
          </cell>
          <cell r="F114" t="str">
            <v>Acepron 325</v>
          </cell>
          <cell r="G114" t="str">
            <v>325mg</v>
          </cell>
          <cell r="H114" t="str">
            <v>viên</v>
          </cell>
          <cell r="I114" t="str">
            <v>H/10v/10</v>
          </cell>
          <cell r="J114" t="str">
            <v>Pharimexco</v>
          </cell>
          <cell r="K114" t="str">
            <v>Việt Nam</v>
          </cell>
          <cell r="L114" t="str">
            <v>Lô 02</v>
          </cell>
          <cell r="M114">
            <v>120</v>
          </cell>
          <cell r="N114">
            <v>1176</v>
          </cell>
          <cell r="O114">
            <v>120</v>
          </cell>
          <cell r="P114">
            <v>10000</v>
          </cell>
          <cell r="Q114">
            <v>120</v>
          </cell>
          <cell r="R114">
            <v>1200000</v>
          </cell>
        </row>
        <row r="115">
          <cell r="C115" t="str">
            <v>T0514</v>
          </cell>
          <cell r="D115" t="str">
            <v>TN0243</v>
          </cell>
          <cell r="E115" t="str">
            <v xml:space="preserve">Paracetamol            </v>
          </cell>
          <cell r="F115" t="str">
            <v>Paracetamol 500mg</v>
          </cell>
          <cell r="G115" t="str">
            <v>500mg</v>
          </cell>
          <cell r="H115" t="str">
            <v>viên</v>
          </cell>
          <cell r="I115" t="str">
            <v>H/50v/10</v>
          </cell>
          <cell r="J115" t="str">
            <v>Pharimexco</v>
          </cell>
          <cell r="K115" t="str">
            <v>Việt Nam</v>
          </cell>
          <cell r="L115" t="str">
            <v>Lô 02</v>
          </cell>
          <cell r="O115">
            <v>126</v>
          </cell>
          <cell r="P115">
            <v>30000</v>
          </cell>
          <cell r="Q115">
            <v>126</v>
          </cell>
          <cell r="R115">
            <v>3780000</v>
          </cell>
        </row>
        <row r="116">
          <cell r="C116" t="str">
            <v>T0516</v>
          </cell>
          <cell r="D116" t="str">
            <v>TN0245</v>
          </cell>
          <cell r="E116" t="str">
            <v xml:space="preserve">Paracetamol            </v>
          </cell>
          <cell r="F116" t="str">
            <v>Hapacol kids</v>
          </cell>
          <cell r="G116" t="str">
            <v>150 mg + 75mg</v>
          </cell>
          <cell r="H116" t="str">
            <v>gói</v>
          </cell>
          <cell r="I116" t="str">
            <v>h/25 gói</v>
          </cell>
          <cell r="J116" t="str">
            <v>CTCP Dược Hậu Giang</v>
          </cell>
          <cell r="K116" t="str">
            <v>Việt Nam</v>
          </cell>
          <cell r="L116" t="str">
            <v>Lô 02</v>
          </cell>
          <cell r="M116">
            <v>1260</v>
          </cell>
          <cell r="N116">
            <v>25000</v>
          </cell>
          <cell r="O116">
            <v>1260</v>
          </cell>
          <cell r="P116">
            <v>25000</v>
          </cell>
          <cell r="Q116">
            <v>1260</v>
          </cell>
          <cell r="R116">
            <v>31500000</v>
          </cell>
        </row>
        <row r="117">
          <cell r="C117" t="str">
            <v>T0519</v>
          </cell>
          <cell r="D117" t="str">
            <v>TN0248</v>
          </cell>
          <cell r="E117" t="str">
            <v xml:space="preserve">Paracetamol            </v>
          </cell>
          <cell r="F117" t="str">
            <v>Mexcold 80mg</v>
          </cell>
          <cell r="G117" t="str">
            <v>80 mg</v>
          </cell>
          <cell r="H117" t="str">
            <v>viên đặt</v>
          </cell>
          <cell r="I117" t="str">
            <v>vỉ/05, h/10v</v>
          </cell>
          <cell r="J117" t="str">
            <v>Imexpharm</v>
          </cell>
          <cell r="K117" t="str">
            <v>Việt Nam</v>
          </cell>
          <cell r="L117" t="str">
            <v>Lô 02</v>
          </cell>
          <cell r="O117">
            <v>1155</v>
          </cell>
          <cell r="P117">
            <v>10000</v>
          </cell>
          <cell r="Q117">
            <v>1155</v>
          </cell>
          <cell r="R117">
            <v>11550000</v>
          </cell>
        </row>
        <row r="118">
          <cell r="C118" t="str">
            <v>T0520</v>
          </cell>
          <cell r="D118" t="str">
            <v>TN0249</v>
          </cell>
          <cell r="E118" t="str">
            <v xml:space="preserve">Paracetamol + Clopheniramin </v>
          </cell>
          <cell r="F118" t="str">
            <v>Hapacol 250 Flu</v>
          </cell>
          <cell r="G118" t="str">
            <v>250+1,5mg</v>
          </cell>
          <cell r="H118" t="str">
            <v>gói</v>
          </cell>
          <cell r="I118" t="str">
            <v>h/24 gói</v>
          </cell>
          <cell r="J118" t="str">
            <v>CTCP Dược Hậu Giang</v>
          </cell>
          <cell r="K118" t="str">
            <v>Việt Nam</v>
          </cell>
          <cell r="L118" t="str">
            <v>Lô 02</v>
          </cell>
          <cell r="M118">
            <v>1700</v>
          </cell>
          <cell r="N118">
            <v>25000</v>
          </cell>
          <cell r="O118">
            <v>1700</v>
          </cell>
          <cell r="P118">
            <v>30000</v>
          </cell>
          <cell r="Q118">
            <v>1700</v>
          </cell>
          <cell r="R118">
            <v>51000000</v>
          </cell>
        </row>
        <row r="119">
          <cell r="C119" t="str">
            <v>T0547</v>
          </cell>
          <cell r="D119" t="str">
            <v>TN0260</v>
          </cell>
          <cell r="E119" t="str">
            <v>Piracetam</v>
          </cell>
          <cell r="F119" t="str">
            <v>Nootripam 400</v>
          </cell>
          <cell r="G119" t="str">
            <v>400MG</v>
          </cell>
          <cell r="H119" t="str">
            <v>viên</v>
          </cell>
          <cell r="I119" t="str">
            <v>H/10v/10</v>
          </cell>
          <cell r="J119" t="str">
            <v>Pharimexco</v>
          </cell>
          <cell r="K119" t="str">
            <v>Việt Nam</v>
          </cell>
          <cell r="L119" t="str">
            <v>Lô 02</v>
          </cell>
          <cell r="O119">
            <v>352</v>
          </cell>
          <cell r="P119">
            <v>10000</v>
          </cell>
          <cell r="Q119">
            <v>325</v>
          </cell>
          <cell r="R119">
            <v>3250000</v>
          </cell>
        </row>
        <row r="120">
          <cell r="C120" t="str">
            <v>T0551</v>
          </cell>
          <cell r="D120" t="str">
            <v>TN0263</v>
          </cell>
          <cell r="E120" t="str">
            <v xml:space="preserve">Polyvidine         </v>
          </cell>
          <cell r="F120" t="str">
            <v>Povidone Iodine 10 %- 90ml</v>
          </cell>
          <cell r="G120" t="str">
            <v>10%/90ml</v>
          </cell>
          <cell r="H120" t="str">
            <v>chai</v>
          </cell>
          <cell r="I120" t="str">
            <v>Chai 90ml</v>
          </cell>
          <cell r="J120" t="str">
            <v>F.T Pharma</v>
          </cell>
          <cell r="K120" t="str">
            <v>Việt Nam</v>
          </cell>
          <cell r="L120" t="str">
            <v>Lô 02</v>
          </cell>
          <cell r="M120">
            <v>11550</v>
          </cell>
          <cell r="N120">
            <v>120</v>
          </cell>
          <cell r="O120">
            <v>11550</v>
          </cell>
          <cell r="P120">
            <v>200</v>
          </cell>
          <cell r="Q120">
            <v>11500</v>
          </cell>
          <cell r="R120">
            <v>2300000</v>
          </cell>
        </row>
        <row r="121">
          <cell r="C121" t="str">
            <v>T0553</v>
          </cell>
          <cell r="D121" t="str">
            <v>TN0265</v>
          </cell>
          <cell r="E121" t="str">
            <v xml:space="preserve">Prednisolon       </v>
          </cell>
          <cell r="F121" t="str">
            <v>Hydrocolacyl</v>
          </cell>
          <cell r="G121" t="str">
            <v>5mg</v>
          </cell>
          <cell r="H121" t="str">
            <v>viên</v>
          </cell>
          <cell r="I121" t="str">
            <v>Hộp 10 vỉ x20 viên</v>
          </cell>
          <cell r="J121" t="str">
            <v>Khánh Hòa</v>
          </cell>
          <cell r="K121" t="str">
            <v>Việt Nam</v>
          </cell>
          <cell r="L121" t="str">
            <v>Lô 02</v>
          </cell>
          <cell r="M121">
            <v>230</v>
          </cell>
          <cell r="N121">
            <v>15000</v>
          </cell>
          <cell r="O121">
            <v>230</v>
          </cell>
          <cell r="P121">
            <v>30000</v>
          </cell>
          <cell r="Q121">
            <v>230</v>
          </cell>
          <cell r="R121">
            <v>6900000</v>
          </cell>
        </row>
        <row r="122">
          <cell r="C122" t="str">
            <v>T0573</v>
          </cell>
          <cell r="D122" t="str">
            <v>TN0275</v>
          </cell>
          <cell r="E122" t="str">
            <v xml:space="preserve">Rotundin                  </v>
          </cell>
          <cell r="F122" t="str">
            <v>Stilux - 60</v>
          </cell>
          <cell r="G122" t="str">
            <v>60mg</v>
          </cell>
          <cell r="H122" t="str">
            <v>viên</v>
          </cell>
          <cell r="I122" t="str">
            <v>Hộp 10 vỉ x 10 viên</v>
          </cell>
          <cell r="J122" t="str">
            <v>Traphaco</v>
          </cell>
          <cell r="K122" t="str">
            <v>Việt Nam</v>
          </cell>
          <cell r="L122" t="str">
            <v>Lô 02</v>
          </cell>
          <cell r="O122">
            <v>850</v>
          </cell>
          <cell r="P122">
            <v>2000</v>
          </cell>
          <cell r="Q122">
            <v>850</v>
          </cell>
          <cell r="R122">
            <v>1700000</v>
          </cell>
        </row>
        <row r="123">
          <cell r="C123" t="str">
            <v>T0576</v>
          </cell>
          <cell r="D123" t="str">
            <v>TN0278</v>
          </cell>
          <cell r="E123" t="str">
            <v xml:space="preserve">Salbutamol        </v>
          </cell>
          <cell r="F123" t="str">
            <v>Salbutamol 2mg</v>
          </cell>
          <cell r="G123" t="str">
            <v>2mg</v>
          </cell>
          <cell r="H123" t="str">
            <v>viên</v>
          </cell>
          <cell r="I123" t="str">
            <v>Lọ 500 viên</v>
          </cell>
          <cell r="J123" t="str">
            <v>Bidiphar 1</v>
          </cell>
          <cell r="K123" t="str">
            <v>Việt Nam</v>
          </cell>
          <cell r="L123" t="str">
            <v>Lô 02</v>
          </cell>
          <cell r="M123">
            <v>53</v>
          </cell>
          <cell r="N123">
            <v>32000</v>
          </cell>
          <cell r="O123">
            <v>53</v>
          </cell>
          <cell r="P123">
            <v>40000</v>
          </cell>
          <cell r="Q123">
            <v>53</v>
          </cell>
          <cell r="R123">
            <v>2120000</v>
          </cell>
        </row>
        <row r="124">
          <cell r="C124" t="str">
            <v>T0589</v>
          </cell>
          <cell r="D124" t="str">
            <v>TN0284</v>
          </cell>
          <cell r="E124" t="str">
            <v xml:space="preserve">Sorbitol      </v>
          </cell>
          <cell r="F124" t="str">
            <v>SORBITOL</v>
          </cell>
          <cell r="G124" t="str">
            <v>5g</v>
          </cell>
          <cell r="H124" t="str">
            <v>gói</v>
          </cell>
          <cell r="I124" t="str">
            <v>HỘP 25 GÓI</v>
          </cell>
          <cell r="J124" t="str">
            <v>DOMESCO</v>
          </cell>
          <cell r="K124" t="str">
            <v>Việt Nam</v>
          </cell>
          <cell r="L124" t="str">
            <v>Lô 02</v>
          </cell>
          <cell r="M124">
            <v>450</v>
          </cell>
          <cell r="N124">
            <v>10000</v>
          </cell>
          <cell r="O124">
            <v>450</v>
          </cell>
          <cell r="P124">
            <v>10000</v>
          </cell>
          <cell r="Q124">
            <v>450</v>
          </cell>
          <cell r="R124">
            <v>4500000</v>
          </cell>
        </row>
        <row r="125">
          <cell r="C125" t="str">
            <v>T0590</v>
          </cell>
          <cell r="D125" t="str">
            <v>TN0285</v>
          </cell>
          <cell r="E125" t="str">
            <v>Spiramycin</v>
          </cell>
          <cell r="F125" t="str">
            <v>DOROPYCIN 0.75</v>
          </cell>
          <cell r="G125" t="str">
            <v>0,75M UI</v>
          </cell>
          <cell r="H125" t="str">
            <v>gói</v>
          </cell>
          <cell r="I125" t="str">
            <v>HỘP 20 GÓI</v>
          </cell>
          <cell r="J125" t="str">
            <v>DOMESCO</v>
          </cell>
          <cell r="K125" t="str">
            <v>Việt Nam</v>
          </cell>
          <cell r="L125" t="str">
            <v>Lô 02</v>
          </cell>
          <cell r="O125">
            <v>1200</v>
          </cell>
          <cell r="P125">
            <v>10000</v>
          </cell>
          <cell r="Q125">
            <v>1200</v>
          </cell>
          <cell r="R125">
            <v>12000000</v>
          </cell>
        </row>
        <row r="126">
          <cell r="C126" t="str">
            <v>T0591</v>
          </cell>
          <cell r="D126" t="str">
            <v>TN0286</v>
          </cell>
          <cell r="E126" t="str">
            <v>Spiramycin</v>
          </cell>
          <cell r="F126" t="str">
            <v>DOROPYCIN 1.5</v>
          </cell>
          <cell r="G126" t="str">
            <v>1,5M UI</v>
          </cell>
          <cell r="H126" t="str">
            <v>viên</v>
          </cell>
          <cell r="I126" t="str">
            <v>HỘP 2 VĨ X 8 VBF</v>
          </cell>
          <cell r="J126" t="str">
            <v>DOMESCO</v>
          </cell>
          <cell r="K126" t="str">
            <v>Việt Nam</v>
          </cell>
          <cell r="L126" t="str">
            <v>Lô 02</v>
          </cell>
          <cell r="M126">
            <v>1500</v>
          </cell>
          <cell r="N126">
            <v>3500</v>
          </cell>
          <cell r="O126">
            <v>1500</v>
          </cell>
          <cell r="P126">
            <v>5000</v>
          </cell>
          <cell r="Q126">
            <v>1500</v>
          </cell>
          <cell r="R126">
            <v>7500000</v>
          </cell>
        </row>
        <row r="127">
          <cell r="C127" t="str">
            <v>T0592</v>
          </cell>
          <cell r="D127" t="str">
            <v>TN0287</v>
          </cell>
          <cell r="E127" t="str">
            <v>Spiramycin</v>
          </cell>
          <cell r="F127" t="str">
            <v>DOROPYCIN 3</v>
          </cell>
          <cell r="G127" t="str">
            <v>3M UI</v>
          </cell>
          <cell r="H127" t="str">
            <v>viên</v>
          </cell>
          <cell r="I127" t="str">
            <v>HỘP 2 VĨ X  5VBF</v>
          </cell>
          <cell r="J127" t="str">
            <v>DOMESCO</v>
          </cell>
          <cell r="K127" t="str">
            <v>Việt Nam</v>
          </cell>
          <cell r="L127" t="str">
            <v>Lô 02</v>
          </cell>
          <cell r="O127">
            <v>2800</v>
          </cell>
          <cell r="P127">
            <v>10000</v>
          </cell>
          <cell r="Q127">
            <v>2800</v>
          </cell>
          <cell r="R127">
            <v>28000000</v>
          </cell>
        </row>
        <row r="128">
          <cell r="C128" t="str">
            <v>T0594</v>
          </cell>
          <cell r="D128" t="str">
            <v>TN0288</v>
          </cell>
          <cell r="E128" t="str">
            <v xml:space="preserve">Spiramycin -Metronidazol </v>
          </cell>
          <cell r="F128" t="str">
            <v>DOROGYN</v>
          </cell>
          <cell r="G128" t="str">
            <v>0,75MUI + 125mg</v>
          </cell>
          <cell r="H128" t="str">
            <v>viên</v>
          </cell>
          <cell r="I128" t="str">
            <v>HỘP 2 VĨ X 10 VBF</v>
          </cell>
          <cell r="J128" t="str">
            <v>DOMESCO</v>
          </cell>
          <cell r="K128" t="str">
            <v>Việt Nam</v>
          </cell>
          <cell r="L128" t="str">
            <v>Lô 02</v>
          </cell>
          <cell r="O128">
            <v>1050</v>
          </cell>
          <cell r="P128">
            <v>2000</v>
          </cell>
          <cell r="Q128">
            <v>1050</v>
          </cell>
          <cell r="R128">
            <v>2100000</v>
          </cell>
        </row>
        <row r="129">
          <cell r="C129" t="str">
            <v>T0603</v>
          </cell>
          <cell r="E129" t="str">
            <v>TV Sulpiride</v>
          </cell>
          <cell r="F129" t="str">
            <v xml:space="preserve">Sulpirid </v>
          </cell>
          <cell r="G129" t="str">
            <v>50mg</v>
          </cell>
          <cell r="H129" t="str">
            <v>viên</v>
          </cell>
          <cell r="I129" t="str">
            <v>Hộp 100 viên</v>
          </cell>
          <cell r="J129" t="str">
            <v>TV.Pharm</v>
          </cell>
          <cell r="K129" t="str">
            <v>Việt Nam</v>
          </cell>
          <cell r="L129" t="str">
            <v>Lô 02</v>
          </cell>
          <cell r="O129">
            <v>300</v>
          </cell>
          <cell r="P129">
            <v>10000</v>
          </cell>
          <cell r="Q129">
            <v>300</v>
          </cell>
          <cell r="R129">
            <v>3000000</v>
          </cell>
        </row>
        <row r="130">
          <cell r="C130" t="str">
            <v>T0612</v>
          </cell>
          <cell r="D130" t="str">
            <v>TN0296</v>
          </cell>
          <cell r="E130" t="str">
            <v>Terpin-Codein</v>
          </cell>
          <cell r="F130" t="str">
            <v>Terpin Codein 5</v>
          </cell>
          <cell r="G130" t="str">
            <v>100mg + 5mg</v>
          </cell>
          <cell r="H130" t="str">
            <v>viên</v>
          </cell>
          <cell r="I130" t="str">
            <v>H/10v/10</v>
          </cell>
          <cell r="J130" t="str">
            <v>Pharimexco</v>
          </cell>
          <cell r="K130" t="str">
            <v>Việt Nam</v>
          </cell>
          <cell r="L130" t="str">
            <v>Lô 02</v>
          </cell>
          <cell r="M130">
            <v>180</v>
          </cell>
          <cell r="N130">
            <v>15000</v>
          </cell>
          <cell r="O130">
            <v>180</v>
          </cell>
          <cell r="P130">
            <v>15000</v>
          </cell>
          <cell r="Q130">
            <v>180</v>
          </cell>
          <cell r="R130">
            <v>2700000</v>
          </cell>
        </row>
        <row r="131">
          <cell r="C131" t="str">
            <v>T0613</v>
          </cell>
          <cell r="D131" t="str">
            <v>TN0298</v>
          </cell>
          <cell r="E131" t="str">
            <v>Tetrahydrozolin HCl 5mg</v>
          </cell>
          <cell r="F131" t="str">
            <v>Eyelight 10ml</v>
          </cell>
          <cell r="G131" t="str">
            <v>5mg/10ml</v>
          </cell>
          <cell r="H131" t="str">
            <v>lọ</v>
          </cell>
          <cell r="I131" t="str">
            <v>h/1 chai</v>
          </cell>
          <cell r="J131" t="str">
            <v>CTCP Dược Hậu Giang</v>
          </cell>
          <cell r="K131" t="str">
            <v>Việt Nam</v>
          </cell>
          <cell r="L131" t="str">
            <v>Lô 02</v>
          </cell>
          <cell r="M131">
            <v>20000</v>
          </cell>
          <cell r="N131">
            <v>2000</v>
          </cell>
          <cell r="O131">
            <v>20000</v>
          </cell>
          <cell r="P131">
            <v>2000</v>
          </cell>
          <cell r="Q131">
            <v>20000</v>
          </cell>
          <cell r="R131">
            <v>40000000</v>
          </cell>
        </row>
        <row r="132">
          <cell r="C132" t="str">
            <v>T0627</v>
          </cell>
          <cell r="D132" t="str">
            <v>TN0303</v>
          </cell>
          <cell r="E132" t="str">
            <v>Tobramycine</v>
          </cell>
          <cell r="F132" t="str">
            <v>Tobcol</v>
          </cell>
          <cell r="G132" t="str">
            <v>0,3%/5ml</v>
          </cell>
          <cell r="H132" t="str">
            <v>lọ</v>
          </cell>
          <cell r="I132" t="str">
            <v>Hộp 1 chai 5ml</v>
          </cell>
          <cell r="J132" t="str">
            <v>F.T Pharma</v>
          </cell>
          <cell r="K132" t="str">
            <v>Việt Nam</v>
          </cell>
          <cell r="L132" t="str">
            <v>Lô 02</v>
          </cell>
          <cell r="M132">
            <v>10000</v>
          </cell>
          <cell r="N132">
            <v>300</v>
          </cell>
          <cell r="O132">
            <v>10000</v>
          </cell>
          <cell r="P132">
            <v>300</v>
          </cell>
          <cell r="Q132">
            <v>10000</v>
          </cell>
          <cell r="R132">
            <v>3000000</v>
          </cell>
        </row>
        <row r="133">
          <cell r="C133" t="str">
            <v>T0635</v>
          </cell>
          <cell r="D133" t="str">
            <v>TN0310</v>
          </cell>
          <cell r="E133" t="str">
            <v xml:space="preserve">Trimetazidin         </v>
          </cell>
          <cell r="F133" t="str">
            <v>VACOLAREN</v>
          </cell>
          <cell r="G133" t="str">
            <v>20mg</v>
          </cell>
          <cell r="H133" t="str">
            <v>viên</v>
          </cell>
          <cell r="I133" t="str">
            <v>Hộp 2 vỉ x 30 viên</v>
          </cell>
          <cell r="J133" t="str">
            <v>Vacopharm</v>
          </cell>
          <cell r="K133" t="str">
            <v>Việt Nam</v>
          </cell>
          <cell r="L133" t="str">
            <v>Lô 02</v>
          </cell>
          <cell r="O133">
            <v>175</v>
          </cell>
          <cell r="P133">
            <v>1000</v>
          </cell>
          <cell r="Q133">
            <v>175</v>
          </cell>
          <cell r="R133">
            <v>175000</v>
          </cell>
        </row>
        <row r="134">
          <cell r="C134" t="str">
            <v>T0645</v>
          </cell>
          <cell r="D134" t="str">
            <v>TN0311</v>
          </cell>
          <cell r="E134" t="str">
            <v>Vitamin A</v>
          </cell>
          <cell r="F134" t="str">
            <v>Vitamin A 5000IU</v>
          </cell>
          <cell r="G134" t="str">
            <v>5000UI</v>
          </cell>
          <cell r="H134" t="str">
            <v>viên</v>
          </cell>
          <cell r="I134" t="str">
            <v>Hộp 10vỉ x 10VNA</v>
          </cell>
          <cell r="J134" t="str">
            <v>Mekophar</v>
          </cell>
          <cell r="K134" t="str">
            <v>Việt Nam</v>
          </cell>
          <cell r="L134" t="str">
            <v>Lô 02</v>
          </cell>
          <cell r="O134">
            <v>190</v>
          </cell>
          <cell r="P134">
            <v>1000</v>
          </cell>
          <cell r="Q134">
            <v>190</v>
          </cell>
          <cell r="R134">
            <v>190000</v>
          </cell>
        </row>
        <row r="135">
          <cell r="C135" t="str">
            <v>T0646</v>
          </cell>
          <cell r="D135" t="str">
            <v>TN0312</v>
          </cell>
          <cell r="E135" t="str">
            <v>Vitamin A - D</v>
          </cell>
          <cell r="F135" t="str">
            <v>VITAMIN A&amp;D</v>
          </cell>
          <cell r="G135" t="str">
            <v>5000UI + 400UI</v>
          </cell>
          <cell r="H135" t="str">
            <v>viên</v>
          </cell>
          <cell r="I135" t="str">
            <v>HỘP 4 VĨ X 10 VNM</v>
          </cell>
          <cell r="J135" t="str">
            <v>DOMESCO</v>
          </cell>
          <cell r="K135" t="str">
            <v>Việt Nam</v>
          </cell>
          <cell r="L135" t="str">
            <v>Lô 02</v>
          </cell>
          <cell r="M135">
            <v>280</v>
          </cell>
          <cell r="N135">
            <v>4000</v>
          </cell>
          <cell r="O135">
            <v>280</v>
          </cell>
          <cell r="P135">
            <v>4000</v>
          </cell>
          <cell r="Q135">
            <v>280</v>
          </cell>
          <cell r="R135">
            <v>1120000</v>
          </cell>
        </row>
        <row r="136">
          <cell r="C136" t="str">
            <v>T0647</v>
          </cell>
          <cell r="D136" t="str">
            <v>TN0314</v>
          </cell>
          <cell r="E136" t="str">
            <v>Vitamin B1</v>
          </cell>
          <cell r="F136" t="str">
            <v>Vitamin B1 250mg</v>
          </cell>
          <cell r="G136" t="str">
            <v>250mg</v>
          </cell>
          <cell r="H136" t="str">
            <v>viên</v>
          </cell>
          <cell r="I136" t="str">
            <v>Hộp 10 vì x 10 viên</v>
          </cell>
          <cell r="J136" t="str">
            <v>Tipharco</v>
          </cell>
          <cell r="K136" t="str">
            <v>Việt Nam</v>
          </cell>
          <cell r="L136" t="str">
            <v>Lô 02</v>
          </cell>
          <cell r="M136">
            <v>219</v>
          </cell>
          <cell r="N136">
            <v>10000</v>
          </cell>
          <cell r="O136">
            <v>219</v>
          </cell>
          <cell r="P136">
            <v>10000</v>
          </cell>
          <cell r="Q136">
            <v>219</v>
          </cell>
          <cell r="R136">
            <v>2190000</v>
          </cell>
        </row>
        <row r="137">
          <cell r="C137" t="str">
            <v>T0649</v>
          </cell>
          <cell r="D137" t="str">
            <v>TN0316</v>
          </cell>
          <cell r="E137" t="str">
            <v>Vitamin B1 + B6 +B12</v>
          </cell>
          <cell r="F137" t="str">
            <v xml:space="preserve">Vitamin B1-B6-B12  </v>
          </cell>
          <cell r="G137" t="str">
            <v>125mg, 125mg, 125mcg</v>
          </cell>
          <cell r="H137" t="str">
            <v>viên</v>
          </cell>
          <cell r="I137" t="str">
            <v>Hộp 10vỉ x 10VBP</v>
          </cell>
          <cell r="J137" t="str">
            <v>Mekophar</v>
          </cell>
          <cell r="K137" t="str">
            <v>Việt Nam</v>
          </cell>
          <cell r="L137" t="str">
            <v>Lô 02</v>
          </cell>
          <cell r="O137">
            <v>270</v>
          </cell>
          <cell r="P137">
            <v>10000</v>
          </cell>
          <cell r="Q137">
            <v>270</v>
          </cell>
          <cell r="R137">
            <v>2700000</v>
          </cell>
        </row>
        <row r="138">
          <cell r="C138" t="str">
            <v>T0653</v>
          </cell>
          <cell r="D138" t="str">
            <v>TN0318</v>
          </cell>
          <cell r="E138" t="str">
            <v>Vitamin B6</v>
          </cell>
          <cell r="F138" t="str">
            <v>Vitamin B6</v>
          </cell>
          <cell r="G138" t="str">
            <v>250mg</v>
          </cell>
          <cell r="H138" t="str">
            <v>viên</v>
          </cell>
          <cell r="I138" t="str">
            <v>Hộp 10 vỉ x 10 viên</v>
          </cell>
          <cell r="J138" t="str">
            <v>Tipharco</v>
          </cell>
          <cell r="K138" t="str">
            <v>Việt Nam</v>
          </cell>
          <cell r="L138" t="str">
            <v>Lô 02</v>
          </cell>
          <cell r="M138">
            <v>275</v>
          </cell>
          <cell r="N138">
            <v>10000</v>
          </cell>
          <cell r="O138">
            <v>275</v>
          </cell>
          <cell r="P138">
            <v>10000</v>
          </cell>
          <cell r="Q138">
            <v>275</v>
          </cell>
          <cell r="R138">
            <v>2750000</v>
          </cell>
        </row>
        <row r="139">
          <cell r="C139" t="str">
            <v>T0655</v>
          </cell>
          <cell r="D139" t="str">
            <v>TN0320</v>
          </cell>
          <cell r="E139" t="str">
            <v>Vitamin C</v>
          </cell>
          <cell r="F139" t="str">
            <v xml:space="preserve">Vitamin C </v>
          </cell>
          <cell r="G139" t="str">
            <v>500mg</v>
          </cell>
          <cell r="H139" t="str">
            <v>viên</v>
          </cell>
          <cell r="I139" t="str">
            <v>Lọ 100 viên</v>
          </cell>
          <cell r="J139" t="str">
            <v>Bidiphar 1</v>
          </cell>
          <cell r="K139" t="str">
            <v>Việt Nam</v>
          </cell>
          <cell r="L139" t="str">
            <v>Lô 02</v>
          </cell>
          <cell r="M139">
            <v>249</v>
          </cell>
          <cell r="N139">
            <v>20000</v>
          </cell>
          <cell r="O139">
            <v>294</v>
          </cell>
          <cell r="P139">
            <v>20000</v>
          </cell>
          <cell r="Q139">
            <v>249</v>
          </cell>
          <cell r="R139">
            <v>4980000</v>
          </cell>
        </row>
        <row r="140">
          <cell r="C140" t="str">
            <v>T0656</v>
          </cell>
          <cell r="D140" t="str">
            <v>TN0321</v>
          </cell>
          <cell r="E140" t="str">
            <v>Vitamin C</v>
          </cell>
          <cell r="F140" t="str">
            <v>Cevita 500</v>
          </cell>
          <cell r="G140" t="str">
            <v>500mg</v>
          </cell>
          <cell r="H140" t="str">
            <v>ỐNg</v>
          </cell>
          <cell r="I140" t="str">
            <v>Hộp 10 vỉ x 10 ống 5ml</v>
          </cell>
          <cell r="J140" t="str">
            <v>F.T Pharma</v>
          </cell>
          <cell r="K140" t="str">
            <v>Việt Nam</v>
          </cell>
          <cell r="L140" t="str">
            <v>Lô 02</v>
          </cell>
          <cell r="M140">
            <v>1764</v>
          </cell>
          <cell r="N140">
            <v>500</v>
          </cell>
          <cell r="O140">
            <v>1764</v>
          </cell>
          <cell r="P140">
            <v>500</v>
          </cell>
          <cell r="Q140">
            <v>1764</v>
          </cell>
          <cell r="R140">
            <v>882000</v>
          </cell>
        </row>
        <row r="141">
          <cell r="C141" t="str">
            <v>T0658</v>
          </cell>
          <cell r="D141" t="str">
            <v>TN0323</v>
          </cell>
          <cell r="E141" t="str">
            <v>Vitamin C + Rutin</v>
          </cell>
          <cell r="F141" t="str">
            <v xml:space="preserve">Rutin -Vitamin C </v>
          </cell>
          <cell r="G141" t="str">
            <v>50mg+ 50mg</v>
          </cell>
          <cell r="H141" t="str">
            <v>viên</v>
          </cell>
          <cell r="I141" t="str">
            <v>Hộp 10vỉ x 10VBĐ</v>
          </cell>
          <cell r="J141" t="str">
            <v>Mekophar</v>
          </cell>
          <cell r="K141" t="str">
            <v>Việt Nam</v>
          </cell>
          <cell r="L141" t="str">
            <v>Lô 02</v>
          </cell>
          <cell r="O141">
            <v>155</v>
          </cell>
          <cell r="P141">
            <v>10000</v>
          </cell>
          <cell r="Q141">
            <v>155</v>
          </cell>
          <cell r="R141">
            <v>1550000</v>
          </cell>
        </row>
        <row r="142">
          <cell r="C142" t="str">
            <v>T0659</v>
          </cell>
          <cell r="D142" t="str">
            <v>TN0324</v>
          </cell>
          <cell r="E142" t="str">
            <v>Vitamin E</v>
          </cell>
          <cell r="F142" t="str">
            <v>Vitamin E 400UI (V/15)</v>
          </cell>
          <cell r="G142" t="str">
            <v>400UI</v>
          </cell>
          <cell r="H142" t="str">
            <v>viên</v>
          </cell>
          <cell r="I142" t="str">
            <v>V/15, H/150</v>
          </cell>
          <cell r="J142" t="str">
            <v>TV.Pharm</v>
          </cell>
          <cell r="K142" t="str">
            <v>Việt Nam</v>
          </cell>
          <cell r="L142" t="str">
            <v>Lô 02</v>
          </cell>
          <cell r="M142">
            <v>779</v>
          </cell>
          <cell r="N142">
            <v>3000</v>
          </cell>
          <cell r="O142">
            <v>779</v>
          </cell>
          <cell r="P142">
            <v>5000</v>
          </cell>
          <cell r="Q142">
            <v>779</v>
          </cell>
          <cell r="R142">
            <v>3895000</v>
          </cell>
        </row>
        <row r="143">
          <cell r="C143" t="str">
            <v>T0660</v>
          </cell>
          <cell r="D143" t="str">
            <v>TN0325</v>
          </cell>
          <cell r="E143" t="str">
            <v>Vitamin PP</v>
          </cell>
          <cell r="F143" t="str">
            <v>Vitamin PP 500mg</v>
          </cell>
          <cell r="G143" t="str">
            <v>500mg</v>
          </cell>
          <cell r="H143" t="str">
            <v>viên</v>
          </cell>
          <cell r="I143" t="str">
            <v>Hộp 10vỉ x 10VBP</v>
          </cell>
          <cell r="J143" t="str">
            <v>Mekophar</v>
          </cell>
          <cell r="K143" t="str">
            <v>Việt Nam</v>
          </cell>
          <cell r="L143" t="str">
            <v>Lô 02</v>
          </cell>
          <cell r="O143">
            <v>300</v>
          </cell>
          <cell r="P143">
            <v>2000</v>
          </cell>
          <cell r="Q143">
            <v>300</v>
          </cell>
          <cell r="R143">
            <v>600000</v>
          </cell>
        </row>
      </sheetData>
      <sheetData sheetId="6">
        <row r="22">
          <cell r="C22" t="str">
            <v>T0222</v>
          </cell>
          <cell r="D22" t="str">
            <v>AU0023</v>
          </cell>
          <cell r="E22" t="str">
            <v>Digoxin</v>
          </cell>
          <cell r="F22" t="str">
            <v>Digoxin</v>
          </cell>
          <cell r="G22" t="str">
            <v>0,25mg</v>
          </cell>
          <cell r="H22" t="str">
            <v>viên</v>
          </cell>
          <cell r="I22" t="str">
            <v>Chai/50v</v>
          </cell>
          <cell r="J22" t="str">
            <v>Châu Âu</v>
          </cell>
          <cell r="K22" t="str">
            <v>Việt Nam</v>
          </cell>
          <cell r="L22" t="str">
            <v>Lô 01</v>
          </cell>
          <cell r="O22">
            <v>1000</v>
          </cell>
          <cell r="P22">
            <v>50</v>
          </cell>
          <cell r="Q22">
            <v>1000</v>
          </cell>
        </row>
        <row r="23">
          <cell r="C23" t="str">
            <v>T0432</v>
          </cell>
          <cell r="D23" t="str">
            <v>AU0055</v>
          </cell>
          <cell r="E23" t="str">
            <v>Metoclopramide</v>
          </cell>
          <cell r="F23" t="str">
            <v>Elitan 10mg</v>
          </cell>
          <cell r="G23" t="str">
            <v>10mg</v>
          </cell>
          <cell r="H23" t="str">
            <v>viên</v>
          </cell>
          <cell r="I23" t="str">
            <v>Hộp 4 vỉ x 10 viên</v>
          </cell>
          <cell r="J23" t="str">
            <v>CT LD TNHH Stada</v>
          </cell>
          <cell r="K23" t="str">
            <v>Việt Nam</v>
          </cell>
          <cell r="L23" t="str">
            <v>Lô 01</v>
          </cell>
          <cell r="O23">
            <v>749</v>
          </cell>
          <cell r="P23">
            <v>100</v>
          </cell>
          <cell r="Q23">
            <v>749</v>
          </cell>
        </row>
        <row r="24">
          <cell r="C24" t="str">
            <v>T0675</v>
          </cell>
          <cell r="E24" t="str">
            <v>Alimemazin 5mg</v>
          </cell>
          <cell r="F24" t="str">
            <v>Toussolenin</v>
          </cell>
          <cell r="G24" t="str">
            <v>5mg</v>
          </cell>
          <cell r="H24" t="str">
            <v>viên</v>
          </cell>
          <cell r="I24" t="str">
            <v>H/30v</v>
          </cell>
          <cell r="J24" t="str">
            <v>CTCP Dược khánh hội</v>
          </cell>
          <cell r="K24" t="str">
            <v>Việt Nam</v>
          </cell>
          <cell r="L24" t="str">
            <v>Lô 02</v>
          </cell>
          <cell r="O24">
            <v>105</v>
          </cell>
          <cell r="P24">
            <v>9800</v>
          </cell>
          <cell r="Q24">
            <v>105</v>
          </cell>
        </row>
        <row r="25">
          <cell r="C25" t="str">
            <v>T0007</v>
          </cell>
          <cell r="D25" t="str">
            <v>TN0006</v>
          </cell>
          <cell r="E25" t="str">
            <v>Acetyl-cystein</v>
          </cell>
          <cell r="F25" t="str">
            <v>Acetylcystein - 200mg</v>
          </cell>
          <cell r="G25" t="str">
            <v>200mg</v>
          </cell>
          <cell r="H25" t="str">
            <v>gói</v>
          </cell>
          <cell r="I25" t="str">
            <v>H/30</v>
          </cell>
          <cell r="J25" t="str">
            <v>CTCP Dược Hậu Giang</v>
          </cell>
          <cell r="K25" t="str">
            <v>Việt Nam</v>
          </cell>
          <cell r="L25" t="str">
            <v>Lô 02</v>
          </cell>
          <cell r="O25">
            <v>795</v>
          </cell>
          <cell r="P25">
            <v>7312</v>
          </cell>
          <cell r="Q25">
            <v>795</v>
          </cell>
        </row>
        <row r="26">
          <cell r="C26" t="str">
            <v>T0035</v>
          </cell>
          <cell r="D26" t="str">
            <v>TN0019</v>
          </cell>
          <cell r="E26" t="str">
            <v>Alphachymotrypsin</v>
          </cell>
          <cell r="F26" t="str">
            <v>Alphachymotrypsin 4,2mg</v>
          </cell>
          <cell r="G26" t="str">
            <v>4,2mg</v>
          </cell>
          <cell r="H26" t="str">
            <v>viên</v>
          </cell>
          <cell r="I26" t="str">
            <v>V/10, H/50</v>
          </cell>
          <cell r="J26" t="str">
            <v>CTCP Dược Hậu Giang</v>
          </cell>
          <cell r="K26" t="str">
            <v>Việt Nam</v>
          </cell>
          <cell r="L26" t="str">
            <v>Lô 02</v>
          </cell>
          <cell r="O26">
            <v>1050</v>
          </cell>
          <cell r="P26">
            <v>99150</v>
          </cell>
          <cell r="Q26">
            <v>1050</v>
          </cell>
        </row>
        <row r="27">
          <cell r="C27" t="str">
            <v>T0041</v>
          </cell>
          <cell r="D27" t="str">
            <v>TN0022</v>
          </cell>
          <cell r="E27" t="str">
            <v xml:space="preserve">Alverine citrate              </v>
          </cell>
          <cell r="F27" t="str">
            <v>Spacmarizin 40mg</v>
          </cell>
          <cell r="G27" t="str">
            <v>40mg</v>
          </cell>
          <cell r="H27" t="str">
            <v>viên</v>
          </cell>
          <cell r="I27" t="str">
            <v>V/15, H/300</v>
          </cell>
          <cell r="J27" t="str">
            <v>CTCP Dược trà vinh</v>
          </cell>
          <cell r="K27" t="str">
            <v>Việt Nam</v>
          </cell>
          <cell r="L27" t="str">
            <v>Lô 02</v>
          </cell>
          <cell r="O27">
            <v>175</v>
          </cell>
          <cell r="P27">
            <v>21712</v>
          </cell>
          <cell r="Q27">
            <v>175</v>
          </cell>
        </row>
        <row r="28">
          <cell r="C28" t="str">
            <v>T0004</v>
          </cell>
          <cell r="D28" t="str">
            <v>TN0003</v>
          </cell>
          <cell r="E28" t="str">
            <v>Acetyl leucin</v>
          </cell>
          <cell r="F28" t="str">
            <v>Tanegonin - 500mg</v>
          </cell>
          <cell r="G28" t="str">
            <v>500mg</v>
          </cell>
          <cell r="H28" t="str">
            <v>viên</v>
          </cell>
          <cell r="I28" t="str">
            <v>H/2v/10</v>
          </cell>
          <cell r="J28" t="str">
            <v>CTCP Dược Cửu Long</v>
          </cell>
          <cell r="K28" t="str">
            <v>Việt Nam</v>
          </cell>
          <cell r="L28" t="str">
            <v>Lô 02</v>
          </cell>
          <cell r="O28">
            <v>735</v>
          </cell>
          <cell r="P28">
            <v>17412</v>
          </cell>
          <cell r="Q28">
            <v>735</v>
          </cell>
        </row>
        <row r="29">
          <cell r="C29" t="str">
            <v>T0039</v>
          </cell>
          <cell r="E29" t="str">
            <v>Aluminium phosphat gel 20%</v>
          </cell>
          <cell r="F29" t="str">
            <v>Stoccel</v>
          </cell>
          <cell r="G29" t="str">
            <v>20%.12.38g</v>
          </cell>
          <cell r="H29" t="str">
            <v>Gói</v>
          </cell>
          <cell r="I29" t="str">
            <v>H/20 gói</v>
          </cell>
          <cell r="J29" t="str">
            <v>CTCP Dược Hậu Giang</v>
          </cell>
          <cell r="K29" t="str">
            <v>Việt Nam</v>
          </cell>
          <cell r="L29" t="str">
            <v>Lô 02</v>
          </cell>
          <cell r="O29">
            <v>1600</v>
          </cell>
          <cell r="P29">
            <v>19521</v>
          </cell>
          <cell r="Q29">
            <v>1600</v>
          </cell>
        </row>
        <row r="30">
          <cell r="C30" t="str">
            <v>T0061</v>
          </cell>
          <cell r="D30" t="str">
            <v>NQ0010</v>
          </cell>
          <cell r="E30" t="str">
            <v>Amoxicillin-A.Clavulanic</v>
          </cell>
          <cell r="F30" t="str">
            <v>Klamentin 250mg</v>
          </cell>
          <cell r="G30" t="str">
            <v>250mg+31,5mg</v>
          </cell>
          <cell r="H30" t="str">
            <v>gói</v>
          </cell>
          <cell r="I30" t="str">
            <v>h/12 gói</v>
          </cell>
          <cell r="J30" t="str">
            <v>CTCP Dược Hậu Giang</v>
          </cell>
          <cell r="K30" t="str">
            <v>Việt Nam</v>
          </cell>
          <cell r="L30" t="str">
            <v>Lô 02</v>
          </cell>
          <cell r="O30">
            <v>5200</v>
          </cell>
          <cell r="P30">
            <v>2400</v>
          </cell>
          <cell r="Q30">
            <v>5200</v>
          </cell>
        </row>
        <row r="31">
          <cell r="C31" t="str">
            <v>T0063</v>
          </cell>
          <cell r="D31" t="str">
            <v>TN0030</v>
          </cell>
          <cell r="E31" t="str">
            <v>Amoxicillin-A.Clavulanic (Klamentin® hoặc tương đương điều trị)</v>
          </cell>
          <cell r="F31" t="str">
            <v>Klamentin 625mg</v>
          </cell>
          <cell r="G31" t="str">
            <v xml:space="preserve">  500mg +125mg</v>
          </cell>
          <cell r="H31" t="str">
            <v>viên</v>
          </cell>
          <cell r="I31" t="str">
            <v>v/4 h/12 viên</v>
          </cell>
          <cell r="J31" t="str">
            <v>CTCP Dược Hậu Giang</v>
          </cell>
          <cell r="K31" t="str">
            <v>Việt Nam</v>
          </cell>
          <cell r="L31" t="str">
            <v>Lô 02</v>
          </cell>
          <cell r="O31">
            <v>6500</v>
          </cell>
          <cell r="P31">
            <v>18520</v>
          </cell>
          <cell r="Q31">
            <v>6500</v>
          </cell>
        </row>
        <row r="32">
          <cell r="C32" t="str">
            <v>T0066</v>
          </cell>
          <cell r="D32" t="str">
            <v>TN0033</v>
          </cell>
          <cell r="E32" t="str">
            <v xml:space="preserve">Amoxycillin  </v>
          </cell>
          <cell r="F32" t="str">
            <v>Hagimox 500mg</v>
          </cell>
          <cell r="G32" t="str">
            <v>500mg</v>
          </cell>
          <cell r="H32" t="str">
            <v>viên</v>
          </cell>
          <cell r="I32" t="str">
            <v>HỘP 10 VĨ X 10 V</v>
          </cell>
          <cell r="J32" t="str">
            <v>CTCP Dược Hậu Giang</v>
          </cell>
          <cell r="K32" t="str">
            <v>Việt Nam</v>
          </cell>
          <cell r="L32" t="str">
            <v>Lô 02</v>
          </cell>
          <cell r="O32">
            <v>1294</v>
          </cell>
          <cell r="P32">
            <v>57000</v>
          </cell>
          <cell r="Q32">
            <v>1294</v>
          </cell>
        </row>
        <row r="33">
          <cell r="C33" t="str">
            <v>T0066</v>
          </cell>
          <cell r="D33" t="str">
            <v>TN0033</v>
          </cell>
          <cell r="E33" t="str">
            <v xml:space="preserve">Amoxycillin  </v>
          </cell>
          <cell r="F33" t="str">
            <v>Hagimox 250mg</v>
          </cell>
          <cell r="G33" t="str">
            <v>250mg</v>
          </cell>
          <cell r="H33" t="str">
            <v>gói</v>
          </cell>
          <cell r="I33" t="str">
            <v>h/24 gói</v>
          </cell>
          <cell r="J33" t="str">
            <v>CTCP Dược Hậu Giang</v>
          </cell>
          <cell r="K33" t="str">
            <v>Việt Nam</v>
          </cell>
          <cell r="O33">
            <v>1320</v>
          </cell>
          <cell r="P33">
            <v>30120</v>
          </cell>
          <cell r="Q33">
            <v>1320</v>
          </cell>
        </row>
        <row r="34">
          <cell r="C34" t="str">
            <v>T0066</v>
          </cell>
          <cell r="D34" t="str">
            <v>TN0033</v>
          </cell>
          <cell r="E34" t="str">
            <v xml:space="preserve">Amoxycillin  </v>
          </cell>
          <cell r="F34" t="str">
            <v>Hagimox 250mg</v>
          </cell>
          <cell r="G34" t="str">
            <v>250mg</v>
          </cell>
          <cell r="H34" t="str">
            <v>Viên</v>
          </cell>
          <cell r="I34" t="str">
            <v>ch/100 viên</v>
          </cell>
          <cell r="J34" t="str">
            <v>CTCP Dược Hậu Giang</v>
          </cell>
          <cell r="K34" t="str">
            <v>Việt Nam</v>
          </cell>
          <cell r="O34">
            <v>672</v>
          </cell>
          <cell r="P34">
            <v>7425</v>
          </cell>
          <cell r="Q34">
            <v>672</v>
          </cell>
        </row>
        <row r="35">
          <cell r="C35" t="str">
            <v>T0761</v>
          </cell>
          <cell r="E35" t="str">
            <v>Berberin</v>
          </cell>
          <cell r="F35" t="str">
            <v>Berberin 100mg</v>
          </cell>
          <cell r="G35" t="str">
            <v>100mg</v>
          </cell>
          <cell r="H35" t="str">
            <v>viên</v>
          </cell>
          <cell r="I35" t="str">
            <v>ch/100 viên</v>
          </cell>
          <cell r="J35" t="str">
            <v>CTCP Dược Domesco</v>
          </cell>
          <cell r="K35" t="str">
            <v>Việt Nam</v>
          </cell>
          <cell r="L35" t="str">
            <v>Lô 02</v>
          </cell>
          <cell r="O35">
            <v>277</v>
          </cell>
          <cell r="P35">
            <v>1300</v>
          </cell>
          <cell r="Q35">
            <v>277</v>
          </cell>
        </row>
        <row r="36">
          <cell r="C36" t="str">
            <v>T0073</v>
          </cell>
          <cell r="D36" t="str">
            <v>TN0038</v>
          </cell>
          <cell r="E36" t="str">
            <v xml:space="preserve">Atenolon  </v>
          </cell>
          <cell r="F36" t="str">
            <v>TENOCAR 50</v>
          </cell>
          <cell r="G36" t="str">
            <v>50mg</v>
          </cell>
          <cell r="H36" t="str">
            <v>viên</v>
          </cell>
          <cell r="I36" t="str">
            <v>Hộp 30 viên</v>
          </cell>
          <cell r="J36" t="str">
            <v>CTCP Dược Hậu Giang</v>
          </cell>
          <cell r="K36" t="str">
            <v>Việt Nam</v>
          </cell>
          <cell r="L36" t="str">
            <v>Lô 02</v>
          </cell>
          <cell r="O36">
            <v>680</v>
          </cell>
          <cell r="P36">
            <v>714</v>
          </cell>
          <cell r="Q36">
            <v>680</v>
          </cell>
        </row>
        <row r="37">
          <cell r="C37" t="str">
            <v>T0098</v>
          </cell>
          <cell r="D37" t="str">
            <v>TN0051</v>
          </cell>
          <cell r="E37" t="str">
            <v>Calci + D3</v>
          </cell>
          <cell r="F37" t="str">
            <v>Davita bone sugar free</v>
          </cell>
          <cell r="G37" t="str">
            <v>600mg+400 IU</v>
          </cell>
          <cell r="H37" t="str">
            <v>Viên sủi</v>
          </cell>
          <cell r="I37" t="str">
            <v>tube/10 viên</v>
          </cell>
          <cell r="J37" t="str">
            <v>CTCP Dược Hậu Giang</v>
          </cell>
          <cell r="K37" t="str">
            <v>Việt Nam</v>
          </cell>
          <cell r="L37" t="str">
            <v>Lô 02</v>
          </cell>
          <cell r="O37">
            <v>2419</v>
          </cell>
          <cell r="P37">
            <v>18625</v>
          </cell>
          <cell r="Q37">
            <v>2419</v>
          </cell>
        </row>
        <row r="38">
          <cell r="C38" t="str">
            <v>T0111</v>
          </cell>
          <cell r="D38" t="str">
            <v>NQ0019</v>
          </cell>
          <cell r="E38" t="str">
            <v xml:space="preserve">Calcium Vitamin PPVitamin C  Axid Hypophosphorous </v>
          </cell>
          <cell r="F38" t="str">
            <v>Calcium Stada Vitamin C,PP</v>
          </cell>
          <cell r="G38" t="str">
            <v>0.550g + 0.25g + 0.05g+ 0.02g</v>
          </cell>
          <cell r="H38" t="str">
            <v>Ống 5ml</v>
          </cell>
          <cell r="I38" t="str">
            <v>Hộp 2vỉ x 10ống 5ml</v>
          </cell>
          <cell r="J38" t="str">
            <v>CT LD TNHH Stada</v>
          </cell>
          <cell r="K38" t="str">
            <v>Việt Nam</v>
          </cell>
          <cell r="L38" t="str">
            <v>Lô 02</v>
          </cell>
          <cell r="O38">
            <v>1800</v>
          </cell>
          <cell r="P38">
            <v>3350</v>
          </cell>
          <cell r="Q38">
            <v>1800</v>
          </cell>
        </row>
        <row r="39">
          <cell r="C39" t="str">
            <v>T0018</v>
          </cell>
          <cell r="D39" t="str">
            <v>TN0010</v>
          </cell>
          <cell r="E39" t="str">
            <v>Acid citric, NaHCO3,Na2CO3</v>
          </cell>
          <cell r="F39" t="str">
            <v>Edoz kids</v>
          </cell>
          <cell r="G39" t="str">
            <v xml:space="preserve">620mg + 580mg + 140mg </v>
          </cell>
          <cell r="H39" t="str">
            <v>gói</v>
          </cell>
          <cell r="I39" t="str">
            <v>h/24 gói</v>
          </cell>
          <cell r="J39" t="str">
            <v>CTCP Dược Hậu Giang</v>
          </cell>
          <cell r="K39" t="str">
            <v>Việt Nam</v>
          </cell>
          <cell r="L39" t="str">
            <v>Lô 02</v>
          </cell>
          <cell r="O39">
            <v>1300</v>
          </cell>
          <cell r="P39">
            <v>31050</v>
          </cell>
          <cell r="Q39">
            <v>1300</v>
          </cell>
        </row>
        <row r="40">
          <cell r="C40" t="str">
            <v>T0676</v>
          </cell>
          <cell r="E40" t="str">
            <v>Bromhexin</v>
          </cell>
          <cell r="F40" t="str">
            <v>Bromhexin 4mg</v>
          </cell>
          <cell r="G40" t="str">
            <v>4mg</v>
          </cell>
          <cell r="H40" t="str">
            <v>Viên</v>
          </cell>
          <cell r="I40" t="str">
            <v>H/20v</v>
          </cell>
          <cell r="J40" t="str">
            <v>CTCP Dược Hậu Giang</v>
          </cell>
          <cell r="K40" t="str">
            <v>Việt Nam</v>
          </cell>
          <cell r="L40" t="str">
            <v>Lô 02</v>
          </cell>
          <cell r="O40">
            <v>65</v>
          </cell>
          <cell r="P40">
            <v>8300</v>
          </cell>
          <cell r="Q40">
            <v>65</v>
          </cell>
        </row>
        <row r="41">
          <cell r="C41" t="str">
            <v>T0115</v>
          </cell>
          <cell r="D41" t="str">
            <v>TN0061</v>
          </cell>
          <cell r="E41" t="str">
            <v xml:space="preserve">Captopril      </v>
          </cell>
          <cell r="F41" t="str">
            <v>DOTORIN</v>
          </cell>
          <cell r="G41" t="str">
            <v>25mg</v>
          </cell>
          <cell r="H41" t="str">
            <v>viên</v>
          </cell>
          <cell r="I41" t="str">
            <v>HỘP 10 VĨ X 10 VNE</v>
          </cell>
          <cell r="J41" t="str">
            <v>CT LD TNHH Stada</v>
          </cell>
          <cell r="K41" t="str">
            <v>Việt Nam</v>
          </cell>
          <cell r="L41" t="str">
            <v>Lô 02</v>
          </cell>
          <cell r="O41">
            <v>250</v>
          </cell>
          <cell r="P41">
            <v>13325</v>
          </cell>
          <cell r="Q41">
            <v>250</v>
          </cell>
        </row>
        <row r="42">
          <cell r="C42" t="str">
            <v>T0019</v>
          </cell>
          <cell r="D42" t="str">
            <v>TN0004</v>
          </cell>
          <cell r="E42" t="str">
            <v>Acid Nalidicid</v>
          </cell>
          <cell r="F42" t="str">
            <v>Aginalxic</v>
          </cell>
          <cell r="G42" t="str">
            <v>500mg</v>
          </cell>
          <cell r="H42" t="str">
            <v>viên</v>
          </cell>
          <cell r="I42" t="str">
            <v>H/10 vỉ x 10v</v>
          </cell>
          <cell r="J42" t="str">
            <v>CTCP Dược Đồng Nai</v>
          </cell>
          <cell r="K42" t="str">
            <v>Việt Nam</v>
          </cell>
          <cell r="L42" t="str">
            <v>Lô 02</v>
          </cell>
          <cell r="O42">
            <v>1250</v>
          </cell>
          <cell r="P42">
            <v>800</v>
          </cell>
          <cell r="Q42">
            <v>1250</v>
          </cell>
        </row>
        <row r="43">
          <cell r="C43" t="str">
            <v>T0118</v>
          </cell>
          <cell r="D43" t="str">
            <v>NQ0020</v>
          </cell>
          <cell r="E43" t="str">
            <v>Carbazochrom dihyrat</v>
          </cell>
          <cell r="F43" t="str">
            <v>Adrenoxyl</v>
          </cell>
          <cell r="G43" t="str">
            <v>10mg</v>
          </cell>
          <cell r="H43" t="str">
            <v>viên</v>
          </cell>
          <cell r="I43" t="str">
            <v>Hộp 1 vỉ x 16 viên nén</v>
          </cell>
          <cell r="J43" t="str">
            <v>CTCP Dược Hậu Giang</v>
          </cell>
          <cell r="K43" t="str">
            <v>Việt Nam</v>
          </cell>
          <cell r="L43" t="str">
            <v>Lô 02</v>
          </cell>
          <cell r="O43">
            <v>1250</v>
          </cell>
          <cell r="P43">
            <v>685</v>
          </cell>
          <cell r="Q43">
            <v>1250</v>
          </cell>
        </row>
        <row r="44">
          <cell r="C44" t="str">
            <v>T0122</v>
          </cell>
          <cell r="D44" t="str">
            <v>NQ0022</v>
          </cell>
          <cell r="E44" t="str">
            <v>Cefaclor</v>
          </cell>
          <cell r="F44" t="str">
            <v>pms-Imeclor 125 gói</v>
          </cell>
          <cell r="G44" t="str">
            <v>125mg</v>
          </cell>
          <cell r="H44" t="str">
            <v>gói</v>
          </cell>
          <cell r="I44" t="str">
            <v>h/12 gói</v>
          </cell>
          <cell r="J44" t="str">
            <v>CTCP Dược Hậu Giang</v>
          </cell>
          <cell r="K44" t="str">
            <v>Việt Nam</v>
          </cell>
          <cell r="L44" t="str">
            <v>Lô 02</v>
          </cell>
          <cell r="O44">
            <v>1516</v>
          </cell>
          <cell r="P44">
            <v>7100</v>
          </cell>
          <cell r="Q44">
            <v>1516</v>
          </cell>
        </row>
        <row r="45">
          <cell r="C45" t="str">
            <v>T0124</v>
          </cell>
          <cell r="D45" t="str">
            <v>TN0064</v>
          </cell>
          <cell r="E45" t="str">
            <v xml:space="preserve">Cefaclor  </v>
          </cell>
          <cell r="F45" t="str">
            <v>CEFACLOR 250MG</v>
          </cell>
          <cell r="G45" t="str">
            <v>250mg</v>
          </cell>
          <cell r="H45" t="str">
            <v>viên</v>
          </cell>
          <cell r="I45" t="str">
            <v>HỘP 10 VĨ X 10 VNA</v>
          </cell>
          <cell r="J45" t="str">
            <v>CTCP Dược Hậu Giang</v>
          </cell>
          <cell r="K45" t="str">
            <v>Việt Nam</v>
          </cell>
          <cell r="L45" t="str">
            <v>Lô 02</v>
          </cell>
          <cell r="O45">
            <v>2100</v>
          </cell>
          <cell r="P45">
            <v>9575</v>
          </cell>
          <cell r="Q45">
            <v>2100</v>
          </cell>
        </row>
        <row r="46">
          <cell r="C46" t="str">
            <v>T0125</v>
          </cell>
          <cell r="D46" t="str">
            <v>TN0066</v>
          </cell>
          <cell r="E46" t="str">
            <v xml:space="preserve">Cefaclor    </v>
          </cell>
          <cell r="F46" t="str">
            <v>Mekocefaclor 375mg</v>
          </cell>
          <cell r="G46" t="str">
            <v>375mg</v>
          </cell>
          <cell r="H46" t="str">
            <v>viên</v>
          </cell>
          <cell r="I46" t="str">
            <v>Hộp 1vỉ x 10VBP</v>
          </cell>
          <cell r="J46" t="str">
            <v>CTCP Dược Hậu Giang</v>
          </cell>
          <cell r="K46" t="str">
            <v>Việt Nam</v>
          </cell>
          <cell r="L46" t="str">
            <v>Lô 02</v>
          </cell>
          <cell r="O46">
            <v>2830</v>
          </cell>
          <cell r="P46">
            <v>2830</v>
          </cell>
          <cell r="Q46">
            <v>2830</v>
          </cell>
        </row>
        <row r="47">
          <cell r="C47" t="str">
            <v>T0140</v>
          </cell>
          <cell r="D47" t="str">
            <v>NQ0025</v>
          </cell>
          <cell r="E47" t="str">
            <v xml:space="preserve">Cefixim  </v>
          </cell>
          <cell r="F47" t="str">
            <v>MINICEF 200</v>
          </cell>
          <cell r="G47" t="str">
            <v>200mg</v>
          </cell>
          <cell r="H47" t="str">
            <v>viên</v>
          </cell>
          <cell r="I47" t="str">
            <v>Hộp 10 viên</v>
          </cell>
          <cell r="J47" t="str">
            <v>CTCP Dược Hậu Giang</v>
          </cell>
          <cell r="K47" t="str">
            <v>Việt Nam</v>
          </cell>
          <cell r="L47" t="str">
            <v>Lô 02</v>
          </cell>
          <cell r="O47">
            <v>1500</v>
          </cell>
          <cell r="P47">
            <v>512</v>
          </cell>
          <cell r="Q47">
            <v>1500</v>
          </cell>
        </row>
        <row r="48">
          <cell r="C48" t="str">
            <v>T0142</v>
          </cell>
          <cell r="D48" t="str">
            <v>TN0072</v>
          </cell>
          <cell r="E48" t="str">
            <v xml:space="preserve">Cefixim  </v>
          </cell>
          <cell r="F48" t="str">
            <v>Cefixim MKP 100mg</v>
          </cell>
          <cell r="G48" t="str">
            <v>100mg</v>
          </cell>
          <cell r="H48" t="str">
            <v>viên</v>
          </cell>
          <cell r="I48" t="str">
            <v>Hộp 2vỉ x 10VNA</v>
          </cell>
          <cell r="J48" t="str">
            <v>CTCP Dược Hậu Giang</v>
          </cell>
          <cell r="K48" t="str">
            <v>Việt Nam</v>
          </cell>
          <cell r="L48" t="str">
            <v>Lô 02</v>
          </cell>
          <cell r="O48">
            <v>2100</v>
          </cell>
          <cell r="P48">
            <v>325</v>
          </cell>
          <cell r="Q48">
            <v>2100</v>
          </cell>
        </row>
        <row r="49">
          <cell r="E49" t="str">
            <v xml:space="preserve">Cefixim  </v>
          </cell>
          <cell r="F49" t="str">
            <v>Biceficim</v>
          </cell>
          <cell r="G49" t="str">
            <v>50mg</v>
          </cell>
          <cell r="H49" t="str">
            <v>viên</v>
          </cell>
          <cell r="I49" t="str">
            <v>Hộp 2vỉ x 10VNA</v>
          </cell>
          <cell r="J49" t="str">
            <v>CTCP Dược Hậu Giang</v>
          </cell>
          <cell r="K49" t="str">
            <v>Việt Nam</v>
          </cell>
          <cell r="L49" t="str">
            <v>Lô 02</v>
          </cell>
          <cell r="O49">
            <v>2525</v>
          </cell>
          <cell r="P49">
            <v>425</v>
          </cell>
          <cell r="Q49">
            <v>2525</v>
          </cell>
        </row>
        <row r="50">
          <cell r="C50" t="str">
            <v>T0187</v>
          </cell>
          <cell r="E50" t="str">
            <v>Chlopheniramin</v>
          </cell>
          <cell r="F50" t="str">
            <v>Chlopheniramin 4mg</v>
          </cell>
          <cell r="G50" t="str">
            <v>4mg</v>
          </cell>
          <cell r="H50" t="str">
            <v>Viên</v>
          </cell>
          <cell r="I50" t="str">
            <v>Ch/150v</v>
          </cell>
          <cell r="J50" t="str">
            <v>CTCP Dược Hậu Giang</v>
          </cell>
          <cell r="K50" t="str">
            <v>Việt Nam</v>
          </cell>
          <cell r="L50" t="str">
            <v>Lô 02</v>
          </cell>
          <cell r="O50">
            <v>42</v>
          </cell>
          <cell r="P50">
            <v>60045</v>
          </cell>
          <cell r="Q50">
            <v>42</v>
          </cell>
        </row>
        <row r="51">
          <cell r="E51" t="str">
            <v>chloramphenicol</v>
          </cell>
          <cell r="F51" t="str">
            <v>chloramphenicol</v>
          </cell>
          <cell r="G51" t="str">
            <v>250mg</v>
          </cell>
          <cell r="H51" t="str">
            <v>Viên</v>
          </cell>
          <cell r="I51" t="str">
            <v>ch/100 viên</v>
          </cell>
          <cell r="J51" t="str">
            <v>CTCP DP Mekophar</v>
          </cell>
          <cell r="K51" t="str">
            <v>Việt Nam</v>
          </cell>
          <cell r="L51" t="str">
            <v>Lô 02</v>
          </cell>
          <cell r="O51">
            <v>314</v>
          </cell>
          <cell r="P51">
            <v>1000</v>
          </cell>
          <cell r="Q51">
            <v>314</v>
          </cell>
        </row>
        <row r="52">
          <cell r="E52" t="str">
            <v>chloramphenicol</v>
          </cell>
          <cell r="F52" t="str">
            <v>chloramphenicol 10.04 %</v>
          </cell>
          <cell r="G52" t="str">
            <v>0.40%</v>
          </cell>
          <cell r="H52" t="str">
            <v>tube</v>
          </cell>
          <cell r="I52" t="str">
            <v>Bôi ngoài da</v>
          </cell>
          <cell r="J52" t="str">
            <v>CTCP Dược 3/2</v>
          </cell>
          <cell r="K52" t="str">
            <v>Việt Nam</v>
          </cell>
          <cell r="L52" t="str">
            <v>Lô 02</v>
          </cell>
          <cell r="O52">
            <v>2890</v>
          </cell>
          <cell r="P52">
            <v>30</v>
          </cell>
          <cell r="Q52">
            <v>2890</v>
          </cell>
        </row>
        <row r="53">
          <cell r="C53" t="str">
            <v>T0006</v>
          </cell>
          <cell r="D53" t="str">
            <v>TN0005</v>
          </cell>
          <cell r="E53" t="str">
            <v>Acetyl-cystein</v>
          </cell>
          <cell r="F53" t="str">
            <v>Mitux E</v>
          </cell>
          <cell r="G53" t="str">
            <v>100mg</v>
          </cell>
          <cell r="H53" t="str">
            <v>gói</v>
          </cell>
          <cell r="I53" t="str">
            <v>h/25 gói</v>
          </cell>
          <cell r="J53" t="str">
            <v>CTCP Dược Hậu Giang</v>
          </cell>
          <cell r="K53" t="str">
            <v>Việt Nam</v>
          </cell>
          <cell r="L53" t="str">
            <v>Lô 02</v>
          </cell>
          <cell r="O53">
            <v>1050</v>
          </cell>
          <cell r="P53">
            <v>7505</v>
          </cell>
          <cell r="Q53">
            <v>1050</v>
          </cell>
        </row>
        <row r="54">
          <cell r="C54" t="str">
            <v>T0005</v>
          </cell>
          <cell r="D54" t="str">
            <v>TN0004</v>
          </cell>
          <cell r="E54" t="str">
            <v xml:space="preserve">Acetyl salicylic acid   </v>
          </cell>
          <cell r="F54" t="str">
            <v>Aspirin 81mg</v>
          </cell>
          <cell r="G54" t="str">
            <v>81mg</v>
          </cell>
          <cell r="H54" t="str">
            <v>viên</v>
          </cell>
          <cell r="I54" t="str">
            <v>H/10v/10</v>
          </cell>
          <cell r="J54" t="str">
            <v>CTLDTNHH STADA</v>
          </cell>
          <cell r="K54" t="str">
            <v>Việt Nam</v>
          </cell>
          <cell r="L54" t="str">
            <v>Lô 02</v>
          </cell>
          <cell r="O54">
            <v>126</v>
          </cell>
          <cell r="P54">
            <v>1500</v>
          </cell>
          <cell r="Q54">
            <v>126</v>
          </cell>
        </row>
        <row r="55">
          <cell r="C55" t="str">
            <v>T0176</v>
          </cell>
          <cell r="D55" t="str">
            <v>TN0083</v>
          </cell>
          <cell r="E55" t="str">
            <v>Cefuroxim (Haginat® hoặc tương đương điều trị)</v>
          </cell>
          <cell r="F55" t="str">
            <v>Haginat 125mg</v>
          </cell>
          <cell r="G55" t="str">
            <v>125mg</v>
          </cell>
          <cell r="H55" t="str">
            <v>gói</v>
          </cell>
          <cell r="I55" t="str">
            <v>h/10 gói</v>
          </cell>
          <cell r="J55" t="str">
            <v>CTCP Dược Hậu Giang</v>
          </cell>
          <cell r="K55" t="str">
            <v>Việt Nam</v>
          </cell>
          <cell r="L55" t="str">
            <v>Lô 02</v>
          </cell>
          <cell r="O55">
            <v>8925</v>
          </cell>
          <cell r="P55">
            <v>138</v>
          </cell>
          <cell r="Q55">
            <v>8925</v>
          </cell>
        </row>
        <row r="56">
          <cell r="C56" t="str">
            <v>T0177</v>
          </cell>
          <cell r="D56" t="str">
            <v>TN0084</v>
          </cell>
          <cell r="E56" t="str">
            <v>Cefuroxim (Haginat® hoặc tương đương điều trị)</v>
          </cell>
          <cell r="F56" t="str">
            <v>Haginat 500mg</v>
          </cell>
          <cell r="G56" t="str">
            <v>500mg</v>
          </cell>
          <cell r="H56" t="str">
            <v>viên</v>
          </cell>
          <cell r="I56" t="str">
            <v>v/5 h/10 viên</v>
          </cell>
          <cell r="J56" t="str">
            <v>CTCP Dược Hậu Giang</v>
          </cell>
          <cell r="K56" t="str">
            <v>Việt Nam</v>
          </cell>
          <cell r="L56" t="str">
            <v>Lô 02</v>
          </cell>
          <cell r="O56">
            <v>14250</v>
          </cell>
          <cell r="P56">
            <v>725</v>
          </cell>
          <cell r="Q56">
            <v>14250</v>
          </cell>
        </row>
        <row r="57">
          <cell r="C57" t="str">
            <v>T0181</v>
          </cell>
          <cell r="D57" t="str">
            <v>TN0085</v>
          </cell>
          <cell r="E57" t="str">
            <v xml:space="preserve">Celecoxib   </v>
          </cell>
          <cell r="F57" t="str">
            <v>CELECOXIB 200MG</v>
          </cell>
          <cell r="G57" t="str">
            <v>200mg</v>
          </cell>
          <cell r="H57" t="str">
            <v>viên</v>
          </cell>
          <cell r="I57" t="str">
            <v>HỘP 3 VĨ X 10 VNA</v>
          </cell>
          <cell r="J57" t="str">
            <v>CTCP Dược Hậu Giang</v>
          </cell>
          <cell r="K57" t="str">
            <v>Việt Nam</v>
          </cell>
          <cell r="L57" t="str">
            <v>Lô 02</v>
          </cell>
          <cell r="O57">
            <v>1500</v>
          </cell>
          <cell r="P57">
            <v>625</v>
          </cell>
          <cell r="Q57">
            <v>1500</v>
          </cell>
        </row>
        <row r="58">
          <cell r="C58" t="str">
            <v>T0182</v>
          </cell>
          <cell r="D58" t="str">
            <v>TN0086</v>
          </cell>
          <cell r="E58" t="str">
            <v xml:space="preserve">Celecoxib   </v>
          </cell>
          <cell r="F58" t="str">
            <v>Vicoxib 100</v>
          </cell>
          <cell r="G58" t="str">
            <v>100mg</v>
          </cell>
          <cell r="H58" t="str">
            <v>viên</v>
          </cell>
          <cell r="I58" t="str">
            <v>H/3v/10</v>
          </cell>
          <cell r="J58" t="str">
            <v>CTCP Dược Hậu Giang</v>
          </cell>
          <cell r="K58" t="str">
            <v>Việt Nam</v>
          </cell>
          <cell r="L58" t="str">
            <v>Lô 02</v>
          </cell>
          <cell r="O58">
            <v>1250</v>
          </cell>
          <cell r="P58">
            <v>542</v>
          </cell>
          <cell r="Q58">
            <v>1250</v>
          </cell>
        </row>
        <row r="59">
          <cell r="C59" t="str">
            <v>T0183</v>
          </cell>
          <cell r="D59" t="str">
            <v>TN0087</v>
          </cell>
          <cell r="E59" t="str">
            <v xml:space="preserve">Cephalexin   </v>
          </cell>
          <cell r="F59" t="str">
            <v>CEFALEXIN 500MG</v>
          </cell>
          <cell r="G59" t="str">
            <v>500mg</v>
          </cell>
          <cell r="H59" t="str">
            <v>viên</v>
          </cell>
          <cell r="I59" t="str">
            <v>HỘP 10 VĨ X 10 VNA</v>
          </cell>
          <cell r="J59" t="str">
            <v>CTCP Dược Hậu Giang</v>
          </cell>
          <cell r="K59" t="str">
            <v>Việt Nam</v>
          </cell>
          <cell r="L59" t="str">
            <v>Lô 02</v>
          </cell>
          <cell r="O59">
            <v>1617</v>
          </cell>
          <cell r="P59">
            <v>66250</v>
          </cell>
          <cell r="Q59">
            <v>1617</v>
          </cell>
        </row>
        <row r="60">
          <cell r="C60" t="str">
            <v>T0185</v>
          </cell>
          <cell r="E60" t="str">
            <v xml:space="preserve">Cephalexin   </v>
          </cell>
          <cell r="F60" t="str">
            <v>CEFALEXIN 250MG</v>
          </cell>
          <cell r="G60" t="str">
            <v>250mg</v>
          </cell>
          <cell r="H60" t="str">
            <v>Gói</v>
          </cell>
          <cell r="I60" t="str">
            <v>h/24 gói</v>
          </cell>
          <cell r="J60" t="str">
            <v>CTCP Dược Hậu Giang</v>
          </cell>
          <cell r="K60" t="str">
            <v>Việt Nam</v>
          </cell>
          <cell r="L60" t="str">
            <v>Lô 02</v>
          </cell>
          <cell r="O60">
            <v>1404</v>
          </cell>
          <cell r="P60">
            <v>24425</v>
          </cell>
          <cell r="Q60">
            <v>1404</v>
          </cell>
        </row>
        <row r="61">
          <cell r="C61" t="str">
            <v>T0184</v>
          </cell>
          <cell r="E61" t="str">
            <v xml:space="preserve">Cephalexin   </v>
          </cell>
          <cell r="F61" t="str">
            <v>CEFALEXIN 250MG</v>
          </cell>
          <cell r="G61" t="str">
            <v>250mg</v>
          </cell>
          <cell r="H61" t="str">
            <v>Viên</v>
          </cell>
          <cell r="J61" t="str">
            <v>CTCP Dược Hậu Giang</v>
          </cell>
          <cell r="K61" t="str">
            <v>Việt Nam</v>
          </cell>
          <cell r="L61" t="str">
            <v>Lô 02</v>
          </cell>
          <cell r="O61">
            <v>630</v>
          </cell>
          <cell r="P61">
            <v>14945</v>
          </cell>
          <cell r="Q61">
            <v>630</v>
          </cell>
        </row>
        <row r="62">
          <cell r="C62" t="str">
            <v>T0127</v>
          </cell>
          <cell r="E62" t="str">
            <v>Cefadroxil</v>
          </cell>
          <cell r="F62" t="str">
            <v>Mekocefal 250mg</v>
          </cell>
          <cell r="G62" t="str">
            <v>250mg</v>
          </cell>
          <cell r="H62" t="str">
            <v>Gói</v>
          </cell>
          <cell r="I62" t="str">
            <v>H/24 gói</v>
          </cell>
          <cell r="J62" t="str">
            <v>Mekofa</v>
          </cell>
          <cell r="K62" t="str">
            <v>Việt Nam</v>
          </cell>
          <cell r="L62" t="str">
            <v>Lô 02</v>
          </cell>
          <cell r="O62">
            <v>1100</v>
          </cell>
          <cell r="P62">
            <v>12225</v>
          </cell>
          <cell r="Q62">
            <v>1100</v>
          </cell>
        </row>
        <row r="63">
          <cell r="C63" t="str">
            <v>T0128</v>
          </cell>
          <cell r="E63" t="str">
            <v>Cefadroxil</v>
          </cell>
          <cell r="F63" t="str">
            <v>Mekocefal 500mg</v>
          </cell>
          <cell r="G63" t="str">
            <v>500mg</v>
          </cell>
          <cell r="H63" t="str">
            <v>Viên</v>
          </cell>
          <cell r="I63" t="str">
            <v>H/100v</v>
          </cell>
          <cell r="J63" t="str">
            <v>Mekofa</v>
          </cell>
          <cell r="K63" t="str">
            <v>Việt Nam</v>
          </cell>
          <cell r="L63" t="str">
            <v>Lô 02</v>
          </cell>
          <cell r="O63">
            <v>1100</v>
          </cell>
          <cell r="P63">
            <v>32915</v>
          </cell>
          <cell r="Q63">
            <v>1100</v>
          </cell>
        </row>
        <row r="64">
          <cell r="C64" t="str">
            <v>T0186</v>
          </cell>
          <cell r="D64" t="str">
            <v>TN0090</v>
          </cell>
          <cell r="E64" t="str">
            <v>Cetirizin</v>
          </cell>
          <cell r="F64" t="str">
            <v>Cetirizin 10mg</v>
          </cell>
          <cell r="G64" t="str">
            <v>10mg</v>
          </cell>
          <cell r="H64" t="str">
            <v>viên</v>
          </cell>
          <cell r="I64" t="str">
            <v>H/10v/10</v>
          </cell>
          <cell r="J64" t="str">
            <v>CTCP Dược Cửu Long</v>
          </cell>
          <cell r="K64" t="str">
            <v>Việt Nam</v>
          </cell>
          <cell r="L64" t="str">
            <v>Lô 02</v>
          </cell>
          <cell r="O64">
            <v>140</v>
          </cell>
          <cell r="P64">
            <v>8442</v>
          </cell>
          <cell r="Q64">
            <v>140</v>
          </cell>
        </row>
        <row r="65">
          <cell r="C65" t="str">
            <v>T0193</v>
          </cell>
          <cell r="D65" t="str">
            <v>TN0092</v>
          </cell>
          <cell r="E65" t="str">
            <v xml:space="preserve">Ciprofloxacin     </v>
          </cell>
          <cell r="F65" t="str">
            <v>DOROCIPLO</v>
          </cell>
          <cell r="G65" t="str">
            <v>500mg</v>
          </cell>
          <cell r="H65" t="str">
            <v>viên</v>
          </cell>
          <cell r="I65" t="str">
            <v>HỘP 10 VĨ X 10 VBF</v>
          </cell>
          <cell r="J65" t="str">
            <v>CTCP Dược Hậu Giang</v>
          </cell>
          <cell r="K65" t="str">
            <v>Việt Nam</v>
          </cell>
          <cell r="L65" t="str">
            <v>Lô 02</v>
          </cell>
          <cell r="O65">
            <v>820</v>
          </cell>
          <cell r="P65">
            <v>7500</v>
          </cell>
          <cell r="Q65">
            <v>820</v>
          </cell>
        </row>
        <row r="66">
          <cell r="C66" t="str">
            <v>T0205</v>
          </cell>
          <cell r="E66" t="str">
            <v>Colchicin</v>
          </cell>
          <cell r="F66" t="str">
            <v>Dochicin</v>
          </cell>
          <cell r="G66" t="str">
            <v>1mg</v>
          </cell>
          <cell r="H66" t="str">
            <v>Viên</v>
          </cell>
          <cell r="I66" t="str">
            <v>ch/100 viên</v>
          </cell>
          <cell r="J66" t="str">
            <v>CTCP Dược Domesco</v>
          </cell>
          <cell r="K66" t="str">
            <v>Việt Nam</v>
          </cell>
          <cell r="L66" t="str">
            <v>Lô 02</v>
          </cell>
          <cell r="O66">
            <v>960</v>
          </cell>
          <cell r="P66">
            <v>1000</v>
          </cell>
          <cell r="Q66">
            <v>960</v>
          </cell>
        </row>
        <row r="67">
          <cell r="C67" t="str">
            <v>T0190</v>
          </cell>
          <cell r="E67" t="str">
            <v>Cinnarizin</v>
          </cell>
          <cell r="F67" t="str">
            <v>Cinnarizin 25mg</v>
          </cell>
          <cell r="G67" t="str">
            <v>25mg</v>
          </cell>
          <cell r="H67" t="str">
            <v>Viên</v>
          </cell>
          <cell r="I67" t="str">
            <v xml:space="preserve">H/50v </v>
          </cell>
          <cell r="J67" t="str">
            <v>CTCP Dược Cửu Long</v>
          </cell>
          <cell r="K67" t="str">
            <v>Việt Nam</v>
          </cell>
          <cell r="L67" t="str">
            <v>Lô 02</v>
          </cell>
          <cell r="O67">
            <v>145</v>
          </cell>
          <cell r="P67">
            <v>615</v>
          </cell>
          <cell r="Q67">
            <v>145</v>
          </cell>
        </row>
        <row r="68">
          <cell r="C68" t="str">
            <v>T0210</v>
          </cell>
          <cell r="E68" t="str">
            <v>Dexchlorpheniramin</v>
          </cell>
          <cell r="F68" t="str">
            <v>Dopola 2</v>
          </cell>
          <cell r="G68" t="str">
            <v>2mg</v>
          </cell>
          <cell r="H68" t="str">
            <v>Viên</v>
          </cell>
          <cell r="I68" t="str">
            <v>H/30v</v>
          </cell>
          <cell r="J68" t="str">
            <v>CTCP DP Đồng Nai</v>
          </cell>
          <cell r="K68" t="str">
            <v>Việt Nam</v>
          </cell>
          <cell r="L68" t="str">
            <v>Lô 02</v>
          </cell>
          <cell r="O68">
            <v>82</v>
          </cell>
          <cell r="P68">
            <v>1000</v>
          </cell>
          <cell r="Q68">
            <v>82</v>
          </cell>
        </row>
        <row r="69">
          <cell r="C69" t="str">
            <v>T0213</v>
          </cell>
          <cell r="E69" t="str">
            <v>Dextromethorphan</v>
          </cell>
          <cell r="F69" t="str">
            <v>Coltoux</v>
          </cell>
          <cell r="G69" t="str">
            <v>15mg</v>
          </cell>
          <cell r="H69" t="str">
            <v>Viên</v>
          </cell>
          <cell r="I69" t="str">
            <v>H/100v</v>
          </cell>
          <cell r="J69" t="str">
            <v>CTCP Dược Domesco</v>
          </cell>
          <cell r="K69" t="str">
            <v>Việt Nam</v>
          </cell>
          <cell r="L69" t="str">
            <v>Lô 02</v>
          </cell>
          <cell r="O69">
            <v>210</v>
          </cell>
          <cell r="P69">
            <v>3000</v>
          </cell>
          <cell r="Q69">
            <v>210</v>
          </cell>
        </row>
        <row r="70">
          <cell r="C70" t="str">
            <v>T0219</v>
          </cell>
          <cell r="E70" t="str">
            <v>Diclofenac</v>
          </cell>
          <cell r="F70" t="str">
            <v>Diclofenac 50mg</v>
          </cell>
          <cell r="G70" t="str">
            <v>50mg</v>
          </cell>
          <cell r="H70" t="str">
            <v>Viên</v>
          </cell>
          <cell r="I70" t="str">
            <v>H/50v</v>
          </cell>
          <cell r="J70" t="str">
            <v>CTCP Dược Hậu Giang</v>
          </cell>
          <cell r="K70" t="str">
            <v>Việt Nam</v>
          </cell>
          <cell r="L70" t="str">
            <v>Lô 02</v>
          </cell>
          <cell r="O70">
            <v>89</v>
          </cell>
          <cell r="P70">
            <v>11115</v>
          </cell>
          <cell r="Q70">
            <v>89</v>
          </cell>
        </row>
        <row r="71">
          <cell r="C71" t="str">
            <v>T0220</v>
          </cell>
          <cell r="E71" t="str">
            <v>Diclofenac diethyramin</v>
          </cell>
          <cell r="F71" t="str">
            <v>Cotilam</v>
          </cell>
          <cell r="G71" t="str">
            <v>232mg</v>
          </cell>
          <cell r="H71" t="str">
            <v>tube</v>
          </cell>
          <cell r="I71" t="str">
            <v>Bôi ngoài da</v>
          </cell>
          <cell r="J71" t="str">
            <v>CTCP Dược Hậu Giang</v>
          </cell>
          <cell r="K71" t="str">
            <v>Việt Nam</v>
          </cell>
          <cell r="L71" t="str">
            <v>Lô 02</v>
          </cell>
          <cell r="O71">
            <v>9000</v>
          </cell>
          <cell r="P71">
            <v>100</v>
          </cell>
          <cell r="Q71">
            <v>9000</v>
          </cell>
        </row>
        <row r="72">
          <cell r="C72" t="str">
            <v>T0406</v>
          </cell>
          <cell r="E72" t="str">
            <v>Malvaparparea..Camphor Xanhmetylen</v>
          </cell>
          <cell r="F72" t="str">
            <v>Domitazol</v>
          </cell>
          <cell r="G72" t="str">
            <v>250mg+20mg+25mg</v>
          </cell>
          <cell r="H72" t="str">
            <v>Viên</v>
          </cell>
          <cell r="I72" t="str">
            <v>H/50v</v>
          </cell>
          <cell r="J72" t="str">
            <v>CTCP Dược Domesco</v>
          </cell>
          <cell r="K72" t="str">
            <v>Việt Nam</v>
          </cell>
          <cell r="L72" t="str">
            <v>Lô 02</v>
          </cell>
          <cell r="O72">
            <v>920</v>
          </cell>
          <cell r="P72">
            <v>4525</v>
          </cell>
          <cell r="Q72">
            <v>920</v>
          </cell>
        </row>
        <row r="73">
          <cell r="E73" t="str">
            <v>Dimehydrat</v>
          </cell>
          <cell r="F73" t="str">
            <v>Bestrip</v>
          </cell>
          <cell r="G73" t="str">
            <v>50mg</v>
          </cell>
          <cell r="H73" t="str">
            <v>Viên</v>
          </cell>
          <cell r="I73" t="str">
            <v>H/50v</v>
          </cell>
          <cell r="J73" t="str">
            <v>CTCP Dược Hậu Giang</v>
          </cell>
          <cell r="K73" t="str">
            <v>Việt Nam</v>
          </cell>
          <cell r="L73" t="str">
            <v>Lô 02</v>
          </cell>
          <cell r="O73">
            <v>260</v>
          </cell>
          <cell r="P73">
            <v>500</v>
          </cell>
          <cell r="Q73">
            <v>260</v>
          </cell>
        </row>
        <row r="74">
          <cell r="C74" t="str">
            <v>T0224</v>
          </cell>
          <cell r="D74" t="str">
            <v>TN0116</v>
          </cell>
          <cell r="E74" t="str">
            <v xml:space="preserve">Diosmectite </v>
          </cell>
          <cell r="F74" t="str">
            <v>Hamétt</v>
          </cell>
          <cell r="G74" t="str">
            <v>3g</v>
          </cell>
          <cell r="H74" t="str">
            <v>gói</v>
          </cell>
          <cell r="I74" t="str">
            <v>h/15 gói</v>
          </cell>
          <cell r="J74" t="str">
            <v>CTCP Dược Hậu Giang</v>
          </cell>
          <cell r="K74" t="str">
            <v>Việt Nam</v>
          </cell>
          <cell r="L74" t="str">
            <v>Lô 02</v>
          </cell>
          <cell r="O74">
            <v>2100</v>
          </cell>
          <cell r="P74">
            <v>13535</v>
          </cell>
          <cell r="Q74">
            <v>2100</v>
          </cell>
        </row>
        <row r="75">
          <cell r="C75" t="str">
            <v>T0231</v>
          </cell>
          <cell r="D75" t="str">
            <v>TN0117</v>
          </cell>
          <cell r="E75" t="str">
            <v>Domperidol 10mg</v>
          </cell>
          <cell r="F75" t="str">
            <v>Mobium</v>
          </cell>
          <cell r="G75" t="str">
            <v>10mg</v>
          </cell>
          <cell r="H75" t="str">
            <v>viên</v>
          </cell>
          <cell r="I75" t="str">
            <v>H/10v/10</v>
          </cell>
          <cell r="J75" t="str">
            <v>CTCP Dược Hậu Giang</v>
          </cell>
          <cell r="K75" t="str">
            <v>Việt Nam</v>
          </cell>
          <cell r="L75" t="str">
            <v>Lô 02</v>
          </cell>
          <cell r="O75">
            <v>336</v>
          </cell>
          <cell r="P75">
            <v>11935</v>
          </cell>
          <cell r="Q75">
            <v>336</v>
          </cell>
        </row>
        <row r="76">
          <cell r="C76" t="str">
            <v>T0235</v>
          </cell>
          <cell r="D76" t="str">
            <v>TN0118</v>
          </cell>
          <cell r="E76" t="str">
            <v xml:space="preserve">Doxycycline   </v>
          </cell>
          <cell r="F76" t="str">
            <v>Doxycyline 100mg</v>
          </cell>
          <cell r="G76" t="str">
            <v>100mg</v>
          </cell>
          <cell r="H76" t="str">
            <v>viên</v>
          </cell>
          <cell r="I76" t="str">
            <v>Hộp 10vỉ x 10VNA</v>
          </cell>
          <cell r="J76" t="str">
            <v>CT LD TNHH Stada</v>
          </cell>
          <cell r="K76" t="str">
            <v>Việt Nam</v>
          </cell>
          <cell r="L76" t="str">
            <v>Lô 02</v>
          </cell>
          <cell r="O76">
            <v>336</v>
          </cell>
          <cell r="P76">
            <v>625</v>
          </cell>
          <cell r="Q76">
            <v>366</v>
          </cell>
        </row>
        <row r="77">
          <cell r="C77" t="str">
            <v>T0238</v>
          </cell>
          <cell r="D77" t="str">
            <v>NQ0043</v>
          </cell>
          <cell r="E77" t="str">
            <v>Drotaverine</v>
          </cell>
          <cell r="F77" t="str">
            <v>PYME NO-Tây Ban Nha 40</v>
          </cell>
          <cell r="G77" t="str">
            <v>40mg</v>
          </cell>
          <cell r="H77" t="str">
            <v>viên</v>
          </cell>
          <cell r="I77" t="str">
            <v>Hộp 50 viên</v>
          </cell>
          <cell r="J77" t="str">
            <v>CTCP Dược Pymepharco</v>
          </cell>
          <cell r="K77" t="str">
            <v>Việt Nam</v>
          </cell>
          <cell r="L77" t="str">
            <v>Lô 02</v>
          </cell>
          <cell r="O77">
            <v>340</v>
          </cell>
          <cell r="P77">
            <v>2000</v>
          </cell>
          <cell r="Q77">
            <v>340</v>
          </cell>
        </row>
        <row r="78">
          <cell r="C78" t="str">
            <v>T0239</v>
          </cell>
          <cell r="D78" t="str">
            <v>TN0120</v>
          </cell>
          <cell r="E78" t="str">
            <v>Enalapril</v>
          </cell>
          <cell r="F78" t="str">
            <v>Meyerlapril 5</v>
          </cell>
          <cell r="G78" t="str">
            <v>5mg</v>
          </cell>
          <cell r="H78" t="str">
            <v>viên</v>
          </cell>
          <cell r="I78" t="str">
            <v>H/10V/10V</v>
          </cell>
          <cell r="J78" t="str">
            <v>CT LD TNHH Stada</v>
          </cell>
          <cell r="K78" t="str">
            <v>Việt Nam</v>
          </cell>
          <cell r="L78" t="str">
            <v>Lô 02</v>
          </cell>
          <cell r="O78">
            <v>765</v>
          </cell>
          <cell r="P78">
            <v>3000</v>
          </cell>
          <cell r="Q78">
            <v>765</v>
          </cell>
        </row>
        <row r="79">
          <cell r="C79" t="str">
            <v>T0249</v>
          </cell>
          <cell r="D79" t="str">
            <v>TN0125</v>
          </cell>
          <cell r="E79" t="str">
            <v>Erythromycin</v>
          </cell>
          <cell r="F79" t="str">
            <v>ERYTHROMYCIN 250MG</v>
          </cell>
          <cell r="G79" t="str">
            <v>250mg</v>
          </cell>
          <cell r="H79" t="str">
            <v>gói</v>
          </cell>
          <cell r="I79" t="str">
            <v>HỘP 24 GÓI</v>
          </cell>
          <cell r="J79" t="str">
            <v>Mekophar</v>
          </cell>
          <cell r="K79" t="str">
            <v>Việt Nam</v>
          </cell>
          <cell r="L79" t="str">
            <v>Lô 02</v>
          </cell>
          <cell r="O79">
            <v>1260</v>
          </cell>
          <cell r="P79">
            <v>2000</v>
          </cell>
          <cell r="Q79">
            <v>1260</v>
          </cell>
        </row>
        <row r="80">
          <cell r="C80" t="str">
            <v>T0250</v>
          </cell>
          <cell r="D80" t="str">
            <v>TN0126</v>
          </cell>
          <cell r="E80" t="str">
            <v>Erythromycin</v>
          </cell>
          <cell r="F80" t="str">
            <v>Erythromycin 500mg</v>
          </cell>
          <cell r="G80" t="str">
            <v>500mg</v>
          </cell>
          <cell r="H80" t="str">
            <v>viên</v>
          </cell>
          <cell r="I80" t="str">
            <v>Hộp 10vỉ x 10VBP</v>
          </cell>
          <cell r="J80" t="str">
            <v>Mekophar</v>
          </cell>
          <cell r="K80" t="str">
            <v>Việt Nam</v>
          </cell>
          <cell r="L80" t="str">
            <v>Lô 02</v>
          </cell>
          <cell r="O80">
            <v>1950</v>
          </cell>
          <cell r="P80">
            <v>8765</v>
          </cell>
          <cell r="Q80">
            <v>1950</v>
          </cell>
        </row>
        <row r="81">
          <cell r="C81" t="str">
            <v>T0288</v>
          </cell>
          <cell r="E81" t="str">
            <v>Furocemid</v>
          </cell>
          <cell r="F81" t="str">
            <v>Furocemid 20mg</v>
          </cell>
          <cell r="G81" t="str">
            <v>20mg</v>
          </cell>
          <cell r="H81" t="str">
            <v>viên</v>
          </cell>
          <cell r="I81" t="str">
            <v>H/30v</v>
          </cell>
          <cell r="J81" t="str">
            <v>CTCP Dược Hậu Giang</v>
          </cell>
          <cell r="K81" t="str">
            <v>Việt Nam</v>
          </cell>
          <cell r="L81" t="str">
            <v>Lô 02</v>
          </cell>
          <cell r="O81">
            <v>200</v>
          </cell>
          <cell r="P81">
            <v>50</v>
          </cell>
          <cell r="Q81">
            <v>200</v>
          </cell>
        </row>
        <row r="82">
          <cell r="C82" t="str">
            <v>T0298</v>
          </cell>
          <cell r="D82" t="str">
            <v>NQ0053</v>
          </cell>
          <cell r="E82" t="str">
            <v xml:space="preserve">Ginkgo biloba </v>
          </cell>
          <cell r="F82" t="str">
            <v>Ginkgo Biloba</v>
          </cell>
          <cell r="G82" t="str">
            <v>40mg</v>
          </cell>
          <cell r="H82" t="str">
            <v>viên nang mềm</v>
          </cell>
          <cell r="I82" t="str">
            <v>vỉ/10, h/100v</v>
          </cell>
          <cell r="J82" t="str">
            <v>CTCP Dược Hậu Giang</v>
          </cell>
          <cell r="K82" t="str">
            <v>Việt Nam</v>
          </cell>
          <cell r="L82" t="str">
            <v>Lô 02</v>
          </cell>
          <cell r="O82">
            <v>1250</v>
          </cell>
          <cell r="P82">
            <v>27845</v>
          </cell>
          <cell r="Q82">
            <v>1250</v>
          </cell>
        </row>
        <row r="83">
          <cell r="C83" t="str">
            <v>T0306</v>
          </cell>
          <cell r="D83" t="str">
            <v>TN0144</v>
          </cell>
          <cell r="E83" t="str">
            <v xml:space="preserve">Glucosamin sulfat </v>
          </cell>
          <cell r="F83" t="str">
            <v>Glukos 750mg</v>
          </cell>
          <cell r="G83" t="str">
            <v>750mg</v>
          </cell>
          <cell r="H83" t="str">
            <v>viên</v>
          </cell>
          <cell r="I83" t="str">
            <v>ch/100 viên</v>
          </cell>
          <cell r="J83" t="str">
            <v>CTCP Dược Hậu Giang</v>
          </cell>
          <cell r="K83" t="str">
            <v>Việt Nam</v>
          </cell>
          <cell r="L83" t="str">
            <v>Lô 02</v>
          </cell>
          <cell r="O83">
            <v>1798</v>
          </cell>
          <cell r="P83">
            <v>2815</v>
          </cell>
          <cell r="Q83">
            <v>1798</v>
          </cell>
        </row>
        <row r="84">
          <cell r="C84" t="str">
            <v>T0333</v>
          </cell>
          <cell r="D84" t="str">
            <v>TN0162</v>
          </cell>
          <cell r="E84" t="str">
            <v xml:space="preserve">Hyoscine-N-butylbromide </v>
          </cell>
          <cell r="F84" t="str">
            <v>Bistin</v>
          </cell>
          <cell r="G84" t="str">
            <v>10mg</v>
          </cell>
          <cell r="H84" t="str">
            <v>viên</v>
          </cell>
          <cell r="I84" t="str">
            <v>v/10 h/100 viên</v>
          </cell>
          <cell r="J84" t="str">
            <v>CTCP Dược Hậu Giang</v>
          </cell>
          <cell r="K84" t="str">
            <v>Việt Nam</v>
          </cell>
          <cell r="L84" t="str">
            <v>Lô 02</v>
          </cell>
          <cell r="O84">
            <v>772</v>
          </cell>
          <cell r="P84">
            <v>52525</v>
          </cell>
          <cell r="Q84">
            <v>772</v>
          </cell>
        </row>
        <row r="85">
          <cell r="C85" t="str">
            <v>T0335</v>
          </cell>
          <cell r="E85" t="str">
            <v>Ibuprofen</v>
          </cell>
          <cell r="F85" t="str">
            <v>Hagifen 400mg</v>
          </cell>
          <cell r="G85" t="str">
            <v>400mg</v>
          </cell>
          <cell r="H85" t="str">
            <v>viên</v>
          </cell>
          <cell r="I85" t="str">
            <v>v/10 h/100 viên</v>
          </cell>
          <cell r="J85" t="str">
            <v>CTCP Dược Hậu Giang</v>
          </cell>
          <cell r="K85" t="str">
            <v>Việt Nam</v>
          </cell>
          <cell r="L85" t="str">
            <v>Lô 02</v>
          </cell>
          <cell r="O85">
            <v>378</v>
          </cell>
          <cell r="P85">
            <v>200</v>
          </cell>
          <cell r="Q85">
            <v>378</v>
          </cell>
        </row>
        <row r="86">
          <cell r="C86" t="str">
            <v>T0368</v>
          </cell>
          <cell r="D86" t="str">
            <v>TN0042</v>
          </cell>
          <cell r="E86" t="str">
            <v xml:space="preserve">Ketoconazole     </v>
          </cell>
          <cell r="F86" t="str">
            <v>Ketoconazol Stada 200mg</v>
          </cell>
          <cell r="G86" t="str">
            <v>200mg</v>
          </cell>
          <cell r="H86" t="str">
            <v>viên</v>
          </cell>
          <cell r="I86" t="str">
            <v>Hộp 10vỉ x 10viên nén</v>
          </cell>
          <cell r="J86" t="str">
            <v>CTCP Dược Hậu Giang</v>
          </cell>
          <cell r="K86" t="str">
            <v>Việt Nam</v>
          </cell>
          <cell r="L86" t="str">
            <v>Lô 02</v>
          </cell>
          <cell r="O86">
            <v>800</v>
          </cell>
          <cell r="P86">
            <v>1175</v>
          </cell>
          <cell r="Q86">
            <v>800</v>
          </cell>
        </row>
        <row r="87">
          <cell r="C87" t="str">
            <v>T0369</v>
          </cell>
          <cell r="D87" t="str">
            <v>TN0170</v>
          </cell>
          <cell r="E87" t="str">
            <v xml:space="preserve">Ketoconazole     </v>
          </cell>
          <cell r="F87" t="str">
            <v>Etoral cream</v>
          </cell>
          <cell r="G87" t="str">
            <v>2%,5g</v>
          </cell>
          <cell r="H87" t="str">
            <v>tube</v>
          </cell>
          <cell r="I87" t="str">
            <v>h/1 tube</v>
          </cell>
          <cell r="J87" t="str">
            <v>CTCP Dược Hậu Giang</v>
          </cell>
          <cell r="K87" t="str">
            <v>Việt Nam</v>
          </cell>
          <cell r="L87" t="str">
            <v>Lô 02</v>
          </cell>
          <cell r="O87">
            <v>4200</v>
          </cell>
          <cell r="P87">
            <v>50</v>
          </cell>
          <cell r="Q87">
            <v>4200</v>
          </cell>
        </row>
        <row r="88">
          <cell r="C88" t="str">
            <v>T0387</v>
          </cell>
          <cell r="E88" t="str">
            <v>Loperamid</v>
          </cell>
          <cell r="F88" t="str">
            <v>Loperamid 2mg</v>
          </cell>
          <cell r="G88" t="str">
            <v>2mg</v>
          </cell>
          <cell r="H88" t="str">
            <v>Viên</v>
          </cell>
          <cell r="I88" t="str">
            <v>H/100v</v>
          </cell>
          <cell r="J88" t="str">
            <v>Ấn độ</v>
          </cell>
          <cell r="K88" t="str">
            <v>Việt Nam</v>
          </cell>
          <cell r="L88" t="str">
            <v>Lô 02</v>
          </cell>
          <cell r="O88">
            <v>240</v>
          </cell>
          <cell r="P88">
            <v>3315</v>
          </cell>
          <cell r="Q88">
            <v>240</v>
          </cell>
        </row>
        <row r="89">
          <cell r="C89" t="str">
            <v>T0388</v>
          </cell>
          <cell r="E89" t="str">
            <v>Loratadin</v>
          </cell>
          <cell r="F89" t="str">
            <v>Loratadin 10mg</v>
          </cell>
          <cell r="G89" t="str">
            <v>10mg</v>
          </cell>
          <cell r="H89" t="str">
            <v>Viên</v>
          </cell>
          <cell r="I89" t="str">
            <v>H/20v</v>
          </cell>
          <cell r="J89" t="str">
            <v>CTCP Dược Hậu Giang</v>
          </cell>
          <cell r="K89" t="str">
            <v>Việt Nam</v>
          </cell>
          <cell r="L89" t="str">
            <v>Lô 02</v>
          </cell>
          <cell r="O89">
            <v>700</v>
          </cell>
          <cell r="P89">
            <v>11665</v>
          </cell>
          <cell r="Q89">
            <v>700</v>
          </cell>
        </row>
        <row r="90">
          <cell r="C90" t="str">
            <v>T0372</v>
          </cell>
          <cell r="D90" t="str">
            <v>NQ0059</v>
          </cell>
          <cell r="E90" t="str">
            <v>Lactobacilus acidophilus</v>
          </cell>
          <cell r="F90" t="str">
            <v>Ybio</v>
          </cell>
          <cell r="G90" t="str">
            <v>Tương đương 10 tỉ vi sinh</v>
          </cell>
          <cell r="H90" t="str">
            <v>Gói 1g</v>
          </cell>
          <cell r="I90" t="str">
            <v>h/14 gói</v>
          </cell>
          <cell r="J90" t="str">
            <v>CTCP Dược Hậu Giang</v>
          </cell>
          <cell r="K90" t="str">
            <v>Việt Nam</v>
          </cell>
          <cell r="L90" t="str">
            <v>Lô 02</v>
          </cell>
          <cell r="O90">
            <v>1300</v>
          </cell>
          <cell r="P90">
            <v>17445</v>
          </cell>
          <cell r="Q90">
            <v>1300</v>
          </cell>
        </row>
        <row r="91">
          <cell r="C91" t="str">
            <v>T0403</v>
          </cell>
          <cell r="D91" t="str">
            <v>TN0185</v>
          </cell>
          <cell r="E91" t="str">
            <v>Magne - B6</v>
          </cell>
          <cell r="F91" t="str">
            <v>Magnesium B6</v>
          </cell>
          <cell r="G91" t="str">
            <v>470mg+5mg</v>
          </cell>
          <cell r="H91" t="str">
            <v>viên</v>
          </cell>
          <cell r="I91" t="str">
            <v>Hộp 50 viên</v>
          </cell>
          <cell r="J91" t="str">
            <v>CTCP Dược Hậu Giang</v>
          </cell>
          <cell r="K91" t="str">
            <v>Việt Nam</v>
          </cell>
          <cell r="L91" t="str">
            <v>Lô 02</v>
          </cell>
          <cell r="O91">
            <v>265</v>
          </cell>
          <cell r="P91">
            <v>49350</v>
          </cell>
          <cell r="Q91">
            <v>265</v>
          </cell>
        </row>
        <row r="92">
          <cell r="C92" t="str">
            <v>T0408</v>
          </cell>
          <cell r="D92" t="str">
            <v>TN0194</v>
          </cell>
          <cell r="E92" t="str">
            <v xml:space="preserve">Mebendazol    </v>
          </cell>
          <cell r="F92" t="str">
            <v>Fubenzon</v>
          </cell>
          <cell r="G92" t="str">
            <v>500mg</v>
          </cell>
          <cell r="H92" t="str">
            <v>viên</v>
          </cell>
          <cell r="I92" t="str">
            <v>h/1 viên</v>
          </cell>
          <cell r="J92" t="str">
            <v>CTCP Dược Hậu Giang</v>
          </cell>
          <cell r="K92" t="str">
            <v>Việt Nam</v>
          </cell>
          <cell r="L92" t="str">
            <v>Lô 02</v>
          </cell>
          <cell r="O92">
            <v>5000</v>
          </cell>
          <cell r="P92">
            <v>60</v>
          </cell>
          <cell r="Q92">
            <v>5000</v>
          </cell>
        </row>
        <row r="93">
          <cell r="C93" t="str">
            <v>T0414</v>
          </cell>
          <cell r="D93" t="str">
            <v>TN0196</v>
          </cell>
          <cell r="E93" t="str">
            <v>Meloxicam</v>
          </cell>
          <cell r="F93" t="str">
            <v>Meloxicam</v>
          </cell>
          <cell r="G93" t="str">
            <v>7.5mg</v>
          </cell>
          <cell r="H93" t="str">
            <v>viên</v>
          </cell>
          <cell r="I93" t="str">
            <v>Hộp 10 vỉ x10 viên</v>
          </cell>
          <cell r="J93" t="str">
            <v>CTCP Dược Hậu Giang</v>
          </cell>
          <cell r="K93" t="str">
            <v>Việt Nam</v>
          </cell>
          <cell r="L93" t="str">
            <v>Lô 02</v>
          </cell>
          <cell r="O93">
            <v>945</v>
          </cell>
          <cell r="P93">
            <v>7215</v>
          </cell>
          <cell r="Q93">
            <v>945</v>
          </cell>
        </row>
        <row r="94">
          <cell r="C94" t="str">
            <v>T0417</v>
          </cell>
          <cell r="D94" t="str">
            <v>TN0198</v>
          </cell>
          <cell r="E94" t="str">
            <v xml:space="preserve">Mephenesin        </v>
          </cell>
          <cell r="F94" t="str">
            <v>Detracyl 250</v>
          </cell>
          <cell r="G94" t="str">
            <v>250mg</v>
          </cell>
          <cell r="H94" t="str">
            <v>viên</v>
          </cell>
          <cell r="I94" t="str">
            <v>H/10v/20</v>
          </cell>
          <cell r="J94" t="str">
            <v>CTCP DP và dịch vụ y tế  khánh hội</v>
          </cell>
          <cell r="K94" t="str">
            <v>Việt Nam</v>
          </cell>
          <cell r="L94" t="str">
            <v>Lô 02</v>
          </cell>
          <cell r="O94">
            <v>127</v>
          </cell>
          <cell r="P94">
            <v>138225</v>
          </cell>
          <cell r="Q94">
            <v>127</v>
          </cell>
        </row>
        <row r="95">
          <cell r="C95" t="str">
            <v>T0418</v>
          </cell>
          <cell r="D95" t="str">
            <v>TN0199</v>
          </cell>
          <cell r="E95" t="str">
            <v xml:space="preserve">Metformin           </v>
          </cell>
          <cell r="F95" t="str">
            <v>Glumeform 850mg</v>
          </cell>
          <cell r="G95" t="str">
            <v>850mg</v>
          </cell>
          <cell r="H95" t="str">
            <v>viên</v>
          </cell>
          <cell r="I95" t="str">
            <v>v/5 h/50 viên</v>
          </cell>
          <cell r="J95" t="str">
            <v>CTCP Dược Hậu Giang</v>
          </cell>
          <cell r="K95" t="str">
            <v>Việt Nam</v>
          </cell>
          <cell r="L95" t="str">
            <v>Lô 02</v>
          </cell>
          <cell r="O95">
            <v>1100</v>
          </cell>
          <cell r="P95">
            <v>900</v>
          </cell>
          <cell r="Q95">
            <v>1100</v>
          </cell>
        </row>
        <row r="96">
          <cell r="C96" t="str">
            <v>T0437</v>
          </cell>
          <cell r="D96" t="str">
            <v>TN0209</v>
          </cell>
          <cell r="E96" t="str">
            <v xml:space="preserve">Metronidazol      </v>
          </cell>
          <cell r="F96" t="str">
            <v>Metronidazol 250mg</v>
          </cell>
          <cell r="G96" t="str">
            <v>250mg</v>
          </cell>
          <cell r="H96" t="str">
            <v>viên</v>
          </cell>
          <cell r="I96" t="str">
            <v>Hộp 100 viên</v>
          </cell>
          <cell r="J96" t="str">
            <v>CTCP Dược Hậu Giang</v>
          </cell>
          <cell r="K96" t="str">
            <v>Việt Nam</v>
          </cell>
          <cell r="L96" t="str">
            <v>Lô 02</v>
          </cell>
          <cell r="O96">
            <v>123</v>
          </cell>
          <cell r="P96">
            <v>4825</v>
          </cell>
          <cell r="Q96">
            <v>123</v>
          </cell>
        </row>
        <row r="97">
          <cell r="C97" t="str">
            <v>T0438</v>
          </cell>
          <cell r="D97" t="str">
            <v>TN0210</v>
          </cell>
          <cell r="E97" t="str">
            <v>Metronidazol + Cloramphenicol + Dexamethason + Nystatin</v>
          </cell>
          <cell r="F97" t="str">
            <v>Megyna</v>
          </cell>
          <cell r="G97" t="str">
            <v>200mg + 80mg +0,5mg + 100.00IU</v>
          </cell>
          <cell r="H97" t="str">
            <v>viên</v>
          </cell>
          <cell r="I97" t="str">
            <v>Hộp 10 vỉ x 10 viên</v>
          </cell>
          <cell r="J97" t="str">
            <v>CTCP Dược 3/2</v>
          </cell>
          <cell r="K97" t="str">
            <v>Việt Nam</v>
          </cell>
          <cell r="L97" t="str">
            <v>Lô 02</v>
          </cell>
          <cell r="O97">
            <v>693</v>
          </cell>
          <cell r="P97">
            <v>100</v>
          </cell>
          <cell r="Q97">
            <v>693</v>
          </cell>
        </row>
        <row r="98">
          <cell r="C98" t="str">
            <v>T0759</v>
          </cell>
          <cell r="E98" t="str">
            <v>Nhôm hydroxit magne hydroxit</v>
          </cell>
          <cell r="F98" t="str">
            <v>Maloxid</v>
          </cell>
          <cell r="G98" t="str">
            <v>400mg;40mg</v>
          </cell>
          <cell r="H98" t="str">
            <v>viên</v>
          </cell>
          <cell r="I98" t="str">
            <v>Hộp 10 vỉ x 10 viên</v>
          </cell>
          <cell r="J98" t="str">
            <v>CTCP Dược Trà vinh</v>
          </cell>
          <cell r="K98" t="str">
            <v>Việt Nam</v>
          </cell>
          <cell r="L98" t="str">
            <v>Lô 02</v>
          </cell>
          <cell r="O98">
            <v>240</v>
          </cell>
          <cell r="P98">
            <v>400</v>
          </cell>
          <cell r="Q98">
            <v>240</v>
          </cell>
        </row>
        <row r="99">
          <cell r="E99" t="str">
            <v>Nifedipin</v>
          </cell>
          <cell r="F99" t="str">
            <v>Nifedipin</v>
          </cell>
          <cell r="G99" t="str">
            <v>10mg</v>
          </cell>
          <cell r="H99" t="str">
            <v>viên</v>
          </cell>
          <cell r="I99" t="str">
            <v>Hộp 10 vỉ x 10 viên</v>
          </cell>
          <cell r="J99" t="str">
            <v>CT LD TNHH Stada</v>
          </cell>
          <cell r="K99" t="str">
            <v>Việt Nam</v>
          </cell>
          <cell r="L99" t="str">
            <v>Lô 02</v>
          </cell>
          <cell r="O99">
            <v>642</v>
          </cell>
          <cell r="P99">
            <v>300</v>
          </cell>
          <cell r="Q99">
            <v>642</v>
          </cell>
        </row>
        <row r="100">
          <cell r="C100" t="str">
            <v>T0825</v>
          </cell>
          <cell r="E100" t="str">
            <v>Natribenzoat; Oxomemazin</v>
          </cell>
          <cell r="F100" t="str">
            <v>Toplizil</v>
          </cell>
          <cell r="G100" t="str">
            <v>33.3mg;1.65mg</v>
          </cell>
          <cell r="H100" t="str">
            <v>viên</v>
          </cell>
          <cell r="I100" t="str">
            <v>H/20v</v>
          </cell>
          <cell r="J100" t="str">
            <v>CTCP Dược Trà vinh</v>
          </cell>
          <cell r="K100" t="str">
            <v>Việt Nam</v>
          </cell>
          <cell r="L100" t="str">
            <v>Lô 02</v>
          </cell>
          <cell r="O100">
            <v>242</v>
          </cell>
          <cell r="P100">
            <v>120</v>
          </cell>
          <cell r="Q100">
            <v>242</v>
          </cell>
        </row>
        <row r="101">
          <cell r="E101" t="str">
            <v>Natrisulfatkhan+Natribicarbonat+dinatrihydrophosphas khan</v>
          </cell>
          <cell r="F101" t="str">
            <v>Normo Stada</v>
          </cell>
          <cell r="G101" t="str">
            <v>285mg+170mg+195mg</v>
          </cell>
          <cell r="H101" t="str">
            <v>Viên sủi</v>
          </cell>
          <cell r="I101" t="str">
            <v>H/16v</v>
          </cell>
          <cell r="J101" t="str">
            <v>CT LD TNHH Stada</v>
          </cell>
          <cell r="K101" t="str">
            <v>Việt Nam</v>
          </cell>
          <cell r="L101" t="str">
            <v>Lô 02</v>
          </cell>
          <cell r="O101">
            <v>802</v>
          </cell>
          <cell r="P101">
            <v>200</v>
          </cell>
          <cell r="Q101">
            <v>802</v>
          </cell>
        </row>
        <row r="102">
          <cell r="C102" t="str">
            <v>T0461</v>
          </cell>
          <cell r="D102" t="str">
            <v>TN0220</v>
          </cell>
          <cell r="E102" t="str">
            <v xml:space="preserve">Nefopam       </v>
          </cell>
          <cell r="F102" t="str">
            <v>Niphadal</v>
          </cell>
          <cell r="G102" t="str">
            <v>30mg</v>
          </cell>
          <cell r="H102" t="str">
            <v>viên</v>
          </cell>
          <cell r="I102" t="str">
            <v>Hộp 03 vỉ x10 viên</v>
          </cell>
          <cell r="J102" t="str">
            <v>CTCP Dược Hậu Giang</v>
          </cell>
          <cell r="K102" t="str">
            <v>Việt Nam</v>
          </cell>
          <cell r="L102" t="str">
            <v>Lô 02</v>
          </cell>
          <cell r="O102">
            <v>420</v>
          </cell>
          <cell r="Q102">
            <v>420</v>
          </cell>
        </row>
        <row r="103">
          <cell r="C103" t="str">
            <v>T0475</v>
          </cell>
          <cell r="E103" t="str">
            <v>Nitroglycerin</v>
          </cell>
          <cell r="F103" t="str">
            <v>Limitral</v>
          </cell>
          <cell r="G103" t="str">
            <v>2,5mg</v>
          </cell>
          <cell r="H103" t="str">
            <v>viên</v>
          </cell>
          <cell r="I103" t="str">
            <v>V/15 H/60</v>
          </cell>
          <cell r="J103" t="str">
            <v>CTCP Dược Domesco</v>
          </cell>
          <cell r="K103" t="str">
            <v>VIỆT NAM</v>
          </cell>
          <cell r="L103" t="str">
            <v>Lô 02</v>
          </cell>
          <cell r="O103">
            <v>680</v>
          </cell>
          <cell r="P103">
            <v>400</v>
          </cell>
          <cell r="Q103">
            <v>680</v>
          </cell>
        </row>
        <row r="104">
          <cell r="C104" t="str">
            <v>T0481</v>
          </cell>
          <cell r="D104" t="str">
            <v>TN0227</v>
          </cell>
          <cell r="E104" t="str">
            <v xml:space="preserve">Nystatin   </v>
          </cell>
          <cell r="F104" t="str">
            <v>Nystatin 500.000UI</v>
          </cell>
          <cell r="G104" t="str">
            <v>500.000 UI</v>
          </cell>
          <cell r="H104" t="str">
            <v>viên</v>
          </cell>
          <cell r="I104" t="str">
            <v>Hộp 2 vỉ x 8 viên</v>
          </cell>
          <cell r="J104" t="str">
            <v>CTCP Dược Mekophar</v>
          </cell>
          <cell r="K104" t="str">
            <v>Việt Nam</v>
          </cell>
          <cell r="L104" t="str">
            <v>Lô 02</v>
          </cell>
          <cell r="O104">
            <v>606</v>
          </cell>
          <cell r="P104">
            <v>1725</v>
          </cell>
          <cell r="Q104">
            <v>606</v>
          </cell>
        </row>
        <row r="105">
          <cell r="C105" t="str">
            <v>T0482</v>
          </cell>
          <cell r="D105" t="str">
            <v>TN0228</v>
          </cell>
          <cell r="E105" t="str">
            <v xml:space="preserve">Nystatin       </v>
          </cell>
          <cell r="F105" t="str">
            <v>Nystatin 25000 IU</v>
          </cell>
          <cell r="G105" t="str">
            <v>25.000 UI/1g</v>
          </cell>
          <cell r="H105" t="str">
            <v>gói</v>
          </cell>
          <cell r="I105" t="str">
            <v>Hộp 20 gói x 1 gam</v>
          </cell>
          <cell r="J105" t="str">
            <v>CTCP DP Dược liệu</v>
          </cell>
          <cell r="K105" t="str">
            <v>Việt Nam</v>
          </cell>
          <cell r="L105" t="str">
            <v>Lô 02</v>
          </cell>
          <cell r="O105">
            <v>1414</v>
          </cell>
          <cell r="P105">
            <v>2465</v>
          </cell>
          <cell r="Q105">
            <v>1414</v>
          </cell>
        </row>
        <row r="106">
          <cell r="C106" t="str">
            <v>T0486</v>
          </cell>
          <cell r="D106" t="str">
            <v>TN0230</v>
          </cell>
          <cell r="E106" t="str">
            <v xml:space="preserve">Ofloxacin        </v>
          </cell>
          <cell r="F106" t="str">
            <v>Ofloxacin 5ml</v>
          </cell>
          <cell r="G106" t="str">
            <v>0,3%/5ml</v>
          </cell>
          <cell r="H106" t="str">
            <v>lọ</v>
          </cell>
          <cell r="I106" t="str">
            <v>Hộp 1 lọ 5ml</v>
          </cell>
          <cell r="J106" t="str">
            <v>CTCP Dược Medipharco</v>
          </cell>
          <cell r="K106" t="str">
            <v>Việt Nam</v>
          </cell>
          <cell r="L106" t="str">
            <v>Lô 02</v>
          </cell>
          <cell r="O106">
            <v>10500</v>
          </cell>
          <cell r="P106">
            <v>10</v>
          </cell>
          <cell r="Q106">
            <v>10500</v>
          </cell>
        </row>
        <row r="107">
          <cell r="C107" t="str">
            <v>T0679</v>
          </cell>
          <cell r="E107" t="str">
            <v>Orezol 245</v>
          </cell>
          <cell r="F107" t="str">
            <v>ORS</v>
          </cell>
          <cell r="G107" t="str">
            <v>2.7g+520mg+580mg+300mh</v>
          </cell>
          <cell r="H107" t="str">
            <v>Gói</v>
          </cell>
          <cell r="I107" t="str">
            <v>H/20goi</v>
          </cell>
          <cell r="J107" t="str">
            <v>CTCP Dược Hậu Giang</v>
          </cell>
          <cell r="K107" t="str">
            <v>Việt Nam</v>
          </cell>
          <cell r="L107" t="str">
            <v>Lô 02</v>
          </cell>
          <cell r="O107">
            <v>1103</v>
          </cell>
          <cell r="P107">
            <v>2000</v>
          </cell>
          <cell r="Q107">
            <v>1103</v>
          </cell>
        </row>
        <row r="108">
          <cell r="C108" t="str">
            <v>T0494</v>
          </cell>
          <cell r="D108" t="str">
            <v>TN0233</v>
          </cell>
          <cell r="E108" t="str">
            <v>Omeprazol</v>
          </cell>
          <cell r="F108" t="str">
            <v>TV-Omeprazol 20mg</v>
          </cell>
          <cell r="G108" t="str">
            <v>20mg</v>
          </cell>
          <cell r="H108" t="str">
            <v>viên</v>
          </cell>
          <cell r="I108" t="str">
            <v>V/10, H/30</v>
          </cell>
          <cell r="J108" t="str">
            <v>CTCP Dược Hậu Giang</v>
          </cell>
          <cell r="K108" t="str">
            <v>Việt Nam</v>
          </cell>
          <cell r="L108" t="str">
            <v>Lô 02</v>
          </cell>
          <cell r="O108">
            <v>840</v>
          </cell>
          <cell r="P108">
            <v>44585</v>
          </cell>
          <cell r="Q108">
            <v>840</v>
          </cell>
        </row>
        <row r="109">
          <cell r="C109" t="str">
            <v>T0508</v>
          </cell>
          <cell r="D109" t="str">
            <v>TN0238</v>
          </cell>
          <cell r="E109" t="str">
            <v>Paracetamol</v>
          </cell>
          <cell r="F109" t="str">
            <v>DOPAGAN- EFFERVESCENT 500MG</v>
          </cell>
          <cell r="G109" t="str">
            <v>500mg</v>
          </cell>
          <cell r="H109" t="str">
            <v>Viên sủi</v>
          </cell>
          <cell r="I109" t="str">
            <v>HỘP 4 VĨ X 4 VSỦI</v>
          </cell>
          <cell r="J109" t="str">
            <v>CTCP Dược Hậu Giang</v>
          </cell>
          <cell r="K109" t="str">
            <v>Việt Nam</v>
          </cell>
          <cell r="L109" t="str">
            <v>Lô 02</v>
          </cell>
          <cell r="O109">
            <v>1200</v>
          </cell>
          <cell r="P109">
            <v>21540</v>
          </cell>
          <cell r="Q109">
            <v>1200</v>
          </cell>
        </row>
        <row r="110">
          <cell r="C110" t="str">
            <v>T0510</v>
          </cell>
          <cell r="D110" t="str">
            <v>TN0240</v>
          </cell>
          <cell r="E110" t="str">
            <v xml:space="preserve">Paracetamol      </v>
          </cell>
          <cell r="F110" t="str">
            <v>Hapacol 650mg</v>
          </cell>
          <cell r="G110" t="str">
            <v>650mg</v>
          </cell>
          <cell r="H110" t="str">
            <v>viên</v>
          </cell>
          <cell r="I110" t="str">
            <v>v/5 h/50 viên</v>
          </cell>
          <cell r="J110" t="str">
            <v>CTCP Dược Hậu Giang</v>
          </cell>
          <cell r="K110" t="str">
            <v>Việt Nam</v>
          </cell>
          <cell r="L110" t="str">
            <v>Lô 02</v>
          </cell>
          <cell r="O110">
            <v>462</v>
          </cell>
          <cell r="P110">
            <v>79582</v>
          </cell>
          <cell r="Q110">
            <v>462</v>
          </cell>
        </row>
        <row r="111">
          <cell r="C111" t="str">
            <v>T0513</v>
          </cell>
          <cell r="D111" t="str">
            <v>TN0242</v>
          </cell>
          <cell r="E111" t="str">
            <v xml:space="preserve">Paracetamol      </v>
          </cell>
          <cell r="F111" t="str">
            <v>Acepron 325</v>
          </cell>
          <cell r="G111" t="str">
            <v>325mg</v>
          </cell>
          <cell r="H111" t="str">
            <v>viên</v>
          </cell>
          <cell r="I111" t="str">
            <v>H/10v/10</v>
          </cell>
          <cell r="J111" t="str">
            <v>CTCP Dược Hậu Giang</v>
          </cell>
          <cell r="K111" t="str">
            <v>Việt Nam</v>
          </cell>
          <cell r="L111" t="str">
            <v>Lô 02</v>
          </cell>
          <cell r="O111">
            <v>178</v>
          </cell>
          <cell r="P111">
            <v>24450</v>
          </cell>
          <cell r="Q111">
            <v>178</v>
          </cell>
        </row>
        <row r="112">
          <cell r="E112" t="str">
            <v>Penicilin</v>
          </cell>
          <cell r="F112" t="str">
            <v>Penicilin 1.000.000UI</v>
          </cell>
          <cell r="G112" t="str">
            <v>1.000.000UI</v>
          </cell>
          <cell r="H112" t="str">
            <v>viên</v>
          </cell>
          <cell r="I112" t="str">
            <v>H/10v/10</v>
          </cell>
          <cell r="J112" t="str">
            <v>CTCP Dược Mekophar</v>
          </cell>
          <cell r="K112" t="str">
            <v>Việt Nam</v>
          </cell>
          <cell r="L112" t="str">
            <v>Lô 02</v>
          </cell>
          <cell r="O112">
            <v>425</v>
          </cell>
          <cell r="P112">
            <v>100</v>
          </cell>
          <cell r="Q112">
            <v>425</v>
          </cell>
        </row>
        <row r="113">
          <cell r="C113" t="str">
            <v>T0561</v>
          </cell>
          <cell r="E113" t="str">
            <v>Propranolol</v>
          </cell>
          <cell r="F113" t="str">
            <v>Dorocardyl</v>
          </cell>
          <cell r="G113" t="str">
            <v>40mg</v>
          </cell>
          <cell r="H113" t="str">
            <v>viên</v>
          </cell>
          <cell r="I113" t="str">
            <v>H/10v/10</v>
          </cell>
          <cell r="J113" t="str">
            <v>CTCP Dược Domesco</v>
          </cell>
          <cell r="K113" t="str">
            <v>Việt Nam</v>
          </cell>
          <cell r="L113" t="str">
            <v>Lô 02</v>
          </cell>
          <cell r="O113">
            <v>150</v>
          </cell>
          <cell r="P113">
            <v>100</v>
          </cell>
          <cell r="Q113">
            <v>150</v>
          </cell>
        </row>
        <row r="114">
          <cell r="C114" t="str">
            <v>T0543</v>
          </cell>
          <cell r="E114" t="str">
            <v>Piracetam</v>
          </cell>
          <cell r="F114" t="str">
            <v>Piracetam</v>
          </cell>
          <cell r="G114" t="str">
            <v>800mg</v>
          </cell>
          <cell r="H114" t="str">
            <v>viên</v>
          </cell>
          <cell r="I114" t="str">
            <v>H/10v/10</v>
          </cell>
          <cell r="J114" t="str">
            <v>CTCP Dược Hậu Giang</v>
          </cell>
          <cell r="K114" t="str">
            <v>Việt Nam</v>
          </cell>
          <cell r="L114" t="str">
            <v>Lô 02</v>
          </cell>
          <cell r="O114">
            <v>998</v>
          </cell>
          <cell r="P114">
            <v>2000</v>
          </cell>
          <cell r="Q114">
            <v>998</v>
          </cell>
        </row>
        <row r="115">
          <cell r="C115" t="str">
            <v>T0509</v>
          </cell>
          <cell r="E115" t="str">
            <v xml:space="preserve">Paracetamol      </v>
          </cell>
          <cell r="F115" t="str">
            <v>Acepron 80mg</v>
          </cell>
          <cell r="G115" t="str">
            <v>80mg</v>
          </cell>
          <cell r="H115" t="str">
            <v>viên</v>
          </cell>
          <cell r="I115" t="str">
            <v>H/100v</v>
          </cell>
          <cell r="J115" t="str">
            <v>CTCP Dược Hậu Giang</v>
          </cell>
          <cell r="K115" t="str">
            <v>Việt Nam</v>
          </cell>
          <cell r="L115" t="str">
            <v>Lô 02</v>
          </cell>
          <cell r="O115">
            <v>1050</v>
          </cell>
          <cell r="P115">
            <v>4313</v>
          </cell>
          <cell r="Q115">
            <v>1050</v>
          </cell>
        </row>
        <row r="116">
          <cell r="E116" t="str">
            <v>Paracetamol      cafein</v>
          </cell>
          <cell r="F116" t="str">
            <v>Hapacol  Extra</v>
          </cell>
          <cell r="G116" t="str">
            <v>500mg+65mg</v>
          </cell>
          <cell r="H116" t="str">
            <v>viên</v>
          </cell>
          <cell r="I116" t="str">
            <v>H/100v</v>
          </cell>
          <cell r="J116" t="str">
            <v>CTCP Dược Hậu Giang</v>
          </cell>
          <cell r="K116" t="str">
            <v>Việt Nam</v>
          </cell>
          <cell r="L116" t="str">
            <v>Lô 02</v>
          </cell>
          <cell r="O116">
            <v>336</v>
          </cell>
          <cell r="P116">
            <v>4000</v>
          </cell>
          <cell r="Q116">
            <v>336</v>
          </cell>
        </row>
        <row r="117">
          <cell r="C117" t="str">
            <v>T0826</v>
          </cell>
          <cell r="E117" t="str">
            <v>Paracetamol+Ibuprofen</v>
          </cell>
          <cell r="F117" t="str">
            <v>Hapacol đau nhức</v>
          </cell>
          <cell r="G117" t="str">
            <v>325mg+200mg</v>
          </cell>
          <cell r="H117" t="str">
            <v>viên</v>
          </cell>
          <cell r="I117" t="str">
            <v>H/100v</v>
          </cell>
          <cell r="J117" t="str">
            <v>CTCP Dược Hậu Giang</v>
          </cell>
          <cell r="K117" t="str">
            <v>Việt Nam</v>
          </cell>
          <cell r="L117" t="str">
            <v>Lô 02</v>
          </cell>
          <cell r="O117">
            <v>500</v>
          </cell>
          <cell r="P117">
            <v>15000</v>
          </cell>
          <cell r="Q117">
            <v>500</v>
          </cell>
        </row>
        <row r="118">
          <cell r="C118" t="str">
            <v>T0514</v>
          </cell>
          <cell r="D118" t="str">
            <v>TN0243</v>
          </cell>
          <cell r="E118" t="str">
            <v xml:space="preserve">Paracetamol            </v>
          </cell>
          <cell r="F118" t="str">
            <v>Hapacol Blue</v>
          </cell>
          <cell r="G118" t="str">
            <v>500mg</v>
          </cell>
          <cell r="H118" t="str">
            <v>viên</v>
          </cell>
          <cell r="I118" t="str">
            <v>H/50v/10</v>
          </cell>
          <cell r="J118" t="str">
            <v>CTCP Dược Hậu Giang</v>
          </cell>
          <cell r="K118" t="str">
            <v>Việt Nam</v>
          </cell>
          <cell r="L118" t="str">
            <v>Lô 02</v>
          </cell>
          <cell r="O118">
            <v>347</v>
          </cell>
          <cell r="P118">
            <v>800</v>
          </cell>
          <cell r="Q118">
            <v>347</v>
          </cell>
        </row>
        <row r="119">
          <cell r="C119" t="str">
            <v>T0516</v>
          </cell>
          <cell r="D119" t="str">
            <v>TN0245</v>
          </cell>
          <cell r="E119" t="str">
            <v xml:space="preserve">Paracetamol            </v>
          </cell>
          <cell r="F119" t="str">
            <v>Hapacol kids</v>
          </cell>
          <cell r="G119" t="str">
            <v>150 mg + 75mg</v>
          </cell>
          <cell r="H119" t="str">
            <v>gói</v>
          </cell>
          <cell r="I119" t="str">
            <v>h/25 gói</v>
          </cell>
          <cell r="J119" t="str">
            <v>CTCP Dược Hậu Giang</v>
          </cell>
          <cell r="K119" t="str">
            <v>Việt Nam</v>
          </cell>
          <cell r="L119" t="str">
            <v>Lô 02</v>
          </cell>
          <cell r="O119">
            <v>1208</v>
          </cell>
          <cell r="P119">
            <v>19698</v>
          </cell>
          <cell r="Q119">
            <v>1208</v>
          </cell>
        </row>
        <row r="120">
          <cell r="C120" t="str">
            <v>T0520</v>
          </cell>
          <cell r="D120" t="str">
            <v>TN0249</v>
          </cell>
          <cell r="E120" t="str">
            <v xml:space="preserve">Paracetamol + Clopheniramin </v>
          </cell>
          <cell r="F120" t="str">
            <v>Hapacol 250 Flu</v>
          </cell>
          <cell r="G120" t="str">
            <v>250+1,5mg</v>
          </cell>
          <cell r="H120" t="str">
            <v>gói</v>
          </cell>
          <cell r="I120" t="str">
            <v>h/24 gói</v>
          </cell>
          <cell r="J120" t="str">
            <v>CTCP Dược Hậu Giang</v>
          </cell>
          <cell r="K120" t="str">
            <v>Việt Nam</v>
          </cell>
          <cell r="L120" t="str">
            <v>Lô 02</v>
          </cell>
          <cell r="O120">
            <v>1600</v>
          </cell>
          <cell r="P120">
            <v>28150</v>
          </cell>
          <cell r="Q120">
            <v>1600</v>
          </cell>
        </row>
        <row r="121">
          <cell r="C121" t="str">
            <v>T0553</v>
          </cell>
          <cell r="D121" t="str">
            <v>TN0265</v>
          </cell>
          <cell r="E121" t="str">
            <v xml:space="preserve">Prednisolon       </v>
          </cell>
          <cell r="F121" t="str">
            <v>Hydrocolacyl</v>
          </cell>
          <cell r="G121" t="str">
            <v>5mg</v>
          </cell>
          <cell r="H121" t="str">
            <v>viên</v>
          </cell>
          <cell r="I121" t="str">
            <v>Hộp 10 vỉ x20 viên</v>
          </cell>
          <cell r="J121" t="str">
            <v>CTCP Dược Hậu Giang</v>
          </cell>
          <cell r="K121" t="str">
            <v>Việt Nam</v>
          </cell>
          <cell r="L121" t="str">
            <v>Lô 02</v>
          </cell>
          <cell r="O121">
            <v>152</v>
          </cell>
          <cell r="P121">
            <v>31525</v>
          </cell>
          <cell r="Q121">
            <v>152</v>
          </cell>
        </row>
        <row r="122">
          <cell r="C122" t="str">
            <v>T0567</v>
          </cell>
          <cell r="E122" t="str">
            <v>Ranitidin</v>
          </cell>
          <cell r="F122" t="str">
            <v>Ranitidin 300mg</v>
          </cell>
          <cell r="G122" t="str">
            <v>300mg</v>
          </cell>
          <cell r="H122" t="str">
            <v>viên</v>
          </cell>
          <cell r="I122" t="str">
            <v>H/100v</v>
          </cell>
          <cell r="J122" t="str">
            <v>CTCP Dược Domesco</v>
          </cell>
          <cell r="K122" t="str">
            <v>Việt Nam</v>
          </cell>
          <cell r="L122" t="str">
            <v>Lô 02</v>
          </cell>
          <cell r="O122">
            <v>500</v>
          </cell>
          <cell r="P122">
            <v>3900</v>
          </cell>
          <cell r="Q122">
            <v>500</v>
          </cell>
        </row>
        <row r="123">
          <cell r="E123" t="str">
            <v>Sắt. B12.Acidfolic</v>
          </cell>
          <cell r="F123" t="str">
            <v>Davita Fevit</v>
          </cell>
          <cell r="G123" t="str">
            <v>162mg+0,75mg+7,5mcg</v>
          </cell>
          <cell r="H123" t="str">
            <v>viên</v>
          </cell>
          <cell r="I123" t="str">
            <v>Hộp 10 vỉ x 10 viên</v>
          </cell>
          <cell r="J123" t="str">
            <v>CTCP Dược Hậu Giang</v>
          </cell>
          <cell r="K123" t="str">
            <v>Việt Nam</v>
          </cell>
          <cell r="L123" t="str">
            <v>Lô 02</v>
          </cell>
          <cell r="O123">
            <v>599</v>
          </cell>
          <cell r="P123">
            <v>700</v>
          </cell>
          <cell r="Q123">
            <v>599</v>
          </cell>
        </row>
        <row r="124">
          <cell r="C124" t="str">
            <v>T0576</v>
          </cell>
          <cell r="D124" t="str">
            <v>TN0278</v>
          </cell>
          <cell r="E124" t="str">
            <v xml:space="preserve">Salbutamol        </v>
          </cell>
          <cell r="F124" t="str">
            <v>Salbutamol 2mg</v>
          </cell>
          <cell r="G124" t="str">
            <v>2mg</v>
          </cell>
          <cell r="H124" t="str">
            <v>viên</v>
          </cell>
          <cell r="I124" t="str">
            <v>Lọ 500 viên</v>
          </cell>
          <cell r="J124" t="str">
            <v>CTCP DP long An</v>
          </cell>
          <cell r="K124" t="str">
            <v>Việt Nam</v>
          </cell>
          <cell r="L124" t="str">
            <v>Lô 02</v>
          </cell>
          <cell r="O124">
            <v>65</v>
          </cell>
          <cell r="P124">
            <v>6525</v>
          </cell>
          <cell r="Q124">
            <v>65</v>
          </cell>
        </row>
        <row r="125">
          <cell r="C125" t="str">
            <v>T0586</v>
          </cell>
          <cell r="D125" t="str">
            <v>NQ0077</v>
          </cell>
          <cell r="E125" t="str">
            <v>Atorvastatin</v>
          </cell>
          <cell r="F125" t="str">
            <v>Atorlip</v>
          </cell>
          <cell r="G125" t="str">
            <v>20mg</v>
          </cell>
          <cell r="H125" t="str">
            <v>viên</v>
          </cell>
          <cell r="I125" t="str">
            <v>Hộp 30 viên</v>
          </cell>
          <cell r="J125" t="str">
            <v>CTCP Dược Hậu Giang</v>
          </cell>
          <cell r="K125" t="str">
            <v>Việt Nam</v>
          </cell>
          <cell r="L125" t="str">
            <v>Lô 02</v>
          </cell>
          <cell r="O125">
            <v>3150</v>
          </cell>
          <cell r="P125">
            <v>1000</v>
          </cell>
          <cell r="Q125">
            <v>3150</v>
          </cell>
        </row>
        <row r="126">
          <cell r="C126" t="str">
            <v>T0589</v>
          </cell>
          <cell r="D126" t="str">
            <v>TN0284</v>
          </cell>
          <cell r="E126" t="str">
            <v xml:space="preserve">Sorbitol      </v>
          </cell>
          <cell r="F126" t="str">
            <v>SORBITOL</v>
          </cell>
          <cell r="G126" t="str">
            <v>5g</v>
          </cell>
          <cell r="H126" t="str">
            <v>gói</v>
          </cell>
          <cell r="I126" t="str">
            <v>HỘP 25 GÓI</v>
          </cell>
          <cell r="J126" t="str">
            <v>CTCP Dược Hậu Giang</v>
          </cell>
          <cell r="K126" t="str">
            <v>Việt Nam</v>
          </cell>
          <cell r="L126" t="str">
            <v>Lô 02</v>
          </cell>
          <cell r="O126">
            <v>450</v>
          </cell>
          <cell r="P126">
            <v>12725</v>
          </cell>
          <cell r="Q126">
            <v>450</v>
          </cell>
        </row>
        <row r="127">
          <cell r="C127" t="str">
            <v>T0590</v>
          </cell>
          <cell r="D127" t="str">
            <v>TN0285</v>
          </cell>
          <cell r="E127" t="str">
            <v>Spiramycin</v>
          </cell>
          <cell r="F127" t="str">
            <v>DOROPYCIN 0.75</v>
          </cell>
          <cell r="G127" t="str">
            <v>0,75M UI</v>
          </cell>
          <cell r="H127" t="str">
            <v>gói</v>
          </cell>
          <cell r="I127" t="str">
            <v>HỘP 20 GÓI</v>
          </cell>
          <cell r="J127" t="str">
            <v>CTCP Dược Hậu Giang</v>
          </cell>
          <cell r="K127" t="str">
            <v>Việt Nam</v>
          </cell>
          <cell r="L127" t="str">
            <v>Lô 02</v>
          </cell>
          <cell r="O127">
            <v>1104</v>
          </cell>
          <cell r="P127">
            <v>2500</v>
          </cell>
          <cell r="Q127">
            <v>1104</v>
          </cell>
        </row>
        <row r="128">
          <cell r="C128" t="str">
            <v>T0591</v>
          </cell>
          <cell r="D128" t="str">
            <v>TN0286</v>
          </cell>
          <cell r="E128" t="str">
            <v>Spiramycin</v>
          </cell>
          <cell r="F128" t="str">
            <v>DOROPYCIN 1.5</v>
          </cell>
          <cell r="G128" t="str">
            <v>1,5M UI</v>
          </cell>
          <cell r="H128" t="str">
            <v>viên</v>
          </cell>
          <cell r="I128" t="str">
            <v>HỘP 2 VĨ X 8 VBF</v>
          </cell>
          <cell r="J128" t="str">
            <v>CTCP Dược Hậu Giang</v>
          </cell>
          <cell r="K128" t="str">
            <v>Việt Nam</v>
          </cell>
          <cell r="L128" t="str">
            <v>Lô 02</v>
          </cell>
          <cell r="O128">
            <v>1800</v>
          </cell>
          <cell r="P128">
            <v>2200</v>
          </cell>
          <cell r="Q128">
            <v>1800</v>
          </cell>
        </row>
        <row r="129">
          <cell r="C129" t="str">
            <v>T0592</v>
          </cell>
          <cell r="D129" t="str">
            <v>TN0287</v>
          </cell>
          <cell r="E129" t="str">
            <v>Spiramycin</v>
          </cell>
          <cell r="F129" t="str">
            <v>DOROPYCIN 3</v>
          </cell>
          <cell r="G129" t="str">
            <v>3M UI</v>
          </cell>
          <cell r="H129" t="str">
            <v>viên</v>
          </cell>
          <cell r="I129" t="str">
            <v>HỘP 2 VĨ X  5VBF</v>
          </cell>
          <cell r="J129" t="str">
            <v>CTCP Dược Hậu Giang</v>
          </cell>
          <cell r="K129" t="str">
            <v>Việt Nam</v>
          </cell>
          <cell r="L129" t="str">
            <v>Lô 02</v>
          </cell>
          <cell r="O129">
            <v>3480</v>
          </cell>
          <cell r="P129">
            <v>2800</v>
          </cell>
          <cell r="Q129">
            <v>3480</v>
          </cell>
        </row>
        <row r="130">
          <cell r="C130" t="str">
            <v>T0603</v>
          </cell>
          <cell r="D130" t="str">
            <v>TN0292</v>
          </cell>
          <cell r="E130" t="str">
            <v xml:space="preserve">Sulpirid       </v>
          </cell>
          <cell r="F130" t="str">
            <v>MAXDOTYL</v>
          </cell>
          <cell r="G130" t="str">
            <v>50mg</v>
          </cell>
          <cell r="H130" t="str">
            <v>viên</v>
          </cell>
          <cell r="I130" t="str">
            <v>HỘP 2 VĨ X 15 VNE</v>
          </cell>
          <cell r="J130" t="str">
            <v>CT LD TNHH Stada</v>
          </cell>
          <cell r="K130" t="str">
            <v>Việt Nam</v>
          </cell>
          <cell r="L130" t="str">
            <v>Lô 02</v>
          </cell>
          <cell r="O130">
            <v>300</v>
          </cell>
          <cell r="P130">
            <v>2925</v>
          </cell>
          <cell r="Q130">
            <v>300</v>
          </cell>
        </row>
        <row r="131">
          <cell r="C131" t="str">
            <v>T0612</v>
          </cell>
          <cell r="D131" t="str">
            <v>TN0296</v>
          </cell>
          <cell r="E131" t="str">
            <v>Terpin-Codein</v>
          </cell>
          <cell r="F131" t="str">
            <v>Terpin Codein 5</v>
          </cell>
          <cell r="G131" t="str">
            <v>100mg + 5mg</v>
          </cell>
          <cell r="H131" t="str">
            <v>viên</v>
          </cell>
          <cell r="I131" t="str">
            <v>H/10v/10</v>
          </cell>
          <cell r="J131" t="str">
            <v>CTCP Dược Hậu Giang</v>
          </cell>
          <cell r="K131" t="str">
            <v>Việt Nam</v>
          </cell>
          <cell r="L131" t="str">
            <v>Lô 02</v>
          </cell>
          <cell r="O131">
            <v>181</v>
          </cell>
          <cell r="P131">
            <v>13125</v>
          </cell>
          <cell r="Q131">
            <v>181</v>
          </cell>
        </row>
        <row r="132">
          <cell r="C132" t="str">
            <v>T0601</v>
          </cell>
          <cell r="E132" t="str">
            <v>Trimethoprim sulmethoxazole</v>
          </cell>
          <cell r="F132" t="str">
            <v>Cotrim fort</v>
          </cell>
          <cell r="G132" t="str">
            <v>400mg, 80mg</v>
          </cell>
          <cell r="H132" t="str">
            <v>viên</v>
          </cell>
          <cell r="I132" t="str">
            <v>H/10v/10</v>
          </cell>
          <cell r="J132" t="str">
            <v>CT LD TNHH Stada</v>
          </cell>
          <cell r="K132" t="str">
            <v>Việt Nam</v>
          </cell>
          <cell r="L132" t="str">
            <v>Lô 02</v>
          </cell>
          <cell r="O132">
            <v>535</v>
          </cell>
          <cell r="P132">
            <v>420</v>
          </cell>
          <cell r="Q132">
            <v>535</v>
          </cell>
        </row>
        <row r="133">
          <cell r="E133" t="str">
            <v>Tetra 1%</v>
          </cell>
          <cell r="F133" t="str">
            <v>Mỡ tetra 1% 5g</v>
          </cell>
          <cell r="G133" t="str">
            <v>5g</v>
          </cell>
          <cell r="H133" t="str">
            <v>tube</v>
          </cell>
          <cell r="I133" t="str">
            <v>tube/5g</v>
          </cell>
          <cell r="J133" t="str">
            <v>CTCP Medipharco</v>
          </cell>
          <cell r="K133" t="str">
            <v>Việt Nam</v>
          </cell>
          <cell r="L133" t="str">
            <v>Lô 02</v>
          </cell>
          <cell r="O133">
            <v>2562</v>
          </cell>
          <cell r="P133">
            <v>5</v>
          </cell>
          <cell r="Q133">
            <v>2562</v>
          </cell>
        </row>
        <row r="134">
          <cell r="E134" t="str">
            <v>Tricalciphosphat,vitamin C,D,PP</v>
          </cell>
          <cell r="F134" t="str">
            <v>Calci milk 360ml</v>
          </cell>
          <cell r="G134" t="str">
            <v>3.6g+14.400UI</v>
          </cell>
          <cell r="H134" t="str">
            <v>chai</v>
          </cell>
          <cell r="I134" t="str">
            <v>CH/360ml</v>
          </cell>
          <cell r="J134" t="str">
            <v>CTCP Dược Hậu Giang</v>
          </cell>
          <cell r="K134" t="str">
            <v>Việt Nam</v>
          </cell>
          <cell r="L134" t="str">
            <v>Lô 02</v>
          </cell>
          <cell r="O134">
            <v>18000</v>
          </cell>
          <cell r="P134">
            <v>10</v>
          </cell>
          <cell r="Q134">
            <v>18000</v>
          </cell>
        </row>
        <row r="135">
          <cell r="C135" t="str">
            <v>T0819</v>
          </cell>
          <cell r="D135" t="str">
            <v>TN0304</v>
          </cell>
          <cell r="E135" t="str">
            <v>Than họat tính; tricalci phosphat;calcicarbonat cam thảo</v>
          </cell>
          <cell r="F135" t="str">
            <v>Carbogast</v>
          </cell>
          <cell r="H135" t="str">
            <v>viên</v>
          </cell>
          <cell r="I135" t="str">
            <v>H100</v>
          </cell>
          <cell r="J135" t="str">
            <v>CTCP Dược 3/2</v>
          </cell>
          <cell r="K135" t="str">
            <v>Việt Nam</v>
          </cell>
          <cell r="L135" t="str">
            <v>Lô 02</v>
          </cell>
          <cell r="O135">
            <v>578</v>
          </cell>
          <cell r="P135">
            <v>580</v>
          </cell>
          <cell r="Q135">
            <v>578</v>
          </cell>
        </row>
        <row r="136">
          <cell r="C136" t="str">
            <v>T0635</v>
          </cell>
          <cell r="D136" t="str">
            <v>TN0310</v>
          </cell>
          <cell r="E136" t="str">
            <v xml:space="preserve">Trimetazidin         </v>
          </cell>
          <cell r="F136" t="str">
            <v>VACOLAREN</v>
          </cell>
          <cell r="G136" t="str">
            <v>20mg</v>
          </cell>
          <cell r="H136" t="str">
            <v>viên</v>
          </cell>
          <cell r="I136" t="str">
            <v>Hộp 2 vỉ x 30 viên</v>
          </cell>
          <cell r="J136" t="str">
            <v>CTCP Dược Hậu Giang</v>
          </cell>
          <cell r="K136" t="str">
            <v>Việt Nam</v>
          </cell>
          <cell r="L136" t="str">
            <v>Lô 02</v>
          </cell>
          <cell r="O136">
            <v>500</v>
          </cell>
          <cell r="P136">
            <v>14115</v>
          </cell>
          <cell r="Q136">
            <v>500</v>
          </cell>
        </row>
        <row r="137">
          <cell r="C137" t="str">
            <v>T0646</v>
          </cell>
          <cell r="D137" t="str">
            <v>TN0312</v>
          </cell>
          <cell r="E137" t="str">
            <v>Vitamin A - D</v>
          </cell>
          <cell r="F137" t="str">
            <v>VITAMIN A&amp;D</v>
          </cell>
          <cell r="G137" t="str">
            <v>5000UI + 400UI</v>
          </cell>
          <cell r="H137" t="str">
            <v>viên</v>
          </cell>
          <cell r="I137" t="str">
            <v>HỘP 4 VĨ X 10 VNM</v>
          </cell>
          <cell r="J137" t="str">
            <v>CTCP Dược Hậu Giang</v>
          </cell>
          <cell r="K137" t="str">
            <v>Việt Nam</v>
          </cell>
          <cell r="L137" t="str">
            <v>Lô 02</v>
          </cell>
          <cell r="O137">
            <v>331</v>
          </cell>
          <cell r="P137">
            <v>2900</v>
          </cell>
          <cell r="Q137">
            <v>331</v>
          </cell>
        </row>
        <row r="138">
          <cell r="C138" t="str">
            <v>T0647</v>
          </cell>
          <cell r="D138" t="str">
            <v>TN0314</v>
          </cell>
          <cell r="E138" t="str">
            <v>Vitamin B1</v>
          </cell>
          <cell r="F138" t="str">
            <v>Vitamin B1 250mg</v>
          </cell>
          <cell r="G138" t="str">
            <v>250mg</v>
          </cell>
          <cell r="H138" t="str">
            <v>viên</v>
          </cell>
          <cell r="I138" t="str">
            <v>Hộp 10 vì x 10 viên</v>
          </cell>
          <cell r="J138" t="str">
            <v>CTCP Dược Mekophar</v>
          </cell>
          <cell r="K138" t="str">
            <v>Việt Nam</v>
          </cell>
          <cell r="L138" t="str">
            <v>Lô 02</v>
          </cell>
          <cell r="O138">
            <v>290</v>
          </cell>
          <cell r="P138">
            <v>11580</v>
          </cell>
          <cell r="Q138">
            <v>290</v>
          </cell>
        </row>
        <row r="139">
          <cell r="C139" t="str">
            <v>T0653</v>
          </cell>
          <cell r="E139" t="str">
            <v>Vitamin B6</v>
          </cell>
          <cell r="F139" t="str">
            <v>Vitamin B6</v>
          </cell>
          <cell r="G139" t="str">
            <v>250mg</v>
          </cell>
          <cell r="H139" t="str">
            <v>viên</v>
          </cell>
          <cell r="I139" t="str">
            <v>Hộp 10 vì x 10 viên</v>
          </cell>
          <cell r="J139" t="str">
            <v>CTCP Dược Mekophar</v>
          </cell>
          <cell r="K139" t="str">
            <v>Việt Nam</v>
          </cell>
          <cell r="L139" t="str">
            <v>Lô 02</v>
          </cell>
          <cell r="O139">
            <v>290</v>
          </cell>
          <cell r="P139">
            <v>11100</v>
          </cell>
          <cell r="Q139">
            <v>290</v>
          </cell>
        </row>
        <row r="140">
          <cell r="C140" t="str">
            <v>T0649</v>
          </cell>
          <cell r="E140" t="str">
            <v>Vitamin B1,B6,B12</v>
          </cell>
          <cell r="F140" t="str">
            <v>Vitamin B1,B6,B12</v>
          </cell>
          <cell r="G140" t="str">
            <v>125mg.125mg.125mcg</v>
          </cell>
          <cell r="H140" t="str">
            <v>viên</v>
          </cell>
          <cell r="I140" t="str">
            <v>Hộp 10 vì x 10 viên</v>
          </cell>
          <cell r="J140" t="str">
            <v>CTCP Dược Hậu Giang</v>
          </cell>
          <cell r="K140" t="str">
            <v>Việt Nam</v>
          </cell>
          <cell r="L140" t="str">
            <v>Lô 02</v>
          </cell>
          <cell r="O140">
            <v>350</v>
          </cell>
          <cell r="P140">
            <v>5600</v>
          </cell>
          <cell r="Q140">
            <v>350</v>
          </cell>
        </row>
        <row r="141">
          <cell r="C141" t="str">
            <v>T0655</v>
          </cell>
          <cell r="D141" t="str">
            <v>TN0320</v>
          </cell>
          <cell r="E141" t="str">
            <v>Vitamin C</v>
          </cell>
          <cell r="F141" t="str">
            <v xml:space="preserve">Vitamin C </v>
          </cell>
          <cell r="G141" t="str">
            <v>500mg</v>
          </cell>
          <cell r="H141" t="str">
            <v>viên</v>
          </cell>
          <cell r="I141" t="str">
            <v>Lọ 100 viên</v>
          </cell>
          <cell r="J141" t="str">
            <v>CTCP Dược Cửu Long</v>
          </cell>
          <cell r="K141" t="str">
            <v>Việt Nam</v>
          </cell>
          <cell r="L141" t="str">
            <v>Lô 02</v>
          </cell>
          <cell r="O141">
            <v>273</v>
          </cell>
          <cell r="P141">
            <v>44560</v>
          </cell>
          <cell r="Q141">
            <v>273</v>
          </cell>
        </row>
        <row r="142">
          <cell r="C142" t="str">
            <v>T0655</v>
          </cell>
          <cell r="E142" t="str">
            <v>Vitamin C</v>
          </cell>
          <cell r="F142" t="str">
            <v xml:space="preserve">Vitamin C </v>
          </cell>
          <cell r="G142" t="str">
            <v>250mg</v>
          </cell>
          <cell r="H142" t="str">
            <v>viên</v>
          </cell>
          <cell r="I142" t="str">
            <v>Lọ 100 viên</v>
          </cell>
          <cell r="J142" t="str">
            <v>CTCP Dược TW Vidiphar</v>
          </cell>
          <cell r="K142" t="str">
            <v>Việt Nam</v>
          </cell>
          <cell r="L142" t="str">
            <v>Lô 02</v>
          </cell>
          <cell r="O142">
            <v>208</v>
          </cell>
          <cell r="P142">
            <v>9000</v>
          </cell>
          <cell r="Q142">
            <v>208</v>
          </cell>
        </row>
        <row r="143">
          <cell r="C143" t="str">
            <v>T0657</v>
          </cell>
          <cell r="D143" t="str">
            <v>TN0322</v>
          </cell>
          <cell r="E143" t="str">
            <v>Vitamin C</v>
          </cell>
          <cell r="F143" t="str">
            <v>Bocalex C1000</v>
          </cell>
          <cell r="G143" t="str">
            <v>1g</v>
          </cell>
          <cell r="H143" t="str">
            <v>Viên sủi</v>
          </cell>
          <cell r="I143" t="str">
            <v>Tube 10 viên</v>
          </cell>
          <cell r="J143" t="str">
            <v>CTCP Dược Domesco</v>
          </cell>
          <cell r="K143" t="str">
            <v>Việt Nam</v>
          </cell>
          <cell r="L143" t="str">
            <v>Lô 02</v>
          </cell>
          <cell r="O143">
            <v>1050</v>
          </cell>
          <cell r="P143">
            <v>2200</v>
          </cell>
          <cell r="Q143">
            <v>1050</v>
          </cell>
        </row>
        <row r="144">
          <cell r="C144" t="str">
            <v>T0659</v>
          </cell>
          <cell r="D144" t="str">
            <v>TN0324</v>
          </cell>
          <cell r="E144" t="str">
            <v>Vitamin E</v>
          </cell>
          <cell r="F144" t="str">
            <v>Vitamin E 400UI (V/15)</v>
          </cell>
          <cell r="G144" t="str">
            <v>400UI</v>
          </cell>
          <cell r="H144" t="str">
            <v>viên</v>
          </cell>
          <cell r="I144" t="str">
            <v>V/15, H/150</v>
          </cell>
          <cell r="J144" t="str">
            <v>CTCP Dược Bình định</v>
          </cell>
          <cell r="K144" t="str">
            <v>Việt Nam</v>
          </cell>
          <cell r="L144" t="str">
            <v>Lô 02</v>
          </cell>
          <cell r="O144">
            <v>756</v>
          </cell>
          <cell r="P144">
            <v>3100</v>
          </cell>
          <cell r="Q144">
            <v>756</v>
          </cell>
        </row>
        <row r="145">
          <cell r="C145" t="str">
            <v>T0660</v>
          </cell>
          <cell r="D145" t="str">
            <v>TN0325</v>
          </cell>
          <cell r="E145" t="str">
            <v>Vitamin PP</v>
          </cell>
          <cell r="F145" t="str">
            <v>Vitamin PP 500mg</v>
          </cell>
          <cell r="G145" t="str">
            <v>500mg</v>
          </cell>
          <cell r="H145" t="str">
            <v>viên</v>
          </cell>
          <cell r="I145" t="str">
            <v>Hộp 10vỉ x 10VBP</v>
          </cell>
          <cell r="J145" t="str">
            <v>CTCP Dược Hậu Giang</v>
          </cell>
          <cell r="K145" t="str">
            <v>Việt Nam</v>
          </cell>
          <cell r="L145" t="str">
            <v>Lô 02</v>
          </cell>
          <cell r="O145">
            <v>300</v>
          </cell>
          <cell r="P145">
            <v>600</v>
          </cell>
          <cell r="Q145">
            <v>300</v>
          </cell>
        </row>
        <row r="146">
          <cell r="C146" t="str">
            <v>T0423</v>
          </cell>
          <cell r="E146" t="str">
            <v>Methionin</v>
          </cell>
          <cell r="F146" t="str">
            <v>METHIONIN 250mg</v>
          </cell>
          <cell r="G146" t="str">
            <v>250mg</v>
          </cell>
          <cell r="H146" t="str">
            <v>Viên</v>
          </cell>
          <cell r="I146" t="str">
            <v>C/100</v>
          </cell>
          <cell r="J146" t="str">
            <v>CTCP Dược Mekophar</v>
          </cell>
          <cell r="K146" t="str">
            <v>VIỆT NAM</v>
          </cell>
          <cell r="L146" t="str">
            <v>Lô 02</v>
          </cell>
          <cell r="O146">
            <v>181</v>
          </cell>
          <cell r="P146">
            <v>1200</v>
          </cell>
          <cell r="Q146">
            <v>181</v>
          </cell>
        </row>
        <row r="147">
          <cell r="C147" t="str">
            <v>T0033</v>
          </cell>
          <cell r="E147" t="str">
            <v>Alpha Amylase, Papain, Simethicone</v>
          </cell>
          <cell r="F147" t="str">
            <v>Neopeptin</v>
          </cell>
          <cell r="G147" t="str">
            <v>0,1g + 0,1g +30mg</v>
          </cell>
          <cell r="H147" t="str">
            <v>viên</v>
          </cell>
          <cell r="I147" t="str">
            <v>H/10V/10V</v>
          </cell>
          <cell r="J147" t="str">
            <v>CTCP Dược Hậu Giang</v>
          </cell>
          <cell r="K147" t="str">
            <v>Ân độ</v>
          </cell>
          <cell r="L147" t="str">
            <v>Lô 03</v>
          </cell>
          <cell r="O147">
            <v>1512</v>
          </cell>
          <cell r="P147">
            <v>3112</v>
          </cell>
          <cell r="Q147">
            <v>1512</v>
          </cell>
        </row>
        <row r="148">
          <cell r="C148" t="str">
            <v>T0415</v>
          </cell>
          <cell r="E148" t="str">
            <v>Meloxicam 15mg</v>
          </cell>
          <cell r="F148" t="str">
            <v>Mebilax 15mg</v>
          </cell>
          <cell r="G148" t="str">
            <v>15mg</v>
          </cell>
          <cell r="H148" t="str">
            <v>viên</v>
          </cell>
          <cell r="I148" t="str">
            <v>Hộp/2vỉ x 10 viên nén</v>
          </cell>
          <cell r="J148" t="str">
            <v>CTCP Dược Hậu Giang</v>
          </cell>
          <cell r="K148" t="str">
            <v>Việt Nam</v>
          </cell>
          <cell r="L148" t="str">
            <v>Lô 04</v>
          </cell>
          <cell r="O148">
            <v>1250</v>
          </cell>
          <cell r="P148">
            <v>16472</v>
          </cell>
          <cell r="Q148">
            <v>1250</v>
          </cell>
        </row>
        <row r="149">
          <cell r="C149" t="str">
            <v>T0054</v>
          </cell>
          <cell r="E149" t="str">
            <v>Amlodipine 5mg</v>
          </cell>
          <cell r="F149" t="str">
            <v>Apitim</v>
          </cell>
          <cell r="G149" t="str">
            <v>5mg</v>
          </cell>
          <cell r="H149" t="str">
            <v>viên</v>
          </cell>
          <cell r="I149" t="str">
            <v>Hộp/3vỉ x 10 viên nang</v>
          </cell>
          <cell r="J149" t="str">
            <v>CTCP Dược Hậu Giang</v>
          </cell>
          <cell r="K149" t="str">
            <v>Việt Nam</v>
          </cell>
          <cell r="L149" t="str">
            <v>Lô 04</v>
          </cell>
          <cell r="O149">
            <v>840</v>
          </cell>
          <cell r="P149">
            <v>45825</v>
          </cell>
          <cell r="Q149">
            <v>840</v>
          </cell>
        </row>
        <row r="156">
          <cell r="C156" t="str">
            <v>T0260</v>
          </cell>
          <cell r="D156" t="str">
            <v>TN0127</v>
          </cell>
          <cell r="E156" t="str">
            <v>Eucalyptol + Menthol+Tinh dầu tần+Tinh dầu gừng</v>
          </cell>
          <cell r="F156" t="str">
            <v>Eugica</v>
          </cell>
          <cell r="G156" t="str">
            <v>100mg +0,5mg+0,18mg+0,5mg</v>
          </cell>
          <cell r="H156" t="str">
            <v>viên</v>
          </cell>
          <cell r="I156" t="str">
            <v>v/10 h/100 viên</v>
          </cell>
          <cell r="J156" t="str">
            <v>CTCP Dược Hậu Giang</v>
          </cell>
          <cell r="K156" t="str">
            <v>Việt Nam</v>
          </cell>
          <cell r="L156" t="str">
            <v>Lô 02</v>
          </cell>
          <cell r="O156">
            <v>336</v>
          </cell>
          <cell r="P156">
            <v>39630</v>
          </cell>
          <cell r="Q156">
            <v>336</v>
          </cell>
          <cell r="R156">
            <v>13315680</v>
          </cell>
        </row>
        <row r="157">
          <cell r="C157" t="str">
            <v>T0261</v>
          </cell>
          <cell r="D157" t="str">
            <v>TN0128</v>
          </cell>
          <cell r="E157" t="str">
            <v>Eucalyptol + Menthol+Tinh dầu tần+Tinh dầu gừng+ Tinh dầu tràm</v>
          </cell>
          <cell r="F157" t="str">
            <v>Eugica fort</v>
          </cell>
          <cell r="G157" t="str">
            <v>100mg +0,5mg +0,36mg +0,75mg+50mg</v>
          </cell>
          <cell r="H157" t="str">
            <v>viên</v>
          </cell>
          <cell r="I157" t="str">
            <v>v/10 h/100 viên</v>
          </cell>
          <cell r="J157" t="str">
            <v>CTCP Dược Hậu Giang</v>
          </cell>
          <cell r="K157" t="str">
            <v>Việt Nam</v>
          </cell>
          <cell r="L157" t="str">
            <v>Lô 02</v>
          </cell>
          <cell r="O157">
            <v>500</v>
          </cell>
          <cell r="P157">
            <v>86725</v>
          </cell>
          <cell r="Q157">
            <v>500</v>
          </cell>
          <cell r="R157">
            <v>43362500</v>
          </cell>
        </row>
        <row r="158">
          <cell r="C158" t="str">
            <v>T0262</v>
          </cell>
          <cell r="D158" t="str">
            <v>TN0129</v>
          </cell>
          <cell r="E158" t="str">
            <v>Eucalyptol, tinh dầu, gừng, tinh dầu tần, menthol</v>
          </cell>
          <cell r="F158" t="str">
            <v>Sp Eugica 60ml</v>
          </cell>
          <cell r="G158" t="str">
            <v>60ml</v>
          </cell>
          <cell r="H158" t="str">
            <v>chai</v>
          </cell>
          <cell r="I158" t="str">
            <v>h/1 chai</v>
          </cell>
          <cell r="J158" t="str">
            <v>CTCP Dược Hậu Giang</v>
          </cell>
          <cell r="K158" t="str">
            <v>Việt Nam</v>
          </cell>
          <cell r="L158" t="str">
            <v>Lô 02</v>
          </cell>
          <cell r="O158">
            <v>13000</v>
          </cell>
          <cell r="P158">
            <v>2495</v>
          </cell>
          <cell r="Q158">
            <v>13000</v>
          </cell>
          <cell r="R158">
            <v>32435000</v>
          </cell>
        </row>
        <row r="159">
          <cell r="C159" t="str">
            <v>DD0059</v>
          </cell>
          <cell r="E159" t="str">
            <v>Cao artiso cao mật heo bột nghệ</v>
          </cell>
          <cell r="F159" t="str">
            <v>Choliver</v>
          </cell>
          <cell r="G159" t="str">
            <v>25mg+25mh+50mg</v>
          </cell>
          <cell r="H159" t="str">
            <v>Viên</v>
          </cell>
          <cell r="I159" t="str">
            <v>Chai100v</v>
          </cell>
          <cell r="J159" t="str">
            <v>CTCP Dược Hậu Giang</v>
          </cell>
          <cell r="K159" t="str">
            <v>Việt Nam</v>
          </cell>
          <cell r="L159" t="str">
            <v>Lô 02</v>
          </cell>
          <cell r="O159">
            <v>120</v>
          </cell>
          <cell r="P159">
            <v>2000</v>
          </cell>
          <cell r="Q159">
            <v>120</v>
          </cell>
          <cell r="R159">
            <v>240000</v>
          </cell>
        </row>
        <row r="160">
          <cell r="C160" t="str">
            <v>DD0069</v>
          </cell>
          <cell r="E160" t="str">
            <v>Cao kim tiền thảo</v>
          </cell>
          <cell r="F160" t="str">
            <v>Cao kim tiền thảo</v>
          </cell>
          <cell r="G160" t="str">
            <v>120mg</v>
          </cell>
          <cell r="H160" t="str">
            <v>Viên</v>
          </cell>
          <cell r="I160" t="str">
            <v>ch/100 viên</v>
          </cell>
          <cell r="J160" t="str">
            <v>CTCP Dược Hậu Giang</v>
          </cell>
          <cell r="K160" t="str">
            <v>Việt Nam</v>
          </cell>
          <cell r="L160" t="str">
            <v>Lô 02</v>
          </cell>
          <cell r="O160">
            <v>350</v>
          </cell>
          <cell r="P160">
            <v>6000</v>
          </cell>
          <cell r="Q160">
            <v>350</v>
          </cell>
          <cell r="R160">
            <v>2100000</v>
          </cell>
        </row>
        <row r="161">
          <cell r="C161" t="str">
            <v>DD0006</v>
          </cell>
          <cell r="E161" t="str">
            <v>Bình vôi+sen lá +lạc tiên+vong nem+trinh nữ</v>
          </cell>
          <cell r="F161" t="str">
            <v>Night queen</v>
          </cell>
          <cell r="H161" t="str">
            <v>viên</v>
          </cell>
          <cell r="I161" t="str">
            <v>Hộp 30 viên</v>
          </cell>
          <cell r="J161" t="str">
            <v>CTCP Dược Hậu Giang</v>
          </cell>
          <cell r="K161" t="str">
            <v>Việt Nam</v>
          </cell>
          <cell r="L161" t="str">
            <v>Lô 02</v>
          </cell>
          <cell r="O161">
            <v>893</v>
          </cell>
          <cell r="P161">
            <v>893</v>
          </cell>
          <cell r="Q161">
            <v>893</v>
          </cell>
          <cell r="R161">
            <v>797449</v>
          </cell>
        </row>
      </sheetData>
      <sheetData sheetId="7"/>
      <sheetData sheetId="8" refreshError="1"/>
      <sheetData sheetId="9" refreshError="1"/>
      <sheetData sheetId="10" refreshError="1"/>
      <sheetData sheetId="1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BQ"/>
      <sheetName val="caidat_NV2"/>
      <sheetName val="Chuyen DL_NV2"/>
      <sheetName val="Daotao_NV2"/>
      <sheetName val="NhapDL_NV2"/>
      <sheetName val="THCP"/>
      <sheetName val="xaylap"/>
      <sheetName val="Hosting"/>
      <sheetName val="thoplapdat"/>
      <sheetName val="GTPM"/>
      <sheetName val="ChuyenDL"/>
      <sheetName val="Nhap DL"/>
      <sheetName val="khaitoan"/>
      <sheetName val="pmem ban quyen"/>
      <sheetName val="Sheet2"/>
      <sheetName val="Sheet3"/>
    </sheetNames>
    <sheetDataSet>
      <sheetData sheetId="0" refreshError="1"/>
      <sheetData sheetId="1" refreshError="1"/>
      <sheetData sheetId="2" refreshError="1"/>
      <sheetData sheetId="3" refreshError="1"/>
      <sheetData sheetId="4" refreshError="1">
        <row r="8">
          <cell r="F8">
            <v>2105000</v>
          </cell>
        </row>
      </sheetData>
      <sheetData sheetId="5" refreshError="1">
        <row r="8">
          <cell r="E8">
            <v>1249534772.0855997</v>
          </cell>
        </row>
      </sheetData>
      <sheetData sheetId="6" refreshError="1"/>
      <sheetData sheetId="7" refreshError="1">
        <row r="5">
          <cell r="H5">
            <v>127600000</v>
          </cell>
        </row>
      </sheetData>
      <sheetData sheetId="8" refreshError="1">
        <row r="14">
          <cell r="E14">
            <v>8025440.8974799998</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hao sat"/>
      <sheetName val="tonghopxaylaptb"/>
      <sheetName val="pmem ban quyen"/>
      <sheetName val="phan mem thuong mai"/>
      <sheetName val="t.bi kien nghi"/>
      <sheetName val="hieuchinh"/>
      <sheetName val="tonghophieuchinhtb"/>
      <sheetName val="Tiên lượngxaylaptb"/>
      <sheetName val="khaitoan"/>
    </sheetNames>
    <sheetDataSet>
      <sheetData sheetId="0" refreshError="1"/>
      <sheetData sheetId="1" refreshError="1"/>
      <sheetData sheetId="2" refreshError="1">
        <row r="8">
          <cell r="E8">
            <v>107304000</v>
          </cell>
        </row>
      </sheetData>
      <sheetData sheetId="3" refreshError="1">
        <row r="5">
          <cell r="E5">
            <v>475000000</v>
          </cell>
        </row>
      </sheetData>
      <sheetData sheetId="4" refreshError="1">
        <row r="34">
          <cell r="L34">
            <v>3084335660</v>
          </cell>
        </row>
      </sheetData>
      <sheetData sheetId="5"/>
      <sheetData sheetId="6"/>
      <sheetData sheetId="7"/>
      <sheetData sheetId="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ù giá CM"/>
      <sheetName val="Cước CG"/>
      <sheetName val="Config"/>
      <sheetName val="Đầu vào"/>
      <sheetName val="Giá TB"/>
      <sheetName val="Cước TC"/>
      <sheetName val="Cước ĐT"/>
      <sheetName val="Phân tích VT"/>
      <sheetName val="Vật liệu"/>
      <sheetName val="Nhân công"/>
      <sheetName val="Máy TC"/>
      <sheetName val="Chiết tính"/>
      <sheetName val="ĐG Tổng hợp"/>
      <sheetName val="Dự thầu"/>
      <sheetName val="ĐG Công trình"/>
      <sheetName val="Tổng hợp KPHM"/>
      <sheetName val="THCPXD"/>
      <sheetName val="THCPTB"/>
      <sheetName val="THKP1751"/>
      <sheetName val="CV1751"/>
      <sheetName val="THKP957"/>
      <sheetName val="TH Thép"/>
      <sheetName val="CFDP"/>
      <sheetName val="QD957"/>
      <sheetName val="Thẩm định"/>
      <sheetName val="Bìa"/>
      <sheetName val="Tính giá NC"/>
      <sheetName val="Tính giá M"/>
      <sheetName val="SL cước"/>
      <sheetName val="Bang THMTC"/>
      <sheetName val="Print"/>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y_le_cntt"/>
      <sheetName val="BG RG QL1A (62)"/>
      <sheetName val="BG BH RG (62)"/>
    </sheetNames>
    <sheetDataSet>
      <sheetData sheetId="0" refreshError="1"/>
      <sheetData sheetId="1" refreshError="1"/>
      <sheetData sheetId="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Bia du toan"/>
      <sheetName val="2-THUYET MINH"/>
      <sheetName val="3-TONG CAC HM"/>
      <sheetName val="4-KTCB"/>
      <sheetName val="5-THIET BI"/>
      <sheetName val="6-XAY DUNG"/>
      <sheetName val="7-XD-CAP CT"/>
      <sheetName val="DP2"/>
      <sheetName val="HS"/>
      <sheetName val="TK1"/>
      <sheetName val="TK2"/>
      <sheetName val="TK3"/>
      <sheetName val="TK4"/>
      <sheetName val="TK5"/>
      <sheetName val="CSDL"/>
      <sheetName val="TT 329_BTC"/>
      <sheetName val="TT03_PL1"/>
      <sheetName val="TT03_PL2"/>
      <sheetName val="TT03_PL3"/>
    </sheetNames>
    <sheetDataSet>
      <sheetData sheetId="0"/>
      <sheetData sheetId="1"/>
      <sheetData sheetId="2"/>
      <sheetData sheetId="3"/>
      <sheetData sheetId="4"/>
      <sheetData sheetId="5"/>
      <sheetData sheetId="6"/>
      <sheetData sheetId="7"/>
      <sheetData sheetId="8">
        <row r="2">
          <cell r="H2">
            <v>0</v>
          </cell>
        </row>
      </sheetData>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SHIBA-Structure"/>
      <sheetName val="Rate-M"/>
      <sheetName val="Part 2.2.1 MVAC"/>
      <sheetName val=" Part 2.2.2 P&amp;S"/>
      <sheetName val="Part 2.2.2 LPG"/>
      <sheetName val="Part 2.2.3 Fire Protection"/>
      <sheetName val="STAFFSCHED "/>
      <sheetName val="General"/>
      <sheetName val="PID"/>
      <sheetName val="2000전체분"/>
      <sheetName val="2000년1차"/>
      <sheetName val="물량집계표"/>
      <sheetName val="Bresk-civil2"/>
      <sheetName val="Scaffolds-qty_rev1"/>
      <sheetName val="細目"/>
      <sheetName val="A"/>
      <sheetName val="Input"/>
      <sheetName val="FAB별"/>
      <sheetName val="TOSHIBA_Structure"/>
      <sheetName val="Branch Power"/>
      <sheetName val="Distrib"/>
      <sheetName val="Emergency"/>
      <sheetName val="Equipment"/>
      <sheetName val="Lighting"/>
      <sheetName val="Sched of Rates"/>
      <sheetName val="DD EST."/>
      <sheetName val="BILLING SUMMARY"/>
      <sheetName val="MTO REV.0"/>
      <sheetName val="Price"/>
      <sheetName val="실행철강하도"/>
      <sheetName val="SEX"/>
      <sheetName val="Unit Price"/>
      <sheetName val="B-B"/>
      <sheetName val="Rate"/>
      <sheetName val="Manpower (M)"/>
      <sheetName val="STAFFSCHED_"/>
      <sheetName val="Manpower_(M)"/>
      <sheetName val="FR"/>
      <sheetName val="H.Satuan"/>
      <sheetName val="SAN REDUCED 1"/>
      <sheetName val="IBASE"/>
      <sheetName val="퍼스트"/>
      <sheetName val="U.P List"/>
      <sheetName val="Rebar"/>
      <sheetName val="ESTI."/>
      <sheetName val="tuong"/>
      <sheetName val="ACMV"/>
      <sheetName val="P&amp;S"/>
      <sheetName val="danh muc vat tu"/>
      <sheetName val="Register-BG NCC"/>
      <sheetName val="Data"/>
      <sheetName val="Data 2"/>
      <sheetName val="TB chính"/>
      <sheetName val="AHU-PAU-FCU"/>
      <sheetName val="FANS"/>
      <sheetName val="Steel pipe"/>
      <sheetName val="Ref pipe+Ins"/>
      <sheetName val="Plastic pipe"/>
      <sheetName val="Duct"/>
      <sheetName val="Air Grilles"/>
      <sheetName val="Valves"/>
      <sheetName val="4641"/>
      <sheetName val="Q'ty"/>
      <sheetName val="대비"/>
      <sheetName val="Slim 2 cánh &amp; 2 vách"/>
      <sheetName val="Bill 4 - Substructure"/>
      <sheetName val="cfa"/>
      <sheetName val="MAIN GATE HOUSE"/>
      <sheetName val="DI-ESTI"/>
      <sheetName val="집계표"/>
      <sheetName val="Rebar FL 28 add7"/>
      <sheetName val="TK SX"/>
      <sheetName val="Break down- Lighting"/>
      <sheetName val="PhanTich"/>
      <sheetName val="Tong hop vat tu"/>
      <sheetName val="NOTE"/>
      <sheetName val="BG"/>
      <sheetName val="He so"/>
      <sheetName val="현장별"/>
      <sheetName val="Gía trị thép và gạch ốp lát"/>
      <sheetName val="Phan tich"/>
      <sheetName val="BQ"/>
      <sheetName val=" Manpower Sched (E)"/>
      <sheetName val="THOP95"/>
      <sheetName val="STMspry"/>
      <sheetName val="PsychroData"/>
      <sheetName val="Tke"/>
      <sheetName val="M"/>
      <sheetName val="NC"/>
      <sheetName val="VL"/>
      <sheetName val="Sheet"/>
      <sheetName val="TLG Type"/>
      <sheetName val="THOP95.XLS"/>
      <sheetName val="AUTOMATIC SELECT"/>
      <sheetName val="dg-VTu"/>
      <sheetName val="DMA_program"/>
      <sheetName val="Part_2_2_1_MVAC"/>
      <sheetName val="_Part_2_2_2_P&amp;S"/>
      <sheetName val="Part_2_2_2_LPG"/>
      <sheetName val="Part_2_2_3_Fire_Protection"/>
      <sheetName val="MTO_REV_0"/>
      <sheetName val="STAFFSCHED_1"/>
      <sheetName val="Branch_Power"/>
      <sheetName val="Sched_of_Rates"/>
      <sheetName val="DD_EST_"/>
      <sheetName val="BILLING_SUMMARY"/>
      <sheetName val="Manpower_(M)1"/>
      <sheetName val="H_Satuan"/>
      <sheetName val="SAN_REDUCED_1"/>
      <sheetName val="danh_muc_vat_tu"/>
      <sheetName val="Register-BG_NCC"/>
      <sheetName val="Data_2"/>
      <sheetName val="TB_chính"/>
      <sheetName val="Steel_pipe"/>
      <sheetName val="Ref_pipe+Ins"/>
      <sheetName val="Plastic_pipe"/>
      <sheetName val="Air_Grilles"/>
      <sheetName val="ESTI_"/>
      <sheetName val="U_P_List"/>
      <sheetName val="NNgung"/>
      <sheetName val="Demolish 1"/>
      <sheetName val="外気負荷"/>
      <sheetName val="Quantity"/>
      <sheetName val="ma-pt"/>
      <sheetName val="detai cable..."/>
      <sheetName val="05. Data_Cash Flow"/>
      <sheetName val="차액보증"/>
      <sheetName val="data-Hilton"/>
      <sheetName val="Earthwork"/>
      <sheetName val="Breakdown"/>
      <sheetName val="ResortFinal"/>
      <sheetName val="THSS"/>
      <sheetName val="electrical"/>
      <sheetName val="BM"/>
      <sheetName val="Div26 - Elect"/>
      <sheetName val="Part_2_2_1_MVAC1"/>
      <sheetName val="_Part_2_2_2_P&amp;S1"/>
      <sheetName val="Part_2_2_2_LPG1"/>
      <sheetName val="Part_2_2_3_Fire_Protection1"/>
      <sheetName val="STAFFSCHED_2"/>
      <sheetName val="MTO_REV_01"/>
      <sheetName val="Branch_Power1"/>
      <sheetName val="Sched_of_Rates1"/>
      <sheetName val="DD_EST_1"/>
      <sheetName val="BILLING_SUMMARY1"/>
      <sheetName val="Manpower_(M)2"/>
      <sheetName val="H_Satuan1"/>
      <sheetName val="SAN_REDUCED_11"/>
      <sheetName val="danh_muc_vat_tu1"/>
      <sheetName val="Register-BG_NCC1"/>
      <sheetName val="Data_21"/>
      <sheetName val="TB_chính1"/>
      <sheetName val="Steel_pipe1"/>
      <sheetName val="Ref_pipe+Ins1"/>
      <sheetName val="Plastic_pipe1"/>
      <sheetName val="Air_Grilles1"/>
      <sheetName val="ESTI_1"/>
      <sheetName val="U_P_List1"/>
      <sheetName val="Slim_2_cánh_&amp;_2_vách"/>
      <sheetName val="Bill_4_-_Substructure"/>
      <sheetName val="MAIN_GATE_HOUSE"/>
      <sheetName val="TK_SX"/>
      <sheetName val="Break_down-_Lighting"/>
      <sheetName val="Tong_hop_vat_tu"/>
      <sheetName val="Rebar_FL_28_add7"/>
      <sheetName val="He_so"/>
      <sheetName val="Gía_trị_thép_và_gạch_ốp_lát"/>
      <sheetName val="Phan_tich"/>
      <sheetName val="_Manpower_Sched_(E)"/>
      <sheetName val="TLG_Type"/>
      <sheetName val="THOP95_XLS"/>
      <sheetName val="AUTOMATIC_SELECT"/>
      <sheetName val="Unit_Price"/>
      <sheetName val="Demolish_1"/>
      <sheetName val="Part_2_2_1_MVAC2"/>
      <sheetName val="_Part_2_2_2_P&amp;S2"/>
      <sheetName val="Part_2_2_2_LPG2"/>
      <sheetName val="Part_2_2_3_Fire_Protection2"/>
      <sheetName val="STAFFSCHED_3"/>
      <sheetName val="MTO_REV_02"/>
      <sheetName val="Branch_Power2"/>
      <sheetName val="Sched_of_Rates2"/>
      <sheetName val="DD_EST_2"/>
      <sheetName val="BILLING_SUMMARY2"/>
      <sheetName val="Manpower_(M)3"/>
      <sheetName val="H_Satuan2"/>
      <sheetName val="SAN_REDUCED_12"/>
      <sheetName val="danh_muc_vat_tu2"/>
      <sheetName val="Register-BG_NCC2"/>
      <sheetName val="Data_22"/>
      <sheetName val="TB_chính2"/>
      <sheetName val="Steel_pipe2"/>
      <sheetName val="Ref_pipe+Ins2"/>
      <sheetName val="Plastic_pipe2"/>
      <sheetName val="Air_Grilles2"/>
      <sheetName val="ESTI_2"/>
      <sheetName val="Slim_2_cánh_&amp;_2_vách1"/>
      <sheetName val="U_P_List2"/>
      <sheetName val="MAIN_GATE_HOUSE1"/>
      <sheetName val="Bill_4_-_Substructure1"/>
      <sheetName val="TK_SX1"/>
      <sheetName val="Break_down-_Lighting1"/>
      <sheetName val="Tong_hop_vat_tu1"/>
      <sheetName val="Rebar_FL_28_add71"/>
      <sheetName val="He_so1"/>
      <sheetName val="Gía_trị_thép_và_gạch_ốp_lát1"/>
      <sheetName val="Phan_tich1"/>
      <sheetName val="_Manpower_Sched_(E)1"/>
      <sheetName val="TLG_Type1"/>
      <sheetName val="THOP95_XLS1"/>
      <sheetName val="AUTOMATIC_SELECT1"/>
      <sheetName val="Demolish_11"/>
      <sheetName val="Unit_Price1"/>
      <sheetName val="Bid Breakdown"/>
      <sheetName val="TLuong"/>
      <sheetName val="SITE-E"/>
      <sheetName val="DonGia chetao"/>
      <sheetName val="DonGia VatTuLK"/>
      <sheetName val="Sheet1"/>
      <sheetName val="Ultimate"/>
      <sheetName val="GOC-KO IN"/>
      <sheetName val="cover page format"/>
      <sheetName val="D_&amp;_W_sizes"/>
      <sheetName val="D &amp; W sizes"/>
      <sheetName val="wall"/>
      <sheetName val="NEW-PANEL"/>
      <sheetName val="토목"/>
      <sheetName val="Prelims"/>
      <sheetName val="電気設備表"/>
      <sheetName val="설계내역서"/>
      <sheetName val="Level-DATA"/>
      <sheetName val="Fr Revit"/>
      <sheetName val="NSA Summary"/>
      <sheetName val="조명시설"/>
      <sheetName val="갑지"/>
      <sheetName val="FA-LISTING"/>
      <sheetName val="Bill No. 2 - Carpark"/>
      <sheetName val="Parem"/>
      <sheetName val="VE Estimate"/>
      <sheetName val="SiteWorks"/>
      <sheetName val="Bang gia NC "/>
      <sheetName val="THVT"/>
      <sheetName val="Summary"/>
      <sheetName val="Index"/>
      <sheetName val="List"/>
      <sheetName val="chi tiet"/>
      <sheetName val="TONG HOP GIA"/>
      <sheetName val="CFA (ME)"/>
      <sheetName val="MEP Detail"/>
      <sheetName val="125x125"/>
      <sheetName val="DTCT"/>
      <sheetName val="Part_2_2_1_MVAC3"/>
      <sheetName val="_Part_2_2_2_P&amp;S3"/>
      <sheetName val="Part_2_2_2_LPG3"/>
      <sheetName val="Part_2_2_3_Fire_Protection3"/>
      <sheetName val="STAFFSCHED_4"/>
      <sheetName val="danh_muc_vat_tu3"/>
      <sheetName val="Register-BG_NCC3"/>
      <sheetName val="Data_23"/>
      <sheetName val="TB_chính3"/>
      <sheetName val="Steel_pipe3"/>
      <sheetName val="Ref_pipe+Ins3"/>
      <sheetName val="Plastic_pipe3"/>
      <sheetName val="Air_Grilles3"/>
      <sheetName val="ESTI_3"/>
      <sheetName val="MTO_REV_03"/>
      <sheetName val="Branch_Power3"/>
      <sheetName val="Sched_of_Rates3"/>
      <sheetName val="DD_EST_3"/>
      <sheetName val="BILLING_SUMMARY3"/>
      <sheetName val="Manpower_(M)4"/>
      <sheetName val="H_Satuan3"/>
      <sheetName val="SAN_REDUCED_13"/>
      <sheetName val="Slim_2_cánh_&amp;_2_vách2"/>
      <sheetName val="Bill_4_-_Substructure2"/>
      <sheetName val="MAIN_GATE_HOUSE2"/>
      <sheetName val="U_P_List3"/>
      <sheetName val="Break_down-_Lighting2"/>
      <sheetName val="TK_SX2"/>
      <sheetName val="Tong_hop_vat_tu2"/>
      <sheetName val="Rebar_FL_28_add72"/>
      <sheetName val="Phan_tich2"/>
      <sheetName val="He_so2"/>
      <sheetName val="Gía_trị_thép_và_gạch_ốp_lát2"/>
      <sheetName val="_Manpower_Sched_(E)2"/>
      <sheetName val="TLG_Type2"/>
      <sheetName val="THOP95_XLS2"/>
      <sheetName val="AUTOMATIC_SELECT2"/>
      <sheetName val="Demolish_12"/>
      <sheetName val="Unit_Price2"/>
      <sheetName val="detai_cable___"/>
      <sheetName val="05__Data_Cash_Flow"/>
      <sheetName val="DonGia_chetao"/>
      <sheetName val="DonGia_VatTuLK"/>
      <sheetName val="GOC-KO_IN"/>
      <sheetName val="cover_page_format"/>
      <sheetName val="D_&amp;_W_sizes1"/>
      <sheetName val="Div26_-_Elect"/>
      <sheetName val="derivationB2&amp;B3"/>
      <sheetName val="name"/>
      <sheetName val="Built-up rates-(no print)"/>
      <sheetName val="BREAK. EXP."/>
      <sheetName val="DT-CP-LN"/>
      <sheetName val="LEGEND"/>
      <sheetName val="chi_tiet"/>
      <sheetName val="Bid_Breakdown"/>
      <sheetName val="TONG_HOP_GIA"/>
      <sheetName val="Fr_Revit"/>
      <sheetName val="NSA_Summary"/>
      <sheetName val="VE_Estimate"/>
      <sheetName val="Bang_gia_NC_"/>
      <sheetName val="Project Brief"/>
      <sheetName val="THANH TOAN 1"/>
      <sheetName val="00-Pipe Schedule for QS rev01"/>
      <sheetName val="lokasari-el"/>
      <sheetName val="Part_2_2_1_MVAC4"/>
      <sheetName val="_Part_2_2_2_P&amp;S4"/>
      <sheetName val="Part_2_2_2_LPG4"/>
      <sheetName val="Part_2_2_3_Fire_Protection4"/>
      <sheetName val="STAFFSCHED_5"/>
      <sheetName val="ESTI_4"/>
      <sheetName val="MTO_REV_04"/>
      <sheetName val="Branch_Power4"/>
      <sheetName val="Sched_of_Rates4"/>
      <sheetName val="DD_EST_4"/>
      <sheetName val="BILLING_SUMMARY4"/>
      <sheetName val="Manpower_(M)5"/>
      <sheetName val="H_Satuan4"/>
      <sheetName val="SAN_REDUCED_14"/>
      <sheetName val="danh_muc_vat_tu4"/>
      <sheetName val="Register-BG_NCC4"/>
      <sheetName val="Data_24"/>
      <sheetName val="TB_chính4"/>
      <sheetName val="Steel_pipe4"/>
      <sheetName val="Ref_pipe+Ins4"/>
      <sheetName val="Plastic_pipe4"/>
      <sheetName val="Air_Grilles4"/>
      <sheetName val="U_P_List4"/>
      <sheetName val="Slim_2_cánh_&amp;_2_vách3"/>
      <sheetName val="Bill_4_-_Substructure3"/>
      <sheetName val="MAIN_GATE_HOUSE3"/>
      <sheetName val="Gía_trị_thép_và_gạch_ốp_lát3"/>
      <sheetName val="TK_SX3"/>
      <sheetName val="Break_down-_Lighting3"/>
      <sheetName val="Tong_hop_vat_tu3"/>
      <sheetName val="Unit_Price3"/>
      <sheetName val="Phan_tich3"/>
      <sheetName val="Rebar_FL_28_add73"/>
      <sheetName val="He_so3"/>
      <sheetName val="_Manpower_Sched_(E)3"/>
      <sheetName val="TLG_Type3"/>
      <sheetName val="THOP95_XLS3"/>
      <sheetName val="AUTOMATIC_SELECT3"/>
      <sheetName val="detai_cable___1"/>
      <sheetName val="05__Data_Cash_Flow1"/>
      <sheetName val="Demolish_13"/>
      <sheetName val="DonGia_chetao1"/>
      <sheetName val="DonGia_VatTuLK1"/>
      <sheetName val="GOC-KO_IN1"/>
      <sheetName val="cover_page_format1"/>
      <sheetName val="D_&amp;_W_sizes2"/>
      <sheetName val="Div26_-_Elect1"/>
      <sheetName val="CFA_(ME)"/>
      <sheetName val="MEP_Detail"/>
      <sheetName val="Built-up_rates-(no_print)"/>
      <sheetName val="5.XD"/>
      <sheetName val="TINH GIA - SAN XUAT Vertico"/>
      <sheetName val="RAB AR&amp;STR"/>
      <sheetName val="Inputs_Sens"/>
      <sheetName val="IS_Sum_CM"/>
      <sheetName val="Sheet4"/>
      <sheetName val="TH kinh phi"/>
      <sheetName val="KLDT DIEN"/>
      <sheetName val="Dinh muc CP KTCB khac"/>
      <sheetName val="refer"/>
      <sheetName val="우수"/>
      <sheetName val="예총"/>
      <sheetName val="tggwan(mac)"/>
      <sheetName val="CHIẾT TÍNH ĐƠN GIÁ"/>
      <sheetName val="BQ ARS"/>
      <sheetName val="Ratio"/>
      <sheetName val="5.2.1 Đo bóc KL OLK-06"/>
      <sheetName val="Notes"/>
      <sheetName val="Part_2_2_1_MVAC5"/>
      <sheetName val="_Part_2_2_2_P&amp;S5"/>
      <sheetName val="Part_2_2_2_LPG5"/>
      <sheetName val="Part_2_2_3_Fire_Protection5"/>
      <sheetName val="STAFFSCHED_6"/>
      <sheetName val="Rebar_FL_28_add74"/>
      <sheetName val="MTO_REV_05"/>
      <sheetName val="Branch_Power5"/>
      <sheetName val="Sched_of_Rates5"/>
      <sheetName val="DD_EST_5"/>
      <sheetName val="BILLING_SUMMARY5"/>
      <sheetName val="Manpower_(M)6"/>
      <sheetName val="H_Satuan5"/>
      <sheetName val="SAN_REDUCED_15"/>
      <sheetName val="danh_muc_vat_tu5"/>
      <sheetName val="Register-BG_NCC5"/>
      <sheetName val="Data_25"/>
      <sheetName val="TB_chính5"/>
      <sheetName val="Steel_pipe5"/>
      <sheetName val="Ref_pipe+Ins5"/>
      <sheetName val="Plastic_pipe5"/>
      <sheetName val="Air_Grilles5"/>
      <sheetName val="ESTI_5"/>
      <sheetName val="Bill_4_-_Substructure4"/>
      <sheetName val="TK_SX4"/>
      <sheetName val="U_P_List5"/>
      <sheetName val="Slim_2_cánh_&amp;_2_vách4"/>
      <sheetName val="MAIN_GATE_HOUSE4"/>
      <sheetName val="Break_down-_Lighting4"/>
      <sheetName val="Tong_hop_vat_tu4"/>
      <sheetName val="He_so4"/>
      <sheetName val="Gía_trị_thép_và_gạch_ốp_lát4"/>
      <sheetName val="Phan_tich4"/>
      <sheetName val="_Manpower_Sched_(E)4"/>
      <sheetName val="TLG_Type4"/>
      <sheetName val="THOP95_XLS4"/>
      <sheetName val="AUTOMATIC_SELECT4"/>
      <sheetName val="Unit_Price4"/>
      <sheetName val="Demolish_14"/>
      <sheetName val="detai_cable___2"/>
      <sheetName val="05__Data_Cash_Flow2"/>
      <sheetName val="DonGia_chetao2"/>
      <sheetName val="DonGia_VatTuLK2"/>
      <sheetName val="GOC-KO_IN2"/>
      <sheetName val="cover_page_format2"/>
      <sheetName val="D_&amp;_W_sizes3"/>
      <sheetName val="Div26_-_Elect2"/>
      <sheetName val="Fr_Revit1"/>
      <sheetName val="NSA_Summary1"/>
      <sheetName val="Bid_Breakdown1"/>
      <sheetName val="TONG_HOP_GIA1"/>
      <sheetName val="VE_Estimate1"/>
      <sheetName val="Bang_gia_NC_1"/>
      <sheetName val="chi_tiet1"/>
      <sheetName val="CFA_(ME)1"/>
      <sheetName val="MEP_Detail1"/>
      <sheetName val="Project_Brief"/>
      <sheetName val="THANH_TOAN_1"/>
      <sheetName val="Built-up_rates-(no_print)1"/>
      <sheetName val="Bill_No__2_-_Carpark"/>
      <sheetName val="00-Pipe_Schedule_for_QS_rev01"/>
      <sheetName val="5_XD"/>
      <sheetName val="TINH_GIA_-_SAN_XUAT_Vertico"/>
      <sheetName val="BREAK__EXP_"/>
      <sheetName val="RAB_AR&amp;STR"/>
      <sheetName val="TH_kinh_phi"/>
      <sheetName val="KLDT_DIEN"/>
      <sheetName val="Dinh_muc_CP_KTCB_khac"/>
      <sheetName val="CHIẾT_TÍNH_ĐƠN_GIÁ"/>
      <sheetName val="BQ_ARS"/>
      <sheetName val="5_2_1_Đo_bóc_KL_OLK-06"/>
      <sheetName val="valeurs de base"/>
      <sheetName val="Sheet3"/>
      <sheetName val="tifico"/>
      <sheetName val="MOON BAR"/>
      <sheetName val="P"/>
      <sheetName val="NKC6"/>
      <sheetName val="sat"/>
      <sheetName val="ptvt"/>
      <sheetName val="Calculation"/>
      <sheetName val="2000 MOR"/>
      <sheetName val="1"/>
      <sheetName val="P&amp;L"/>
      <sheetName val="VF Full Recon"/>
      <sheetName val="WBS-ALP"/>
      <sheetName val="TEMP"/>
      <sheetName val="금융비용"/>
      <sheetName val="f-pm-04-12-03A-AWPH6-LD"/>
      <sheetName val="SITE DEV,T"/>
      <sheetName val="Risk Categories (examples)"/>
      <sheetName val="B R ME!E A K D O W N"/>
      <sheetName val="Net-Sell"/>
      <sheetName val="Openings"/>
      <sheetName val="6MONTHS"/>
      <sheetName val="실행"/>
      <sheetName val="Currency Rate"/>
      <sheetName val="gvl"/>
      <sheetName val="6. Reason of Revise Report"/>
      <sheetName val="4. Budget control"/>
      <sheetName val="1. PR Record"/>
      <sheetName val="5. Budget Report"/>
      <sheetName val="ANALISA"/>
      <sheetName val="UC"/>
      <sheetName val="4-Lane bridge"/>
      <sheetName val="PR-BF"/>
      <sheetName val="CP_TU_AD"/>
      <sheetName val="tabulation of deductions"/>
      <sheetName val="#REF"/>
      <sheetName val="Inputs"/>
      <sheetName val="BD"/>
      <sheetName val="LabCost"/>
      <sheetName val="CapitalMetrics"/>
      <sheetName val="DESBASTE"/>
      <sheetName val="Rate Analysis"/>
      <sheetName val="주식"/>
      <sheetName val="RMC"/>
      <sheetName val="Staff Rates"/>
      <sheetName val="CIM"/>
      <sheetName val="LABOR"/>
      <sheetName val="Equipt Rental"/>
      <sheetName val="石炭性状"/>
      <sheetName val="Assumptions"/>
      <sheetName val="EXRATE"/>
      <sheetName val="ASCEandUBC"/>
      <sheetName val="CONCRETE"/>
      <sheetName val="Form"/>
      <sheetName val="負荷集計（断熱不燃）"/>
      <sheetName val="갑지(추정)"/>
      <sheetName val="PRI-LS"/>
      <sheetName val="Para"/>
      <sheetName val="4 CĂN"/>
      <sheetName val="전기"/>
      <sheetName val="ctTBA"/>
      <sheetName val="概総括1"/>
      <sheetName val="Land Dev't. Ph-1"/>
      <sheetName val="DM.ChiPhi"/>
      <sheetName val="경비2내역"/>
      <sheetName val="말뚝지지력산정"/>
      <sheetName val="DFA"/>
      <sheetName val="Page 3"/>
      <sheetName val="phuluc1"/>
      <sheetName val="2Piling"/>
      <sheetName val="Bill 2 "/>
      <sheetName val="입찰안"/>
      <sheetName val="CONTENT"/>
      <sheetName val="PI"/>
      <sheetName val="TH vat tu"/>
      <sheetName val="BẢNG GIÁ VDT"/>
      <sheetName val="K_PS"/>
      <sheetName val="Sheet2"/>
      <sheetName val="SCOPE OF WORK"/>
      <sheetName val="REKAP"/>
      <sheetName val="도로경계단위"/>
      <sheetName val="DAF-2"/>
      <sheetName val="Detail"/>
      <sheetName val="Analysis"/>
      <sheetName val="C-C"/>
      <sheetName val="D-D"/>
      <sheetName val="ทำนบดิน 4"/>
      <sheetName val="Concept Budget"/>
      <sheetName val="Air parameters"/>
      <sheetName val="개산공사비"/>
      <sheetName val="Factor"/>
      <sheetName val="Bid Form A-2"/>
      <sheetName val="RSB_RATIO"/>
      <sheetName val="ﾄﾞﾊﾞｲFUEL GAS追見"/>
      <sheetName val="Parameters"/>
      <sheetName val="GAE8'97"/>
      <sheetName val="BIDDING-SUM"/>
      <sheetName val="마감사양"/>
      <sheetName val="B3A-APARTMENT"/>
      <sheetName val="Area Cal"/>
      <sheetName val="THIET DAT"/>
      <sheetName val="TTTram"/>
      <sheetName val="Config"/>
      <sheetName val="TH_CPTB"/>
      <sheetName val="CP Khac cuoc VC"/>
      <sheetName val="XL4Poppy"/>
      <sheetName val="날개벽수량표"/>
      <sheetName val="Dropdowns"/>
      <sheetName val="Du lieu TKT"/>
      <sheetName val="기안"/>
      <sheetName val="BOQ-1"/>
      <sheetName val="Part_2_2_1_MVAC6"/>
      <sheetName val="_Part_2_2_2_P&amp;S6"/>
      <sheetName val="Part_2_2_2_LPG6"/>
      <sheetName val="Part_2_2_3_Fire_Protection6"/>
      <sheetName val="STAFFSCHED_7"/>
      <sheetName val="MTO_REV_06"/>
      <sheetName val="Branch_Power6"/>
      <sheetName val="Sched_of_Rates6"/>
      <sheetName val="DD_EST_6"/>
      <sheetName val="BILLING_SUMMARY6"/>
      <sheetName val="Manpower_(M)7"/>
      <sheetName val="H_Satuan6"/>
      <sheetName val="SAN_REDUCED_16"/>
      <sheetName val="danh_muc_vat_tu6"/>
      <sheetName val="Register-BG_NCC6"/>
      <sheetName val="Data_26"/>
      <sheetName val="TB_chính6"/>
      <sheetName val="Steel_pipe6"/>
      <sheetName val="Ref_pipe+Ins6"/>
      <sheetName val="Plastic_pipe6"/>
      <sheetName val="Air_Grilles6"/>
      <sheetName val="ESTI_6"/>
      <sheetName val="Slim_2_cánh_&amp;_2_vách5"/>
      <sheetName val="Bill_4_-_Substructure5"/>
      <sheetName val="MAIN_GATE_HOUSE5"/>
      <sheetName val="U_P_List6"/>
      <sheetName val="TK_SX5"/>
      <sheetName val="Break_down-_Lighting5"/>
      <sheetName val="Tong_hop_vat_tu5"/>
      <sheetName val="Rebar_FL_28_add75"/>
      <sheetName val="He_so5"/>
      <sheetName val="Gía_trị_thép_và_gạch_ốp_lát5"/>
      <sheetName val="Demolish_15"/>
      <sheetName val="Phan_tich5"/>
      <sheetName val="_Manpower_Sched_(E)5"/>
      <sheetName val="TLG_Type5"/>
      <sheetName val="THOP95_XLS5"/>
      <sheetName val="AUTOMATIC_SELECT5"/>
      <sheetName val="Unit_Price5"/>
      <sheetName val="detai_cable___3"/>
      <sheetName val="05__Data_Cash_Flow3"/>
      <sheetName val="DonGia_chetao3"/>
      <sheetName val="DonGia_VatTuLK3"/>
      <sheetName val="GOC-KO_IN3"/>
      <sheetName val="cover_page_format3"/>
      <sheetName val="D_&amp;_W_sizes4"/>
      <sheetName val="Div26_-_Elect3"/>
      <sheetName val="Bid_Breakdown2"/>
      <sheetName val="Fr_Revit2"/>
      <sheetName val="NSA_Summary2"/>
      <sheetName val="chi_tiet2"/>
      <sheetName val="TONG_HOP_GIA2"/>
      <sheetName val="CFA_(ME)2"/>
      <sheetName val="MEP_Detail2"/>
      <sheetName val="VE_Estimate2"/>
      <sheetName val="Bang_gia_NC_2"/>
      <sheetName val="Built-up_rates-(no_print)2"/>
      <sheetName val="Project_Brief1"/>
      <sheetName val="00-Pipe_Schedule_for_QS_rev011"/>
      <sheetName val="THANH_TOAN_11"/>
      <sheetName val="Bill_No__2_-_Carpark1"/>
      <sheetName val="5_XD1"/>
      <sheetName val="BREAK__EXP_1"/>
      <sheetName val="TINH_GIA_-_SAN_XUAT_Vertico1"/>
      <sheetName val="RAB_AR&amp;STR1"/>
      <sheetName val="TH_kinh_phi1"/>
      <sheetName val="KLDT_DIEN1"/>
      <sheetName val="Dinh_muc_CP_KTCB_khac1"/>
      <sheetName val="CHIẾT_TÍNH_ĐƠN_GIÁ1"/>
      <sheetName val="BQ_ARS1"/>
      <sheetName val="5_2_1_Đo_bóc_KL_OLK-061"/>
      <sheetName val="MOON_BAR"/>
      <sheetName val="valeurs_de_base"/>
      <sheetName val="2000_MOR"/>
      <sheetName val="VF_Full_Recon"/>
      <sheetName val="SITE_DEV,T"/>
      <sheetName val="Risk_Categories_(examples)"/>
      <sheetName val="B_R_ME!E_A_K_D_O_W_N"/>
      <sheetName val="Bill_2_"/>
      <sheetName val="4_CĂN"/>
      <sheetName val="Currency_Rate"/>
      <sheetName val="Land_Dev't__Ph-1"/>
      <sheetName val="DM_ChiPhi"/>
      <sheetName val="4-Lane_bridge"/>
      <sheetName val="tabulation_of_deductions"/>
      <sheetName val="Rate_Analysis"/>
      <sheetName val="Staff_Rates"/>
      <sheetName val="Equipt_Rental"/>
      <sheetName val="BẢNG_GIÁ_VDT"/>
      <sheetName val="Area_Cal"/>
      <sheetName val="TH_vat_tu"/>
      <sheetName val="유림골조"/>
      <sheetName val="노임단가"/>
      <sheetName val="8-31-98"/>
      <sheetName val="worksheet inchican"/>
      <sheetName val="combined 9-30"/>
      <sheetName val="공문"/>
      <sheetName val="TONGKE-HT"/>
      <sheetName val="chitimc"/>
      <sheetName val="dongia (2)"/>
      <sheetName val="giathanh1"/>
      <sheetName val="gtrinh"/>
      <sheetName val="lam-moi"/>
      <sheetName val="DONGIA"/>
      <sheetName val="thao-go"/>
      <sheetName val="t-h HA THE"/>
      <sheetName val="CHITIET VL-NC-TT -1p"/>
      <sheetName val="TONG HOP VL-NC TT"/>
      <sheetName val="TH XL"/>
      <sheetName val="VC"/>
      <sheetName val="chitiet"/>
      <sheetName val="CHITIET VL-NC-TT-3p"/>
      <sheetName val="TDTKP1"/>
      <sheetName val="KPVC-BD "/>
      <sheetName val="GRAND REKAP"/>
      <sheetName val="Danh muc"/>
      <sheetName val="MTP"/>
      <sheetName val="GIAVLIEU"/>
      <sheetName val="CF (Villa)"/>
      <sheetName val="TT04"/>
      <sheetName val="Legal Risk Analysis"/>
      <sheetName val="Candy ee"/>
      <sheetName val="Beam"/>
      <sheetName val="BOQ(검토용)"/>
      <sheetName val="RATES"/>
      <sheetName val="UPA Pkg.B"/>
      <sheetName val="비교표 (주공종)"/>
      <sheetName val="비교표(전기)"/>
      <sheetName val="Table"/>
      <sheetName val="BOQ"/>
      <sheetName val="h-013211-2"/>
      <sheetName val="inter"/>
      <sheetName val="Cash2"/>
      <sheetName val="Z"/>
      <sheetName val="6PILE  (돌출)"/>
      <sheetName val="BALAN1"/>
      <sheetName val="상반기손익차2총괄"/>
      <sheetName val="다이꾸"/>
      <sheetName val="MATERIAL'S PRICE"/>
      <sheetName val="UTILITIES"/>
      <sheetName val="8.PILE  (돌출)"/>
      <sheetName val="Date and %"/>
      <sheetName val="Concrete, Formworks"/>
      <sheetName val="WAO Classification"/>
      <sheetName val="Bill6"/>
      <sheetName val="do NOT delete"/>
      <sheetName val="bi-mnthly rep Villa"/>
      <sheetName val="MOHKG"/>
      <sheetName val="Sched Hacienda2"/>
      <sheetName val="Presentation"/>
      <sheetName val="Schedule to LPHI"/>
      <sheetName val="tabulation (comparison)"/>
      <sheetName val="Others"/>
      <sheetName val="sum mdc"/>
      <sheetName val="Sched_Hacienda2"/>
      <sheetName val="Schedule_to_LPHI"/>
      <sheetName val="Sched_Hacienda21"/>
      <sheetName val="Schedule_to_LPHI1"/>
      <sheetName val="OPT1"/>
      <sheetName val="INPUT DATA HERE"/>
      <sheetName val="COMPARATIVE SUMMARY"/>
      <sheetName val="BOQ (typ-accent)"/>
      <sheetName val="Sched_Hacienda23"/>
      <sheetName val="Schedule_to_LPHI3"/>
      <sheetName val="tabulation_(comparison)1"/>
      <sheetName val="sum_mdc1"/>
      <sheetName val="Sched_Hacienda22"/>
      <sheetName val="Schedule_to_LPHI2"/>
      <sheetName val="tabulation_(comparison)"/>
      <sheetName val="sum_mdc"/>
      <sheetName val="BOQ (L)"/>
      <sheetName val="DERIVE (L)"/>
      <sheetName val="Rebars"/>
      <sheetName val="revised#1"/>
      <sheetName val="Permits &amp; Insurances"/>
      <sheetName val="bridge # 1"/>
      <sheetName val="Data Validation"/>
      <sheetName val="DERIVE"/>
      <sheetName val="EQPT"/>
      <sheetName val="March"/>
      <sheetName val="Sched_Hacienda24"/>
      <sheetName val="Schedule_to_LPHI4"/>
      <sheetName val="tabulation_(comparison)2"/>
      <sheetName val="sum_mdc2"/>
      <sheetName val="INPUT_DATA_HERE"/>
      <sheetName val="COMPARATIVE_SUMMARY"/>
      <sheetName val="BOQ_(typ-accent)"/>
      <sheetName val="bar chart-rev"/>
      <sheetName val="RATES G-5"/>
      <sheetName val="Arch"/>
      <sheetName val="PC &amp; PVS"/>
      <sheetName val="PRECAST lightconc-II"/>
      <sheetName val="Updated table"/>
      <sheetName val="Masonry"/>
      <sheetName val="Cost"/>
      <sheetName val="Aromin"/>
      <sheetName val="BOQ_(L)"/>
      <sheetName val="DERIVE_(L)"/>
      <sheetName val="Permits_&amp;_Insurances"/>
      <sheetName val="Sched_Hacienda25"/>
      <sheetName val="Schedule_to_LPHI5"/>
      <sheetName val="tabulation_(comparison)3"/>
      <sheetName val="sum_mdc3"/>
      <sheetName val="INPUT_DATA_HERE1"/>
      <sheetName val="COMPARATIVE_SUMMARY1"/>
      <sheetName val="BOQ_(typ-accent)1"/>
      <sheetName val="BOQ_(L)1"/>
      <sheetName val="DERIVE_(L)1"/>
      <sheetName val="Permits_&amp;_Insurances1"/>
      <sheetName val="WORKSHEET"/>
      <sheetName val="setail"/>
      <sheetName val="Schedule Hacienda Phase 2"/>
      <sheetName val="AreaPerM"/>
      <sheetName val="FIELD"/>
      <sheetName val="SHOP"/>
      <sheetName val="TESTING"/>
      <sheetName val="WEIGHT"/>
      <sheetName val="CD_LC"/>
      <sheetName val="Division 3000"/>
      <sheetName val="VA_code"/>
      <sheetName val="CF"/>
      <sheetName val="IS"/>
      <sheetName val="Code03"/>
      <sheetName val="HSBC"/>
      <sheetName val="MU1"/>
      <sheetName val="Summary (overall)"/>
      <sheetName val="Site"/>
      <sheetName val="5-Digit"/>
      <sheetName val="ref"/>
      <sheetName val="lookups"/>
      <sheetName val="proj description final"/>
      <sheetName val="GMQ"/>
      <sheetName val="BOQ1"/>
      <sheetName val="NSC"/>
      <sheetName val="BAR_CUTTING (M.Bldg.)"/>
      <sheetName val="KPI Page"/>
      <sheetName val="Sched_Hacienda26"/>
      <sheetName val="Schedule_to_LPHI6"/>
      <sheetName val="tabulation_(comparison)4"/>
      <sheetName val="sum_mdc4"/>
      <sheetName val="COMPARATIVE_SUMMARY2"/>
      <sheetName val="BOQ_(typ-accent)2"/>
      <sheetName val="INPUT_DATA_HERE2"/>
      <sheetName val="BOQ_(L)2"/>
      <sheetName val="DERIVE_(L)2"/>
      <sheetName val="Permits_&amp;_Insurances2"/>
      <sheetName val="bar_chart-rev"/>
      <sheetName val="Data_Validation"/>
      <sheetName val="bridge_#_1"/>
      <sheetName val="RATES_G-5"/>
      <sheetName val="PC_&amp;_PVS"/>
      <sheetName val="PRECAST_lightconc-II"/>
      <sheetName val="Updated_table"/>
      <sheetName val="Schedule_Hacienda_Phase_2"/>
      <sheetName val="Division_3000"/>
      <sheetName val="Resource Summary"/>
      <sheetName val="Stl-B"/>
      <sheetName val="MPS"/>
      <sheetName val="BOQ (hsbc)"/>
      <sheetName val="bid price schedule"/>
      <sheetName val="Budget"/>
      <sheetName val="Summary WG"/>
      <sheetName val="RROW - revised"/>
      <sheetName val="tables_slab"/>
      <sheetName val="Final to Intel-Architectural"/>
      <sheetName val="2F"/>
      <sheetName val="Sched_Hacienda27"/>
      <sheetName val="Schedule_to_LPHI7"/>
      <sheetName val="tabulation_(comparison)5"/>
      <sheetName val="sum_mdc5"/>
      <sheetName val="COMPARATIVE_SUMMARY3"/>
      <sheetName val="BOQ_(typ-accent)3"/>
      <sheetName val="INPUT_DATA_HERE3"/>
      <sheetName val="BOQ_(L)3"/>
      <sheetName val="DERIVE_(L)3"/>
      <sheetName val="Permits_&amp;_Insurances3"/>
      <sheetName val="bar_chart-rev1"/>
      <sheetName val="Data_Validation1"/>
      <sheetName val="bridge_#_11"/>
      <sheetName val="RATES_G-51"/>
      <sheetName val="PC_&amp;_PVS1"/>
      <sheetName val="PRECAST_lightconc-II1"/>
      <sheetName val="Updated_table1"/>
      <sheetName val="Division_30001"/>
      <sheetName val="Schedule_Hacienda_Phase_21"/>
      <sheetName val="Summary_(overall)"/>
      <sheetName val="proj_description_final"/>
      <sheetName val="BAR_CUTTING_(M_Bldg_)"/>
      <sheetName val="KPI_Page"/>
      <sheetName val="Resource_Summary"/>
      <sheetName val="BOQ_(hsbc)"/>
      <sheetName val="Sched_Hacienda28"/>
      <sheetName val="Schedule_to_LPHI8"/>
      <sheetName val="tabulation_(comparison)6"/>
      <sheetName val="sum_mdc6"/>
      <sheetName val="COMPARATIVE_SUMMARY4"/>
      <sheetName val="BOQ_(typ-accent)4"/>
      <sheetName val="INPUT_DATA_HERE4"/>
      <sheetName val="BOQ_(L)4"/>
      <sheetName val="DERIVE_(L)4"/>
      <sheetName val="Permits_&amp;_Insurances4"/>
      <sheetName val="bar_chart-rev2"/>
      <sheetName val="Data_Validation2"/>
      <sheetName val="bridge_#_12"/>
      <sheetName val="RATES_G-52"/>
      <sheetName val="PC_&amp;_PVS2"/>
      <sheetName val="PRECAST_lightconc-II2"/>
      <sheetName val="Updated_table2"/>
      <sheetName val="Schedule_Hacienda_Phase_22"/>
      <sheetName val="Division_30002"/>
      <sheetName val="Summary_(overall)1"/>
      <sheetName val="Land_Dev't__Ph-11"/>
      <sheetName val="proj_description_final1"/>
      <sheetName val="BAR_CUTTING_(M_Bldg_)1"/>
      <sheetName val="Resource_Summary1"/>
      <sheetName val="KPI_Page1"/>
      <sheetName val="BOQ_(hsbc)1"/>
      <sheetName val="Sched_Hacienda29"/>
      <sheetName val="Schedule_to_LPHI9"/>
      <sheetName val="tabulation_(comparison)7"/>
      <sheetName val="sum_mdc7"/>
      <sheetName val="COMPARATIVE_SUMMARY5"/>
      <sheetName val="BOQ_(typ-accent)5"/>
      <sheetName val="INPUT_DATA_HERE5"/>
      <sheetName val="BOQ_(L)5"/>
      <sheetName val="DERIVE_(L)5"/>
      <sheetName val="Permits_&amp;_Insurances5"/>
      <sheetName val="bar_chart-rev3"/>
      <sheetName val="Data_Validation3"/>
      <sheetName val="bridge_#_13"/>
      <sheetName val="RATES_G-53"/>
      <sheetName val="PC_&amp;_PVS3"/>
      <sheetName val="PRECAST_lightconc-II3"/>
      <sheetName val="Updated_table3"/>
      <sheetName val="Schedule_Hacienda_Phase_23"/>
      <sheetName val="Division_30003"/>
      <sheetName val="Summary_(overall)2"/>
      <sheetName val="Land_Dev't__Ph-12"/>
      <sheetName val="proj_description_final2"/>
      <sheetName val="BAR_CUTTING_(M_Bldg_)2"/>
      <sheetName val="Resource_Summary2"/>
      <sheetName val="KPI_Page2"/>
      <sheetName val="BOQ_(hsbc)2"/>
      <sheetName val="Sched_Hacienda210"/>
      <sheetName val="Schedule_to_LPHI10"/>
      <sheetName val="tabulation_(comparison)8"/>
      <sheetName val="sum_mdc8"/>
      <sheetName val="COMPARATIVE_SUMMARY6"/>
      <sheetName val="BOQ_(typ-accent)6"/>
      <sheetName val="INPUT_DATA_HERE6"/>
      <sheetName val="BOQ_(L)6"/>
      <sheetName val="DERIVE_(L)6"/>
      <sheetName val="Permits_&amp;_Insurances6"/>
      <sheetName val="bar_chart-rev4"/>
      <sheetName val="Data_Validation4"/>
      <sheetName val="bridge_#_14"/>
      <sheetName val="RATES_G-54"/>
      <sheetName val="PC_&amp;_PVS4"/>
      <sheetName val="PRECAST_lightconc-II4"/>
      <sheetName val="Updated_table4"/>
      <sheetName val="Schedule_Hacienda_Phase_24"/>
      <sheetName val="Division_30004"/>
      <sheetName val="Summary_(overall)3"/>
      <sheetName val="Land_Dev't__Ph-13"/>
      <sheetName val="proj_description_final3"/>
      <sheetName val="BAR_CUTTING_(M_Bldg_)3"/>
      <sheetName val="Resource_Summary3"/>
      <sheetName val="KPI_Page3"/>
      <sheetName val="BOQ_(hsbc)3"/>
      <sheetName val="Sched_Hacienda211"/>
      <sheetName val="Schedule_to_LPHI11"/>
      <sheetName val="tabulation_(comparison)9"/>
      <sheetName val="sum_mdc9"/>
      <sheetName val="COMPARATIVE_SUMMARY7"/>
      <sheetName val="BOQ_(typ-accent)7"/>
      <sheetName val="INPUT_DATA_HERE7"/>
      <sheetName val="BOQ_(L)7"/>
      <sheetName val="DERIVE_(L)7"/>
      <sheetName val="Permits_&amp;_Insurances7"/>
      <sheetName val="bar_chart-rev5"/>
      <sheetName val="Data_Validation5"/>
      <sheetName val="bridge_#_15"/>
      <sheetName val="RATES_G-55"/>
      <sheetName val="PC_&amp;_PVS5"/>
      <sheetName val="PRECAST_lightconc-II5"/>
      <sheetName val="Updated_table5"/>
      <sheetName val="Schedule_Hacienda_Phase_25"/>
      <sheetName val="Division_30005"/>
      <sheetName val="Summary_(overall)4"/>
      <sheetName val="Land_Dev't__Ph-14"/>
      <sheetName val="proj_description_final4"/>
      <sheetName val="BAR_CUTTING_(M_Bldg_)4"/>
      <sheetName val="Resource_Summary4"/>
      <sheetName val="KPI_Page4"/>
      <sheetName val="BOQ_(hsbc)4"/>
      <sheetName val="Sched_Hacienda212"/>
      <sheetName val="Schedule_to_LPHI12"/>
      <sheetName val="tabulation_(comparison)10"/>
      <sheetName val="sum_mdc10"/>
      <sheetName val="COMPARATIVE_SUMMARY8"/>
      <sheetName val="BOQ_(typ-accent)8"/>
      <sheetName val="INPUT_DATA_HERE8"/>
      <sheetName val="BOQ_(L)8"/>
      <sheetName val="DERIVE_(L)8"/>
      <sheetName val="Permits_&amp;_Insurances8"/>
      <sheetName val="bar_chart-rev6"/>
      <sheetName val="Data_Validation6"/>
      <sheetName val="bridge_#_16"/>
      <sheetName val="RATES_G-56"/>
      <sheetName val="PC_&amp;_PVS6"/>
      <sheetName val="PRECAST_lightconc-II6"/>
      <sheetName val="Updated_table6"/>
      <sheetName val="Schedule_Hacienda_Phase_26"/>
      <sheetName val="Division_30006"/>
      <sheetName val="Summary_(overall)5"/>
      <sheetName val="Land_Dev't__Ph-15"/>
      <sheetName val="proj_description_final5"/>
      <sheetName val="BAR_CUTTING_(M_Bldg_)5"/>
      <sheetName val="Resource_Summary5"/>
      <sheetName val="KPI_Page5"/>
      <sheetName val="BOQ_(hsbc)5"/>
      <sheetName val="Sched_Hacienda213"/>
      <sheetName val="Schedule_to_LPHI13"/>
      <sheetName val="tabulation_(comparison)11"/>
      <sheetName val="sum_mdc11"/>
      <sheetName val="COMPARATIVE_SUMMARY9"/>
      <sheetName val="BOQ_(typ-accent)9"/>
      <sheetName val="INPUT_DATA_HERE9"/>
      <sheetName val="BOQ_(L)9"/>
      <sheetName val="DERIVE_(L)9"/>
      <sheetName val="Permits_&amp;_Insurances9"/>
      <sheetName val="bar_chart-rev7"/>
      <sheetName val="Data_Validation7"/>
      <sheetName val="bridge_#_17"/>
      <sheetName val="RATES_G-57"/>
      <sheetName val="PC_&amp;_PVS7"/>
      <sheetName val="PRECAST_lightconc-II7"/>
      <sheetName val="Updated_table7"/>
      <sheetName val="Schedule_Hacienda_Phase_27"/>
      <sheetName val="Division_30007"/>
      <sheetName val="Summary_(overall)6"/>
      <sheetName val="Land_Dev't__Ph-16"/>
      <sheetName val="proj_description_final6"/>
      <sheetName val="BAR_CUTTING_(M_Bldg_)6"/>
      <sheetName val="Resource_Summary6"/>
      <sheetName val="KPI_Page6"/>
      <sheetName val="BOQ_(hsbc)6"/>
      <sheetName val="Sched_Hacienda214"/>
      <sheetName val="Schedule_to_LPHI14"/>
      <sheetName val="tabulation_(comparison)12"/>
      <sheetName val="sum_mdc12"/>
      <sheetName val="COMPARATIVE_SUMMARY10"/>
      <sheetName val="BOQ_(typ-accent)10"/>
      <sheetName val="INPUT_DATA_HERE10"/>
      <sheetName val="BOQ_(L)10"/>
      <sheetName val="DERIVE_(L)10"/>
      <sheetName val="Permits_&amp;_Insurances10"/>
      <sheetName val="bar_chart-rev8"/>
      <sheetName val="Data_Validation8"/>
      <sheetName val="bridge_#_18"/>
      <sheetName val="RATES_G-58"/>
      <sheetName val="PC_&amp;_PVS8"/>
      <sheetName val="PRECAST_lightconc-II8"/>
      <sheetName val="Updated_table8"/>
      <sheetName val="Schedule_Hacienda_Phase_28"/>
      <sheetName val="Division_30008"/>
      <sheetName val="Summary_(overall)7"/>
      <sheetName val="Land_Dev't__Ph-17"/>
      <sheetName val="proj_description_final7"/>
      <sheetName val="BAR_CUTTING_(M_Bldg_)7"/>
      <sheetName val="Resource_Summary7"/>
      <sheetName val="KPI_Page7"/>
      <sheetName val="BOQ_(hsbc)7"/>
      <sheetName val="Sched_Hacienda215"/>
      <sheetName val="Schedule_to_LPHI15"/>
      <sheetName val="tabulation_(comparison)13"/>
      <sheetName val="sum_mdc13"/>
      <sheetName val="COMPARATIVE_SUMMARY11"/>
      <sheetName val="BOQ_(typ-accent)11"/>
      <sheetName val="INPUT_DATA_HERE11"/>
      <sheetName val="BOQ_(L)11"/>
      <sheetName val="DERIVE_(L)11"/>
      <sheetName val="Permits_&amp;_Insurances11"/>
      <sheetName val="bar_chart-rev9"/>
      <sheetName val="Data_Validation9"/>
      <sheetName val="bridge_#_19"/>
      <sheetName val="RATES_G-59"/>
      <sheetName val="PC_&amp;_PVS9"/>
      <sheetName val="PRECAST_lightconc-II9"/>
      <sheetName val="Updated_table9"/>
      <sheetName val="Schedule_Hacienda_Phase_29"/>
      <sheetName val="Division_30009"/>
      <sheetName val="Summary_(overall)8"/>
      <sheetName val="Land_Dev't__Ph-18"/>
      <sheetName val="proj_description_final8"/>
      <sheetName val="BAR_CUTTING_(M_Bldg_)8"/>
      <sheetName val="Resource_Summary8"/>
      <sheetName val="KPI_Page8"/>
      <sheetName val="BOQ_(hsbc)8"/>
      <sheetName val="Sched_Hacienda216"/>
      <sheetName val="Schedule_to_LPHI16"/>
      <sheetName val="tabulation_(comparison)14"/>
      <sheetName val="sum_mdc14"/>
      <sheetName val="COMPARATIVE_SUMMARY12"/>
      <sheetName val="BOQ_(typ-accent)12"/>
      <sheetName val="INPUT_DATA_HERE12"/>
      <sheetName val="BOQ_(L)12"/>
      <sheetName val="DERIVE_(L)12"/>
      <sheetName val="Permits_&amp;_Insurances12"/>
      <sheetName val="bar_chart-rev10"/>
      <sheetName val="Data_Validation10"/>
      <sheetName val="bridge_#_110"/>
      <sheetName val="RATES_G-510"/>
      <sheetName val="PC_&amp;_PVS10"/>
      <sheetName val="PRECAST_lightconc-II10"/>
      <sheetName val="Updated_table10"/>
      <sheetName val="Schedule_Hacienda_Phase_210"/>
      <sheetName val="Division_300010"/>
      <sheetName val="Summary_(overall)9"/>
      <sheetName val="Land_Dev't__Ph-19"/>
      <sheetName val="proj_description_final9"/>
      <sheetName val="BAR_CUTTING_(M_Bldg_)9"/>
      <sheetName val="Resource_Summary9"/>
      <sheetName val="KPI_Page9"/>
      <sheetName val="BOQ_(hsbc)9"/>
      <sheetName val="Sched_Hacienda217"/>
      <sheetName val="Schedule_to_LPHI17"/>
      <sheetName val="tabulation_(comparison)15"/>
      <sheetName val="sum_mdc15"/>
      <sheetName val="COMPARATIVE_SUMMARY13"/>
      <sheetName val="BOQ_(typ-accent)13"/>
      <sheetName val="INPUT_DATA_HERE13"/>
      <sheetName val="BOQ_(L)13"/>
      <sheetName val="DERIVE_(L)13"/>
      <sheetName val="Permits_&amp;_Insurances13"/>
      <sheetName val="bar_chart-rev11"/>
      <sheetName val="Data_Validation11"/>
      <sheetName val="bridge_#_111"/>
      <sheetName val="RATES_G-511"/>
      <sheetName val="PC_&amp;_PVS11"/>
      <sheetName val="PRECAST_lightconc-II11"/>
      <sheetName val="Updated_table11"/>
      <sheetName val="Schedule_Hacienda_Phase_211"/>
      <sheetName val="Division_300011"/>
      <sheetName val="Summary_(overall)10"/>
      <sheetName val="Land_Dev't__Ph-110"/>
      <sheetName val="proj_description_final10"/>
      <sheetName val="BAR_CUTTING_(M_Bldg_)10"/>
      <sheetName val="Resource_Summary10"/>
      <sheetName val="KPI_Page10"/>
      <sheetName val="BOQ_(hsbc)10"/>
      <sheetName val="Sched_Hacienda218"/>
      <sheetName val="Schedule_to_LPHI18"/>
      <sheetName val="tabulation_(comparison)16"/>
      <sheetName val="sum_mdc16"/>
      <sheetName val="COMPARATIVE_SUMMARY14"/>
      <sheetName val="BOQ_(typ-accent)14"/>
      <sheetName val="INPUT_DATA_HERE14"/>
      <sheetName val="BOQ_(L)14"/>
      <sheetName val="DERIVE_(L)14"/>
      <sheetName val="Permits_&amp;_Insurances14"/>
      <sheetName val="bar_chart-rev12"/>
      <sheetName val="Data_Validation12"/>
      <sheetName val="bridge_#_112"/>
      <sheetName val="RATES_G-512"/>
      <sheetName val="PC_&amp;_PVS12"/>
      <sheetName val="PRECAST_lightconc-II12"/>
      <sheetName val="Updated_table12"/>
      <sheetName val="Schedule_Hacienda_Phase_212"/>
      <sheetName val="Division_300012"/>
      <sheetName val="Summary_(overall)11"/>
      <sheetName val="Land_Dev't__Ph-111"/>
      <sheetName val="proj_description_final11"/>
      <sheetName val="BAR_CUTTING_(M_Bldg_)11"/>
      <sheetName val="Resource_Summary11"/>
      <sheetName val="KPI_Page11"/>
      <sheetName val="BOQ_(hsbc)11"/>
      <sheetName val="B31.1"/>
      <sheetName val="PSIZE"/>
      <sheetName val="wrksht"/>
      <sheetName val="Phase 2A - REvised"/>
      <sheetName val="ph2B cnstrction sched."/>
      <sheetName val="gen notes"/>
      <sheetName val="bms"/>
      <sheetName val="col"/>
      <sheetName val="ftg"/>
      <sheetName val="ht"/>
      <sheetName val="mat"/>
      <sheetName val="rc wall"/>
      <sheetName val="ret wll ftg"/>
      <sheetName val="ret wll"/>
      <sheetName val="sus slb"/>
      <sheetName val="slb on grd"/>
      <sheetName val="sus stair"/>
      <sheetName val="str on grd"/>
      <sheetName val="shr wll"/>
      <sheetName val="wll ftg"/>
      <sheetName val="MATL"/>
      <sheetName val="MU "/>
      <sheetName val="INTERIOR WALLS"/>
      <sheetName val="Sched_Hacienda219"/>
      <sheetName val="Schedule_to_LPHI19"/>
      <sheetName val="tabulation_(comparison)17"/>
      <sheetName val="sum_mdc17"/>
      <sheetName val="COMPARATIVE_SUMMARY15"/>
      <sheetName val="BOQ_(typ-accent)15"/>
      <sheetName val="INPUT_DATA_HERE15"/>
      <sheetName val="BOQ_(L)15"/>
      <sheetName val="DERIVE_(L)15"/>
      <sheetName val="Permits_&amp;_Insurances15"/>
      <sheetName val="bar_chart-rev13"/>
      <sheetName val="Data_Validation13"/>
      <sheetName val="bridge_#_113"/>
      <sheetName val="RATES_G-513"/>
      <sheetName val="PC_&amp;_PVS13"/>
      <sheetName val="PRECAST_lightconc-II13"/>
      <sheetName val="Updated_table13"/>
      <sheetName val="Schedule_Hacienda_Phase_213"/>
      <sheetName val="Division_300013"/>
      <sheetName val="Summary_(overall)12"/>
      <sheetName val="Land_Dev't__Ph-112"/>
      <sheetName val="proj_description_final12"/>
      <sheetName val="BAR_CUTTING_(M_Bldg_)12"/>
      <sheetName val="Resource_Summary12"/>
      <sheetName val="KPI_Page12"/>
      <sheetName val="BOQ_(hsbc)12"/>
      <sheetName val="Cost Summary"/>
      <sheetName val="CB (ST) summary"/>
      <sheetName val="FINAL NEGO"/>
      <sheetName val="DISCUSSION"/>
      <sheetName val="SIGN-OFF"/>
      <sheetName val="Electrical Pricelist"/>
      <sheetName val="EQUIPT"/>
      <sheetName val="SCIC-GenReq"/>
      <sheetName val="materials"/>
      <sheetName val="BID Summary"/>
      <sheetName val="Activity(new)"/>
      <sheetName val="Total(new)"/>
      <sheetName val="revised_1"/>
      <sheetName val="Navigation Page"/>
      <sheetName val="schedule"/>
      <sheetName val="CPA_EQP"/>
      <sheetName val="detailed"/>
      <sheetName val="spreadsheet"/>
      <sheetName val="Code 02"/>
      <sheetName val="Code 03"/>
      <sheetName val="Code 04"/>
      <sheetName val="Code 05"/>
      <sheetName val="Code 06"/>
      <sheetName val="Code 07"/>
      <sheetName val="Code 09"/>
      <sheetName val="Cash flow"/>
      <sheetName val="THISWORKSHEET"/>
      <sheetName val="PCSum (total blended)"/>
      <sheetName val=""/>
      <sheetName val="Cover"/>
      <sheetName val="Str.Deriv"/>
      <sheetName val="benchmark"/>
      <sheetName val="Main_Mech"/>
      <sheetName val="Sub_Mech"/>
      <sheetName val="HRG BHN"/>
      <sheetName val="諸経費"/>
      <sheetName val="清水計算営業税率関連"/>
      <sheetName val="Page_3"/>
      <sheetName val="Concept_Budget"/>
      <sheetName val="Breakdown bill"/>
      <sheetName val="Breakdown 2"/>
      <sheetName val="MASTER"/>
      <sheetName val="TONG HOP"/>
      <sheetName val="CONSOIDATE 1"/>
      <sheetName val="CONSOIDATE 2"/>
      <sheetName val="CONSOIDATE 3"/>
      <sheetName val="CONSOIDATE 4"/>
      <sheetName val="1.CT-VL-T-1&lt;16"/>
      <sheetName val="2.CT-VL-MEP-2&lt;16"/>
      <sheetName val="3.CT-VL-S3&lt;16"/>
      <sheetName val="4.CT-VL-S4-5&gt;16"/>
      <sheetName val="5.CT-VL-S6-8&gt;16"/>
      <sheetName val="6.CT-VL-S9-12&gt;16"/>
      <sheetName val="7.CT-VL-S13-17&gt;50"/>
      <sheetName val="8.CT-VL-S18-22&gt;50"/>
      <sheetName val="9.CT-VL-T23-25&gt;50"/>
      <sheetName val="10.CT-V-T26&gt;50"/>
      <sheetName val="11.CT-L-T26&gt;50"/>
      <sheetName val="12.CT-V-T27-31&gt;50"/>
      <sheetName val="13.CT-L-T27-31&gt;50"/>
      <sheetName val="14.CT-V-T32-39&gt;50"/>
      <sheetName val="15.CT-L-T32-39&gt;50"/>
      <sheetName val="16.CT-VL-T40-44&gt;50"/>
      <sheetName val="17.CT-VL-T45-MEP2&gt;50"/>
      <sheetName val="18.CT-VL-T49-TUM&gt;50"/>
      <sheetName val="1.CT-DAM-S1&lt;16"/>
      <sheetName val="2.CT-DAM-MEP-S2&lt;16"/>
      <sheetName val="3.CT-DAM-S3&lt;16"/>
      <sheetName val="4.CT-DAM-S4-5&gt;16"/>
      <sheetName val="5.CT-DAM-S6-10&gt;16"/>
      <sheetName val="6.CT-DAM-S11-13&gt;16"/>
      <sheetName val="7.CT-DAM-S14-18&gt;50"/>
      <sheetName val="8.CT-DAM-S19-T23&gt;50"/>
      <sheetName val="9.CT-DAM-T24&gt;50"/>
      <sheetName val="10.CT-DAM-T25-30&gt;50"/>
      <sheetName val="11.CT-DAM-T31-35&gt;50"/>
      <sheetName val="12.CT-DAM-T36-41&gt;50"/>
      <sheetName val="13.CT-DAM-T42&gt;50"/>
      <sheetName val="14.CT-DAM-T43-45&gt;50"/>
      <sheetName val="15.CT-DAM-T46-48&gt;50"/>
      <sheetName val="16.CT-DAM-TMEP2&gt;50"/>
      <sheetName val="17.CT-DAM-T49&gt;50"/>
      <sheetName val="18.CT-DAM-TUM&gt;50"/>
      <sheetName val="19.CT-DAM-MAI&gt;50"/>
      <sheetName val="1.CT-SAN-T1 (TRIU)&lt;16"/>
      <sheetName val="2.CT-MEP-2(TRIU)&lt;16"/>
      <sheetName val="3.CT-SAN 3(TRIU)&lt;16"/>
      <sheetName val="4.CT-SAN 4-13 (TRIU)&gt;16"/>
      <sheetName val="5.CT-SAN 14-22 (TRIU)&gt;50"/>
      <sheetName val="6.CT-SAN 23 (TRIU)&gt;50"/>
      <sheetName val="7,CT-SAN 24&gt;501"/>
      <sheetName val="8.CT-SAN 25-48&gt;50"/>
      <sheetName val="9,CT-SAN MEP2&gt;50"/>
      <sheetName val="10,CT-SAN 49&gt;50"/>
      <sheetName val="11,CT-SAN TUM &gt;50"/>
      <sheetName val="12,CT-SAN MAI &gt;50"/>
      <sheetName val="1CT-CAUTHANG-TT-T13(TRIU)&lt;16&gt;16"/>
      <sheetName val="2.CT-CAUTHANG-T14-T23(TRIU)&gt;50"/>
      <sheetName val="3.CT-CAUTHANG-T23-24&gt;50"/>
      <sheetName val="4.CT-CAUTHANG-T24-49&gt;50"/>
      <sheetName val="5. T-STairt Duplex"/>
      <sheetName val="Phat"/>
      <sheetName val="THKL"/>
      <sheetName val="THKLc"/>
      <sheetName val="Thép LH"/>
      <sheetName val="TỔNG HỢP KHỐI LƯỢNG"/>
      <sheetName val="Thép hàn"/>
      <sheetName val="Móng TM"/>
      <sheetName val="Móng trong nhà"/>
      <sheetName val="Giằng móng DC"/>
      <sheetName val="Sàn B2"/>
      <sheetName val="Dầm B1"/>
      <sheetName val="Dầm tầng 1"/>
      <sheetName val="Dầm Tầng 2"/>
      <sheetName val="Dầm tầng 3-5"/>
      <sheetName val="Dầm tầng 6-10"/>
      <sheetName val="Dầm tầng 11-25"/>
      <sheetName val="Dầm tầng Tum"/>
      <sheetName val="Dầm tầng mái"/>
      <sheetName val="Sàn B1 trong tháp"/>
      <sheetName val="Sàn tầng 1"/>
      <sheetName val="Sàn tầng 2"/>
      <sheetName val="Sàn tầng 3-5"/>
      <sheetName val="Sàn tầng 6-10"/>
      <sheetName val="Sàn tầng 11-25"/>
      <sheetName val="Sàn tầng tum"/>
      <sheetName val="Sàn tầng mái"/>
      <sheetName val="VÁCH B2"/>
      <sheetName val="Vách B1"/>
      <sheetName val="CHỜ VÁCH T1"/>
      <sheetName val="Vách T1-T2"/>
      <sheetName val="VÁCH 25 -TUM"/>
      <sheetName val="SÀN GROUND"/>
      <sheetName val="SÀN B1 NGOÀI THÁP"/>
      <sheetName val="THÉP GIA CƯỜNG LƯỚI HÀN"/>
      <sheetName val="BỆ MÁY, BỆ ĐỠ BỒN NƯỚC"/>
      <sheetName val="THANG BỘ NGOÀI NHÀ"/>
      <sheetName val="RAM DỐC"/>
      <sheetName val="MÓNG B2 NGOÀI THÁP"/>
      <sheetName val="CỘT B2-GROUND NGOÀI THÁP"/>
      <sheetName val="SẢNH TAM CẤP"/>
      <sheetName val="ĐÔN NỀN B1"/>
      <sheetName val="BỂ CÂN BẰNG"/>
      <sheetName val="Louver T1"/>
      <sheetName val="SÀN KTTM"/>
      <sheetName val="CỘT TẦNG TUM"/>
      <sheetName val="MƯƠNG GIÓ"/>
      <sheetName val="VÁ SÀN BP"/>
      <sheetName val="DẦM CAPINGBEAM"/>
      <sheetName val="TƯỜNG CHẮN ĐẤT"/>
      <sheetName val="MÓNG CẤU THÁP"/>
      <sheetName val="PARAPET"/>
      <sheetName val="CẦU THANG BỘ"/>
      <sheetName val="Dầm tầng Tum (27)"/>
      <sheetName val="LTBT"/>
      <sheetName val="COLOR"/>
      <sheetName val="SPEC.CAD"/>
      <sheetName val="SPEC.EXCEL"/>
      <sheetName val="WDOOR"/>
      <sheetName val="Khoi luong"/>
      <sheetName val="Dầm -4.7m"/>
      <sheetName val="Du Toan"/>
      <sheetName val="VIN_Index"/>
      <sheetName val="GV1-D13 (Casement door)"/>
      <sheetName val="KH-Q1,Q2,01"/>
      <sheetName val="01.C.NHOI"/>
      <sheetName val="DATA.KC"/>
      <sheetName val="DTICH"/>
      <sheetName val="02.T.VAY"/>
      <sheetName val="평3"/>
      <sheetName val="FD"/>
      <sheetName val="GI"/>
      <sheetName val="EE (3)"/>
      <sheetName val="PAVEMENT"/>
      <sheetName val="TRAFFIC"/>
      <sheetName val="매부"/>
      <sheetName val="현관"/>
      <sheetName val="인원"/>
      <sheetName val="총원가계산서(요율)"/>
      <sheetName val="TNHCHINH"/>
      <sheetName val="공통부대비"/>
      <sheetName val="KTCK"/>
      <sheetName val="DG3285"/>
      <sheetName val="MU"/>
      <sheetName val="General Measurement"/>
      <sheetName val="BLOCK(1)"/>
      <sheetName val="BQ-Ext  "/>
      <sheetName val="WT-LIST"/>
      <sheetName val="Object"/>
      <sheetName val="1.R18 BF"/>
      <sheetName val="G"/>
      <sheetName val="F-B"/>
      <sheetName val="H-J"/>
      <sheetName val="6.External works-R18"/>
      <sheetName val="Mo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sheetData sheetId="769"/>
      <sheetData sheetId="770"/>
      <sheetData sheetId="771"/>
      <sheetData sheetId="772"/>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sheetData sheetId="810"/>
      <sheetData sheetId="811"/>
      <sheetData sheetId="812"/>
      <sheetData sheetId="813"/>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refreshError="1"/>
      <sheetData sheetId="1191" refreshError="1"/>
      <sheetData sheetId="1192"/>
      <sheetData sheetId="1193"/>
      <sheetData sheetId="1194"/>
      <sheetData sheetId="1195" refreshError="1"/>
      <sheetData sheetId="1196" refreshError="1"/>
      <sheetData sheetId="1197" refreshError="1"/>
      <sheetData sheetId="1198" refreshError="1"/>
      <sheetData sheetId="1199" refreshError="1"/>
      <sheetData sheetId="1200"/>
      <sheetData sheetId="1201" refreshError="1"/>
      <sheetData sheetId="1202" refreshError="1"/>
      <sheetData sheetId="1203" refreshError="1"/>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refreshError="1"/>
      <sheetData sheetId="1220"/>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sheetData sheetId="1230"/>
      <sheetData sheetId="1231" refreshError="1"/>
      <sheetData sheetId="1232" refreshError="1"/>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 kinh phí"/>
      <sheetName val="CPXD"/>
      <sheetName val="TH CP TB+XD"/>
      <sheetName val="CP Thiet bi"/>
      <sheetName val="THKP hạng mục"/>
      <sheetName val="THGT"/>
      <sheetName val="Giá tổng hợp"/>
      <sheetName val="Đơn giá chi tiết"/>
      <sheetName val="Chi tiet XDM 0,4kV"/>
      <sheetName val="Chi tiet TD 0,4kV"/>
      <sheetName val="Giá tháng"/>
      <sheetName val="Gia VL"/>
      <sheetName val="so sanh VL"/>
      <sheetName val="Cuoc VC"/>
      <sheetName val="Gia Ca May"/>
      <sheetName val="Day len den"/>
      <sheetName val="Khoi luong"/>
      <sheetName val="Bang ke THGT"/>
      <sheetName val="kcht"/>
      <sheetName val="Lương nhân công XD TT05-2016"/>
      <sheetName val="Beton"/>
      <sheetName val="Trong luong tru"/>
      <sheetName val="BTN"/>
      <sheetName val="HSXL"/>
    </sheetNames>
    <sheetDataSet>
      <sheetData sheetId="0"/>
      <sheetData sheetId="1"/>
      <sheetData sheetId="2"/>
      <sheetData sheetId="3"/>
      <sheetData sheetId="4"/>
      <sheetData sheetId="5"/>
      <sheetData sheetId="6"/>
      <sheetData sheetId="7"/>
      <sheetData sheetId="8"/>
      <sheetData sheetId="9"/>
      <sheetData sheetId="10"/>
      <sheetData sheetId="11">
        <row r="29">
          <cell r="L29">
            <v>1225279.7553341817</v>
          </cell>
        </row>
      </sheetData>
      <sheetData sheetId="12"/>
      <sheetData sheetId="13"/>
      <sheetData sheetId="14"/>
      <sheetData sheetId="15"/>
      <sheetData sheetId="16"/>
      <sheetData sheetId="17"/>
      <sheetData sheetId="18"/>
      <sheetData sheetId="19">
        <row r="16">
          <cell r="F16">
            <v>183600</v>
          </cell>
        </row>
      </sheetData>
      <sheetData sheetId="20"/>
      <sheetData sheetId="21"/>
      <sheetData sheetId="22"/>
      <sheetData sheetId="23"/>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 khoi luong"/>
      <sheetName val="Bang phan tich"/>
      <sheetName val="TH vat tu"/>
      <sheetName val="Bang tinh gia VL"/>
      <sheetName val="TH Kinh phi"/>
      <sheetName val="TH thiet bi"/>
      <sheetName val="TH may TC"/>
      <sheetName val="TH Nhan cong"/>
      <sheetName val="DM Chi ph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L rieng"/>
      <sheetName val="Tongke"/>
    </sheetNames>
    <sheetDataSet>
      <sheetData sheetId="0" refreshError="1"/>
      <sheetData sheetId="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
      <sheetName val="Help"/>
      <sheetName val="Bia"/>
      <sheetName val="TMinh"/>
      <sheetName val="DToan_XD"/>
      <sheetName val="nhan cong"/>
    </sheetNames>
    <sheetDataSet>
      <sheetData sheetId="0"/>
      <sheetData sheetId="1">
        <row r="54">
          <cell r="B54">
            <v>8000</v>
          </cell>
          <cell r="C54">
            <v>0.9</v>
          </cell>
          <cell r="D54">
            <v>0.82</v>
          </cell>
          <cell r="E54">
            <v>0.73</v>
          </cell>
          <cell r="F54">
            <v>0.65</v>
          </cell>
          <cell r="G54" t="str">
            <v>-</v>
          </cell>
          <cell r="I54">
            <v>8000</v>
          </cell>
          <cell r="J54">
            <v>0.57999999999999996</v>
          </cell>
          <cell r="K54">
            <v>0.53</v>
          </cell>
          <cell r="L54">
            <v>0.47</v>
          </cell>
          <cell r="M54">
            <v>0.42</v>
          </cell>
          <cell r="N54" t="str">
            <v>-</v>
          </cell>
        </row>
        <row r="55">
          <cell r="B55">
            <v>5000</v>
          </cell>
          <cell r="C55">
            <v>1.1599999999999999</v>
          </cell>
          <cell r="D55">
            <v>1.05</v>
          </cell>
          <cell r="E55">
            <v>0.96</v>
          </cell>
          <cell r="F55">
            <v>0.86</v>
          </cell>
          <cell r="G55" t="str">
            <v>-</v>
          </cell>
          <cell r="I55">
            <v>5000</v>
          </cell>
          <cell r="J55">
            <v>0.75</v>
          </cell>
          <cell r="K55">
            <v>0.68</v>
          </cell>
          <cell r="L55">
            <v>0.62</v>
          </cell>
          <cell r="M55">
            <v>0.55000000000000004</v>
          </cell>
          <cell r="N55" t="str">
            <v>-</v>
          </cell>
        </row>
        <row r="56">
          <cell r="B56">
            <v>2000</v>
          </cell>
          <cell r="C56">
            <v>1.5</v>
          </cell>
          <cell r="D56">
            <v>1.38</v>
          </cell>
          <cell r="E56">
            <v>1.24</v>
          </cell>
          <cell r="F56">
            <v>1.1100000000000001</v>
          </cell>
          <cell r="G56" t="str">
            <v>-</v>
          </cell>
          <cell r="I56">
            <v>2000</v>
          </cell>
          <cell r="J56">
            <v>0.97</v>
          </cell>
          <cell r="K56">
            <v>0.89</v>
          </cell>
          <cell r="L56">
            <v>0.8</v>
          </cell>
          <cell r="M56">
            <v>0.72</v>
          </cell>
          <cell r="N56" t="str">
            <v>-</v>
          </cell>
        </row>
        <row r="57">
          <cell r="B57">
            <v>1000</v>
          </cell>
          <cell r="C57">
            <v>1.75</v>
          </cell>
          <cell r="D57">
            <v>1.59</v>
          </cell>
          <cell r="E57">
            <v>1.45</v>
          </cell>
          <cell r="F57">
            <v>1.31</v>
          </cell>
          <cell r="G57">
            <v>0.95</v>
          </cell>
          <cell r="I57">
            <v>1000</v>
          </cell>
          <cell r="J57">
            <v>1.1299999999999999</v>
          </cell>
          <cell r="K57">
            <v>1.03</v>
          </cell>
          <cell r="L57">
            <v>0.95</v>
          </cell>
          <cell r="M57">
            <v>0.85</v>
          </cell>
          <cell r="N57">
            <v>0.61</v>
          </cell>
        </row>
        <row r="58">
          <cell r="B58">
            <v>500</v>
          </cell>
          <cell r="C58">
            <v>2.17</v>
          </cell>
          <cell r="D58">
            <v>1.96</v>
          </cell>
          <cell r="E58">
            <v>1.79</v>
          </cell>
          <cell r="F58">
            <v>1.62</v>
          </cell>
          <cell r="G58">
            <v>1.1599999999999999</v>
          </cell>
          <cell r="I58">
            <v>500</v>
          </cell>
          <cell r="J58">
            <v>1.4</v>
          </cell>
          <cell r="K58">
            <v>1.27</v>
          </cell>
          <cell r="L58">
            <v>1.1599999999999999</v>
          </cell>
          <cell r="M58">
            <v>1.04</v>
          </cell>
          <cell r="N58">
            <v>0.75</v>
          </cell>
        </row>
        <row r="59">
          <cell r="B59">
            <v>200</v>
          </cell>
          <cell r="C59">
            <v>2.57</v>
          </cell>
          <cell r="D59">
            <v>2.34</v>
          </cell>
          <cell r="E59">
            <v>2.1</v>
          </cell>
          <cell r="F59">
            <v>1.9</v>
          </cell>
          <cell r="G59">
            <v>1.37</v>
          </cell>
          <cell r="I59">
            <v>200</v>
          </cell>
          <cell r="J59">
            <v>1.66</v>
          </cell>
          <cell r="K59">
            <v>1.51</v>
          </cell>
          <cell r="L59">
            <v>1.37</v>
          </cell>
          <cell r="M59">
            <v>1.23</v>
          </cell>
          <cell r="N59">
            <v>0.88</v>
          </cell>
        </row>
        <row r="60">
          <cell r="B60">
            <v>100</v>
          </cell>
          <cell r="C60">
            <v>2.82</v>
          </cell>
          <cell r="D60">
            <v>2.54</v>
          </cell>
          <cell r="E60">
            <v>2.29</v>
          </cell>
          <cell r="F60">
            <v>2.08</v>
          </cell>
          <cell r="G60">
            <v>1.62</v>
          </cell>
          <cell r="I60">
            <v>100</v>
          </cell>
          <cell r="J60">
            <v>1.82</v>
          </cell>
          <cell r="K60">
            <v>1.64</v>
          </cell>
          <cell r="L60">
            <v>1.51</v>
          </cell>
          <cell r="M60">
            <v>1.34</v>
          </cell>
          <cell r="N60">
            <v>1.04</v>
          </cell>
        </row>
        <row r="61">
          <cell r="B61">
            <v>50</v>
          </cell>
          <cell r="C61">
            <v>3.1</v>
          </cell>
          <cell r="D61">
            <v>2.82</v>
          </cell>
          <cell r="E61">
            <v>2.54</v>
          </cell>
          <cell r="F61">
            <v>2.29</v>
          </cell>
          <cell r="G61">
            <v>1.91</v>
          </cell>
          <cell r="I61">
            <v>50</v>
          </cell>
          <cell r="J61">
            <v>2</v>
          </cell>
          <cell r="K61">
            <v>1.82</v>
          </cell>
          <cell r="L61">
            <v>1.66</v>
          </cell>
          <cell r="M61">
            <v>1.48</v>
          </cell>
          <cell r="N61">
            <v>1.23</v>
          </cell>
        </row>
        <row r="62">
          <cell r="B62">
            <v>20</v>
          </cell>
          <cell r="C62">
            <v>3.68</v>
          </cell>
          <cell r="D62">
            <v>3.36</v>
          </cell>
          <cell r="E62">
            <v>3.01</v>
          </cell>
          <cell r="F62">
            <v>2.73</v>
          </cell>
          <cell r="G62">
            <v>2.4300000000000002</v>
          </cell>
          <cell r="I62">
            <v>20</v>
          </cell>
          <cell r="J62">
            <v>2.38</v>
          </cell>
          <cell r="K62">
            <v>2.17</v>
          </cell>
          <cell r="L62">
            <v>1.96</v>
          </cell>
          <cell r="M62">
            <v>1.76</v>
          </cell>
          <cell r="N62">
            <v>1.57</v>
          </cell>
        </row>
        <row r="63">
          <cell r="B63">
            <v>10</v>
          </cell>
          <cell r="C63">
            <v>4.24</v>
          </cell>
          <cell r="D63">
            <v>3.84</v>
          </cell>
          <cell r="E63">
            <v>3.48</v>
          </cell>
          <cell r="F63">
            <v>3.15</v>
          </cell>
          <cell r="G63">
            <v>2.78</v>
          </cell>
          <cell r="I63">
            <v>10</v>
          </cell>
          <cell r="J63">
            <v>2.74</v>
          </cell>
          <cell r="K63">
            <v>2.48</v>
          </cell>
          <cell r="L63">
            <v>2.25</v>
          </cell>
          <cell r="M63">
            <v>2.0299999999999998</v>
          </cell>
          <cell r="N63">
            <v>1.8</v>
          </cell>
        </row>
        <row r="64">
          <cell r="B64">
            <v>7</v>
          </cell>
          <cell r="C64" t="str">
            <v>-</v>
          </cell>
          <cell r="D64" t="str">
            <v>-</v>
          </cell>
          <cell r="E64">
            <v>3.63</v>
          </cell>
          <cell r="F64">
            <v>3.27</v>
          </cell>
          <cell r="G64">
            <v>2.9</v>
          </cell>
          <cell r="I64">
            <v>7</v>
          </cell>
          <cell r="J64" t="str">
            <v>-</v>
          </cell>
          <cell r="K64" t="str">
            <v>-</v>
          </cell>
          <cell r="L64">
            <v>2.36</v>
          </cell>
          <cell r="M64">
            <v>2.12</v>
          </cell>
          <cell r="N64">
            <v>1.88</v>
          </cell>
        </row>
        <row r="71">
          <cell r="B71">
            <v>8000</v>
          </cell>
          <cell r="C71">
            <v>1.1599999999999999</v>
          </cell>
          <cell r="D71">
            <v>0.97</v>
          </cell>
          <cell r="E71">
            <v>0.78</v>
          </cell>
          <cell r="F71">
            <v>0.72</v>
          </cell>
          <cell r="G71" t="str">
            <v>-</v>
          </cell>
          <cell r="I71">
            <v>8000</v>
          </cell>
          <cell r="J71">
            <v>0.73</v>
          </cell>
          <cell r="K71">
            <v>0.61</v>
          </cell>
          <cell r="L71">
            <v>0.51</v>
          </cell>
          <cell r="M71">
            <v>0.46</v>
          </cell>
          <cell r="N71" t="str">
            <v>-</v>
          </cell>
        </row>
        <row r="72">
          <cell r="B72">
            <v>5000</v>
          </cell>
          <cell r="C72">
            <v>1.52</v>
          </cell>
          <cell r="D72">
            <v>1.26</v>
          </cell>
          <cell r="E72">
            <v>1.02</v>
          </cell>
          <cell r="F72">
            <v>0.94</v>
          </cell>
          <cell r="G72" t="str">
            <v>-</v>
          </cell>
          <cell r="I72">
            <v>5000</v>
          </cell>
          <cell r="J72">
            <v>0.95</v>
          </cell>
          <cell r="K72">
            <v>0.79</v>
          </cell>
          <cell r="L72">
            <v>0.66</v>
          </cell>
          <cell r="M72">
            <v>0.59</v>
          </cell>
          <cell r="N72" t="str">
            <v>-</v>
          </cell>
        </row>
        <row r="73">
          <cell r="B73">
            <v>2000</v>
          </cell>
          <cell r="C73">
            <v>1.96</v>
          </cell>
          <cell r="D73">
            <v>1.64</v>
          </cell>
          <cell r="E73">
            <v>1.32</v>
          </cell>
          <cell r="F73">
            <v>1.22</v>
          </cell>
          <cell r="G73" t="str">
            <v>-</v>
          </cell>
          <cell r="I73">
            <v>2000</v>
          </cell>
          <cell r="J73">
            <v>1.23</v>
          </cell>
          <cell r="K73">
            <v>1.03</v>
          </cell>
          <cell r="L73">
            <v>0.86</v>
          </cell>
          <cell r="M73">
            <v>0.77</v>
          </cell>
          <cell r="N73" t="str">
            <v>-</v>
          </cell>
        </row>
        <row r="74">
          <cell r="B74">
            <v>1000</v>
          </cell>
          <cell r="C74">
            <v>2.3199999999999998</v>
          </cell>
          <cell r="D74">
            <v>1.93</v>
          </cell>
          <cell r="E74">
            <v>1.55</v>
          </cell>
          <cell r="F74">
            <v>1.44</v>
          </cell>
          <cell r="G74">
            <v>1.06</v>
          </cell>
          <cell r="I74">
            <v>1000</v>
          </cell>
          <cell r="J74">
            <v>1.45</v>
          </cell>
          <cell r="K74">
            <v>1.21</v>
          </cell>
          <cell r="L74">
            <v>1.01</v>
          </cell>
          <cell r="M74">
            <v>0.9</v>
          </cell>
          <cell r="N74">
            <v>0.67</v>
          </cell>
        </row>
        <row r="75">
          <cell r="B75">
            <v>500</v>
          </cell>
          <cell r="C75">
            <v>2.65</v>
          </cell>
          <cell r="D75">
            <v>2.2000000000000002</v>
          </cell>
          <cell r="E75">
            <v>1.77</v>
          </cell>
          <cell r="F75">
            <v>1.61</v>
          </cell>
          <cell r="G75">
            <v>1.24</v>
          </cell>
          <cell r="I75">
            <v>500</v>
          </cell>
          <cell r="J75">
            <v>1.66</v>
          </cell>
          <cell r="K75">
            <v>1.38</v>
          </cell>
          <cell r="L75">
            <v>1.1499999999999999</v>
          </cell>
          <cell r="M75">
            <v>1.01</v>
          </cell>
          <cell r="N75">
            <v>0.78</v>
          </cell>
        </row>
        <row r="76">
          <cell r="B76">
            <v>200</v>
          </cell>
          <cell r="C76">
            <v>2.91</v>
          </cell>
          <cell r="D76">
            <v>2.41</v>
          </cell>
          <cell r="E76">
            <v>1.94</v>
          </cell>
          <cell r="F76">
            <v>1.75</v>
          </cell>
          <cell r="G76">
            <v>1.46</v>
          </cell>
          <cell r="I76">
            <v>200</v>
          </cell>
          <cell r="J76">
            <v>1.82</v>
          </cell>
          <cell r="K76">
            <v>1.51</v>
          </cell>
          <cell r="L76">
            <v>1.26</v>
          </cell>
          <cell r="M76">
            <v>1.1000000000000001</v>
          </cell>
          <cell r="N76">
            <v>0.92</v>
          </cell>
        </row>
        <row r="77">
          <cell r="B77">
            <v>100</v>
          </cell>
          <cell r="C77">
            <v>3.21</v>
          </cell>
          <cell r="D77">
            <v>2.67</v>
          </cell>
          <cell r="E77">
            <v>2.15</v>
          </cell>
          <cell r="F77">
            <v>1.92</v>
          </cell>
          <cell r="G77">
            <v>1.72</v>
          </cell>
          <cell r="I77">
            <v>100</v>
          </cell>
          <cell r="J77">
            <v>2.0099999999999998</v>
          </cell>
          <cell r="K77">
            <v>1.67</v>
          </cell>
          <cell r="L77">
            <v>1.39</v>
          </cell>
          <cell r="M77">
            <v>1.2</v>
          </cell>
          <cell r="N77">
            <v>1.08</v>
          </cell>
        </row>
        <row r="78">
          <cell r="B78">
            <v>50</v>
          </cell>
          <cell r="C78">
            <v>3.53</v>
          </cell>
          <cell r="D78">
            <v>2.92</v>
          </cell>
          <cell r="E78">
            <v>2.35</v>
          </cell>
          <cell r="F78">
            <v>2.11</v>
          </cell>
          <cell r="G78">
            <v>1.87</v>
          </cell>
          <cell r="I78">
            <v>50</v>
          </cell>
          <cell r="J78">
            <v>2.21</v>
          </cell>
          <cell r="K78">
            <v>1.83</v>
          </cell>
          <cell r="L78">
            <v>1.53</v>
          </cell>
          <cell r="M78">
            <v>1.32</v>
          </cell>
          <cell r="N78">
            <v>1.17</v>
          </cell>
        </row>
        <row r="79">
          <cell r="B79">
            <v>20</v>
          </cell>
          <cell r="C79">
            <v>4.12</v>
          </cell>
          <cell r="D79">
            <v>3.44</v>
          </cell>
          <cell r="E79">
            <v>2.76</v>
          </cell>
          <cell r="F79">
            <v>2.4900000000000002</v>
          </cell>
          <cell r="G79">
            <v>2.21</v>
          </cell>
          <cell r="I79">
            <v>20</v>
          </cell>
          <cell r="J79">
            <v>2.58</v>
          </cell>
          <cell r="K79">
            <v>2.15</v>
          </cell>
          <cell r="L79">
            <v>1.79</v>
          </cell>
          <cell r="M79">
            <v>1.56</v>
          </cell>
          <cell r="N79">
            <v>1.39</v>
          </cell>
        </row>
        <row r="80">
          <cell r="B80">
            <v>10</v>
          </cell>
          <cell r="C80">
            <v>4.67</v>
          </cell>
          <cell r="D80">
            <v>3.73</v>
          </cell>
          <cell r="E80">
            <v>2.99</v>
          </cell>
          <cell r="F80">
            <v>2.69</v>
          </cell>
          <cell r="G80">
            <v>2.39</v>
          </cell>
          <cell r="I80">
            <v>10</v>
          </cell>
          <cell r="J80">
            <v>2.79</v>
          </cell>
          <cell r="K80">
            <v>2.33</v>
          </cell>
          <cell r="L80">
            <v>1.94</v>
          </cell>
          <cell r="M80">
            <v>1.69</v>
          </cell>
          <cell r="N80">
            <v>1.5</v>
          </cell>
        </row>
        <row r="81">
          <cell r="B81">
            <v>7</v>
          </cell>
          <cell r="C81" t="str">
            <v>-</v>
          </cell>
          <cell r="D81" t="str">
            <v>-</v>
          </cell>
          <cell r="E81">
            <v>3.07</v>
          </cell>
          <cell r="F81">
            <v>2.76</v>
          </cell>
          <cell r="G81">
            <v>2.4500000000000002</v>
          </cell>
          <cell r="I81">
            <v>7</v>
          </cell>
          <cell r="J81">
            <v>7</v>
          </cell>
          <cell r="K81" t="str">
            <v>-</v>
          </cell>
          <cell r="L81" t="str">
            <v>-</v>
          </cell>
          <cell r="M81">
            <v>1.99</v>
          </cell>
          <cell r="N81">
            <v>1.73</v>
          </cell>
        </row>
        <row r="88">
          <cell r="B88">
            <v>8000</v>
          </cell>
          <cell r="C88">
            <v>0.73</v>
          </cell>
          <cell r="D88">
            <v>0.61</v>
          </cell>
          <cell r="E88">
            <v>0.4</v>
          </cell>
          <cell r="F88">
            <v>0.32</v>
          </cell>
          <cell r="G88" t="str">
            <v>-</v>
          </cell>
        </row>
        <row r="89">
          <cell r="B89">
            <v>5000</v>
          </cell>
          <cell r="C89">
            <v>0.95</v>
          </cell>
          <cell r="D89">
            <v>0.79</v>
          </cell>
          <cell r="E89">
            <v>0.52</v>
          </cell>
          <cell r="F89">
            <v>0.42</v>
          </cell>
          <cell r="G89">
            <v>0.37</v>
          </cell>
        </row>
        <row r="90">
          <cell r="B90">
            <v>2000</v>
          </cell>
          <cell r="C90">
            <v>1.23</v>
          </cell>
          <cell r="D90">
            <v>1.03</v>
          </cell>
          <cell r="E90">
            <v>0.67</v>
          </cell>
          <cell r="F90">
            <v>0.55000000000000004</v>
          </cell>
          <cell r="G90">
            <v>0.48</v>
          </cell>
        </row>
        <row r="91">
          <cell r="B91">
            <v>1000</v>
          </cell>
          <cell r="C91">
            <v>1.45</v>
          </cell>
          <cell r="D91">
            <v>1.21</v>
          </cell>
          <cell r="E91">
            <v>0.79</v>
          </cell>
          <cell r="F91">
            <v>0.65</v>
          </cell>
          <cell r="G91">
            <v>0.56999999999999995</v>
          </cell>
        </row>
        <row r="92">
          <cell r="B92">
            <v>500</v>
          </cell>
          <cell r="C92">
            <v>1.66</v>
          </cell>
          <cell r="D92">
            <v>1.38</v>
          </cell>
          <cell r="E92">
            <v>0.93</v>
          </cell>
          <cell r="F92">
            <v>0.77</v>
          </cell>
          <cell r="G92">
            <v>0.66</v>
          </cell>
        </row>
        <row r="93">
          <cell r="B93">
            <v>200</v>
          </cell>
          <cell r="C93">
            <v>1.82</v>
          </cell>
          <cell r="D93">
            <v>1.51</v>
          </cell>
          <cell r="E93">
            <v>1.03</v>
          </cell>
          <cell r="F93">
            <v>0.92</v>
          </cell>
          <cell r="G93">
            <v>0.78</v>
          </cell>
        </row>
        <row r="94">
          <cell r="B94">
            <v>100</v>
          </cell>
          <cell r="C94">
            <v>2.0099999999999998</v>
          </cell>
          <cell r="D94">
            <v>1.67</v>
          </cell>
          <cell r="E94">
            <v>1.1200000000000001</v>
          </cell>
          <cell r="F94">
            <v>1.03</v>
          </cell>
          <cell r="G94">
            <v>0.92</v>
          </cell>
        </row>
        <row r="95">
          <cell r="B95">
            <v>50</v>
          </cell>
          <cell r="C95">
            <v>2.21</v>
          </cell>
          <cell r="D95">
            <v>1.83</v>
          </cell>
          <cell r="E95">
            <v>1.23</v>
          </cell>
          <cell r="F95">
            <v>1.1299999999999999</v>
          </cell>
          <cell r="G95">
            <v>1.01</v>
          </cell>
        </row>
        <row r="96">
          <cell r="B96">
            <v>20</v>
          </cell>
          <cell r="C96">
            <v>2.58</v>
          </cell>
          <cell r="D96">
            <v>2.15</v>
          </cell>
          <cell r="E96">
            <v>1.45</v>
          </cell>
          <cell r="F96">
            <v>1.31</v>
          </cell>
          <cell r="G96">
            <v>1.18</v>
          </cell>
        </row>
        <row r="97">
          <cell r="B97">
            <v>10</v>
          </cell>
          <cell r="C97">
            <v>2.8</v>
          </cell>
          <cell r="D97">
            <v>2.72</v>
          </cell>
          <cell r="E97">
            <v>1.56</v>
          </cell>
          <cell r="F97">
            <v>1.42</v>
          </cell>
          <cell r="G97">
            <v>1.28</v>
          </cell>
        </row>
        <row r="98">
          <cell r="B98">
            <v>7</v>
          </cell>
          <cell r="C98" t="str">
            <v>-</v>
          </cell>
          <cell r="D98" t="str">
            <v>-</v>
          </cell>
          <cell r="E98">
            <v>1.61</v>
          </cell>
          <cell r="F98">
            <v>1.46</v>
          </cell>
          <cell r="G98">
            <v>1.31</v>
          </cell>
        </row>
        <row r="105">
          <cell r="B105">
            <v>8000</v>
          </cell>
          <cell r="C105">
            <v>0.88</v>
          </cell>
          <cell r="D105">
            <v>0.79</v>
          </cell>
          <cell r="E105">
            <v>0.51</v>
          </cell>
          <cell r="F105">
            <v>0.46</v>
          </cell>
          <cell r="G105" t="str">
            <v>-</v>
          </cell>
          <cell r="I105">
            <v>8000</v>
          </cell>
          <cell r="J105">
            <v>0.56999999999999995</v>
          </cell>
          <cell r="K105">
            <v>0.51</v>
          </cell>
          <cell r="L105">
            <v>0.45</v>
          </cell>
          <cell r="M105">
            <v>0.4</v>
          </cell>
          <cell r="N105" t="str">
            <v>-</v>
          </cell>
        </row>
        <row r="106">
          <cell r="B106">
            <v>5000</v>
          </cell>
          <cell r="C106">
            <v>1.1399999999999999</v>
          </cell>
          <cell r="D106">
            <v>1.03</v>
          </cell>
          <cell r="E106">
            <v>0.9</v>
          </cell>
          <cell r="F106">
            <v>0.79</v>
          </cell>
          <cell r="G106">
            <v>0.57999999999999996</v>
          </cell>
          <cell r="I106">
            <v>5000</v>
          </cell>
          <cell r="J106">
            <v>0.74</v>
          </cell>
          <cell r="K106">
            <v>0.67</v>
          </cell>
          <cell r="L106">
            <v>0.57999999999999996</v>
          </cell>
          <cell r="M106">
            <v>0.51</v>
          </cell>
          <cell r="N106">
            <v>0.38</v>
          </cell>
        </row>
        <row r="107">
          <cell r="B107">
            <v>2000</v>
          </cell>
          <cell r="C107">
            <v>1.48</v>
          </cell>
          <cell r="D107">
            <v>1.34</v>
          </cell>
          <cell r="E107">
            <v>1.17</v>
          </cell>
          <cell r="F107">
            <v>1.03</v>
          </cell>
          <cell r="G107">
            <v>0.75</v>
          </cell>
          <cell r="I107">
            <v>2000</v>
          </cell>
          <cell r="J107">
            <v>0.96</v>
          </cell>
          <cell r="K107">
            <v>0.87</v>
          </cell>
          <cell r="L107">
            <v>0.76</v>
          </cell>
          <cell r="M107">
            <v>0.67</v>
          </cell>
          <cell r="N107">
            <v>0.49</v>
          </cell>
        </row>
        <row r="108">
          <cell r="B108">
            <v>1000</v>
          </cell>
          <cell r="C108">
            <v>1.75</v>
          </cell>
          <cell r="D108">
            <v>1.58</v>
          </cell>
          <cell r="E108">
            <v>1.38</v>
          </cell>
          <cell r="F108">
            <v>1.21</v>
          </cell>
          <cell r="G108">
            <v>0.89</v>
          </cell>
          <cell r="I108">
            <v>1000</v>
          </cell>
          <cell r="J108">
            <v>1.1299999999999999</v>
          </cell>
          <cell r="K108">
            <v>1.02</v>
          </cell>
          <cell r="L108">
            <v>0.91</v>
          </cell>
          <cell r="M108">
            <v>0.78</v>
          </cell>
          <cell r="N108">
            <v>0.57999999999999996</v>
          </cell>
        </row>
        <row r="109">
          <cell r="B109">
            <v>500</v>
          </cell>
          <cell r="C109">
            <v>2.0699999999999998</v>
          </cell>
          <cell r="D109">
            <v>1.87</v>
          </cell>
          <cell r="E109">
            <v>1.62</v>
          </cell>
          <cell r="F109">
            <v>1.42</v>
          </cell>
          <cell r="G109">
            <v>1.04</v>
          </cell>
          <cell r="I109">
            <v>500</v>
          </cell>
          <cell r="J109">
            <v>1.34</v>
          </cell>
          <cell r="K109">
            <v>1.21</v>
          </cell>
          <cell r="L109">
            <v>1.06</v>
          </cell>
          <cell r="M109">
            <v>0.92</v>
          </cell>
          <cell r="N109">
            <v>0.67</v>
          </cell>
        </row>
        <row r="110">
          <cell r="B110">
            <v>200</v>
          </cell>
          <cell r="C110">
            <v>2.4300000000000002</v>
          </cell>
          <cell r="D110">
            <v>2.21</v>
          </cell>
          <cell r="E110">
            <v>2.0099999999999998</v>
          </cell>
          <cell r="F110">
            <v>1.67</v>
          </cell>
          <cell r="G110">
            <v>1.23</v>
          </cell>
          <cell r="I110">
            <v>200</v>
          </cell>
          <cell r="J110">
            <v>1.57</v>
          </cell>
          <cell r="K110">
            <v>1.43</v>
          </cell>
          <cell r="L110">
            <v>1.31</v>
          </cell>
          <cell r="M110">
            <v>1.08</v>
          </cell>
          <cell r="N110">
            <v>0.8</v>
          </cell>
        </row>
        <row r="111">
          <cell r="B111">
            <v>100</v>
          </cell>
          <cell r="C111">
            <v>2.66</v>
          </cell>
          <cell r="D111">
            <v>2.4</v>
          </cell>
          <cell r="E111">
            <v>2.19</v>
          </cell>
          <cell r="F111">
            <v>1.96</v>
          </cell>
          <cell r="G111">
            <v>1.44</v>
          </cell>
          <cell r="I111">
            <v>100</v>
          </cell>
          <cell r="J111">
            <v>1.72</v>
          </cell>
          <cell r="K111">
            <v>1.55</v>
          </cell>
          <cell r="L111">
            <v>1.42</v>
          </cell>
          <cell r="M111">
            <v>1.27</v>
          </cell>
          <cell r="N111">
            <v>0.93</v>
          </cell>
        </row>
        <row r="112">
          <cell r="B112">
            <v>50</v>
          </cell>
          <cell r="C112">
            <v>2.96</v>
          </cell>
          <cell r="D112">
            <v>2.68</v>
          </cell>
          <cell r="E112">
            <v>2.41</v>
          </cell>
          <cell r="F112">
            <v>2.16</v>
          </cell>
          <cell r="G112">
            <v>1.7</v>
          </cell>
          <cell r="I112">
            <v>50</v>
          </cell>
          <cell r="J112">
            <v>1.91</v>
          </cell>
          <cell r="K112">
            <v>1.73</v>
          </cell>
          <cell r="L112">
            <v>1.57</v>
          </cell>
          <cell r="M112">
            <v>1.4</v>
          </cell>
          <cell r="N112">
            <v>1.1000000000000001</v>
          </cell>
        </row>
        <row r="113">
          <cell r="B113">
            <v>20</v>
          </cell>
          <cell r="C113">
            <v>3.48</v>
          </cell>
          <cell r="D113">
            <v>3.17</v>
          </cell>
          <cell r="E113">
            <v>2.87</v>
          </cell>
          <cell r="F113">
            <v>2.58</v>
          </cell>
          <cell r="G113">
            <v>2.31</v>
          </cell>
          <cell r="I113">
            <v>20</v>
          </cell>
          <cell r="J113">
            <v>2.25</v>
          </cell>
          <cell r="K113">
            <v>2.0499999999999998</v>
          </cell>
          <cell r="L113">
            <v>1.86</v>
          </cell>
          <cell r="M113">
            <v>1.67</v>
          </cell>
          <cell r="N113">
            <v>1.49</v>
          </cell>
        </row>
        <row r="114">
          <cell r="B114">
            <v>10</v>
          </cell>
          <cell r="C114">
            <v>4.01</v>
          </cell>
          <cell r="D114">
            <v>3.64</v>
          </cell>
          <cell r="E114">
            <v>3.29</v>
          </cell>
          <cell r="F114">
            <v>2.98</v>
          </cell>
          <cell r="G114">
            <v>2.63</v>
          </cell>
          <cell r="I114">
            <v>10</v>
          </cell>
          <cell r="J114">
            <v>2.59</v>
          </cell>
          <cell r="K114">
            <v>2.35</v>
          </cell>
          <cell r="L114">
            <v>2.13</v>
          </cell>
          <cell r="M114">
            <v>1.93</v>
          </cell>
          <cell r="N114">
            <v>1.7</v>
          </cell>
        </row>
        <row r="115">
          <cell r="B115">
            <v>7</v>
          </cell>
          <cell r="C115" t="str">
            <v>-</v>
          </cell>
          <cell r="D115" t="str">
            <v>-</v>
          </cell>
          <cell r="E115">
            <v>3.42</v>
          </cell>
          <cell r="F115">
            <v>3.11</v>
          </cell>
          <cell r="G115">
            <v>2.74</v>
          </cell>
          <cell r="I115">
            <v>7</v>
          </cell>
          <cell r="J115" t="str">
            <v>-</v>
          </cell>
          <cell r="K115" t="str">
            <v>-</v>
          </cell>
          <cell r="L115">
            <v>2.2200000000000002</v>
          </cell>
          <cell r="M115">
            <v>2.0099999999999998</v>
          </cell>
          <cell r="N115">
            <v>1.77</v>
          </cell>
        </row>
        <row r="122">
          <cell r="B122">
            <v>8000</v>
          </cell>
          <cell r="C122">
            <v>0.65</v>
          </cell>
          <cell r="D122">
            <v>0.56000000000000005</v>
          </cell>
          <cell r="E122">
            <v>0.51</v>
          </cell>
          <cell r="F122">
            <v>0.41</v>
          </cell>
          <cell r="G122" t="str">
            <v>-</v>
          </cell>
          <cell r="I122">
            <v>8000</v>
          </cell>
          <cell r="J122">
            <v>0.42</v>
          </cell>
          <cell r="K122">
            <v>0.31</v>
          </cell>
          <cell r="L122">
            <v>0.28999999999999998</v>
          </cell>
          <cell r="M122">
            <v>0.27</v>
          </cell>
          <cell r="N122" t="str">
            <v>-</v>
          </cell>
        </row>
        <row r="123">
          <cell r="B123">
            <v>5000</v>
          </cell>
          <cell r="C123">
            <v>0.85</v>
          </cell>
          <cell r="D123">
            <v>0.72</v>
          </cell>
          <cell r="E123">
            <v>0.67</v>
          </cell>
          <cell r="F123">
            <v>0.64</v>
          </cell>
          <cell r="G123">
            <v>0.49</v>
          </cell>
          <cell r="I123">
            <v>5000</v>
          </cell>
          <cell r="J123">
            <v>0.55000000000000004</v>
          </cell>
          <cell r="K123">
            <v>0.47</v>
          </cell>
          <cell r="L123">
            <v>0.44</v>
          </cell>
          <cell r="M123">
            <v>0.42</v>
          </cell>
          <cell r="N123">
            <v>0.32</v>
          </cell>
        </row>
        <row r="124">
          <cell r="B124">
            <v>2000</v>
          </cell>
          <cell r="C124">
            <v>1.1100000000000001</v>
          </cell>
          <cell r="D124">
            <v>0.94</v>
          </cell>
          <cell r="E124">
            <v>0.87</v>
          </cell>
          <cell r="F124">
            <v>0.84</v>
          </cell>
          <cell r="G124">
            <v>0.64</v>
          </cell>
          <cell r="I124">
            <v>2000</v>
          </cell>
          <cell r="J124">
            <v>0.72</v>
          </cell>
          <cell r="K124">
            <v>0.61</v>
          </cell>
          <cell r="L124">
            <v>0.56999999999999995</v>
          </cell>
          <cell r="M124">
            <v>0.55000000000000004</v>
          </cell>
          <cell r="N124">
            <v>0.42</v>
          </cell>
        </row>
        <row r="125">
          <cell r="B125">
            <v>1000</v>
          </cell>
          <cell r="C125">
            <v>1.3</v>
          </cell>
          <cell r="D125">
            <v>1.1100000000000001</v>
          </cell>
          <cell r="E125">
            <v>1.02</v>
          </cell>
          <cell r="F125">
            <v>0.99</v>
          </cell>
          <cell r="G125">
            <v>0.76</v>
          </cell>
          <cell r="I125">
            <v>1000</v>
          </cell>
          <cell r="J125">
            <v>0.84</v>
          </cell>
          <cell r="K125">
            <v>0.72</v>
          </cell>
          <cell r="L125">
            <v>0.67</v>
          </cell>
          <cell r="M125">
            <v>0.64</v>
          </cell>
          <cell r="N125">
            <v>0.5</v>
          </cell>
        </row>
        <row r="126">
          <cell r="B126">
            <v>500</v>
          </cell>
          <cell r="C126">
            <v>1.53</v>
          </cell>
          <cell r="D126">
            <v>1.31</v>
          </cell>
          <cell r="E126">
            <v>1.21</v>
          </cell>
          <cell r="F126">
            <v>1.17</v>
          </cell>
          <cell r="G126">
            <v>0.89</v>
          </cell>
          <cell r="I126">
            <v>500</v>
          </cell>
          <cell r="J126">
            <v>0.99</v>
          </cell>
          <cell r="K126">
            <v>0.85</v>
          </cell>
          <cell r="L126">
            <v>0.78</v>
          </cell>
          <cell r="M126">
            <v>0.76</v>
          </cell>
          <cell r="N126">
            <v>0.57999999999999996</v>
          </cell>
        </row>
        <row r="127">
          <cell r="B127">
            <v>200</v>
          </cell>
          <cell r="C127">
            <v>1.82</v>
          </cell>
          <cell r="D127">
            <v>1.65</v>
          </cell>
          <cell r="E127">
            <v>1.51</v>
          </cell>
          <cell r="F127">
            <v>1.29</v>
          </cell>
          <cell r="G127">
            <v>0.92</v>
          </cell>
          <cell r="I127">
            <v>200</v>
          </cell>
          <cell r="J127">
            <v>1.18</v>
          </cell>
          <cell r="K127">
            <v>1.07</v>
          </cell>
          <cell r="L127">
            <v>0.98</v>
          </cell>
          <cell r="M127">
            <v>0.84</v>
          </cell>
          <cell r="N127">
            <v>0.6</v>
          </cell>
        </row>
        <row r="128">
          <cell r="B128">
            <v>100</v>
          </cell>
          <cell r="C128">
            <v>1.99</v>
          </cell>
          <cell r="D128">
            <v>1.81</v>
          </cell>
          <cell r="E128">
            <v>1.64</v>
          </cell>
          <cell r="F128">
            <v>1.48</v>
          </cell>
          <cell r="G128">
            <v>1.23</v>
          </cell>
          <cell r="I128">
            <v>100</v>
          </cell>
          <cell r="J128">
            <v>1.29</v>
          </cell>
          <cell r="K128">
            <v>1.17</v>
          </cell>
          <cell r="L128">
            <v>1.06</v>
          </cell>
          <cell r="M128">
            <v>0.96</v>
          </cell>
          <cell r="N128">
            <v>0.8</v>
          </cell>
        </row>
        <row r="129">
          <cell r="B129">
            <v>50</v>
          </cell>
          <cell r="C129">
            <v>2.2000000000000002</v>
          </cell>
          <cell r="D129">
            <v>2.0299999999999998</v>
          </cell>
          <cell r="E129">
            <v>1.81</v>
          </cell>
          <cell r="F129">
            <v>1.62</v>
          </cell>
          <cell r="G129">
            <v>1.35</v>
          </cell>
          <cell r="I129">
            <v>50</v>
          </cell>
          <cell r="J129">
            <v>1.42</v>
          </cell>
          <cell r="K129">
            <v>1.31</v>
          </cell>
          <cell r="L129">
            <v>1.18</v>
          </cell>
          <cell r="M129">
            <v>1.05</v>
          </cell>
          <cell r="N129">
            <v>0.88</v>
          </cell>
        </row>
        <row r="130">
          <cell r="B130">
            <v>20</v>
          </cell>
          <cell r="C130">
            <v>2.61</v>
          </cell>
          <cell r="D130">
            <v>2.38</v>
          </cell>
          <cell r="E130">
            <v>2.15</v>
          </cell>
          <cell r="F130">
            <v>1.94</v>
          </cell>
          <cell r="G130">
            <v>1.72</v>
          </cell>
          <cell r="I130">
            <v>20</v>
          </cell>
          <cell r="J130">
            <v>1.69</v>
          </cell>
          <cell r="K130">
            <v>1.54</v>
          </cell>
          <cell r="L130">
            <v>1.41</v>
          </cell>
          <cell r="M130">
            <v>1.26</v>
          </cell>
          <cell r="N130">
            <v>1.1100000000000001</v>
          </cell>
        </row>
        <row r="131">
          <cell r="B131">
            <v>10</v>
          </cell>
          <cell r="C131">
            <v>3.02</v>
          </cell>
          <cell r="D131">
            <v>2.74</v>
          </cell>
          <cell r="E131">
            <v>2.48</v>
          </cell>
          <cell r="F131">
            <v>2.23</v>
          </cell>
          <cell r="G131">
            <v>1.98</v>
          </cell>
          <cell r="I131">
            <v>10</v>
          </cell>
          <cell r="J131">
            <v>1.95</v>
          </cell>
          <cell r="K131">
            <v>1.77</v>
          </cell>
          <cell r="L131">
            <v>1.61</v>
          </cell>
          <cell r="M131">
            <v>1.44</v>
          </cell>
          <cell r="N131">
            <v>1.28</v>
          </cell>
        </row>
        <row r="132">
          <cell r="B132">
            <v>7</v>
          </cell>
          <cell r="C132" t="str">
            <v>-</v>
          </cell>
          <cell r="D132" t="str">
            <v>-</v>
          </cell>
          <cell r="E132">
            <v>2.58</v>
          </cell>
          <cell r="F132">
            <v>2.3199999999999998</v>
          </cell>
          <cell r="G132">
            <v>2.0699999999999998</v>
          </cell>
          <cell r="I132">
            <v>7</v>
          </cell>
          <cell r="J132" t="str">
            <v>-</v>
          </cell>
          <cell r="K132" t="str">
            <v>-</v>
          </cell>
          <cell r="L132">
            <v>1.68</v>
          </cell>
          <cell r="M132">
            <v>1.5</v>
          </cell>
          <cell r="N132">
            <v>1.34</v>
          </cell>
        </row>
      </sheetData>
      <sheetData sheetId="2"/>
      <sheetData sheetId="3"/>
      <sheetData sheetId="4">
        <row r="43">
          <cell r="O43">
            <v>2.5</v>
          </cell>
        </row>
      </sheetData>
      <sheetData sheetId="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
      <sheetName val="Ts"/>
      <sheetName val="Bia1"/>
      <sheetName val="Bia"/>
      <sheetName val="TM"/>
      <sheetName val="PLthamtra"/>
      <sheetName val="Tong hop kinh phi"/>
      <sheetName val="TH Hang muc"/>
      <sheetName val="CP tu van"/>
      <sheetName val="Cp khac"/>
      <sheetName val="CP Du phong"/>
      <sheetName val="QD957"/>
      <sheetName val="THCP xay dung"/>
      <sheetName val="Du toan XD"/>
      <sheetName val="Don gia XD"/>
      <sheetName val="VLSG XD"/>
      <sheetName val="TH Chenh lech XD"/>
      <sheetName val="Gia tri vat tu XD"/>
      <sheetName val="Thong ke thep"/>
      <sheetName val="Nhan cong XD"/>
      <sheetName val="Gia vat lieu HTXD"/>
      <sheetName val="Gia vua XD"/>
      <sheetName val="Gia ca may XD"/>
      <sheetName val="NhienlieuXD"/>
      <sheetName val="Du thau XD"/>
      <sheetName val="Ty trong vat tu XD"/>
      <sheetName val="So lieu dieu chinh HDXD"/>
      <sheetName val="VCLC XD"/>
      <sheetName val="TDTC XD"/>
      <sheetName val="Bia2"/>
      <sheetName val="TH CP thiet bi"/>
      <sheetName val="CP mua sam TB"/>
      <sheetName val="CP dao tao"/>
      <sheetName val="Hang muc TB"/>
      <sheetName val="THCP Lap dat"/>
      <sheetName val="Du toan LD"/>
      <sheetName val="Don gia LD"/>
      <sheetName val="TH Chenh lech LD"/>
      <sheetName val="VLSG TB"/>
      <sheetName val="Du thau LD"/>
      <sheetName val="Gia vat lieu HTLD"/>
      <sheetName val="Gia vua LD"/>
      <sheetName val="Nhan cong LD"/>
      <sheetName val="Gia ca may LD"/>
      <sheetName val="Gia tri vat tu LD"/>
      <sheetName val="NhienlieuTB"/>
      <sheetName val="Ty trong vat tu LD"/>
      <sheetName val="So lieu dieu chinh HDLD"/>
      <sheetName val="VCLC TB"/>
      <sheetName val="TDLD TB"/>
      <sheetName val="Morong"/>
      <sheetName val="NhanCong"/>
      <sheetName val="Main"/>
      <sheetName val="Eng"/>
    </sheetNames>
    <sheetDataSet>
      <sheetData sheetId="0" refreshError="1"/>
      <sheetData sheetId="1">
        <row r="3">
          <cell r="BD3" t="str">
            <v>$BB$5:$BB$6</v>
          </cell>
        </row>
        <row r="21">
          <cell r="BF21" t="str">
            <v>$BB$24:$BB$25</v>
          </cell>
        </row>
      </sheetData>
      <sheetData sheetId="2"/>
      <sheetData sheetId="3" refreshError="1"/>
      <sheetData sheetId="4" refreshError="1"/>
      <sheetData sheetId="5" refreshError="1"/>
      <sheetData sheetId="6" refreshError="1"/>
      <sheetData sheetId="7"/>
      <sheetData sheetId="8" refreshError="1"/>
      <sheetData sheetId="9" refreshError="1"/>
      <sheetData sheetId="10" refreshError="1"/>
      <sheetData sheetId="11">
        <row r="5">
          <cell r="D5">
            <v>1</v>
          </cell>
        </row>
      </sheetData>
      <sheetData sheetId="12"/>
      <sheetData sheetId="13"/>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ow r="20">
          <cell r="M20">
            <v>157846</v>
          </cell>
        </row>
      </sheetData>
      <sheetData sheetId="52" refreshError="1"/>
      <sheetData sheetId="5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eu01_2005"/>
      <sheetName val="Phuluc01_chuyenmon"/>
      <sheetName val="Phuluc02_KHCN"/>
      <sheetName val="BSKHCN_DTmoi"/>
      <sheetName val="PL02_2005KHCNdieuchinh"/>
      <sheetName val="Bieu01_dieuchinhlan1"/>
      <sheetName val="PL01_dieuchinhlan1"/>
      <sheetName val="PLdaotao_DClan1"/>
      <sheetName val="Bieu 02"/>
      <sheetName val="Bieu 02 Dieu chinh lan 02"/>
      <sheetName val="Sheet8"/>
      <sheetName val="Sheet1"/>
      <sheetName val="00000000"/>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luong1"/>
      <sheetName val="KlgGPMB"/>
      <sheetName val="CTiet"/>
      <sheetName val="THop"/>
      <sheetName val="PhanKy"/>
      <sheetName val="00000000"/>
      <sheetName val="XL4Poppy"/>
    </sheetNames>
    <sheetDataSet>
      <sheetData sheetId="0"/>
      <sheetData sheetId="1"/>
      <sheetData sheetId="2"/>
      <sheetData sheetId="3"/>
      <sheetData sheetId="4"/>
      <sheetData sheetId="5"/>
      <sheetData sheetId="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hopxaylapchongset"/>
      <sheetName val="Bang B"/>
      <sheetName val="tonghop(ok)"/>
      <sheetName val="Tiên lượngxaylaptb"/>
      <sheetName val="tonghopxaylaptb"/>
      <sheetName val="KL XAY LAP"/>
      <sheetName val="PM"/>
      <sheetName val="dao tao"/>
      <sheetName val="phan mem"/>
      <sheetName val="Thiet bi"/>
      <sheetName val="Tong hop(957)"/>
      <sheetName val="khao sat"/>
      <sheetName val="tonghop(bỏ)"/>
      <sheetName val="Ngaycong"/>
    </sheetNames>
    <sheetDataSet>
      <sheetData sheetId="0" refreshError="1">
        <row r="14">
          <cell r="E14">
            <v>191442601.48245835</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Ldauvao"/>
      <sheetName val="GiaNCG205"/>
      <sheetName val="GiaM 062005"/>
      <sheetName val="Sheet1"/>
    </sheetNames>
    <sheetDataSet>
      <sheetData sheetId="0" refreshError="1">
        <row r="11">
          <cell r="H11">
            <v>8318.18</v>
          </cell>
        </row>
      </sheetData>
      <sheetData sheetId="1"/>
      <sheetData sheetId="2"/>
      <sheetData sheetId="3"/>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_MU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
  <sheetViews>
    <sheetView zoomScale="71" zoomScaleNormal="71" workbookViewId="0">
      <selection activeCell="G37" sqref="G37"/>
    </sheetView>
  </sheetViews>
  <sheetFormatPr defaultColWidth="8.6640625" defaultRowHeight="13.2"/>
  <cols>
    <col min="1" max="1" width="6.33203125" customWidth="1"/>
    <col min="2" max="2" width="32.44140625" customWidth="1"/>
    <col min="3" max="3" width="32.33203125" customWidth="1"/>
    <col min="4" max="4" width="18" customWidth="1"/>
    <col min="5" max="5" width="13.44140625" customWidth="1"/>
    <col min="6" max="6" width="15" customWidth="1"/>
    <col min="7" max="7" width="69.6640625" customWidth="1"/>
    <col min="9" max="9" width="10" bestFit="1" customWidth="1"/>
    <col min="10" max="10" width="15.44140625" customWidth="1"/>
    <col min="11" max="11" width="13.6640625" customWidth="1"/>
    <col min="12" max="12" width="14.44140625" customWidth="1"/>
  </cols>
  <sheetData>
    <row r="1" spans="1:12" ht="17.399999999999999">
      <c r="A1" s="145" t="s">
        <v>56</v>
      </c>
      <c r="B1" s="145"/>
      <c r="C1" s="145"/>
      <c r="D1" s="145"/>
      <c r="E1" s="145"/>
      <c r="F1" s="145"/>
      <c r="G1" s="145"/>
    </row>
    <row r="2" spans="1:12" ht="16.8">
      <c r="A2" s="146" t="s">
        <v>126</v>
      </c>
      <c r="B2" s="146"/>
      <c r="C2" s="146"/>
      <c r="D2" s="146"/>
      <c r="E2" s="146"/>
      <c r="F2" s="146"/>
      <c r="G2" s="146"/>
      <c r="L2" s="3"/>
    </row>
    <row r="3" spans="1:12" ht="34.5" customHeight="1">
      <c r="A3" s="147" t="s">
        <v>127</v>
      </c>
      <c r="B3" s="147"/>
      <c r="C3" s="147"/>
      <c r="D3" s="147"/>
      <c r="E3" s="147"/>
      <c r="F3" s="147"/>
      <c r="G3" s="147"/>
      <c r="I3" s="4"/>
      <c r="J3" s="4"/>
      <c r="K3" s="4"/>
      <c r="L3" s="5"/>
    </row>
    <row r="4" spans="1:12" s="7" customFormat="1" ht="15.6">
      <c r="A4" s="6" t="s">
        <v>0</v>
      </c>
      <c r="B4" s="6" t="s">
        <v>57</v>
      </c>
      <c r="C4" s="6" t="s">
        <v>58</v>
      </c>
      <c r="D4" s="6" t="s">
        <v>59</v>
      </c>
      <c r="E4" s="6" t="s">
        <v>60</v>
      </c>
      <c r="F4" s="6" t="s">
        <v>47</v>
      </c>
      <c r="G4" s="6" t="s">
        <v>54</v>
      </c>
      <c r="I4" s="4"/>
      <c r="J4" s="4"/>
      <c r="K4" s="4"/>
      <c r="L4" s="8"/>
    </row>
    <row r="5" spans="1:12" s="7" customFormat="1" ht="15.6">
      <c r="A5" s="6">
        <v>1</v>
      </c>
      <c r="B5" s="9" t="s">
        <v>61</v>
      </c>
      <c r="C5" s="6" t="s">
        <v>62</v>
      </c>
      <c r="D5" s="6"/>
      <c r="E5" s="6"/>
      <c r="F5" s="10">
        <f>SUM(F7:F12)</f>
        <v>73830644.590909094</v>
      </c>
      <c r="G5" s="11" t="s">
        <v>64</v>
      </c>
      <c r="I5" s="4"/>
      <c r="J5" s="4"/>
      <c r="K5" s="4"/>
      <c r="L5" s="8"/>
    </row>
    <row r="6" spans="1:12" s="7" customFormat="1" ht="15.6">
      <c r="A6" s="6" t="s">
        <v>10</v>
      </c>
      <c r="B6" s="9" t="s">
        <v>63</v>
      </c>
      <c r="C6" s="6"/>
      <c r="D6" s="6"/>
      <c r="E6" s="6"/>
      <c r="F6" s="10"/>
      <c r="G6" s="11" t="s">
        <v>129</v>
      </c>
      <c r="I6" s="4"/>
      <c r="J6" s="4"/>
      <c r="K6" s="4"/>
      <c r="L6" s="8"/>
    </row>
    <row r="7" spans="1:12" s="7" customFormat="1" ht="83.25" customHeight="1">
      <c r="A7" s="11"/>
      <c r="B7" s="12" t="s">
        <v>120</v>
      </c>
      <c r="C7" s="11" t="s">
        <v>65</v>
      </c>
      <c r="D7" s="13">
        <f>G37</f>
        <v>289808.38636363635</v>
      </c>
      <c r="E7" s="11">
        <v>48</v>
      </c>
      <c r="F7" s="14">
        <f>D7*E7</f>
        <v>13910802.545454545</v>
      </c>
      <c r="G7" s="15" t="s">
        <v>66</v>
      </c>
      <c r="J7" s="16"/>
      <c r="L7" s="8"/>
    </row>
    <row r="8" spans="1:12" s="7" customFormat="1" ht="44.25" customHeight="1">
      <c r="A8" s="11"/>
      <c r="B8" s="12" t="s">
        <v>121</v>
      </c>
      <c r="C8" s="11" t="s">
        <v>65</v>
      </c>
      <c r="D8" s="13">
        <f>D7</f>
        <v>289808.38636363635</v>
      </c>
      <c r="E8" s="11">
        <v>48</v>
      </c>
      <c r="F8" s="14">
        <f t="shared" ref="F8:F12" si="0">D8*E8</f>
        <v>13910802.545454545</v>
      </c>
      <c r="G8" s="15" t="s">
        <v>67</v>
      </c>
      <c r="J8" s="16"/>
      <c r="L8" s="8"/>
    </row>
    <row r="9" spans="1:12" s="7" customFormat="1" ht="115.5" customHeight="1">
      <c r="A9" s="11"/>
      <c r="B9" s="12" t="s">
        <v>122</v>
      </c>
      <c r="C9" s="11" t="s">
        <v>65</v>
      </c>
      <c r="D9" s="13">
        <f>$G$35</f>
        <v>232368.88636363635</v>
      </c>
      <c r="E9" s="11">
        <v>48</v>
      </c>
      <c r="F9" s="14">
        <f t="shared" si="0"/>
        <v>11153706.545454545</v>
      </c>
      <c r="G9" s="15" t="s">
        <v>118</v>
      </c>
      <c r="I9" s="17"/>
      <c r="J9" s="16"/>
      <c r="K9" s="7">
        <f>12*5</f>
        <v>60</v>
      </c>
      <c r="L9" s="8"/>
    </row>
    <row r="10" spans="1:12" s="7" customFormat="1" ht="70.5" customHeight="1">
      <c r="A10" s="11"/>
      <c r="B10" s="12" t="s">
        <v>123</v>
      </c>
      <c r="C10" s="11" t="s">
        <v>65</v>
      </c>
      <c r="D10" s="13">
        <f t="shared" ref="D10:D12" si="1">$G$35</f>
        <v>232368.88636363635</v>
      </c>
      <c r="E10" s="11">
        <v>48</v>
      </c>
      <c r="F10" s="14">
        <f t="shared" si="0"/>
        <v>11153706.545454545</v>
      </c>
      <c r="G10" s="15" t="s">
        <v>119</v>
      </c>
      <c r="I10" s="17"/>
      <c r="J10" s="16">
        <v>32</v>
      </c>
      <c r="L10" s="8"/>
    </row>
    <row r="11" spans="1:12" s="7" customFormat="1" ht="62.25" customHeight="1">
      <c r="A11" s="11"/>
      <c r="B11" s="12" t="s">
        <v>124</v>
      </c>
      <c r="C11" s="11" t="s">
        <v>65</v>
      </c>
      <c r="D11" s="13">
        <f t="shared" si="1"/>
        <v>232368.88636363635</v>
      </c>
      <c r="E11" s="11">
        <v>36</v>
      </c>
      <c r="F11" s="14">
        <f t="shared" si="0"/>
        <v>8365279.9090909082</v>
      </c>
      <c r="G11" s="15" t="s">
        <v>68</v>
      </c>
      <c r="I11" s="17"/>
      <c r="J11" s="16"/>
    </row>
    <row r="12" spans="1:12" s="7" customFormat="1" ht="78" customHeight="1">
      <c r="A12" s="11"/>
      <c r="B12" s="12" t="s">
        <v>125</v>
      </c>
      <c r="C12" s="11" t="s">
        <v>65</v>
      </c>
      <c r="D12" s="13">
        <f t="shared" si="1"/>
        <v>232368.88636363635</v>
      </c>
      <c r="E12" s="11">
        <v>66</v>
      </c>
      <c r="F12" s="14">
        <f t="shared" si="0"/>
        <v>15336346.5</v>
      </c>
      <c r="G12" s="15" t="s">
        <v>111</v>
      </c>
      <c r="H12" s="7">
        <v>48</v>
      </c>
      <c r="J12" s="16"/>
    </row>
    <row r="13" spans="1:12" s="7" customFormat="1" ht="125.25" customHeight="1">
      <c r="A13" s="6" t="s">
        <v>11</v>
      </c>
      <c r="B13" s="18" t="s">
        <v>69</v>
      </c>
      <c r="C13" s="2" t="s">
        <v>70</v>
      </c>
      <c r="D13" s="19"/>
      <c r="E13" s="6"/>
      <c r="F13" s="20">
        <v>0</v>
      </c>
      <c r="G13" s="6" t="s">
        <v>71</v>
      </c>
      <c r="J13" s="16"/>
    </row>
    <row r="14" spans="1:12" s="7" customFormat="1" ht="16.8">
      <c r="A14" s="6" t="s">
        <v>72</v>
      </c>
      <c r="B14" s="9" t="s">
        <v>73</v>
      </c>
      <c r="C14" s="6" t="s">
        <v>74</v>
      </c>
      <c r="D14" s="6"/>
      <c r="E14" s="6"/>
      <c r="F14" s="21">
        <f>F5*55%</f>
        <v>40606854.525000006</v>
      </c>
      <c r="G14" s="11" t="s">
        <v>75</v>
      </c>
      <c r="J14" s="16"/>
    </row>
    <row r="15" spans="1:12" s="7" customFormat="1" ht="110.25" customHeight="1">
      <c r="A15" s="6" t="s">
        <v>50</v>
      </c>
      <c r="B15" s="9" t="s">
        <v>53</v>
      </c>
      <c r="C15" s="6"/>
      <c r="D15" s="6"/>
      <c r="E15" s="6"/>
      <c r="F15" s="22">
        <f>F16+F17+F18+F19+F20+F21</f>
        <v>23436697.5</v>
      </c>
      <c r="G15" s="11" t="s">
        <v>76</v>
      </c>
      <c r="J15" s="16"/>
    </row>
    <row r="16" spans="1:12" s="7" customFormat="1" ht="63" customHeight="1">
      <c r="A16" s="2"/>
      <c r="B16" s="23" t="s">
        <v>77</v>
      </c>
      <c r="C16" s="24" t="s">
        <v>78</v>
      </c>
      <c r="D16" s="25"/>
      <c r="E16" s="25"/>
      <c r="F16" s="26">
        <v>4692000</v>
      </c>
      <c r="G16" s="2" t="s">
        <v>79</v>
      </c>
      <c r="J16" s="17"/>
    </row>
    <row r="17" spans="1:12" s="7" customFormat="1" ht="15.6">
      <c r="A17" s="2"/>
      <c r="B17" s="23" t="s">
        <v>80</v>
      </c>
      <c r="C17" s="24" t="s">
        <v>78</v>
      </c>
      <c r="D17" s="25"/>
      <c r="E17" s="25"/>
      <c r="F17" s="27">
        <v>3690000</v>
      </c>
      <c r="G17" s="2" t="s">
        <v>79</v>
      </c>
      <c r="J17" s="28"/>
      <c r="K17" s="28"/>
      <c r="L17" s="28"/>
    </row>
    <row r="18" spans="1:12" s="7" customFormat="1" ht="15.6">
      <c r="A18" s="2"/>
      <c r="B18" s="23" t="s">
        <v>81</v>
      </c>
      <c r="C18" s="24" t="s">
        <v>78</v>
      </c>
      <c r="D18" s="25"/>
      <c r="E18" s="25"/>
      <c r="F18" s="27">
        <v>2568000</v>
      </c>
      <c r="G18" s="29" t="s">
        <v>82</v>
      </c>
      <c r="I18" s="7">
        <f>250*6</f>
        <v>1500</v>
      </c>
      <c r="J18"/>
      <c r="K18"/>
      <c r="L18"/>
    </row>
    <row r="19" spans="1:12" s="7" customFormat="1" ht="15.6">
      <c r="A19" s="2"/>
      <c r="B19" s="23" t="s">
        <v>83</v>
      </c>
      <c r="C19" s="24" t="s">
        <v>78</v>
      </c>
      <c r="D19" s="25"/>
      <c r="E19" s="25"/>
      <c r="F19" s="27">
        <v>3617485</v>
      </c>
      <c r="G19" s="2" t="s">
        <v>79</v>
      </c>
      <c r="J19"/>
      <c r="K19"/>
      <c r="L19"/>
    </row>
    <row r="20" spans="1:12" s="7" customFormat="1" ht="31.2">
      <c r="A20" s="2"/>
      <c r="B20" s="23" t="s">
        <v>84</v>
      </c>
      <c r="C20" s="24" t="s">
        <v>78</v>
      </c>
      <c r="D20" s="25"/>
      <c r="E20" s="25"/>
      <c r="F20" s="26">
        <v>3896000</v>
      </c>
      <c r="G20" s="2" t="s">
        <v>79</v>
      </c>
      <c r="J20" s="30">
        <f>F21+778</f>
        <v>4973990.5</v>
      </c>
      <c r="K20"/>
      <c r="L20"/>
    </row>
    <row r="21" spans="1:12" s="7" customFormat="1" ht="31.2">
      <c r="A21" s="2"/>
      <c r="B21" s="23" t="s">
        <v>85</v>
      </c>
      <c r="C21" s="24" t="s">
        <v>78</v>
      </c>
      <c r="D21" s="25"/>
      <c r="E21" s="25"/>
      <c r="F21" s="26">
        <v>4973212.5</v>
      </c>
      <c r="G21" s="2" t="s">
        <v>79</v>
      </c>
      <c r="J21"/>
      <c r="K21"/>
      <c r="L21"/>
    </row>
    <row r="22" spans="1:12" s="7" customFormat="1" ht="16.5" customHeight="1">
      <c r="A22" s="6" t="s">
        <v>51</v>
      </c>
      <c r="B22" s="9" t="s">
        <v>14</v>
      </c>
      <c r="C22" s="6" t="s">
        <v>86</v>
      </c>
      <c r="D22" s="6"/>
      <c r="E22" s="6"/>
      <c r="F22" s="21">
        <f>(F5+F14+F15)*6%</f>
        <v>8272451.7969545461</v>
      </c>
      <c r="G22" s="11" t="s">
        <v>87</v>
      </c>
      <c r="H22" s="31"/>
      <c r="J22" s="10"/>
      <c r="K22" s="32"/>
      <c r="L22" s="7" t="s">
        <v>88</v>
      </c>
    </row>
    <row r="23" spans="1:12" s="7" customFormat="1" ht="15.6">
      <c r="A23" s="6" t="s">
        <v>52</v>
      </c>
      <c r="B23" s="9" t="s">
        <v>89</v>
      </c>
      <c r="C23" s="6" t="s">
        <v>90</v>
      </c>
      <c r="D23" s="6"/>
      <c r="E23" s="6"/>
      <c r="F23" s="21">
        <f>(F5+F14+F15+F22)*10%</f>
        <v>14614664.841286365</v>
      </c>
      <c r="G23" s="11" t="s">
        <v>91</v>
      </c>
      <c r="J23" s="14"/>
      <c r="K23" s="14"/>
    </row>
    <row r="24" spans="1:12" s="7" customFormat="1" ht="15.6">
      <c r="A24" s="11"/>
      <c r="B24" s="9" t="s">
        <v>12</v>
      </c>
      <c r="C24" s="6"/>
      <c r="D24" s="6"/>
      <c r="E24" s="6"/>
      <c r="F24" s="33">
        <f>F5+F14+F15+F22+F23</f>
        <v>160761313.25415</v>
      </c>
      <c r="G24" s="6"/>
      <c r="J24" s="14"/>
      <c r="K24" s="14"/>
    </row>
    <row r="25" spans="1:12" s="7" customFormat="1" ht="18.75" customHeight="1">
      <c r="A25" s="11"/>
      <c r="B25" s="9" t="s">
        <v>92</v>
      </c>
      <c r="C25" s="6"/>
      <c r="D25" s="6"/>
      <c r="E25" s="6"/>
      <c r="F25" s="34">
        <f>ROUNDDOWN(F24,-3)</f>
        <v>160761000</v>
      </c>
      <c r="G25" s="35"/>
      <c r="J25" s="36"/>
      <c r="K25" s="17"/>
    </row>
    <row r="26" spans="1:12" s="28" customFormat="1">
      <c r="J26"/>
      <c r="K26"/>
      <c r="L26"/>
    </row>
    <row r="27" spans="1:12" s="28" customFormat="1" ht="16.8">
      <c r="B27" s="37"/>
      <c r="C27" s="148"/>
      <c r="D27" s="148"/>
      <c r="E27" s="148"/>
      <c r="F27" s="148"/>
      <c r="G27" s="38"/>
      <c r="H27" s="38"/>
      <c r="J27" s="30"/>
      <c r="K27"/>
      <c r="L27"/>
    </row>
    <row r="28" spans="1:12" s="28" customFormat="1" ht="20.25" customHeight="1">
      <c r="F28" s="36">
        <f>F5+F14+F15+F22</f>
        <v>146146648.41286364</v>
      </c>
      <c r="J28"/>
      <c r="K28"/>
      <c r="L28"/>
    </row>
    <row r="29" spans="1:12" ht="17.399999999999999" thickBot="1">
      <c r="A29" s="149"/>
      <c r="B29" s="149"/>
      <c r="C29" s="149"/>
      <c r="D29" s="149"/>
      <c r="E29" s="149"/>
      <c r="F29" s="149"/>
      <c r="G29" s="149"/>
    </row>
    <row r="30" spans="1:12" ht="17.399999999999999">
      <c r="A30" s="150" t="s">
        <v>46</v>
      </c>
      <c r="B30" s="150" t="s">
        <v>93</v>
      </c>
      <c r="C30" s="150" t="s">
        <v>94</v>
      </c>
      <c r="D30" s="150" t="s">
        <v>49</v>
      </c>
      <c r="E30" s="39" t="s">
        <v>95</v>
      </c>
      <c r="F30" s="150" t="s">
        <v>96</v>
      </c>
      <c r="G30" s="150" t="s">
        <v>97</v>
      </c>
      <c r="H30" s="150" t="s">
        <v>98</v>
      </c>
    </row>
    <row r="31" spans="1:12" ht="17.399999999999999">
      <c r="A31" s="151"/>
      <c r="B31" s="151"/>
      <c r="C31" s="151"/>
      <c r="D31" s="151"/>
      <c r="E31" s="40" t="s">
        <v>99</v>
      </c>
      <c r="F31" s="151"/>
      <c r="G31" s="151"/>
      <c r="H31" s="151"/>
    </row>
    <row r="32" spans="1:12" ht="17.399999999999999">
      <c r="A32" s="151"/>
      <c r="B32" s="151"/>
      <c r="C32" s="151"/>
      <c r="D32" s="151"/>
      <c r="E32" s="40" t="s">
        <v>99</v>
      </c>
      <c r="F32" s="151"/>
      <c r="G32" s="151"/>
      <c r="H32" s="151"/>
    </row>
    <row r="33" spans="1:8" ht="18" thickBot="1">
      <c r="A33" s="152"/>
      <c r="B33" s="152"/>
      <c r="C33" s="152"/>
      <c r="D33" s="152"/>
      <c r="E33" s="41" t="s">
        <v>100</v>
      </c>
      <c r="F33" s="152"/>
      <c r="G33" s="152"/>
      <c r="H33" s="152"/>
    </row>
    <row r="34" spans="1:8" ht="18.600000000000001" thickBot="1">
      <c r="A34" s="42">
        <v>1</v>
      </c>
      <c r="B34" s="43">
        <v>2.34</v>
      </c>
      <c r="C34" s="44">
        <f>$C$45*B34</f>
        <v>3486600</v>
      </c>
      <c r="D34" s="44">
        <f>7%*C34</f>
        <v>244062.00000000003</v>
      </c>
      <c r="E34" s="44">
        <f>21.5%*C34</f>
        <v>749619</v>
      </c>
      <c r="F34" s="44">
        <f t="shared" ref="F34:F42" si="2">SUM(C34:E34)</f>
        <v>4480281</v>
      </c>
      <c r="G34" s="45">
        <f>F34/22</f>
        <v>203649.13636363635</v>
      </c>
      <c r="H34" s="45">
        <f>G34/8</f>
        <v>25456.142045454544</v>
      </c>
    </row>
    <row r="35" spans="1:8" ht="18.600000000000001" thickBot="1">
      <c r="A35" s="46">
        <v>2</v>
      </c>
      <c r="B35" s="43">
        <v>2.67</v>
      </c>
      <c r="C35" s="44">
        <f t="shared" ref="C35:C42" si="3">$C$45*B35</f>
        <v>3978300</v>
      </c>
      <c r="D35" s="44">
        <f t="shared" ref="D35:D42" si="4">7%*C35</f>
        <v>278481</v>
      </c>
      <c r="E35" s="44">
        <f t="shared" ref="E35:E42" si="5">21.5%*C35</f>
        <v>855334.5</v>
      </c>
      <c r="F35" s="44">
        <f t="shared" si="2"/>
        <v>5112115.5</v>
      </c>
      <c r="G35" s="45">
        <f t="shared" ref="G35:G41" si="6">F35/22</f>
        <v>232368.88636363635</v>
      </c>
      <c r="H35" s="45">
        <f t="shared" ref="H35:H42" si="7">G35/8</f>
        <v>29046.110795454544</v>
      </c>
    </row>
    <row r="36" spans="1:8" ht="18.600000000000001" thickBot="1">
      <c r="A36" s="42">
        <v>3</v>
      </c>
      <c r="B36" s="47">
        <v>3</v>
      </c>
      <c r="C36" s="44">
        <f t="shared" si="3"/>
        <v>4470000</v>
      </c>
      <c r="D36" s="44">
        <f t="shared" si="4"/>
        <v>312900.00000000006</v>
      </c>
      <c r="E36" s="44">
        <f t="shared" si="5"/>
        <v>961050</v>
      </c>
      <c r="F36" s="44">
        <f t="shared" si="2"/>
        <v>5743950</v>
      </c>
      <c r="G36" s="45">
        <f t="shared" si="6"/>
        <v>261088.63636363635</v>
      </c>
      <c r="H36" s="45">
        <f t="shared" si="7"/>
        <v>32636.079545454544</v>
      </c>
    </row>
    <row r="37" spans="1:8" ht="18.600000000000001" thickBot="1">
      <c r="A37" s="46">
        <v>4</v>
      </c>
      <c r="B37" s="43">
        <v>3.33</v>
      </c>
      <c r="C37" s="44">
        <f t="shared" si="3"/>
        <v>4961700</v>
      </c>
      <c r="D37" s="44">
        <f t="shared" si="4"/>
        <v>347319.00000000006</v>
      </c>
      <c r="E37" s="44">
        <f t="shared" si="5"/>
        <v>1066765.5</v>
      </c>
      <c r="F37" s="44">
        <f t="shared" si="2"/>
        <v>6375784.5</v>
      </c>
      <c r="G37" s="45">
        <f t="shared" si="6"/>
        <v>289808.38636363635</v>
      </c>
      <c r="H37" s="45">
        <f t="shared" si="7"/>
        <v>36226.048295454544</v>
      </c>
    </row>
    <row r="38" spans="1:8" ht="18.600000000000001" thickBot="1">
      <c r="A38" s="48">
        <v>5</v>
      </c>
      <c r="B38" s="43">
        <v>3.66</v>
      </c>
      <c r="C38" s="44">
        <f t="shared" si="3"/>
        <v>5453400</v>
      </c>
      <c r="D38" s="44">
        <f t="shared" si="4"/>
        <v>381738.00000000006</v>
      </c>
      <c r="E38" s="44">
        <f t="shared" si="5"/>
        <v>1172481</v>
      </c>
      <c r="F38" s="44">
        <f t="shared" si="2"/>
        <v>7007619</v>
      </c>
      <c r="G38" s="45">
        <f t="shared" si="6"/>
        <v>318528.13636363635</v>
      </c>
      <c r="H38" s="45">
        <f t="shared" si="7"/>
        <v>39816.017045454544</v>
      </c>
    </row>
    <row r="39" spans="1:8" ht="18.600000000000001" thickBot="1">
      <c r="A39" s="48">
        <v>6</v>
      </c>
      <c r="B39" s="43">
        <v>3.99</v>
      </c>
      <c r="C39" s="44">
        <f t="shared" si="3"/>
        <v>5945100</v>
      </c>
      <c r="D39" s="44">
        <f t="shared" si="4"/>
        <v>416157.00000000006</v>
      </c>
      <c r="E39" s="44">
        <f t="shared" si="5"/>
        <v>1278196.5</v>
      </c>
      <c r="F39" s="44">
        <f t="shared" si="2"/>
        <v>7639453.5</v>
      </c>
      <c r="G39" s="45">
        <f t="shared" si="6"/>
        <v>347247.88636363635</v>
      </c>
      <c r="H39" s="45">
        <f t="shared" si="7"/>
        <v>43405.985795454544</v>
      </c>
    </row>
    <row r="40" spans="1:8" ht="18.600000000000001" thickBot="1">
      <c r="A40" s="48">
        <v>7</v>
      </c>
      <c r="B40" s="43">
        <v>4.32</v>
      </c>
      <c r="C40" s="44">
        <f t="shared" si="3"/>
        <v>6436800</v>
      </c>
      <c r="D40" s="44">
        <f t="shared" si="4"/>
        <v>450576.00000000006</v>
      </c>
      <c r="E40" s="44">
        <f t="shared" si="5"/>
        <v>1383912</v>
      </c>
      <c r="F40" s="44">
        <f t="shared" si="2"/>
        <v>8271288</v>
      </c>
      <c r="G40" s="45">
        <f t="shared" si="6"/>
        <v>375967.63636363635</v>
      </c>
      <c r="H40" s="45">
        <f t="shared" si="7"/>
        <v>46995.954545454544</v>
      </c>
    </row>
    <row r="41" spans="1:8" ht="18.75" customHeight="1" thickBot="1">
      <c r="A41" s="48">
        <v>8</v>
      </c>
      <c r="B41" s="43">
        <v>4.6500000000000004</v>
      </c>
      <c r="C41" s="44">
        <f t="shared" si="3"/>
        <v>6928500.0000000009</v>
      </c>
      <c r="D41" s="44">
        <f t="shared" si="4"/>
        <v>484995.00000000012</v>
      </c>
      <c r="E41" s="44">
        <f t="shared" si="5"/>
        <v>1489627.5000000002</v>
      </c>
      <c r="F41" s="44">
        <f t="shared" si="2"/>
        <v>8903122.5000000019</v>
      </c>
      <c r="G41" s="45">
        <f t="shared" si="6"/>
        <v>404687.38636363647</v>
      </c>
      <c r="H41" s="45">
        <f t="shared" si="7"/>
        <v>50585.923295454559</v>
      </c>
    </row>
    <row r="42" spans="1:8" ht="18.75" customHeight="1" thickBot="1">
      <c r="A42" s="48">
        <v>9</v>
      </c>
      <c r="B42" s="43">
        <v>4.9800000000000004</v>
      </c>
      <c r="C42" s="44">
        <f t="shared" si="3"/>
        <v>7420200.0000000009</v>
      </c>
      <c r="D42" s="44">
        <f t="shared" si="4"/>
        <v>519414.00000000012</v>
      </c>
      <c r="E42" s="44">
        <f t="shared" si="5"/>
        <v>1595343.0000000002</v>
      </c>
      <c r="F42" s="44">
        <f t="shared" si="2"/>
        <v>9534957.0000000019</v>
      </c>
      <c r="G42" s="45">
        <f>F42/22</f>
        <v>433407.13636363647</v>
      </c>
      <c r="H42" s="45">
        <f t="shared" si="7"/>
        <v>54175.892045454559</v>
      </c>
    </row>
    <row r="43" spans="1:8" ht="18">
      <c r="A43" s="49"/>
      <c r="B43" s="50"/>
      <c r="C43" s="51"/>
      <c r="D43" s="51"/>
      <c r="E43" s="51"/>
      <c r="F43" s="51"/>
      <c r="G43" s="51"/>
      <c r="H43" s="51"/>
    </row>
    <row r="45" spans="1:8" ht="18">
      <c r="A45" s="153" t="s">
        <v>101</v>
      </c>
      <c r="B45" s="154"/>
      <c r="C45" s="52">
        <v>1490000</v>
      </c>
      <c r="E45" s="155"/>
      <c r="F45" s="155"/>
      <c r="G45" s="155"/>
      <c r="H45" s="155"/>
    </row>
    <row r="46" spans="1:8" ht="18.75" customHeight="1">
      <c r="A46" s="156" t="s">
        <v>102</v>
      </c>
      <c r="B46" s="156"/>
      <c r="C46" s="156"/>
      <c r="D46" s="156"/>
      <c r="E46" s="156"/>
      <c r="F46" s="156"/>
      <c r="G46" s="156"/>
      <c r="H46" s="156"/>
    </row>
    <row r="47" spans="1:8" ht="18.75" customHeight="1">
      <c r="A47" s="144" t="s">
        <v>103</v>
      </c>
      <c r="B47" s="144"/>
      <c r="C47" s="144"/>
      <c r="D47" s="144"/>
      <c r="E47" s="144"/>
      <c r="F47" s="144"/>
      <c r="G47" s="144"/>
      <c r="H47" s="144"/>
    </row>
    <row r="48" spans="1:8" ht="18.75" customHeight="1">
      <c r="A48" s="144" t="s">
        <v>104</v>
      </c>
      <c r="B48" s="144"/>
      <c r="C48" s="144"/>
      <c r="D48" s="144"/>
      <c r="E48" s="144"/>
      <c r="F48" s="144"/>
      <c r="G48" s="144"/>
      <c r="H48" s="144"/>
    </row>
    <row r="49" spans="1:8" ht="18.75" customHeight="1">
      <c r="A49" s="144" t="s">
        <v>105</v>
      </c>
      <c r="B49" s="144"/>
      <c r="C49" s="144"/>
      <c r="D49" s="144"/>
      <c r="E49" s="144"/>
      <c r="F49" s="144"/>
      <c r="G49" s="144"/>
      <c r="H49" s="144"/>
    </row>
    <row r="50" spans="1:8" ht="18.75" customHeight="1">
      <c r="A50" s="144" t="s">
        <v>106</v>
      </c>
      <c r="B50" s="144"/>
      <c r="C50" s="144"/>
      <c r="D50" s="144"/>
      <c r="E50" s="144"/>
      <c r="F50" s="144"/>
      <c r="G50" s="144"/>
      <c r="H50" s="144"/>
    </row>
    <row r="51" spans="1:8" ht="18.75" customHeight="1">
      <c r="A51" s="144" t="s">
        <v>107</v>
      </c>
      <c r="B51" s="144"/>
      <c r="C51" s="144"/>
      <c r="D51" s="144"/>
      <c r="E51" s="144"/>
      <c r="F51" s="144"/>
      <c r="G51" s="144"/>
      <c r="H51" s="144"/>
    </row>
    <row r="52" spans="1:8" ht="18.75" customHeight="1">
      <c r="A52" s="144" t="s">
        <v>108</v>
      </c>
      <c r="B52" s="144"/>
      <c r="C52" s="144"/>
      <c r="D52" s="144"/>
      <c r="E52" s="144"/>
      <c r="F52" s="144"/>
      <c r="G52" s="144"/>
      <c r="H52" s="144"/>
    </row>
    <row r="53" spans="1:8" ht="18.75" customHeight="1">
      <c r="A53" s="144" t="s">
        <v>109</v>
      </c>
      <c r="B53" s="144"/>
      <c r="C53" s="144"/>
      <c r="D53" s="144"/>
      <c r="E53" s="144"/>
      <c r="F53" s="144"/>
      <c r="G53" s="144"/>
      <c r="H53" s="144"/>
    </row>
    <row r="54" spans="1:8" ht="18.75" customHeight="1">
      <c r="A54" s="144" t="s">
        <v>110</v>
      </c>
      <c r="B54" s="144"/>
      <c r="C54" s="144"/>
      <c r="D54" s="144"/>
      <c r="E54" s="144"/>
      <c r="F54" s="144"/>
      <c r="G54" s="144"/>
      <c r="H54" s="144"/>
    </row>
  </sheetData>
  <mergeCells count="23">
    <mergeCell ref="A47:H47"/>
    <mergeCell ref="A1:G1"/>
    <mergeCell ref="A2:G2"/>
    <mergeCell ref="A3:G3"/>
    <mergeCell ref="C27:F27"/>
    <mergeCell ref="A29:G29"/>
    <mergeCell ref="A30:A33"/>
    <mergeCell ref="B30:B33"/>
    <mergeCell ref="C30:C33"/>
    <mergeCell ref="D30:D33"/>
    <mergeCell ref="F30:F33"/>
    <mergeCell ref="G30:G33"/>
    <mergeCell ref="H30:H33"/>
    <mergeCell ref="A45:B45"/>
    <mergeCell ref="E45:H45"/>
    <mergeCell ref="A46:H46"/>
    <mergeCell ref="A54:H54"/>
    <mergeCell ref="A48:H48"/>
    <mergeCell ref="A49:H49"/>
    <mergeCell ref="A50:H50"/>
    <mergeCell ref="A51:H51"/>
    <mergeCell ref="A52:H52"/>
    <mergeCell ref="A53:H5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sheetPr>
  <dimension ref="A1:N40"/>
  <sheetViews>
    <sheetView topLeftCell="A25" workbookViewId="0">
      <selection activeCell="B40" sqref="B40"/>
    </sheetView>
  </sheetViews>
  <sheetFormatPr defaultRowHeight="13.2"/>
  <cols>
    <col min="1" max="1" width="6.6640625" customWidth="1"/>
    <col min="2" max="2" width="48.44140625" customWidth="1"/>
    <col min="3" max="3" width="29.33203125" customWidth="1"/>
    <col min="4" max="4" width="13.5546875" customWidth="1"/>
    <col min="5" max="5" width="12.5546875" customWidth="1"/>
    <col min="6" max="6" width="14.6640625" customWidth="1"/>
    <col min="7" max="7" width="27.33203125" customWidth="1"/>
    <col min="9" max="9" width="13.44140625" customWidth="1"/>
    <col min="10" max="10" width="15.44140625" customWidth="1"/>
    <col min="11" max="11" width="13" customWidth="1"/>
    <col min="12" max="12" width="16.44140625" customWidth="1"/>
    <col min="13" max="13" width="14.5546875" customWidth="1"/>
  </cols>
  <sheetData>
    <row r="1" spans="1:13" ht="17.399999999999999">
      <c r="A1" s="145" t="s">
        <v>112</v>
      </c>
      <c r="B1" s="145"/>
      <c r="C1" s="145"/>
      <c r="D1" s="145"/>
      <c r="E1" s="145"/>
      <c r="F1" s="145"/>
      <c r="G1" s="145"/>
    </row>
    <row r="2" spans="1:13" ht="16.8">
      <c r="A2" s="146"/>
      <c r="B2" s="146"/>
      <c r="C2" s="146"/>
      <c r="D2" s="146"/>
      <c r="E2" s="146"/>
      <c r="F2" s="146"/>
      <c r="G2" s="146"/>
    </row>
    <row r="3" spans="1:13" ht="16.8">
      <c r="A3" s="157" t="s">
        <v>113</v>
      </c>
      <c r="B3" s="157"/>
      <c r="C3" s="157"/>
      <c r="D3" s="157"/>
      <c r="E3" s="157"/>
      <c r="F3" s="157"/>
      <c r="G3" s="157"/>
      <c r="M3" s="7"/>
    </row>
    <row r="4" spans="1:13">
      <c r="L4" s="7"/>
      <c r="M4" s="7"/>
    </row>
    <row r="5" spans="1:13" s="7" customFormat="1" ht="15.6">
      <c r="A5" s="6" t="s">
        <v>0</v>
      </c>
      <c r="B5" s="6" t="s">
        <v>57</v>
      </c>
      <c r="C5" s="6" t="s">
        <v>58</v>
      </c>
      <c r="D5" s="6" t="s">
        <v>59</v>
      </c>
      <c r="E5" s="6" t="s">
        <v>60</v>
      </c>
      <c r="F5" s="6" t="s">
        <v>47</v>
      </c>
      <c r="G5" s="6" t="s">
        <v>54</v>
      </c>
      <c r="M5" s="8"/>
    </row>
    <row r="6" spans="1:13" s="7" customFormat="1" ht="15.6">
      <c r="A6" s="6">
        <v>1</v>
      </c>
      <c r="B6" s="9" t="s">
        <v>114</v>
      </c>
      <c r="C6" s="6"/>
      <c r="D6" s="6"/>
      <c r="E6" s="6"/>
      <c r="F6" s="10">
        <f>SUM(F8:F33)</f>
        <v>92424209.090909079</v>
      </c>
      <c r="G6" s="11" t="s">
        <v>64</v>
      </c>
      <c r="M6" s="8"/>
    </row>
    <row r="7" spans="1:13" s="7" customFormat="1" ht="16.8">
      <c r="A7" s="53" t="s">
        <v>1</v>
      </c>
      <c r="B7" s="54" t="s">
        <v>16</v>
      </c>
      <c r="C7" s="6"/>
      <c r="D7" s="6"/>
      <c r="E7" s="6"/>
      <c r="F7" s="10"/>
      <c r="G7" s="11"/>
      <c r="M7" s="8"/>
    </row>
    <row r="8" spans="1:13" s="7" customFormat="1" ht="50.4">
      <c r="A8" s="11">
        <v>1</v>
      </c>
      <c r="B8" s="55" t="s">
        <v>17</v>
      </c>
      <c r="C8" s="11" t="s">
        <v>65</v>
      </c>
      <c r="D8" s="13">
        <v>258168.18181818182</v>
      </c>
      <c r="E8" s="11">
        <v>14</v>
      </c>
      <c r="F8" s="56">
        <f>D8*E8</f>
        <v>3614354.5454545454</v>
      </c>
      <c r="G8" s="15"/>
      <c r="M8" s="8"/>
    </row>
    <row r="9" spans="1:13" s="7" customFormat="1" ht="33.6">
      <c r="A9" s="11">
        <v>2</v>
      </c>
      <c r="B9" s="55" t="s">
        <v>18</v>
      </c>
      <c r="C9" s="11" t="s">
        <v>65</v>
      </c>
      <c r="D9" s="13">
        <v>258168.18181818182</v>
      </c>
      <c r="E9" s="11">
        <v>14</v>
      </c>
      <c r="F9" s="56">
        <f t="shared" ref="F9:F33" si="0">D9*E9</f>
        <v>3614354.5454545454</v>
      </c>
      <c r="G9" s="15"/>
      <c r="M9" s="8"/>
    </row>
    <row r="10" spans="1:13" s="7" customFormat="1" ht="16.8">
      <c r="A10" s="53" t="s">
        <v>2</v>
      </c>
      <c r="B10" s="54" t="s">
        <v>19</v>
      </c>
      <c r="C10" s="11"/>
      <c r="D10" s="13"/>
      <c r="E10" s="11"/>
      <c r="F10" s="56"/>
      <c r="G10" s="15"/>
      <c r="M10" s="8"/>
    </row>
    <row r="11" spans="1:13" s="7" customFormat="1" ht="18.75" customHeight="1">
      <c r="A11" s="57">
        <v>1</v>
      </c>
      <c r="B11" s="55" t="s">
        <v>20</v>
      </c>
      <c r="C11" s="11" t="s">
        <v>65</v>
      </c>
      <c r="D11" s="13">
        <v>258168.18181818182</v>
      </c>
      <c r="E11" s="11">
        <v>6</v>
      </c>
      <c r="F11" s="56">
        <f t="shared" si="0"/>
        <v>1549009.0909090908</v>
      </c>
      <c r="G11" s="15"/>
    </row>
    <row r="12" spans="1:13" s="7" customFormat="1" ht="18" customHeight="1">
      <c r="A12" s="57">
        <v>2</v>
      </c>
      <c r="B12" s="55" t="s">
        <v>21</v>
      </c>
      <c r="C12" s="11" t="s">
        <v>65</v>
      </c>
      <c r="D12" s="13">
        <v>258168.18181818182</v>
      </c>
      <c r="E12" s="11">
        <v>11</v>
      </c>
      <c r="F12" s="56">
        <f t="shared" si="0"/>
        <v>2839850</v>
      </c>
      <c r="G12" s="15"/>
    </row>
    <row r="13" spans="1:13" s="7" customFormat="1" ht="33.6">
      <c r="A13" s="57">
        <v>3</v>
      </c>
      <c r="B13" s="55" t="s">
        <v>22</v>
      </c>
      <c r="C13" s="11" t="s">
        <v>65</v>
      </c>
      <c r="D13" s="13">
        <v>258168.18181818182</v>
      </c>
      <c r="E13" s="11">
        <v>5</v>
      </c>
      <c r="F13" s="56">
        <f t="shared" si="0"/>
        <v>1290840.9090909092</v>
      </c>
      <c r="G13" s="15"/>
    </row>
    <row r="14" spans="1:13" s="7" customFormat="1" ht="16.8">
      <c r="A14" s="53" t="s">
        <v>3</v>
      </c>
      <c r="B14" s="54" t="s">
        <v>26</v>
      </c>
      <c r="C14" s="11"/>
      <c r="D14" s="13"/>
      <c r="E14" s="11"/>
      <c r="F14" s="56"/>
      <c r="G14" s="15"/>
    </row>
    <row r="15" spans="1:13" s="7" customFormat="1" ht="16.8">
      <c r="A15" s="57">
        <v>1</v>
      </c>
      <c r="B15" s="55" t="s">
        <v>27</v>
      </c>
      <c r="C15" s="11" t="s">
        <v>65</v>
      </c>
      <c r="D15" s="13">
        <v>258168.18181818182</v>
      </c>
      <c r="E15" s="11">
        <v>30</v>
      </c>
      <c r="F15" s="56">
        <f t="shared" si="0"/>
        <v>7745045.4545454551</v>
      </c>
      <c r="G15" s="15"/>
    </row>
    <row r="16" spans="1:13" s="7" customFormat="1" ht="50.4">
      <c r="A16" s="57">
        <v>2</v>
      </c>
      <c r="B16" s="55" t="s">
        <v>28</v>
      </c>
      <c r="C16" s="11" t="s">
        <v>65</v>
      </c>
      <c r="D16" s="13">
        <v>258168.18181818182</v>
      </c>
      <c r="E16" s="11">
        <v>12</v>
      </c>
      <c r="F16" s="56">
        <f t="shared" si="0"/>
        <v>3098018.1818181816</v>
      </c>
      <c r="G16" s="15"/>
    </row>
    <row r="17" spans="1:7" s="7" customFormat="1" ht="33.6">
      <c r="A17" s="57">
        <v>3</v>
      </c>
      <c r="B17" s="55" t="s">
        <v>29</v>
      </c>
      <c r="C17" s="11" t="s">
        <v>65</v>
      </c>
      <c r="D17" s="13">
        <v>258168.18181818182</v>
      </c>
      <c r="E17" s="11">
        <v>12</v>
      </c>
      <c r="F17" s="56">
        <f t="shared" si="0"/>
        <v>3098018.1818181816</v>
      </c>
      <c r="G17" s="15"/>
    </row>
    <row r="18" spans="1:7" s="7" customFormat="1" ht="16.8">
      <c r="A18" s="57">
        <v>4</v>
      </c>
      <c r="B18" s="55" t="s">
        <v>30</v>
      </c>
      <c r="C18" s="11" t="s">
        <v>65</v>
      </c>
      <c r="D18" s="13">
        <v>258168.18181818182</v>
      </c>
      <c r="E18" s="11">
        <v>12</v>
      </c>
      <c r="F18" s="56">
        <f t="shared" si="0"/>
        <v>3098018.1818181816</v>
      </c>
      <c r="G18" s="15"/>
    </row>
    <row r="19" spans="1:7" s="7" customFormat="1" ht="50.4">
      <c r="A19" s="57">
        <v>5</v>
      </c>
      <c r="B19" s="55" t="s">
        <v>31</v>
      </c>
      <c r="C19" s="11" t="s">
        <v>65</v>
      </c>
      <c r="D19" s="13">
        <v>258168.18181818182</v>
      </c>
      <c r="E19" s="11">
        <v>12</v>
      </c>
      <c r="F19" s="56">
        <f t="shared" si="0"/>
        <v>3098018.1818181816</v>
      </c>
      <c r="G19" s="15"/>
    </row>
    <row r="20" spans="1:7" s="7" customFormat="1" ht="33.6">
      <c r="A20" s="57">
        <v>6</v>
      </c>
      <c r="B20" s="55" t="s">
        <v>32</v>
      </c>
      <c r="C20" s="11" t="s">
        <v>65</v>
      </c>
      <c r="D20" s="13">
        <v>258168.18181818182</v>
      </c>
      <c r="E20" s="11">
        <v>12</v>
      </c>
      <c r="F20" s="56">
        <f t="shared" si="0"/>
        <v>3098018.1818181816</v>
      </c>
      <c r="G20" s="15"/>
    </row>
    <row r="21" spans="1:7" s="7" customFormat="1" ht="16.8">
      <c r="A21" s="57">
        <v>7</v>
      </c>
      <c r="B21" s="55" t="s">
        <v>33</v>
      </c>
      <c r="C21" s="11" t="s">
        <v>65</v>
      </c>
      <c r="D21" s="13">
        <v>258168.18181818182</v>
      </c>
      <c r="E21" s="11">
        <v>12</v>
      </c>
      <c r="F21" s="56">
        <f t="shared" si="0"/>
        <v>3098018.1818181816</v>
      </c>
      <c r="G21" s="15"/>
    </row>
    <row r="22" spans="1:7" s="7" customFormat="1" ht="16.8">
      <c r="A22" s="57">
        <v>8</v>
      </c>
      <c r="B22" s="55" t="s">
        <v>34</v>
      </c>
      <c r="C22" s="11" t="s">
        <v>65</v>
      </c>
      <c r="D22" s="13">
        <v>258168.18181818182</v>
      </c>
      <c r="E22" s="11">
        <v>25</v>
      </c>
      <c r="F22" s="56">
        <f t="shared" si="0"/>
        <v>6454204.5454545459</v>
      </c>
      <c r="G22" s="15"/>
    </row>
    <row r="23" spans="1:7" s="7" customFormat="1" ht="50.4">
      <c r="A23" s="57">
        <v>9</v>
      </c>
      <c r="B23" s="55" t="s">
        <v>35</v>
      </c>
      <c r="C23" s="11" t="s">
        <v>65</v>
      </c>
      <c r="D23" s="13">
        <v>258168.18181818182</v>
      </c>
      <c r="E23" s="11">
        <v>5</v>
      </c>
      <c r="F23" s="56">
        <f t="shared" si="0"/>
        <v>1290840.9090909092</v>
      </c>
      <c r="G23" s="15"/>
    </row>
    <row r="24" spans="1:7" s="7" customFormat="1" ht="67.2">
      <c r="A24" s="57">
        <v>10</v>
      </c>
      <c r="B24" s="55" t="s">
        <v>36</v>
      </c>
      <c r="C24" s="11" t="s">
        <v>65</v>
      </c>
      <c r="D24" s="13">
        <v>258168.18181818182</v>
      </c>
      <c r="E24" s="11">
        <v>24</v>
      </c>
      <c r="F24" s="56">
        <f t="shared" si="0"/>
        <v>6196036.3636363633</v>
      </c>
      <c r="G24" s="15"/>
    </row>
    <row r="25" spans="1:7" s="7" customFormat="1" ht="18" customHeight="1">
      <c r="A25" s="57">
        <v>11</v>
      </c>
      <c r="B25" s="55" t="s">
        <v>37</v>
      </c>
      <c r="C25" s="11" t="s">
        <v>65</v>
      </c>
      <c r="D25" s="13">
        <v>258168.18181818182</v>
      </c>
      <c r="E25" s="11">
        <v>10</v>
      </c>
      <c r="F25" s="56">
        <f t="shared" si="0"/>
        <v>2581681.8181818184</v>
      </c>
      <c r="G25" s="15"/>
    </row>
    <row r="26" spans="1:7" s="7" customFormat="1" ht="50.4">
      <c r="A26" s="57">
        <v>12</v>
      </c>
      <c r="B26" s="55" t="s">
        <v>38</v>
      </c>
      <c r="C26" s="11" t="s">
        <v>65</v>
      </c>
      <c r="D26" s="13">
        <v>258168.18181818182</v>
      </c>
      <c r="E26" s="11">
        <v>10</v>
      </c>
      <c r="F26" s="56">
        <f t="shared" si="0"/>
        <v>2581681.8181818184</v>
      </c>
      <c r="G26" s="15"/>
    </row>
    <row r="27" spans="1:7" s="7" customFormat="1" ht="16.8">
      <c r="A27" s="57">
        <v>13</v>
      </c>
      <c r="B27" s="55" t="s">
        <v>39</v>
      </c>
      <c r="C27" s="11" t="s">
        <v>65</v>
      </c>
      <c r="D27" s="13">
        <v>258168.18181818182</v>
      </c>
      <c r="E27" s="11">
        <v>10</v>
      </c>
      <c r="F27" s="56">
        <f t="shared" si="0"/>
        <v>2581681.8181818184</v>
      </c>
      <c r="G27" s="15"/>
    </row>
    <row r="28" spans="1:7" s="7" customFormat="1" ht="16.8">
      <c r="A28" s="53" t="s">
        <v>25</v>
      </c>
      <c r="B28" s="54" t="s">
        <v>41</v>
      </c>
      <c r="C28" s="11"/>
      <c r="D28" s="13"/>
      <c r="E28" s="11"/>
      <c r="F28" s="56"/>
      <c r="G28" s="15"/>
    </row>
    <row r="29" spans="1:7" s="7" customFormat="1" ht="18" customHeight="1">
      <c r="A29" s="57">
        <v>1</v>
      </c>
      <c r="B29" s="55" t="s">
        <v>42</v>
      </c>
      <c r="C29" s="11" t="s">
        <v>65</v>
      </c>
      <c r="D29" s="13">
        <v>258168.18181818182</v>
      </c>
      <c r="E29" s="11">
        <v>50</v>
      </c>
      <c r="F29" s="56">
        <f t="shared" si="0"/>
        <v>12908409.090909092</v>
      </c>
      <c r="G29" s="15"/>
    </row>
    <row r="30" spans="1:7" s="7" customFormat="1" ht="33.6">
      <c r="A30" s="57">
        <v>2</v>
      </c>
      <c r="B30" s="55" t="s">
        <v>43</v>
      </c>
      <c r="C30" s="11" t="s">
        <v>65</v>
      </c>
      <c r="D30" s="13">
        <v>258168.18181818182</v>
      </c>
      <c r="E30" s="11">
        <v>50</v>
      </c>
      <c r="F30" s="56">
        <f t="shared" si="0"/>
        <v>12908409.090909092</v>
      </c>
      <c r="G30" s="15"/>
    </row>
    <row r="31" spans="1:7" s="7" customFormat="1" ht="16.8">
      <c r="A31" s="53" t="s">
        <v>40</v>
      </c>
      <c r="B31" s="54" t="s">
        <v>44</v>
      </c>
      <c r="C31" s="11"/>
      <c r="D31" s="13"/>
      <c r="E31" s="11"/>
      <c r="F31" s="56"/>
      <c r="G31" s="15"/>
    </row>
    <row r="32" spans="1:7" s="7" customFormat="1" ht="18.75" customHeight="1">
      <c r="A32" s="57">
        <v>1</v>
      </c>
      <c r="B32" s="55" t="s">
        <v>45</v>
      </c>
      <c r="C32" s="11" t="s">
        <v>65</v>
      </c>
      <c r="D32" s="13">
        <v>258168.18181818182</v>
      </c>
      <c r="E32" s="11">
        <v>10</v>
      </c>
      <c r="F32" s="56">
        <f t="shared" si="0"/>
        <v>2581681.8181818184</v>
      </c>
      <c r="G32" s="15"/>
    </row>
    <row r="33" spans="1:14" s="7" customFormat="1" ht="20.25" customHeight="1">
      <c r="A33" s="57">
        <v>2</v>
      </c>
      <c r="B33" s="55" t="s">
        <v>48</v>
      </c>
      <c r="C33" s="11" t="s">
        <v>65</v>
      </c>
      <c r="D33" s="13">
        <v>258168.18181818182</v>
      </c>
      <c r="E33" s="11">
        <v>12</v>
      </c>
      <c r="F33" s="56">
        <f t="shared" si="0"/>
        <v>3098018.1818181816</v>
      </c>
      <c r="G33" s="15"/>
    </row>
    <row r="34" spans="1:14" s="7" customFormat="1" ht="15.6">
      <c r="A34" s="6" t="s">
        <v>72</v>
      </c>
      <c r="B34" s="9" t="s">
        <v>73</v>
      </c>
      <c r="C34" s="58" t="s">
        <v>115</v>
      </c>
      <c r="D34" s="6"/>
      <c r="E34" s="6"/>
      <c r="F34" s="59">
        <f>F6*65%</f>
        <v>60075735.909090906</v>
      </c>
      <c r="G34" s="11" t="s">
        <v>75</v>
      </c>
    </row>
    <row r="35" spans="1:14" s="7" customFormat="1" ht="15.6">
      <c r="A35" s="6" t="s">
        <v>50</v>
      </c>
      <c r="B35" s="9" t="s">
        <v>53</v>
      </c>
      <c r="C35" s="6"/>
      <c r="D35" s="6"/>
      <c r="E35" s="6"/>
      <c r="F35" s="22">
        <v>0</v>
      </c>
      <c r="G35" s="11" t="s">
        <v>76</v>
      </c>
      <c r="J35" s="28"/>
      <c r="K35" s="36"/>
      <c r="L35" s="28"/>
      <c r="M35" s="28"/>
    </row>
    <row r="36" spans="1:14" s="7" customFormat="1" ht="15.6">
      <c r="A36" s="6" t="s">
        <v>51</v>
      </c>
      <c r="B36" s="9" t="s">
        <v>14</v>
      </c>
      <c r="C36" s="58" t="s">
        <v>86</v>
      </c>
      <c r="D36" s="58"/>
      <c r="E36" s="58"/>
      <c r="F36" s="59">
        <f>(F6+F34+F35)*6%</f>
        <v>9149996.6999999993</v>
      </c>
      <c r="G36" s="11" t="s">
        <v>87</v>
      </c>
      <c r="J36" s="36"/>
      <c r="K36" s="17"/>
      <c r="L36" s="17"/>
    </row>
    <row r="37" spans="1:14" s="7" customFormat="1" ht="15.6">
      <c r="A37" s="6" t="s">
        <v>52</v>
      </c>
      <c r="B37" s="9" t="s">
        <v>89</v>
      </c>
      <c r="C37" s="6" t="s">
        <v>90</v>
      </c>
      <c r="D37" s="6"/>
      <c r="E37" s="6"/>
      <c r="F37" s="59">
        <f>(F6+F34+F35+F36)*10%</f>
        <v>16164994.17</v>
      </c>
      <c r="G37" s="11" t="s">
        <v>91</v>
      </c>
      <c r="J37"/>
      <c r="K37"/>
      <c r="L37"/>
      <c r="M37"/>
      <c r="N37" s="28"/>
    </row>
    <row r="38" spans="1:14" s="28" customFormat="1" ht="15.6">
      <c r="A38" s="11"/>
      <c r="B38" s="9" t="s">
        <v>12</v>
      </c>
      <c r="C38" s="6"/>
      <c r="D38" s="6"/>
      <c r="E38" s="6"/>
      <c r="F38" s="33">
        <f>F6+F34+F35+F36+F37</f>
        <v>177814935.86999997</v>
      </c>
      <c r="G38" s="6"/>
      <c r="J38"/>
      <c r="K38"/>
      <c r="L38"/>
      <c r="M38"/>
    </row>
    <row r="39" spans="1:14" s="28" customFormat="1">
      <c r="J39"/>
      <c r="K39"/>
      <c r="L39"/>
      <c r="M39"/>
      <c r="N39"/>
    </row>
    <row r="40" spans="1:14" ht="16.8">
      <c r="A40" s="28"/>
      <c r="B40" s="37"/>
      <c r="C40" s="148"/>
      <c r="D40" s="148"/>
      <c r="E40" s="148"/>
      <c r="F40" s="148"/>
      <c r="G40" s="60"/>
    </row>
  </sheetData>
  <mergeCells count="4">
    <mergeCell ref="A1:G1"/>
    <mergeCell ref="A2:G2"/>
    <mergeCell ref="A3:G3"/>
    <mergeCell ref="C40:F4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sheetPr>
  <dimension ref="A1:N16"/>
  <sheetViews>
    <sheetView workbookViewId="0">
      <selection activeCell="E8" sqref="E8"/>
    </sheetView>
  </sheetViews>
  <sheetFormatPr defaultColWidth="9.33203125" defaultRowHeight="15"/>
  <cols>
    <col min="1" max="1" width="6.6640625" style="61" customWidth="1"/>
    <col min="2" max="2" width="51.6640625" style="61" customWidth="1"/>
    <col min="3" max="3" width="28.33203125" style="61" customWidth="1"/>
    <col min="4" max="4" width="13.5546875" style="61" customWidth="1"/>
    <col min="5" max="5" width="12.5546875" style="61" customWidth="1"/>
    <col min="6" max="6" width="14.6640625" style="61" customWidth="1"/>
    <col min="7" max="7" width="10.6640625" style="61" customWidth="1"/>
    <col min="8" max="8" width="9.33203125" style="61"/>
    <col min="9" max="9" width="13.44140625" style="61" customWidth="1"/>
    <col min="10" max="10" width="15.44140625" style="61" customWidth="1"/>
    <col min="11" max="11" width="13" style="61" customWidth="1"/>
    <col min="12" max="12" width="16.44140625" style="61" customWidth="1"/>
    <col min="13" max="13" width="14.5546875" style="61" customWidth="1"/>
    <col min="14" max="16384" width="9.33203125" style="61"/>
  </cols>
  <sheetData>
    <row r="1" spans="1:14" ht="15.6">
      <c r="A1" s="158" t="s">
        <v>116</v>
      </c>
      <c r="B1" s="158"/>
      <c r="C1" s="158"/>
      <c r="D1" s="158"/>
      <c r="E1" s="158"/>
      <c r="F1" s="158"/>
      <c r="G1" s="158"/>
    </row>
    <row r="2" spans="1:14" ht="15.6">
      <c r="A2" s="159"/>
      <c r="B2" s="159"/>
      <c r="C2" s="159"/>
      <c r="D2" s="159"/>
      <c r="E2" s="159"/>
      <c r="F2" s="159"/>
      <c r="G2" s="159"/>
    </row>
    <row r="3" spans="1:14" ht="30" customHeight="1">
      <c r="A3" s="160" t="s">
        <v>128</v>
      </c>
      <c r="B3" s="160"/>
      <c r="C3" s="160"/>
      <c r="D3" s="160"/>
      <c r="E3" s="160"/>
      <c r="F3" s="160"/>
      <c r="G3" s="160"/>
      <c r="M3" s="1"/>
    </row>
    <row r="4" spans="1:14" ht="15.6">
      <c r="L4" s="1"/>
      <c r="M4" s="1"/>
    </row>
    <row r="5" spans="1:14" s="1" customFormat="1" ht="15.6">
      <c r="A5" s="6" t="s">
        <v>0</v>
      </c>
      <c r="B5" s="6" t="s">
        <v>57</v>
      </c>
      <c r="C5" s="6" t="s">
        <v>58</v>
      </c>
      <c r="D5" s="6" t="s">
        <v>59</v>
      </c>
      <c r="E5" s="6" t="s">
        <v>60</v>
      </c>
      <c r="F5" s="6" t="s">
        <v>47</v>
      </c>
      <c r="G5" s="6" t="s">
        <v>54</v>
      </c>
      <c r="M5" s="62"/>
    </row>
    <row r="6" spans="1:14" s="1" customFormat="1" ht="15.6">
      <c r="A6" s="6">
        <v>1</v>
      </c>
      <c r="B6" s="9" t="s">
        <v>114</v>
      </c>
      <c r="C6" s="6"/>
      <c r="D6" s="6"/>
      <c r="E6" s="6"/>
      <c r="F6" s="10" t="e">
        <f>SUM(F7:F9)</f>
        <v>#REF!</v>
      </c>
      <c r="G6" s="11" t="s">
        <v>64</v>
      </c>
      <c r="M6" s="62"/>
    </row>
    <row r="7" spans="1:14" s="1" customFormat="1" ht="18" customHeight="1">
      <c r="A7" s="63" t="s">
        <v>10</v>
      </c>
      <c r="B7" s="64" t="s">
        <v>23</v>
      </c>
      <c r="C7" s="11" t="s">
        <v>65</v>
      </c>
      <c r="D7" s="13" t="e">
        <f>#REF!</f>
        <v>#REF!</v>
      </c>
      <c r="E7" s="11">
        <v>14</v>
      </c>
      <c r="F7" s="56" t="e">
        <f>D7*E7</f>
        <v>#REF!</v>
      </c>
      <c r="G7" s="15"/>
      <c r="M7" s="62"/>
    </row>
    <row r="8" spans="1:14" s="1" customFormat="1" ht="46.8">
      <c r="A8" s="63" t="s">
        <v>11</v>
      </c>
      <c r="B8" s="65" t="s">
        <v>117</v>
      </c>
      <c r="C8" s="11" t="s">
        <v>65</v>
      </c>
      <c r="D8" s="13" t="e">
        <f>#REF!</f>
        <v>#REF!</v>
      </c>
      <c r="E8" s="11">
        <v>5</v>
      </c>
      <c r="F8" s="56" t="e">
        <f>D8*E8</f>
        <v>#REF!</v>
      </c>
      <c r="G8" s="15"/>
      <c r="M8" s="62"/>
    </row>
    <row r="9" spans="1:14" s="1" customFormat="1" ht="31.2">
      <c r="A9" s="63" t="s">
        <v>55</v>
      </c>
      <c r="B9" s="65" t="s">
        <v>24</v>
      </c>
      <c r="C9" s="11" t="s">
        <v>65</v>
      </c>
      <c r="D9" s="13" t="e">
        <f>#REF!</f>
        <v>#REF!</v>
      </c>
      <c r="E9" s="11">
        <v>5</v>
      </c>
      <c r="F9" s="56" t="e">
        <f>D9*E9</f>
        <v>#REF!</v>
      </c>
      <c r="G9" s="15"/>
      <c r="M9" s="62"/>
    </row>
    <row r="10" spans="1:14" s="1" customFormat="1" ht="15.6">
      <c r="A10" s="6" t="s">
        <v>72</v>
      </c>
      <c r="B10" s="9" t="s">
        <v>73</v>
      </c>
      <c r="C10" s="58" t="s">
        <v>74</v>
      </c>
      <c r="D10" s="6"/>
      <c r="E10" s="6"/>
      <c r="F10" s="59" t="e">
        <f>F6*55%</f>
        <v>#REF!</v>
      </c>
      <c r="G10" s="11" t="s">
        <v>75</v>
      </c>
    </row>
    <row r="11" spans="1:14" s="1" customFormat="1" ht="15.6">
      <c r="A11" s="6" t="s">
        <v>50</v>
      </c>
      <c r="B11" s="9" t="s">
        <v>53</v>
      </c>
      <c r="C11" s="6"/>
      <c r="D11" s="6"/>
      <c r="E11" s="6"/>
      <c r="F11" s="22">
        <v>0</v>
      </c>
      <c r="G11" s="11" t="s">
        <v>76</v>
      </c>
      <c r="J11" s="66"/>
      <c r="K11" s="67"/>
      <c r="L11" s="66"/>
      <c r="M11" s="66"/>
    </row>
    <row r="12" spans="1:14" s="1" customFormat="1" ht="15.6">
      <c r="A12" s="6" t="s">
        <v>51</v>
      </c>
      <c r="B12" s="9" t="s">
        <v>14</v>
      </c>
      <c r="C12" s="58" t="s">
        <v>86</v>
      </c>
      <c r="D12" s="58"/>
      <c r="E12" s="58"/>
      <c r="F12" s="59" t="e">
        <f>(F6+F10+F11)*6%</f>
        <v>#REF!</v>
      </c>
      <c r="G12" s="11" t="s">
        <v>87</v>
      </c>
      <c r="J12" s="67"/>
      <c r="K12" s="68"/>
      <c r="L12" s="68"/>
    </row>
    <row r="13" spans="1:14" s="1" customFormat="1" ht="15.6">
      <c r="A13" s="6" t="s">
        <v>52</v>
      </c>
      <c r="B13" s="9" t="s">
        <v>89</v>
      </c>
      <c r="C13" s="6" t="s">
        <v>90</v>
      </c>
      <c r="D13" s="6"/>
      <c r="E13" s="6"/>
      <c r="F13" s="59" t="e">
        <f>(F6+F10+F11+F12)*10%</f>
        <v>#REF!</v>
      </c>
      <c r="G13" s="11" t="s">
        <v>91</v>
      </c>
      <c r="J13" s="61"/>
      <c r="K13" s="61"/>
      <c r="L13" s="61"/>
      <c r="M13" s="61"/>
      <c r="N13" s="66"/>
    </row>
    <row r="14" spans="1:14" s="66" customFormat="1" ht="15.6">
      <c r="A14" s="11"/>
      <c r="B14" s="9" t="s">
        <v>12</v>
      </c>
      <c r="C14" s="6"/>
      <c r="D14" s="6"/>
      <c r="E14" s="6"/>
      <c r="F14" s="33" t="e">
        <f>F6+F10+F11+F12+F13</f>
        <v>#REF!</v>
      </c>
      <c r="G14" s="6"/>
      <c r="J14" s="61"/>
      <c r="K14" s="61"/>
      <c r="L14" s="61"/>
      <c r="M14" s="61"/>
    </row>
    <row r="15" spans="1:14" s="66" customFormat="1" ht="15.6">
      <c r="J15" s="61"/>
      <c r="K15" s="61"/>
      <c r="L15" s="61"/>
      <c r="M15" s="61"/>
      <c r="N15" s="61"/>
    </row>
    <row r="16" spans="1:14" ht="15.6">
      <c r="A16" s="66"/>
      <c r="B16" s="69"/>
      <c r="C16" s="161"/>
      <c r="D16" s="161"/>
      <c r="E16" s="161"/>
      <c r="F16" s="161"/>
      <c r="G16" s="70"/>
    </row>
  </sheetData>
  <mergeCells count="4">
    <mergeCell ref="A1:G1"/>
    <mergeCell ref="A2:G2"/>
    <mergeCell ref="A3:G3"/>
    <mergeCell ref="C16:F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C2" sqref="C2:E7"/>
    </sheetView>
  </sheetViews>
  <sheetFormatPr defaultColWidth="8.88671875" defaultRowHeight="14.4"/>
  <cols>
    <col min="1" max="1" width="6.6640625" style="72" customWidth="1"/>
    <col min="2" max="2" width="25.6640625" style="72" customWidth="1"/>
    <col min="3" max="3" width="19.33203125" style="72" customWidth="1"/>
    <col min="4" max="4" width="16.33203125" style="72" customWidth="1"/>
    <col min="5" max="5" width="24.5546875" style="72" customWidth="1"/>
    <col min="6" max="16384" width="8.88671875" style="72"/>
  </cols>
  <sheetData>
    <row r="1" spans="1:5" ht="34.799999999999997">
      <c r="A1" s="71" t="s">
        <v>0</v>
      </c>
      <c r="B1" s="71" t="s">
        <v>130</v>
      </c>
      <c r="C1" s="71" t="s">
        <v>131</v>
      </c>
      <c r="D1" s="71" t="s">
        <v>132</v>
      </c>
      <c r="E1" s="71" t="s">
        <v>133</v>
      </c>
    </row>
    <row r="2" spans="1:5" ht="18">
      <c r="A2" s="73">
        <v>1</v>
      </c>
      <c r="B2" s="74" t="s">
        <v>134</v>
      </c>
      <c r="C2" s="75">
        <f>TMĐT!D4</f>
        <v>5255606871.4753389</v>
      </c>
      <c r="D2" s="75">
        <f>TMĐT!E4</f>
        <v>0</v>
      </c>
      <c r="E2" s="75">
        <f>TMĐT!F4</f>
        <v>5255606871.4753389</v>
      </c>
    </row>
    <row r="3" spans="1:5" ht="18">
      <c r="A3" s="73">
        <v>2</v>
      </c>
      <c r="B3" s="74" t="s">
        <v>135</v>
      </c>
      <c r="C3" s="75">
        <f>TMĐT!D8</f>
        <v>120000000</v>
      </c>
      <c r="D3" s="75">
        <f>TMĐT!E8</f>
        <v>9600000</v>
      </c>
      <c r="E3" s="75">
        <f>TMĐT!F8</f>
        <v>129600000</v>
      </c>
    </row>
    <row r="4" spans="1:5" ht="18">
      <c r="A4" s="73">
        <v>3</v>
      </c>
      <c r="B4" s="74" t="s">
        <v>136</v>
      </c>
      <c r="C4" s="75">
        <f>TMĐT!D10</f>
        <v>240749473.92592591</v>
      </c>
      <c r="D4" s="75">
        <f>TMĐT!E10</f>
        <v>19259957.914074071</v>
      </c>
      <c r="E4" s="75">
        <f>TMĐT!F10</f>
        <v>260009431.83999997</v>
      </c>
    </row>
    <row r="5" spans="1:5" ht="18">
      <c r="A5" s="73">
        <v>4</v>
      </c>
      <c r="B5" s="76" t="s">
        <v>53</v>
      </c>
      <c r="C5" s="75">
        <f>TMĐT!D15</f>
        <v>310491684.92092693</v>
      </c>
      <c r="D5" s="75">
        <f>TMĐT!E15</f>
        <v>0</v>
      </c>
      <c r="E5" s="75">
        <f>TMĐT!F15</f>
        <v>310491684.92092693</v>
      </c>
    </row>
    <row r="6" spans="1:5" ht="18">
      <c r="A6" s="73">
        <v>5</v>
      </c>
      <c r="B6" s="76" t="s">
        <v>137</v>
      </c>
      <c r="C6" s="75">
        <f>TMĐT!D18</f>
        <v>44292011.763733864</v>
      </c>
      <c r="D6" s="75">
        <f>TMĐT!E18</f>
        <v>0</v>
      </c>
      <c r="E6" s="75">
        <f>TMĐT!F18</f>
        <v>44292011.763733864</v>
      </c>
    </row>
    <row r="7" spans="1:5" ht="17.399999999999999">
      <c r="A7" s="77"/>
      <c r="B7" s="78" t="s">
        <v>138</v>
      </c>
      <c r="C7" s="79">
        <f>SUM(C2:C6)</f>
        <v>5971140042.0859261</v>
      </c>
      <c r="D7" s="79">
        <f t="shared" ref="D7:E7" si="0">SUM(D2:D6)</f>
        <v>28859957.914074071</v>
      </c>
      <c r="E7" s="79">
        <f t="shared" si="0"/>
        <v>6000000000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tabSelected="1" topLeftCell="A7" zoomScale="60" zoomScaleNormal="85" workbookViewId="0">
      <selection activeCell="N12" sqref="N12"/>
    </sheetView>
  </sheetViews>
  <sheetFormatPr defaultColWidth="8.88671875" defaultRowHeight="14.4"/>
  <cols>
    <col min="1" max="1" width="5.44140625" style="72" customWidth="1"/>
    <col min="2" max="2" width="46.33203125" style="72" customWidth="1"/>
    <col min="3" max="3" width="24.6640625" style="72" customWidth="1"/>
    <col min="4" max="4" width="19.5546875" style="72" customWidth="1"/>
    <col min="5" max="5" width="14.5546875" style="72" customWidth="1"/>
    <col min="6" max="6" width="18" style="72" bestFit="1" customWidth="1"/>
    <col min="7" max="7" width="40.33203125" style="72" customWidth="1"/>
    <col min="8" max="8" width="19.5546875" style="72" customWidth="1"/>
    <col min="9" max="9" width="13.109375" style="72" bestFit="1" customWidth="1"/>
    <col min="10" max="10" width="14.88671875" style="72" customWidth="1"/>
    <col min="11" max="16384" width="8.88671875" style="72"/>
  </cols>
  <sheetData>
    <row r="1" spans="1:10" ht="17.399999999999999">
      <c r="C1" s="72" t="s">
        <v>139</v>
      </c>
      <c r="D1" s="143">
        <v>6000000000</v>
      </c>
    </row>
    <row r="3" spans="1:10" ht="34.799999999999997">
      <c r="A3" s="80" t="s">
        <v>140</v>
      </c>
      <c r="B3" s="80" t="s">
        <v>141</v>
      </c>
      <c r="C3" s="80" t="s">
        <v>13</v>
      </c>
      <c r="D3" s="80" t="s">
        <v>142</v>
      </c>
      <c r="E3" s="80" t="s">
        <v>143</v>
      </c>
      <c r="F3" s="80" t="s">
        <v>144</v>
      </c>
      <c r="G3" s="80" t="s">
        <v>201</v>
      </c>
    </row>
    <row r="4" spans="1:10" ht="30.6" customHeight="1">
      <c r="A4" s="81" t="s">
        <v>4</v>
      </c>
      <c r="B4" s="82" t="s">
        <v>145</v>
      </c>
      <c r="C4" s="83"/>
      <c r="D4" s="84">
        <f>SUM(D5:D7)</f>
        <v>5255606871.4753389</v>
      </c>
      <c r="E4" s="116">
        <f>SUM(E5:E6)</f>
        <v>0</v>
      </c>
      <c r="F4" s="84">
        <f>SUM(F5:F7)</f>
        <v>5255606871.4753389</v>
      </c>
      <c r="G4" s="83"/>
    </row>
    <row r="5" spans="1:10" ht="61.95" customHeight="1">
      <c r="A5" s="85">
        <v>1</v>
      </c>
      <c r="B5" s="86" t="s">
        <v>146</v>
      </c>
      <c r="C5" s="87" t="s">
        <v>148</v>
      </c>
      <c r="D5" s="88">
        <v>4731983332.4599991</v>
      </c>
      <c r="E5" s="115">
        <v>0</v>
      </c>
      <c r="F5" s="88">
        <f t="shared" ref="F5" si="0">E5+D5</f>
        <v>4731983332.4599991</v>
      </c>
      <c r="G5" s="111" t="s">
        <v>198</v>
      </c>
      <c r="H5" s="90"/>
      <c r="J5" s="72">
        <f>D5*8%</f>
        <v>378558666.59679991</v>
      </c>
    </row>
    <row r="6" spans="1:10" ht="61.95" customHeight="1">
      <c r="A6" s="110">
        <v>2</v>
      </c>
      <c r="B6" s="136" t="s">
        <v>197</v>
      </c>
      <c r="C6" s="87" t="s">
        <v>148</v>
      </c>
      <c r="D6" s="137">
        <v>357423539.01533997</v>
      </c>
      <c r="E6" s="138">
        <v>0</v>
      </c>
      <c r="F6" s="137">
        <f>D6+E6</f>
        <v>357423539.01533997</v>
      </c>
      <c r="G6" s="111" t="s">
        <v>198</v>
      </c>
      <c r="H6" s="90"/>
    </row>
    <row r="7" spans="1:10" ht="61.95" customHeight="1">
      <c r="A7" s="110">
        <v>3</v>
      </c>
      <c r="B7" s="136" t="s">
        <v>205</v>
      </c>
      <c r="C7" s="87" t="s">
        <v>148</v>
      </c>
      <c r="D7" s="137">
        <v>166200000</v>
      </c>
      <c r="E7" s="138">
        <v>0</v>
      </c>
      <c r="F7" s="137">
        <f>D7+E7</f>
        <v>166200000</v>
      </c>
      <c r="G7" s="111" t="s">
        <v>198</v>
      </c>
      <c r="H7" s="90"/>
    </row>
    <row r="8" spans="1:10" ht="38.4" customHeight="1">
      <c r="A8" s="91" t="s">
        <v>5</v>
      </c>
      <c r="B8" s="92" t="s">
        <v>147</v>
      </c>
      <c r="C8" s="93"/>
      <c r="D8" s="84">
        <f>D9</f>
        <v>120000000</v>
      </c>
      <c r="E8" s="116">
        <f t="shared" ref="E8:F8" si="1">E9</f>
        <v>9600000</v>
      </c>
      <c r="F8" s="84">
        <f t="shared" si="1"/>
        <v>129600000</v>
      </c>
      <c r="G8" s="110"/>
      <c r="H8" s="90"/>
      <c r="I8" s="90"/>
    </row>
    <row r="9" spans="1:10" ht="46.95" customHeight="1">
      <c r="A9" s="94">
        <v>1</v>
      </c>
      <c r="B9" s="95" t="s">
        <v>202</v>
      </c>
      <c r="C9" s="87" t="s">
        <v>148</v>
      </c>
      <c r="D9" s="88">
        <v>120000000</v>
      </c>
      <c r="E9" s="115">
        <f>D9*8%</f>
        <v>9600000</v>
      </c>
      <c r="F9" s="88">
        <f t="shared" ref="F9" si="2">E9+D9</f>
        <v>129600000</v>
      </c>
      <c r="G9" s="111" t="s">
        <v>200</v>
      </c>
      <c r="H9" s="90"/>
    </row>
    <row r="10" spans="1:10" ht="40.200000000000003" customHeight="1">
      <c r="A10" s="80" t="s">
        <v>6</v>
      </c>
      <c r="B10" s="82" t="s">
        <v>149</v>
      </c>
      <c r="C10" s="96"/>
      <c r="D10" s="84">
        <f>SUM(D11:D14)</f>
        <v>240749473.92592591</v>
      </c>
      <c r="E10" s="116">
        <f>SUM(E11:E14)</f>
        <v>19259957.914074071</v>
      </c>
      <c r="F10" s="84">
        <f>SUM(F11:F14)</f>
        <v>260009431.83999997</v>
      </c>
      <c r="G10" s="112"/>
    </row>
    <row r="11" spans="1:10" ht="37.200000000000003" customHeight="1">
      <c r="A11" s="83">
        <v>1</v>
      </c>
      <c r="B11" s="86" t="s">
        <v>150</v>
      </c>
      <c r="C11" s="87" t="s">
        <v>209</v>
      </c>
      <c r="D11" s="88">
        <v>175925925.92592591</v>
      </c>
      <c r="E11" s="115">
        <f>D11*8%</f>
        <v>14074074.074074073</v>
      </c>
      <c r="F11" s="88">
        <f t="shared" ref="F11:F14" si="3">E11+D11</f>
        <v>189999999.99999997</v>
      </c>
      <c r="G11" s="109" t="s">
        <v>208</v>
      </c>
      <c r="H11" s="90"/>
      <c r="I11" s="90"/>
    </row>
    <row r="12" spans="1:10" ht="60.75" customHeight="1">
      <c r="A12" s="83">
        <v>2</v>
      </c>
      <c r="B12" s="86" t="s">
        <v>151</v>
      </c>
      <c r="C12" s="87" t="s">
        <v>209</v>
      </c>
      <c r="D12" s="88">
        <v>14823548</v>
      </c>
      <c r="E12" s="115">
        <f>D12*8%</f>
        <v>1185883.8400000001</v>
      </c>
      <c r="F12" s="88">
        <f t="shared" si="3"/>
        <v>16009431.84</v>
      </c>
      <c r="G12" s="109" t="s">
        <v>210</v>
      </c>
      <c r="H12" s="90"/>
      <c r="I12" s="90"/>
    </row>
    <row r="13" spans="1:10" s="98" customFormat="1" ht="43.2" customHeight="1">
      <c r="A13" s="83">
        <v>3</v>
      </c>
      <c r="B13" s="86" t="s">
        <v>152</v>
      </c>
      <c r="C13" s="87" t="s">
        <v>148</v>
      </c>
      <c r="D13" s="105">
        <v>30000000</v>
      </c>
      <c r="E13" s="115">
        <f>D13*8%</f>
        <v>2400000</v>
      </c>
      <c r="F13" s="105">
        <f t="shared" si="3"/>
        <v>32400000</v>
      </c>
      <c r="G13" s="109" t="s">
        <v>160</v>
      </c>
      <c r="H13" s="97"/>
    </row>
    <row r="14" spans="1:10" s="98" customFormat="1" ht="51.6" customHeight="1">
      <c r="A14" s="83">
        <v>4</v>
      </c>
      <c r="B14" s="86" t="s">
        <v>153</v>
      </c>
      <c r="C14" s="87" t="s">
        <v>148</v>
      </c>
      <c r="D14" s="105">
        <v>20000000</v>
      </c>
      <c r="E14" s="115">
        <f>D14*8%</f>
        <v>1600000</v>
      </c>
      <c r="F14" s="105">
        <f t="shared" si="3"/>
        <v>21600000</v>
      </c>
      <c r="G14" s="109" t="s">
        <v>160</v>
      </c>
      <c r="H14" s="97"/>
    </row>
    <row r="15" spans="1:10" ht="36" customHeight="1">
      <c r="A15" s="81" t="s">
        <v>7</v>
      </c>
      <c r="B15" s="82" t="s">
        <v>154</v>
      </c>
      <c r="C15" s="99"/>
      <c r="D15" s="84">
        <f>SUM(D16:D17)</f>
        <v>310491684.92092693</v>
      </c>
      <c r="E15" s="84">
        <f>SUM(E16:E17)</f>
        <v>0</v>
      </c>
      <c r="F15" s="84">
        <f>SUM(F16:F17)</f>
        <v>310491684.92092693</v>
      </c>
      <c r="G15" s="113"/>
    </row>
    <row r="16" spans="1:10" ht="55.95" customHeight="1">
      <c r="A16" s="100">
        <v>1</v>
      </c>
      <c r="B16" s="101" t="s">
        <v>155</v>
      </c>
      <c r="C16" s="87" t="s">
        <v>148</v>
      </c>
      <c r="D16" s="102">
        <v>288278390</v>
      </c>
      <c r="E16" s="115">
        <v>0</v>
      </c>
      <c r="F16" s="102">
        <f t="shared" ref="F16" si="4">E16+D16</f>
        <v>288278390</v>
      </c>
      <c r="G16" s="111" t="s">
        <v>198</v>
      </c>
      <c r="H16" s="90"/>
    </row>
    <row r="17" spans="1:8" ht="51" customHeight="1">
      <c r="A17" s="100">
        <v>2</v>
      </c>
      <c r="B17" s="106" t="s">
        <v>158</v>
      </c>
      <c r="C17" s="167" t="s">
        <v>206</v>
      </c>
      <c r="D17" s="102">
        <f>D21*0.53743%*70%</f>
        <v>22213294.92092691</v>
      </c>
      <c r="E17" s="107"/>
      <c r="F17" s="108">
        <f>E17+D17</f>
        <v>22213294.92092691</v>
      </c>
      <c r="G17" s="114" t="s">
        <v>207</v>
      </c>
      <c r="H17" s="90"/>
    </row>
    <row r="18" spans="1:8" ht="36.6" customHeight="1">
      <c r="A18" s="81" t="s">
        <v>8</v>
      </c>
      <c r="B18" s="82" t="s">
        <v>156</v>
      </c>
      <c r="C18" s="89" t="s">
        <v>203</v>
      </c>
      <c r="D18" s="84">
        <v>44292011.763733864</v>
      </c>
      <c r="E18" s="117">
        <v>0</v>
      </c>
      <c r="F18" s="103">
        <f>D18</f>
        <v>44292011.763733864</v>
      </c>
      <c r="G18" s="83" t="s">
        <v>204</v>
      </c>
      <c r="H18" s="90"/>
    </row>
    <row r="19" spans="1:8" ht="30" customHeight="1">
      <c r="A19" s="83"/>
      <c r="B19" s="104" t="s">
        <v>15</v>
      </c>
      <c r="C19" s="112" t="s">
        <v>157</v>
      </c>
      <c r="D19" s="84">
        <f>SUM(D4,D8,D10,D15,D18)</f>
        <v>5971140042.0859261</v>
      </c>
      <c r="E19" s="84">
        <f>SUM(E4,E8,E10,E15,E18)</f>
        <v>28859957.914074071</v>
      </c>
      <c r="F19" s="84">
        <f>SUM(F4,F8,F10,F15,F18)</f>
        <v>6000000000</v>
      </c>
      <c r="G19" s="80"/>
    </row>
    <row r="20" spans="1:8">
      <c r="F20" s="90"/>
    </row>
    <row r="21" spans="1:8">
      <c r="C21" s="140" t="s">
        <v>199</v>
      </c>
      <c r="D21" s="141">
        <f>D16++D10+D8+D4</f>
        <v>5904634735.4012651</v>
      </c>
      <c r="E21" s="142">
        <v>6000000000</v>
      </c>
    </row>
    <row r="22" spans="1:8">
      <c r="E22" s="90">
        <f>E21-F19</f>
        <v>0</v>
      </c>
    </row>
    <row r="23" spans="1:8">
      <c r="E23" s="139">
        <f>D18/F19</f>
        <v>7.3820019606223109E-3</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workbookViewId="0">
      <selection activeCell="C4" sqref="C4"/>
    </sheetView>
  </sheetViews>
  <sheetFormatPr defaultColWidth="8.6640625" defaultRowHeight="17.399999999999999"/>
  <cols>
    <col min="1" max="1" width="7.109375" style="119" customWidth="1"/>
    <col min="2" max="2" width="45.33203125" style="119" customWidth="1"/>
    <col min="3" max="3" width="34.33203125" style="119" customWidth="1"/>
    <col min="4" max="4" width="18.33203125" style="119" bestFit="1" customWidth="1"/>
    <col min="5" max="16384" width="8.6640625" style="119"/>
  </cols>
  <sheetData>
    <row r="1" spans="1:4">
      <c r="A1" s="162" t="s">
        <v>0</v>
      </c>
      <c r="B1" s="162" t="s">
        <v>141</v>
      </c>
      <c r="C1" s="120" t="s">
        <v>161</v>
      </c>
      <c r="D1" s="120"/>
    </row>
    <row r="2" spans="1:4">
      <c r="A2" s="162"/>
      <c r="B2" s="162"/>
      <c r="C2" s="118" t="s">
        <v>162</v>
      </c>
    </row>
    <row r="3" spans="1:4">
      <c r="A3" s="81" t="s">
        <v>4</v>
      </c>
      <c r="B3" s="82" t="s">
        <v>145</v>
      </c>
      <c r="C3" s="84">
        <f>SUM(C4:C4)</f>
        <v>5255606871.4753389</v>
      </c>
    </row>
    <row r="4" spans="1:4" ht="18">
      <c r="A4" s="85">
        <v>1</v>
      </c>
      <c r="B4" s="86" t="s">
        <v>146</v>
      </c>
      <c r="C4" s="88">
        <f>TMĐT!F4</f>
        <v>5255606871.4753389</v>
      </c>
    </row>
    <row r="5" spans="1:4">
      <c r="A5" s="91" t="s">
        <v>5</v>
      </c>
      <c r="B5" s="92" t="s">
        <v>147</v>
      </c>
      <c r="C5" s="84">
        <f t="shared" ref="C5" si="0">C6</f>
        <v>129600000</v>
      </c>
    </row>
    <row r="6" spans="1:4" ht="36">
      <c r="A6" s="94">
        <v>1</v>
      </c>
      <c r="B6" s="95" t="s">
        <v>159</v>
      </c>
      <c r="C6" s="88">
        <f>TMĐT!F9</f>
        <v>129600000</v>
      </c>
    </row>
    <row r="7" spans="1:4">
      <c r="A7" s="80" t="s">
        <v>6</v>
      </c>
      <c r="B7" s="82" t="s">
        <v>149</v>
      </c>
      <c r="C7" s="84">
        <f>SUM(C8:C11)</f>
        <v>260009431.83999997</v>
      </c>
    </row>
    <row r="8" spans="1:4" ht="18">
      <c r="A8" s="83">
        <v>1</v>
      </c>
      <c r="B8" s="86" t="s">
        <v>150</v>
      </c>
      <c r="C8" s="88">
        <f>TMĐT!F11</f>
        <v>189999999.99999997</v>
      </c>
    </row>
    <row r="9" spans="1:4" ht="36">
      <c r="A9" s="83">
        <v>2</v>
      </c>
      <c r="B9" s="86" t="s">
        <v>151</v>
      </c>
      <c r="C9" s="88">
        <f>TMĐT!F12</f>
        <v>16009431.84</v>
      </c>
    </row>
    <row r="10" spans="1:4" ht="18">
      <c r="A10" s="83">
        <v>3</v>
      </c>
      <c r="B10" s="86" t="s">
        <v>152</v>
      </c>
      <c r="C10" s="88">
        <f>TMĐT!F13</f>
        <v>32400000</v>
      </c>
    </row>
    <row r="11" spans="1:4" ht="36">
      <c r="A11" s="83">
        <v>4</v>
      </c>
      <c r="B11" s="86" t="s">
        <v>153</v>
      </c>
      <c r="C11" s="88">
        <f>TMĐT!F14</f>
        <v>21600000</v>
      </c>
    </row>
    <row r="12" spans="1:4" ht="34.799999999999997">
      <c r="A12" s="81" t="s">
        <v>7</v>
      </c>
      <c r="B12" s="82" t="s">
        <v>154</v>
      </c>
      <c r="C12" s="84" t="e">
        <f>SUM(C13:C15)</f>
        <v>#REF!</v>
      </c>
    </row>
    <row r="13" spans="1:4" ht="18">
      <c r="A13" s="100">
        <v>1</v>
      </c>
      <c r="B13" s="101" t="s">
        <v>155</v>
      </c>
      <c r="C13" s="88">
        <f>TMĐT!F16</f>
        <v>288278390</v>
      </c>
    </row>
    <row r="14" spans="1:4" ht="18">
      <c r="A14" s="100">
        <v>2</v>
      </c>
      <c r="B14" s="106" t="s">
        <v>195</v>
      </c>
      <c r="C14" s="88" t="e">
        <f>TMĐT!#REF!</f>
        <v>#REF!</v>
      </c>
    </row>
    <row r="15" spans="1:4" ht="18">
      <c r="A15" s="100">
        <v>3</v>
      </c>
      <c r="B15" s="106" t="s">
        <v>158</v>
      </c>
      <c r="C15" s="88">
        <f>TMĐT!F17</f>
        <v>22213294.92092691</v>
      </c>
    </row>
    <row r="16" spans="1:4">
      <c r="A16" s="81" t="s">
        <v>8</v>
      </c>
      <c r="B16" s="82" t="s">
        <v>156</v>
      </c>
      <c r="C16" s="103">
        <f>TMĐT!F18</f>
        <v>44292011.763733864</v>
      </c>
    </row>
    <row r="17" spans="1:4">
      <c r="A17" s="118"/>
      <c r="B17" s="118" t="s">
        <v>12</v>
      </c>
      <c r="C17" s="84" t="e">
        <f>SUM(C3,C5,C7,C12,C16)</f>
        <v>#REF!</v>
      </c>
    </row>
    <row r="19" spans="1:4">
      <c r="D19" s="121"/>
    </row>
  </sheetData>
  <mergeCells count="2">
    <mergeCell ref="A1:A2"/>
    <mergeCell ref="B1:B2"/>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I16"/>
  <sheetViews>
    <sheetView view="pageBreakPreview" zoomScaleNormal="100" zoomScaleSheetLayoutView="100" workbookViewId="0">
      <selection activeCell="C15" sqref="C15"/>
    </sheetView>
  </sheetViews>
  <sheetFormatPr defaultColWidth="8.44140625" defaultRowHeight="14.4"/>
  <cols>
    <col min="1" max="1" width="6.44140625" style="122" customWidth="1"/>
    <col min="2" max="2" width="54.44140625" style="122" bestFit="1" customWidth="1"/>
    <col min="3" max="3" width="34.44140625" style="122" bestFit="1" customWidth="1"/>
    <col min="4" max="4" width="8.109375" style="122" bestFit="1" customWidth="1"/>
    <col min="5" max="5" width="8.5546875" style="122" bestFit="1" customWidth="1"/>
    <col min="6" max="7" width="11.44140625" style="122" bestFit="1" customWidth="1"/>
    <col min="8" max="8" width="13.88671875" style="122" bestFit="1" customWidth="1"/>
    <col min="9" max="9" width="14.109375" style="122" bestFit="1" customWidth="1"/>
    <col min="10" max="10" width="17.44140625" style="122" customWidth="1"/>
    <col min="11" max="16384" width="8.44140625" style="122"/>
  </cols>
  <sheetData>
    <row r="1" spans="1:9" ht="28.35" customHeight="1">
      <c r="A1" s="164" t="s">
        <v>196</v>
      </c>
      <c r="B1" s="164"/>
      <c r="C1" s="164"/>
      <c r="D1" s="164"/>
      <c r="E1" s="164"/>
      <c r="F1" s="164"/>
      <c r="G1" s="164"/>
      <c r="H1" s="164"/>
      <c r="I1" s="164"/>
    </row>
    <row r="2" spans="1:9" ht="50.4">
      <c r="A2" s="135" t="s">
        <v>9</v>
      </c>
      <c r="B2" s="135" t="s">
        <v>194</v>
      </c>
      <c r="C2" s="135" t="s">
        <v>193</v>
      </c>
      <c r="D2" s="135" t="s">
        <v>192</v>
      </c>
      <c r="E2" s="135" t="s">
        <v>191</v>
      </c>
      <c r="F2" s="135" t="s">
        <v>190</v>
      </c>
      <c r="G2" s="135" t="s">
        <v>189</v>
      </c>
      <c r="H2" s="135" t="s">
        <v>188</v>
      </c>
      <c r="I2" s="135" t="s">
        <v>187</v>
      </c>
    </row>
    <row r="3" spans="1:9" ht="17.399999999999999">
      <c r="A3" s="133"/>
      <c r="B3" s="133"/>
      <c r="C3" s="130" t="s">
        <v>186</v>
      </c>
      <c r="D3" s="132"/>
      <c r="E3" s="132"/>
      <c r="F3" s="132"/>
      <c r="G3" s="132"/>
      <c r="H3" s="131">
        <f>SUM(H4:H9)</f>
        <v>12400000</v>
      </c>
      <c r="I3" s="131">
        <f>H3*12</f>
        <v>148800000</v>
      </c>
    </row>
    <row r="4" spans="1:9" ht="33.6">
      <c r="A4" s="129">
        <v>1</v>
      </c>
      <c r="B4" s="130" t="s">
        <v>185</v>
      </c>
      <c r="C4" s="130" t="s">
        <v>184</v>
      </c>
      <c r="D4" s="129" t="s">
        <v>179</v>
      </c>
      <c r="E4" s="163" t="s">
        <v>164</v>
      </c>
      <c r="F4" s="128">
        <v>20000</v>
      </c>
      <c r="G4" s="134">
        <v>400</v>
      </c>
      <c r="H4" s="128">
        <f>F4*G4</f>
        <v>8000000</v>
      </c>
      <c r="I4" s="128">
        <f>H4*12</f>
        <v>96000000</v>
      </c>
    </row>
    <row r="5" spans="1:9" ht="16.8">
      <c r="A5" s="129">
        <v>2</v>
      </c>
      <c r="B5" s="130" t="s">
        <v>183</v>
      </c>
      <c r="C5" s="130" t="s">
        <v>182</v>
      </c>
      <c r="D5" s="129" t="s">
        <v>179</v>
      </c>
      <c r="E5" s="163"/>
      <c r="F5" s="128">
        <v>2000</v>
      </c>
      <c r="G5" s="134">
        <v>700</v>
      </c>
      <c r="H5" s="128">
        <f>F5*G5</f>
        <v>1400000</v>
      </c>
      <c r="I5" s="128">
        <f>H5*12</f>
        <v>16800000</v>
      </c>
    </row>
    <row r="6" spans="1:9" ht="16.95" customHeight="1">
      <c r="A6" s="129">
        <v>3</v>
      </c>
      <c r="B6" s="130" t="s">
        <v>181</v>
      </c>
      <c r="C6" s="130" t="s">
        <v>180</v>
      </c>
      <c r="D6" s="163" t="s">
        <v>179</v>
      </c>
      <c r="E6" s="163"/>
      <c r="F6" s="165">
        <v>5000</v>
      </c>
      <c r="G6" s="166">
        <v>600</v>
      </c>
      <c r="H6" s="165">
        <f>F6*G6</f>
        <v>3000000</v>
      </c>
      <c r="I6" s="165">
        <f>H6*12</f>
        <v>36000000</v>
      </c>
    </row>
    <row r="7" spans="1:9" ht="16.8">
      <c r="A7" s="129">
        <v>4</v>
      </c>
      <c r="B7" s="130" t="s">
        <v>178</v>
      </c>
      <c r="C7" s="130"/>
      <c r="D7" s="163"/>
      <c r="E7" s="163"/>
      <c r="F7" s="165"/>
      <c r="G7" s="166"/>
      <c r="H7" s="165"/>
      <c r="I7" s="165"/>
    </row>
    <row r="8" spans="1:9" ht="16.8">
      <c r="A8" s="129">
        <v>5</v>
      </c>
      <c r="B8" s="130" t="s">
        <v>177</v>
      </c>
      <c r="C8" s="130"/>
      <c r="D8" s="163"/>
      <c r="E8" s="163"/>
      <c r="F8" s="165"/>
      <c r="G8" s="166"/>
      <c r="H8" s="165"/>
      <c r="I8" s="165"/>
    </row>
    <row r="9" spans="1:9" ht="16.8">
      <c r="A9" s="129">
        <v>6</v>
      </c>
      <c r="B9" s="130" t="s">
        <v>176</v>
      </c>
      <c r="C9" s="130"/>
      <c r="D9" s="163"/>
      <c r="E9" s="163"/>
      <c r="F9" s="165"/>
      <c r="G9" s="166"/>
      <c r="H9" s="165"/>
      <c r="I9" s="165"/>
    </row>
    <row r="10" spans="1:9" ht="17.399999999999999">
      <c r="A10" s="133"/>
      <c r="B10" s="133"/>
      <c r="C10" s="130" t="s">
        <v>175</v>
      </c>
      <c r="D10" s="132"/>
      <c r="E10" s="132"/>
      <c r="F10" s="132"/>
      <c r="G10" s="132"/>
      <c r="H10" s="131">
        <f>SUM(H11:H12)</f>
        <v>950000</v>
      </c>
      <c r="I10" s="131">
        <f t="shared" ref="I10:I15" si="0">H10*12</f>
        <v>11400000</v>
      </c>
    </row>
    <row r="11" spans="1:9" ht="16.8">
      <c r="A11" s="129">
        <v>7</v>
      </c>
      <c r="B11" s="130" t="s">
        <v>174</v>
      </c>
      <c r="C11" s="130" t="s">
        <v>173</v>
      </c>
      <c r="D11" s="129" t="s">
        <v>172</v>
      </c>
      <c r="E11" s="163" t="s">
        <v>164</v>
      </c>
      <c r="F11" s="128">
        <v>500</v>
      </c>
      <c r="G11" s="134">
        <v>400</v>
      </c>
      <c r="H11" s="128">
        <f>F11*G11</f>
        <v>200000</v>
      </c>
      <c r="I11" s="128">
        <f t="shared" si="0"/>
        <v>2400000</v>
      </c>
    </row>
    <row r="12" spans="1:9" ht="16.8">
      <c r="A12" s="129">
        <v>8</v>
      </c>
      <c r="B12" s="130" t="s">
        <v>171</v>
      </c>
      <c r="C12" s="130" t="s">
        <v>170</v>
      </c>
      <c r="D12" s="129" t="s">
        <v>169</v>
      </c>
      <c r="E12" s="163"/>
      <c r="F12" s="128">
        <v>2500000</v>
      </c>
      <c r="G12" s="134">
        <v>0.3</v>
      </c>
      <c r="H12" s="128">
        <f>F12*G12</f>
        <v>750000</v>
      </c>
      <c r="I12" s="128">
        <f t="shared" si="0"/>
        <v>9000000</v>
      </c>
    </row>
    <row r="13" spans="1:9" ht="17.399999999999999">
      <c r="A13" s="133"/>
      <c r="B13" s="133"/>
      <c r="C13" s="130" t="s">
        <v>168</v>
      </c>
      <c r="D13" s="132"/>
      <c r="E13" s="132"/>
      <c r="F13" s="132"/>
      <c r="G13" s="132"/>
      <c r="H13" s="131">
        <f>SUM(H14)</f>
        <v>500000</v>
      </c>
      <c r="I13" s="131">
        <f t="shared" si="0"/>
        <v>6000000</v>
      </c>
    </row>
    <row r="14" spans="1:9" ht="33.6">
      <c r="A14" s="129">
        <v>9</v>
      </c>
      <c r="B14" s="130" t="s">
        <v>167</v>
      </c>
      <c r="C14" s="130" t="s">
        <v>166</v>
      </c>
      <c r="D14" s="129" t="s">
        <v>165</v>
      </c>
      <c r="E14" s="129" t="s">
        <v>164</v>
      </c>
      <c r="F14" s="128">
        <v>2500</v>
      </c>
      <c r="G14" s="134">
        <v>200</v>
      </c>
      <c r="H14" s="128">
        <f>F14*G14</f>
        <v>500000</v>
      </c>
      <c r="I14" s="128">
        <f t="shared" si="0"/>
        <v>6000000</v>
      </c>
    </row>
    <row r="15" spans="1:9" ht="17.399999999999999">
      <c r="A15" s="127"/>
      <c r="B15" s="127"/>
      <c r="C15" s="126" t="s">
        <v>15</v>
      </c>
      <c r="D15" s="125"/>
      <c r="E15" s="125"/>
      <c r="F15" s="125"/>
      <c r="G15" s="125"/>
      <c r="H15" s="124">
        <f>SUM(H3,H10,H13)</f>
        <v>13850000</v>
      </c>
      <c r="I15" s="124">
        <f t="shared" si="0"/>
        <v>166200000</v>
      </c>
    </row>
    <row r="16" spans="1:9" ht="15.6">
      <c r="B16" s="123" t="s">
        <v>163</v>
      </c>
    </row>
  </sheetData>
  <mergeCells count="8">
    <mergeCell ref="E11:E12"/>
    <mergeCell ref="A1:I1"/>
    <mergeCell ref="E4:E9"/>
    <mergeCell ref="D6:D9"/>
    <mergeCell ref="F6:F9"/>
    <mergeCell ref="G6:G9"/>
    <mergeCell ref="H6:H9"/>
    <mergeCell ref="I6:I9"/>
  </mergeCells>
  <pageMargins left="0.7" right="0.7" top="0.75" bottom="0.75" header="0.3" footer="0.3"/>
  <pageSetup paperSize="9" scale="8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CPQL1</vt:lpstr>
      <vt:lpstr>-Triển khai-</vt:lpstr>
      <vt:lpstr> Đào tạo tại chỗ</vt:lpstr>
      <vt:lpstr>Tong hop TMDT</vt:lpstr>
      <vt:lpstr>TMĐT</vt:lpstr>
      <vt:lpstr>Phan bo von</vt:lpstr>
      <vt:lpstr>Chi phí AI</vt:lpstr>
      <vt:lpstr>'Chi phí AI'!Print_Area</vt:lpstr>
    </vt:vector>
  </TitlesOfParts>
  <Company>colip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TRUONG</dc:creator>
  <cp:lastModifiedBy>ADMIN</cp:lastModifiedBy>
  <cp:lastPrinted>2011-10-04T09:00:35Z</cp:lastPrinted>
  <dcterms:created xsi:type="dcterms:W3CDTF">2007-06-25T01:34:48Z</dcterms:created>
  <dcterms:modified xsi:type="dcterms:W3CDTF">2026-06-22T00:48:33Z</dcterms:modified>
</cp:coreProperties>
</file>
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NPT_Tài liệu\0.Truyền thanh thông minh\Đông Ninh Hòa\Nâng cấp cụm loa Đông Ninh Hòa 2026\"/>
    </mc:Choice>
  </mc:AlternateContent>
  <xr:revisionPtr revIDLastSave="0" documentId="13_ncr:1_{FEF1049E-1809-48C3-9AEB-4264A5817027}" xr6:coauthVersionLast="47" xr6:coauthVersionMax="47" xr10:uidLastSave="{00000000-0000-0000-0000-000000000000}"/>
  <bookViews>
    <workbookView xWindow="-120" yWindow="-120" windowWidth="20730" windowHeight="11160" tabRatio="762" xr2:uid="{00000000-000D-0000-FFFF-FFFF00000000}"/>
  </bookViews>
  <sheets>
    <sheet name="Bảng giá" sheetId="2" r:id="rId1"/>
    <sheet name="3. CP vận hàng hàng năm" sheetId="5" r:id="rId2"/>
    <sheet name="4.LươngKS" sheetId="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\0" localSheetId="0">'[1]PNT-QUOT-#3'!#REF!</definedName>
    <definedName name="\0">'[1]PNT-QUOT-#3'!#REF!</definedName>
    <definedName name="\z" localSheetId="0">'[1]COAT&amp;WRAP-QIOT-#3'!#REF!</definedName>
    <definedName name="\z">'[1]COAT&amp;WRAP-QIOT-#3'!#REF!</definedName>
    <definedName name="__a1" localSheetId="1" hidden="1">{"'Sheet1'!$L$16"}</definedName>
    <definedName name="__a1" localSheetId="2" hidden="1">{"'Sheet1'!$L$16"}</definedName>
    <definedName name="__a1" localSheetId="0" hidden="1">{"'Sheet1'!$L$16"}</definedName>
    <definedName name="__a1" hidden="1">{"'Sheet1'!$L$16"}</definedName>
    <definedName name="__BIA4" localSheetId="1" hidden="1">{"'Sheet1'!$L$16"}</definedName>
    <definedName name="__BIA4" localSheetId="2" hidden="1">{"'Sheet1'!$L$16"}</definedName>
    <definedName name="__BIA4" localSheetId="0" hidden="1">{"'Sheet1'!$L$16"}</definedName>
    <definedName name="__BIA4" hidden="1">{"'Sheet1'!$L$16"}</definedName>
    <definedName name="__PA3" localSheetId="1" hidden="1">{"'Sheet1'!$L$16"}</definedName>
    <definedName name="__PA3" localSheetId="2" hidden="1">{"'Sheet1'!$L$16"}</definedName>
    <definedName name="__PA3" localSheetId="0" hidden="1">{"'Sheet1'!$L$16"}</definedName>
    <definedName name="__PA3" hidden="1">{"'Sheet1'!$L$16"}</definedName>
    <definedName name="__xlcn.WorksheetConnection_App_totalC3J41" hidden="1">#REF!</definedName>
    <definedName name="_1">#N/A</definedName>
    <definedName name="_1000A01">#N/A</definedName>
    <definedName name="_2">#N/A</definedName>
    <definedName name="_40x4">5100</definedName>
    <definedName name="_a1" localSheetId="1" hidden="1">{"'Sheet1'!$L$16"}</definedName>
    <definedName name="_a1" localSheetId="2" hidden="1">{"'Sheet1'!$L$16"}</definedName>
    <definedName name="_a1" localSheetId="0" hidden="1">{"'Sheet1'!$L$16"}</definedName>
    <definedName name="_a1" hidden="1">{"'Sheet1'!$L$16"}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BIA4" localSheetId="1" hidden="1">{"'Sheet1'!$L$16"}</definedName>
    <definedName name="_BIA4" localSheetId="2" hidden="1">{"'Sheet1'!$L$16"}</definedName>
    <definedName name="_BIA4" localSheetId="0" hidden="1">{"'Sheet1'!$L$16"}</definedName>
    <definedName name="_BIA4" hidden="1">{"'Sheet1'!$L$16"}</definedName>
    <definedName name="_bia5">#N/A</definedName>
    <definedName name="_bia6">#N/A</definedName>
    <definedName name="_boi1">#REF!</definedName>
    <definedName name="_boi2">#REF!</definedName>
    <definedName name="_BOT10">"Botón de opción 10"</definedName>
    <definedName name="_BOT9">"Botón de opción 9"</definedName>
    <definedName name="_btm10">#REF!</definedName>
    <definedName name="_btm100">#REF!</definedName>
    <definedName name="_BTM150">#REF!</definedName>
    <definedName name="_BTM200">#REF!</definedName>
    <definedName name="_BTM250">#REF!</definedName>
    <definedName name="_BTM300">#REF!</definedName>
    <definedName name="_BTM50">#REF!</definedName>
    <definedName name="_C_Lphi_4ab">#REF!</definedName>
    <definedName name="_cap1">#N/A</definedName>
    <definedName name="_CAU10">#REF!</definedName>
    <definedName name="_CAU22">#REF!</definedName>
    <definedName name="_CAU7">#REF!</definedName>
    <definedName name="_CAU8">#REF!</definedName>
    <definedName name="_CAU9">#REF!</definedName>
    <definedName name="_coc250">#REF!</definedName>
    <definedName name="_coc300">#REF!</definedName>
    <definedName name="_coc35">#REF!</definedName>
    <definedName name="_coc350">#REF!</definedName>
    <definedName name="_CON1">#REF!</definedName>
    <definedName name="_CON2">#REF!</definedName>
    <definedName name="_CPhi_Bhiem">#REF!</definedName>
    <definedName name="_CPhi_BQLDA">#REF!</definedName>
    <definedName name="_CPhi_DBaoGT">#REF!</definedName>
    <definedName name="_CPhi_Kdinh">#REF!</definedName>
    <definedName name="_CPhi_Nthu_KThanh">#REF!</definedName>
    <definedName name="_CPhi_QToan">#REF!</definedName>
    <definedName name="_CPhiTKe_13">#REF!</definedName>
    <definedName name="_chk1">#REF!</definedName>
    <definedName name="_chl3331">#REF!</definedName>
    <definedName name="_chl3334">#REF!</definedName>
    <definedName name="_d2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GC10">#REF!</definedName>
    <definedName name="_DGC22">#REF!</definedName>
    <definedName name="_DGC7">#REF!</definedName>
    <definedName name="_DGC8">#REF!</definedName>
    <definedName name="_DGC9">#REF!</definedName>
    <definedName name="_dky3331">#REF!</definedName>
    <definedName name="_dky3334">#REF!</definedName>
    <definedName name="_F1" localSheetId="1" hidden="1">{"'Sheet1'!$L$16"}</definedName>
    <definedName name="_F1" localSheetId="2" hidden="1">{"'Sheet1'!$L$16"}</definedName>
    <definedName name="_F1" localSheetId="0" hidden="1">{"'Sheet1'!$L$16"}</definedName>
    <definedName name="_F1" hidden="1">{"'Sheet1'!$L$16"}</definedName>
    <definedName name="_Fill" hidden="1">#REF!</definedName>
    <definedName name="_fin2" localSheetId="2">#REF!</definedName>
    <definedName name="_fin2" localSheetId="0">#REF!</definedName>
    <definedName name="_fin2">#REF!</definedName>
    <definedName name="_fin3" localSheetId="2">#REF!</definedName>
    <definedName name="_fin3" localSheetId="0">#REF!</definedName>
    <definedName name="_fin3">#REF!</definedName>
    <definedName name="_g1">#REF!</definedName>
    <definedName name="_g2">#REF!</definedName>
    <definedName name="_gdcd" comment="Giao diện để thực hiện cài đặt phần mềm chuyển giao (đồ họa hay dòng lệnh).">[2]ChuyenGiao!$P$8</definedName>
    <definedName name="_Goi8" localSheetId="1" hidden="1">{"'Sheet1'!$L$16"}</definedName>
    <definedName name="_Goi8" localSheetId="2" hidden="1">{"'Sheet1'!$L$16"}</definedName>
    <definedName name="_Goi8" localSheetId="0" hidden="1">{"'Sheet1'!$L$16"}</definedName>
    <definedName name="_Goi8" hidden="1">{"'Sheet1'!$L$16"}</definedName>
    <definedName name="_GIA1" localSheetId="1">#REF!</definedName>
    <definedName name="_GIA1" localSheetId="2">#REF!</definedName>
    <definedName name="_GIA1" localSheetId="0">#REF!</definedName>
    <definedName name="_GIA1">#REF!</definedName>
    <definedName name="_h1" localSheetId="1" hidden="1">{"'Sheet1'!$L$16"}</definedName>
    <definedName name="_h1" localSheetId="2" hidden="1">{"'Sheet1'!$L$16"}</definedName>
    <definedName name="_h1" localSheetId="0" hidden="1">{"'Sheet1'!$L$16"}</definedName>
    <definedName name="_h1" hidden="1">{"'Sheet1'!$L$16"}</definedName>
    <definedName name="_H500866">#REF!</definedName>
    <definedName name="_Hlk213525272_1" localSheetId="1">#REF!</definedName>
    <definedName name="_Hlk213525272_1" localSheetId="2">#REF!</definedName>
    <definedName name="_Hlk213525272_1" localSheetId="0">#REF!</definedName>
    <definedName name="_Hlk213525272_1">#REF!</definedName>
    <definedName name="_hom2" localSheetId="1">#REF!</definedName>
    <definedName name="_hom2" localSheetId="2">#REF!</definedName>
    <definedName name="_hom2" localSheetId="0">#REF!</definedName>
    <definedName name="_hom2">#REF!</definedName>
    <definedName name="_hsm2">1.1289</definedName>
    <definedName name="_hu1" localSheetId="1" hidden="1">{"'Sheet1'!$L$16"}</definedName>
    <definedName name="_hu1" localSheetId="2" hidden="1">{"'Sheet1'!$L$16"}</definedName>
    <definedName name="_hu1" localSheetId="0" hidden="1">{"'Sheet1'!$L$16"}</definedName>
    <definedName name="_hu1" hidden="1">{"'Sheet1'!$L$16"}</definedName>
    <definedName name="_hu2" localSheetId="1" hidden="1">{"'Sheet1'!$L$16"}</definedName>
    <definedName name="_hu2" localSheetId="2" hidden="1">{"'Sheet1'!$L$16"}</definedName>
    <definedName name="_hu2" localSheetId="0" hidden="1">{"'Sheet1'!$L$16"}</definedName>
    <definedName name="_hu2" hidden="1">{"'Sheet1'!$L$16"}</definedName>
    <definedName name="_hu5" localSheetId="1" hidden="1">{"'Sheet1'!$L$16"}</definedName>
    <definedName name="_hu5" localSheetId="2" hidden="1">{"'Sheet1'!$L$16"}</definedName>
    <definedName name="_hu5" localSheetId="0" hidden="1">{"'Sheet1'!$L$16"}</definedName>
    <definedName name="_hu5" hidden="1">{"'Sheet1'!$L$16"}</definedName>
    <definedName name="_hu6" localSheetId="1" hidden="1">{"'Sheet1'!$L$16"}</definedName>
    <definedName name="_hu6" localSheetId="2" hidden="1">{"'Sheet1'!$L$16"}</definedName>
    <definedName name="_hu6" localSheetId="0" hidden="1">{"'Sheet1'!$L$16"}</definedName>
    <definedName name="_hu6" hidden="1">{"'Sheet1'!$L$16"}</definedName>
    <definedName name="_huy1" localSheetId="1" hidden="1">{"'Sheet1'!$L$16"}</definedName>
    <definedName name="_huy1" localSheetId="2" hidden="1">{"'Sheet1'!$L$16"}</definedName>
    <definedName name="_huy1" localSheetId="0" hidden="1">{"'Sheet1'!$L$16"}</definedName>
    <definedName name="_huy1" hidden="1">{"'Sheet1'!$L$16"}</definedName>
    <definedName name="_Key1" hidden="1">#REF!</definedName>
    <definedName name="_Key2" localSheetId="1" hidden="1">#REF!</definedName>
    <definedName name="_Key2" localSheetId="2" hidden="1">#REF!</definedName>
    <definedName name="_Key2" localSheetId="0" hidden="1">#REF!</definedName>
    <definedName name="_Key2" hidden="1">#REF!</definedName>
    <definedName name="_KL2" localSheetId="2">#REF!</definedName>
    <definedName name="_KL2" localSheetId="0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KM188">#REF!</definedName>
    <definedName name="_km189">#REF!</definedName>
    <definedName name="_km190">#REF!</definedName>
    <definedName name="_km191">#REF!</definedName>
    <definedName name="_km192">#REF!</definedName>
    <definedName name="_km193">#REF!</definedName>
    <definedName name="_km194">#REF!</definedName>
    <definedName name="_km195">#REF!</definedName>
    <definedName name="_km196">#REF!</definedName>
    <definedName name="_km197">#REF!</definedName>
    <definedName name="_km198">#REF!</definedName>
    <definedName name="_Lan1" localSheetId="1">{"Thuxm2.xls","Sheet1"}</definedName>
    <definedName name="_Lan1" localSheetId="2">{"Thuxm2.xls","Sheet1"}</definedName>
    <definedName name="_Lan1" localSheetId="0">{"Thuxm2.xls","Sheet1"}</definedName>
    <definedName name="_Lan1">{"Thuxm2.xls","Sheet1"}</definedName>
    <definedName name="_ld2" localSheetId="1" hidden="1">{"'Sheet1'!$L$16"}</definedName>
    <definedName name="_ld2" localSheetId="2" hidden="1">{"'Sheet1'!$L$16"}</definedName>
    <definedName name="_ld2" localSheetId="0" hidden="1">{"'Sheet1'!$L$16"}</definedName>
    <definedName name="_ld2" hidden="1">{"'Sheet1'!$L$16"}</definedName>
    <definedName name="_MAC12">#REF!</definedName>
    <definedName name="_MAC46">#REF!</definedName>
    <definedName name="_mnpm" comment="Môi trường thực hiện chuyển giao (nguồn đóng hay mở) mà phần mềm được chuyển giao trên đó.">[2]ChuyenGiao!$P$9</definedName>
    <definedName name="_nc27" localSheetId="1">#REF!</definedName>
    <definedName name="_nc27" localSheetId="2">#REF!</definedName>
    <definedName name="_nc27" localSheetId="0">#REF!</definedName>
    <definedName name="_nc27">#REF!</definedName>
    <definedName name="_nc30" localSheetId="1">#REF!</definedName>
    <definedName name="_nc30" localSheetId="2">#REF!</definedName>
    <definedName name="_nc30" localSheetId="0">#REF!</definedName>
    <definedName name="_nc30">#REF!</definedName>
    <definedName name="_nc32" localSheetId="1">#REF!</definedName>
    <definedName name="_nc32" localSheetId="2">#REF!</definedName>
    <definedName name="_nc32" localSheetId="0">#REF!</definedName>
    <definedName name="_nc32">#REF!</definedName>
    <definedName name="_nc45">#REF!</definedName>
    <definedName name="_ncb1">#N/A</definedName>
    <definedName name="_NCL100">#REF!</definedName>
    <definedName name="_NCL200">#REF!</definedName>
    <definedName name="_NCL250">#REF!</definedName>
    <definedName name="_ne2" localSheetId="1">{"ÿÿÿÿÿ","DT cau tam Ha trinh 7.xls","DT cau tam Ha trinh 3.xls"}</definedName>
    <definedName name="_ne2" localSheetId="2">{"ÿÿÿÿÿ","DT cau tam Ha trinh 7.xls","DT cau tam Ha trinh 3.xls"}</definedName>
    <definedName name="_ne2" localSheetId="0">{"ÿÿÿÿÿ","DT cau tam Ha trinh 7.xls","DT cau tam Ha trinh 3.xls"}</definedName>
    <definedName name="_ne2">{"ÿÿÿÿÿ","DT cau tam Ha trinh 7.xls","DT cau tam Ha trinh 3.xls"}</definedName>
    <definedName name="_NET2">#REF!</definedName>
    <definedName name="_nin190">#REF!</definedName>
    <definedName name="_nnpm" comment="Ngôn ngữ của phần mềm chuyển giao.">[2]ChuyenGiao!$P$10</definedName>
    <definedName name="_NSO2" localSheetId="1" hidden="1">{"'Sheet1'!$L$16"}</definedName>
    <definedName name="_NSO2" localSheetId="2" hidden="1">{"'Sheet1'!$L$16"}</definedName>
    <definedName name="_NSO2" localSheetId="0" hidden="1">{"'Sheet1'!$L$16"}</definedName>
    <definedName name="_NSO2" hidden="1">{"'Sheet1'!$L$16"}</definedName>
    <definedName name="_NSO3" localSheetId="1" hidden="1">{"'Sheet1'!$L$16"}</definedName>
    <definedName name="_NSO3" localSheetId="2" hidden="1">{"'Sheet1'!$L$16"}</definedName>
    <definedName name="_NSO3" localSheetId="0" hidden="1">{"'Sheet1'!$L$16"}</definedName>
    <definedName name="_NSO3" hidden="1">{"'Sheet1'!$L$16"}</definedName>
    <definedName name="_NYL19">#REF!</definedName>
    <definedName name="_Order1" hidden="1">255</definedName>
    <definedName name="_Order2" hidden="1">255</definedName>
    <definedName name="_PA3" localSheetId="1" hidden="1">{"'Sheet1'!$L$16"}</definedName>
    <definedName name="_PA3" localSheetId="2" hidden="1">{"'Sheet1'!$L$16"}</definedName>
    <definedName name="_PA3" localSheetId="0" hidden="1">{"'Sheet1'!$L$16"}</definedName>
    <definedName name="_PA3" hidden="1">{"'Sheet1'!$L$16"}</definedName>
    <definedName name="_pa4" localSheetId="1" hidden="1">{"'Sheet1'!$L$16"}</definedName>
    <definedName name="_pa4" localSheetId="2" hidden="1">{"'Sheet1'!$L$16"}</definedName>
    <definedName name="_pa4" localSheetId="0" hidden="1">{"'Sheet1'!$L$16"}</definedName>
    <definedName name="_pa4" hidden="1">{"'Sheet1'!$L$16"}</definedName>
    <definedName name="_Parse_Out" hidden="1">[3]Quantity!#REF!</definedName>
    <definedName name="_pc30" localSheetId="1">#REF!</definedName>
    <definedName name="_pc30" localSheetId="2">#REF!</definedName>
    <definedName name="_pc30" localSheetId="0">#REF!</definedName>
    <definedName name="_pc30">#REF!</definedName>
    <definedName name="_pc40" localSheetId="1">#REF!</definedName>
    <definedName name="_pc40" localSheetId="2">#REF!</definedName>
    <definedName name="_pc40" localSheetId="0">#REF!</definedName>
    <definedName name="_pc40">#REF!</definedName>
    <definedName name="_pd10" localSheetId="1" hidden="1">{"'Summary'!$A$1:$J$46"}</definedName>
    <definedName name="_pd10" localSheetId="2" hidden="1">{"'Summary'!$A$1:$J$46"}</definedName>
    <definedName name="_pd10" localSheetId="0" hidden="1">{"'Summary'!$A$1:$J$46"}</definedName>
    <definedName name="_pd10" hidden="1">{"'Summary'!$A$1:$J$46"}</definedName>
    <definedName name="_PD11" localSheetId="1" hidden="1">{"'Summary'!$A$1:$J$46"}</definedName>
    <definedName name="_PD11" localSheetId="2" hidden="1">{"'Summary'!$A$1:$J$46"}</definedName>
    <definedName name="_PD11" localSheetId="0" hidden="1">{"'Summary'!$A$1:$J$46"}</definedName>
    <definedName name="_PD11" hidden="1">{"'Summary'!$A$1:$J$46"}</definedName>
    <definedName name="_Px1">#REF!</definedName>
    <definedName name="_Px2">#REF!</definedName>
    <definedName name="_Px3">#REF!</definedName>
    <definedName name="_R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8">#REF!</definedName>
    <definedName name="_sc1">#REF!</definedName>
    <definedName name="_SC2">#REF!</definedName>
    <definedName name="_sc3">#REF!</definedName>
    <definedName name="_SD30" localSheetId="1" hidden="1">{"'Summary'!$A$1:$J$46"}</definedName>
    <definedName name="_SD30" localSheetId="2" hidden="1">{"'Summary'!$A$1:$J$46"}</definedName>
    <definedName name="_SD30" localSheetId="0" hidden="1">{"'Summary'!$A$1:$J$46"}</definedName>
    <definedName name="_SD30" hidden="1">{"'Summary'!$A$1:$J$46"}</definedName>
    <definedName name="_SN3">#REF!</definedName>
    <definedName name="_Sort" localSheetId="1" hidden="1">#REF!</definedName>
    <definedName name="_Sort" localSheetId="2" hidden="1">#REF!</definedName>
    <definedName name="_Sort" localSheetId="0" hidden="1">#REF!</definedName>
    <definedName name="_Sort" hidden="1">#REF!</definedName>
    <definedName name="_SQT10" localSheetId="2">#REF!</definedName>
    <definedName name="_SQT10" localSheetId="0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B1">#REF!</definedName>
    <definedName name="_tbn3334">#REF!</definedName>
    <definedName name="_TK155">#REF!</definedName>
    <definedName name="_TK422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nh10">#REF!</definedName>
    <definedName name="_tt3" localSheetId="1" hidden="1">{"'Sheet1'!$L$16"}</definedName>
    <definedName name="_tt3" localSheetId="2" hidden="1">{"'Sheet1'!$L$16"}</definedName>
    <definedName name="_tt3" localSheetId="0" hidden="1">{"'Sheet1'!$L$16"}</definedName>
    <definedName name="_tt3" hidden="1">{"'Sheet1'!$L$16"}</definedName>
    <definedName name="_tz593">#REF!</definedName>
    <definedName name="_TH20">#REF!</definedName>
    <definedName name="_thu2" localSheetId="1">{"Thuxm2.xls","Sheet1"}</definedName>
    <definedName name="_thu2" localSheetId="2">{"Thuxm2.xls","Sheet1"}</definedName>
    <definedName name="_thu2" localSheetId="0">{"Thuxm2.xls","Sheet1"}</definedName>
    <definedName name="_thu2">{"Thuxm2.xls","Sheet1"}</definedName>
    <definedName name="_tra100">#REF!</definedName>
    <definedName name="_tra102">#REF!</definedName>
    <definedName name="_tra104">#REF!</definedName>
    <definedName name="_tra106">#REF!</definedName>
    <definedName name="_tra108">#REF!</definedName>
    <definedName name="_tra110">#REF!</definedName>
    <definedName name="_tra112">#REF!</definedName>
    <definedName name="_tra114">#REF!</definedName>
    <definedName name="_tra116">#REF!</definedName>
    <definedName name="_tra118">#REF!</definedName>
    <definedName name="_tra120">#REF!</definedName>
    <definedName name="_tra122">#REF!</definedName>
    <definedName name="_tra124">#REF!</definedName>
    <definedName name="_tra126">#REF!</definedName>
    <definedName name="_tra128">#REF!</definedName>
    <definedName name="_tra130">#REF!</definedName>
    <definedName name="_tra132">#REF!</definedName>
    <definedName name="_tra134">#REF!</definedName>
    <definedName name="_tra136">#REF!</definedName>
    <definedName name="_tra138">#REF!</definedName>
    <definedName name="_tra140">#REF!</definedName>
    <definedName name="_tra70">#REF!</definedName>
    <definedName name="_tra72">#REF!</definedName>
    <definedName name="_tra74">#REF!</definedName>
    <definedName name="_tra76">#REF!</definedName>
    <definedName name="_tra78">#REF!</definedName>
    <definedName name="_tra80">#REF!</definedName>
    <definedName name="_tra82">#REF!</definedName>
    <definedName name="_tra84">#REF!</definedName>
    <definedName name="_tra86">#REF!</definedName>
    <definedName name="_tra88">#REF!</definedName>
    <definedName name="_tra90">#REF!</definedName>
    <definedName name="_tra92">#REF!</definedName>
    <definedName name="_tra94">#REF!</definedName>
    <definedName name="_tra96">#REF!</definedName>
    <definedName name="_tra98">#REF!</definedName>
    <definedName name="_VAT1">#REF!</definedName>
    <definedName name="_VAT2">#REF!</definedName>
    <definedName name="_VL100">#REF!</definedName>
    <definedName name="_VL250">#REF!</definedName>
    <definedName name="_VT22">#REF!</definedName>
    <definedName name="_Vx1">#REF!</definedName>
    <definedName name="_Vx2">#REF!</definedName>
    <definedName name="_YL19">#REF!</definedName>
    <definedName name="A">'[1]PNT-QUOT-#3'!#REF!</definedName>
    <definedName name="A.">#REF!</definedName>
    <definedName name="a_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.1">#REF!</definedName>
    <definedName name="A120_">#REF!</definedName>
    <definedName name="a1B26">#REF!</definedName>
    <definedName name="a1B58">#REF!</definedName>
    <definedName name="a277Print_Titles">#REF!</definedName>
    <definedName name="A35_">#REF!</definedName>
    <definedName name="A50_">#REF!</definedName>
    <definedName name="A5530NADISCOUNT">#REF!</definedName>
    <definedName name="A70_">#REF!</definedName>
    <definedName name="A95_">#REF!</definedName>
    <definedName name="AA">#REF!</definedName>
    <definedName name="AAA">'[4]MTL$-INTER'!#REF!</definedName>
    <definedName name="AAAA" localSheetId="1" hidden="1">{#N/A,#N/A,FALSE,"Chi tiÆt"}</definedName>
    <definedName name="AAAA" localSheetId="2" hidden="1">{#N/A,#N/A,FALSE,"Chi tiÆt"}</definedName>
    <definedName name="AAAA" localSheetId="0" hidden="1">{#N/A,#N/A,FALSE,"Chi tiÆt"}</definedName>
    <definedName name="AAAA" hidden="1">{#N/A,#N/A,FALSE,"Chi tiÆt"}</definedName>
    <definedName name="aaaaaa" localSheetId="1" hidden="1">#REF!</definedName>
    <definedName name="aaaaaa" localSheetId="2" hidden="1">#REF!</definedName>
    <definedName name="aaaaaa" localSheetId="0" hidden="1">#REF!</definedName>
    <definedName name="aaaaaa" hidden="1">#REF!</definedName>
    <definedName name="aaaaaaaaa" localSheetId="1" hidden="1">#REF!</definedName>
    <definedName name="aaaaaaaaa" localSheetId="2" hidden="1">{"'Sheet1'!$L$16"}</definedName>
    <definedName name="aaaaaaaaa" localSheetId="0" hidden="1">#REF!</definedName>
    <definedName name="aaaaaaaaa" hidden="1">#REF!</definedName>
    <definedName name="AB" localSheetId="1">#REF!</definedName>
    <definedName name="AB" localSheetId="2">#REF!</definedName>
    <definedName name="AB" localSheetId="0">#REF!</definedName>
    <definedName name="AB">#REF!</definedName>
    <definedName name="abc" localSheetId="1" hidden="1">#REF!</definedName>
    <definedName name="abc" localSheetId="2" hidden="1">#REF!</definedName>
    <definedName name="abc" localSheetId="0" hidden="1">#REF!</definedName>
    <definedName name="abc" hidden="1">#REF!</definedName>
    <definedName name="abcbakca" localSheetId="1" hidden="1">{"'Sheet1'!$L$16"}</definedName>
    <definedName name="abcbakca" localSheetId="2" hidden="1">{"'Sheet1'!$L$16"}</definedName>
    <definedName name="abcbakca" localSheetId="0" hidden="1">{"'Sheet1'!$L$16"}</definedName>
    <definedName name="abcbakca" hidden="1">{"'Sheet1'!$L$16"}</definedName>
    <definedName name="abcc">#N/A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Database" hidden="1">"C:\My Documents\HAU\Danhsach\List Cpn.mdb"</definedName>
    <definedName name="ad">#N/A</definedName>
    <definedName name="adfdghfgjghkhjkjhljkl" localSheetId="1" hidden="1">{"'Sheet1'!$L$16"}</definedName>
    <definedName name="adfdghfgjghkhjkjhljkl" localSheetId="2" hidden="1">{"'Sheet1'!$L$16"}</definedName>
    <definedName name="adfdghfgjghkhjkjhljkl" localSheetId="0" hidden="1">{"'Sheet1'!$L$16"}</definedName>
    <definedName name="adfdghfgjghkhjkjhljkl" hidden="1">{"'Sheet1'!$L$16"}</definedName>
    <definedName name="ádhfjy" localSheetId="1" hidden="1">{"'Summary'!$A$1:$J$46"}</definedName>
    <definedName name="ádhfjy" localSheetId="2" hidden="1">{"'Summary'!$A$1:$J$46"}</definedName>
    <definedName name="ádhfjy" localSheetId="0" hidden="1">{"'Summary'!$A$1:$J$46"}</definedName>
    <definedName name="ádhfjy" hidden="1">{"'Summary'!$A$1:$J$46"}</definedName>
    <definedName name="Ag_">#REF!</definedName>
    <definedName name="ag15F80">#REF!</definedName>
    <definedName name="All_Item">#REF!</definedName>
    <definedName name="ALPIN">#N/A</definedName>
    <definedName name="ALPJYOU">#N/A</definedName>
    <definedName name="ALPTOI">#N/A</definedName>
    <definedName name="anfa">#REF!</definedName>
    <definedName name="anscount" hidden="1">2</definedName>
    <definedName name="Appendix_1">#REF!</definedName>
    <definedName name="Appendix_2">#REF!</definedName>
    <definedName name="Appendix_3">'[5]Appendix 3'!#REF!</definedName>
    <definedName name="Appendix_4">'[5]Appendix 4'!#REF!</definedName>
    <definedName name="Appendix_5" localSheetId="1">#REF!</definedName>
    <definedName name="Appendix_5" localSheetId="2">#REF!</definedName>
    <definedName name="Appendix_5" localSheetId="0">#REF!</definedName>
    <definedName name="Appendix_5">#REF!</definedName>
    <definedName name="Appendix_6" localSheetId="1">#REF!</definedName>
    <definedName name="Appendix_6" localSheetId="2">#REF!</definedName>
    <definedName name="Appendix_6" localSheetId="0">#REF!</definedName>
    <definedName name="Appendix_6">#REF!</definedName>
    <definedName name="Appendix_7" localSheetId="1">'[5]Du toan'!#REF!</definedName>
    <definedName name="Appendix_7" localSheetId="2">'[5]Du toan'!#REF!</definedName>
    <definedName name="Appendix_7" localSheetId="0">'[5]Du toan'!#REF!</definedName>
    <definedName name="Appendix_7">'[5]Du toan'!#REF!</definedName>
    <definedName name="Aq" localSheetId="1">#REF!</definedName>
    <definedName name="Aq" localSheetId="2">#REF!</definedName>
    <definedName name="Aq" localSheetId="0">#REF!</definedName>
    <definedName name="Aq">#REF!</definedName>
    <definedName name="As_" localSheetId="1">#REF!</definedName>
    <definedName name="As_" localSheetId="2">#REF!</definedName>
    <definedName name="As_" localSheetId="0">#REF!</definedName>
    <definedName name="As_">#REF!</definedName>
    <definedName name="AS2DocOpenMode" hidden="1">"AS2DocumentEdit"</definedName>
    <definedName name="asd" localSheetId="1" hidden="1">#REF!</definedName>
    <definedName name="asd" localSheetId="2">#REF!</definedName>
    <definedName name="asd" localSheetId="0" hidden="1">#REF!</definedName>
    <definedName name="asd" hidden="1">#REF!</definedName>
    <definedName name="asdffgggh" localSheetId="1" hidden="1">{"'Sheet1'!$L$16"}</definedName>
    <definedName name="asdffgggh" localSheetId="2" hidden="1">{"'Sheet1'!$L$16"}</definedName>
    <definedName name="asdffgggh" localSheetId="0" hidden="1">{"'Sheet1'!$L$16"}</definedName>
    <definedName name="asdffgggh" hidden="1">{"'Sheet1'!$L$16"}</definedName>
    <definedName name="AU" localSheetId="1" hidden="1">{"'Sheet1'!$L$16"}</definedName>
    <definedName name="AU" localSheetId="2" hidden="1">{"'Sheet1'!$L$16"}</definedName>
    <definedName name="AU" localSheetId="0" hidden="1">{"'Sheet1'!$L$16"}</definedName>
    <definedName name="AU" hidden="1">{"'Sheet1'!$L$16"}</definedName>
    <definedName name="AUCP">'[5]Du toan'!$D$11</definedName>
    <definedName name="avl" localSheetId="1">#REF!</definedName>
    <definedName name="avl" localSheetId="2">#REF!</definedName>
    <definedName name="avl" localSheetId="0">#REF!</definedName>
    <definedName name="avl">#REF!</definedName>
    <definedName name="B" localSheetId="1">'[1]PNT-QUOT-#3'!#REF!</definedName>
    <definedName name="B" localSheetId="2">'[1]PNT-QUOT-#3'!#REF!</definedName>
    <definedName name="B" localSheetId="0">'[1]PNT-QUOT-#3'!#REF!</definedName>
    <definedName name="B">'[1]PNT-QUOT-#3'!#REF!</definedName>
    <definedName name="b_dd1" localSheetId="1">#REF!</definedName>
    <definedName name="b_dd1" localSheetId="2">#REF!</definedName>
    <definedName name="b_dd1" localSheetId="0">#REF!</definedName>
    <definedName name="b_dd1">#REF!</definedName>
    <definedName name="b_DL" localSheetId="1">#REF!</definedName>
    <definedName name="b_DL" localSheetId="2">#REF!</definedName>
    <definedName name="b_DL" localSheetId="0">#REF!</definedName>
    <definedName name="b_DL">#REF!</definedName>
    <definedName name="b_eh" localSheetId="2">#REF!</definedName>
    <definedName name="b_eh">#REF!</definedName>
    <definedName name="b_eh1">#REF!</definedName>
    <definedName name="b_ev">#REF!</definedName>
    <definedName name="b_ev1">#REF!</definedName>
    <definedName name="b_FR">#REF!</definedName>
    <definedName name="b_fr1">#REF!</definedName>
    <definedName name="B_Isc">#REF!</definedName>
    <definedName name="b_LL">#REF!</definedName>
    <definedName name="b_ll1">#REF!</definedName>
    <definedName name="b_WL">#REF!</definedName>
    <definedName name="b_WL1">#REF!</definedName>
    <definedName name="b_WS">#REF!</definedName>
    <definedName name="b_ws1">#REF!</definedName>
    <definedName name="ban">#REF!</definedName>
    <definedName name="banQL" localSheetId="1" hidden="1">{"'Sheet1'!$L$16"}</definedName>
    <definedName name="banQL" localSheetId="2" hidden="1">{"'Sheet1'!$L$16"}</definedName>
    <definedName name="banQL" localSheetId="0" hidden="1">{"'Sheet1'!$L$16"}</definedName>
    <definedName name="banQL" hidden="1">{"'Sheet1'!$L$16"}</definedName>
    <definedName name="Bang_cly">#REF!</definedName>
    <definedName name="Bang_CVC">#REF!</definedName>
    <definedName name="BANG_CHI_TIET_THI_NGHIEM_CONG_TO">#REF!</definedName>
    <definedName name="BANG_CHI_TIET_THI_NGHIEM_DZ0.4KV">#REF!</definedName>
    <definedName name="bang_gia">#REF!</definedName>
    <definedName name="BANG_TONG_HOP_CONG_TO">#REF!</definedName>
    <definedName name="BANG_TONG_HOP_DZ0.4KV">#REF!</definedName>
    <definedName name="BANG_TONG_HOP_DZ22KV">#REF!</definedName>
    <definedName name="BANG_TONG_HOP_KHO_BAI">#REF!</definedName>
    <definedName name="BANG_TONG_HOP_TBA">#REF!</definedName>
    <definedName name="Bang_travl">#REF!</definedName>
    <definedName name="Bang7_THKL_HCM" localSheetId="1" hidden="1">{"'Sheet1'!$L$16"}</definedName>
    <definedName name="Bang7_THKL_HCM" localSheetId="2" hidden="1">{"'Sheet1'!$L$16"}</definedName>
    <definedName name="Bang7_THKL_HCM" localSheetId="0" hidden="1">{"'Sheet1'!$L$16"}</definedName>
    <definedName name="Bang7_THKL_HCM" hidden="1">{"'Sheet1'!$L$16"}</definedName>
    <definedName name="bangcdtk">#REF!</definedName>
    <definedName name="BangGiaVL_Q">#REF!</definedName>
    <definedName name="BangMa">#REF!</definedName>
    <definedName name="bangtinh">#REF!</definedName>
    <definedName name="bangtk">#REF!</definedName>
    <definedName name="Bao" localSheetId="1" hidden="1">{#N/A,#N/A,FALSE,"Chi tiÆt"}</definedName>
    <definedName name="Bao" localSheetId="2" hidden="1">{#N/A,#N/A,FALSE,"Chi tiÆt"}</definedName>
    <definedName name="Bao" localSheetId="0" hidden="1">{#N/A,#N/A,FALSE,"Chi tiÆt"}</definedName>
    <definedName name="Bao" hidden="1">{#N/A,#N/A,FALSE,"Chi tiÆt"}</definedName>
    <definedName name="BarData">#REF!</definedName>
    <definedName name="BB">#REF!</definedName>
    <definedName name="bbanqt">#REF!</definedName>
    <definedName name="bbb" localSheetId="1" hidden="1">{"'Sheet1'!$L$16"}</definedName>
    <definedName name="bbb" localSheetId="2" hidden="1">{"'Sheet1'!$L$16"}</definedName>
    <definedName name="bbb" localSheetId="0" hidden="1">{"'Sheet1'!$L$16"}</definedName>
    <definedName name="bbb" hidden="1">{"'Sheet1'!$L$16"}</definedName>
    <definedName name="BCD">#REF!</definedName>
    <definedName name="be_2T">#REF!</definedName>
    <definedName name="beta">20</definedName>
    <definedName name="bgincd">#REF!</definedName>
    <definedName name="bhkl" localSheetId="1" hidden="1">{"'Summary'!$A$1:$J$46"}</definedName>
    <definedName name="bhkl" localSheetId="2" hidden="1">{"'Summary'!$A$1:$J$46"}</definedName>
    <definedName name="bhkl" localSheetId="0" hidden="1">{"'Summary'!$A$1:$J$46"}</definedName>
    <definedName name="bhkl" hidden="1">{"'Summary'!$A$1:$J$46"}</definedName>
    <definedName name="BHXH" localSheetId="1" hidden="1">{"'Sheet1'!$L$16"}</definedName>
    <definedName name="BHXH" localSheetId="2" hidden="1">{"'Sheet1'!$L$16"}</definedName>
    <definedName name="BHXH" localSheetId="0" hidden="1">{"'Sheet1'!$L$16"}</definedName>
    <definedName name="BHXH" hidden="1">{"'Sheet1'!$L$16"}</definedName>
    <definedName name="bia">#N/A</definedName>
    <definedName name="blkh">#REF!</definedName>
    <definedName name="blkh1">#REF!</definedName>
    <definedName name="BMBL">#REF!</definedName>
    <definedName name="BMH">#REF!</definedName>
    <definedName name="BML">#REF!</definedName>
    <definedName name="BMS">#REF!</definedName>
    <definedName name="BN">#REF!</definedName>
    <definedName name="bnc">#REF!</definedName>
    <definedName name="BOM_ini">#REF!</definedName>
    <definedName name="Book2">#REF!</definedName>
    <definedName name="BOQ">#REF!</definedName>
    <definedName name="bosung" localSheetId="1" hidden="1">{"'Sheet1'!$L$16"}</definedName>
    <definedName name="bosung" localSheetId="2" hidden="1">{"'Sheet1'!$L$16"}</definedName>
    <definedName name="bosung" localSheetId="0" hidden="1">{"'Sheet1'!$L$16"}</definedName>
    <definedName name="bosung" hidden="1">{"'Sheet1'!$L$16"}</definedName>
    <definedName name="bt">#REF!</definedName>
    <definedName name="BT_125">#REF!</definedName>
    <definedName name="BT200_50">#REF!</definedName>
    <definedName name="btl" localSheetId="1" hidden="1">{"'Sheet1'!$L$16"}</definedName>
    <definedName name="btl" localSheetId="2" hidden="1">{"'Sheet1'!$L$16"}</definedName>
    <definedName name="btl" localSheetId="0" hidden="1">{"'Sheet1'!$L$16"}</definedName>
    <definedName name="btl" hidden="1">{"'Sheet1'!$L$16"}</definedName>
    <definedName name="BU_CHENH_LECH_DZ0.4KV">#REF!</definedName>
    <definedName name="BU_CHENH_LECH_DZ22KV">#REF!</definedName>
    <definedName name="BU_CHENH_LECH_TBA">#REF!</definedName>
    <definedName name="Bulongma">8700</definedName>
    <definedName name="BVCISUMMARY">#REF!</definedName>
    <definedName name="bw">#N/A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a.1111">#REF!</definedName>
    <definedName name="ca.1111.th">#REF!</definedName>
    <definedName name="CABLEDISCOUNT">#REF!</definedName>
    <definedName name="CACAU">298161</definedName>
    <definedName name="cao">#REF!</definedName>
    <definedName name="cap">#N/A</definedName>
    <definedName name="Cap_YS">#N/A</definedName>
    <definedName name="Case_Linkw_AT_211_Fdd">[6]DATA!#REF!</definedName>
    <definedName name="Case_Linkw_ATX">[6]DATA!#REF!</definedName>
    <definedName name="Case_Linkw_ATX_218_Fdd">[6]DATA!#REF!</definedName>
    <definedName name="catden" localSheetId="1">#REF!</definedName>
    <definedName name="catden" localSheetId="2">#REF!</definedName>
    <definedName name="catden" localSheetId="0">#REF!</definedName>
    <definedName name="catden">#REF!</definedName>
    <definedName name="Category_All" localSheetId="1">#REF!</definedName>
    <definedName name="Category_All" localSheetId="2">#REF!</definedName>
    <definedName name="Category_All" localSheetId="0">#REF!</definedName>
    <definedName name="Category_All">#REF!</definedName>
    <definedName name="CATIN">#N/A</definedName>
    <definedName name="CATJYOU">#N/A</definedName>
    <definedName name="catmin" localSheetId="1">#REF!</definedName>
    <definedName name="catmin" localSheetId="2">#REF!</definedName>
    <definedName name="catmin" localSheetId="0">#REF!</definedName>
    <definedName name="catmin">#REF!</definedName>
    <definedName name="CATSYU">#N/A</definedName>
    <definedName name="CATREC">#N/A</definedName>
    <definedName name="Cb" localSheetId="1">#REF!</definedName>
    <definedName name="Cb" localSheetId="2">#REF!</definedName>
    <definedName name="Cb" localSheetId="0">#REF!</definedName>
    <definedName name="Cb">#REF!</definedName>
    <definedName name="CC" localSheetId="1">#REF!</definedName>
    <definedName name="CC" localSheetId="2">#REF!</definedName>
    <definedName name="CC" localSheetId="0">#REF!</definedName>
    <definedName name="CC">#REF!</definedName>
    <definedName name="CCS">#REF!</definedName>
    <definedName name="cch" localSheetId="2">#REF!</definedName>
    <definedName name="cch">#REF!</definedName>
    <definedName name="CDD">#REF!</definedName>
    <definedName name="CDDD1PHA">#REF!</definedName>
    <definedName name="CDDD3PHA">#REF!</definedName>
    <definedName name="CDDR_Acer40X_IDE">[6]DATA!#REF!</definedName>
    <definedName name="CDDR_Acer48X_IDE">[6]DATA!#REF!</definedName>
    <definedName name="CDDR_Acer50X_IDE">[6]DATA!#REF!</definedName>
    <definedName name="Cdo_8bat" localSheetId="1">#REF!</definedName>
    <definedName name="Cdo_8bat" localSheetId="2">#REF!</definedName>
    <definedName name="Cdo_8bat" localSheetId="0">#REF!</definedName>
    <definedName name="Cdo_8bat">#REF!</definedName>
    <definedName name="Cdo_TK50" localSheetId="1">#REF!</definedName>
    <definedName name="Cdo_TK50" localSheetId="2">#REF!</definedName>
    <definedName name="Cdo_TK50" localSheetId="0">#REF!</definedName>
    <definedName name="Cdo_TK50">#REF!</definedName>
    <definedName name="cfk" localSheetId="1">#REF!</definedName>
    <definedName name="cfk" localSheetId="2">#REF!</definedName>
    <definedName name="cfk" localSheetId="0">#REF!</definedName>
    <definedName name="cfk">#REF!</definedName>
    <definedName name="ci" localSheetId="1" hidden="1">{"'Sheet1'!$L$16"}</definedName>
    <definedName name="ci" localSheetId="2" hidden="1">{"'Sheet1'!$L$16"}</definedName>
    <definedName name="ci" localSheetId="0" hidden="1">{"'Sheet1'!$L$16"}</definedName>
    <definedName name="ci" hidden="1">{"'Sheet1'!$L$16"}</definedName>
    <definedName name="CK">#REF!</definedName>
    <definedName name="clech">#REF!</definedName>
    <definedName name="CLECH_0.4">#REF!</definedName>
    <definedName name="CLVC3">0.1</definedName>
    <definedName name="CLVC35">#REF!</definedName>
    <definedName name="CLVCTB">#REF!</definedName>
    <definedName name="CLVL">#REF!</definedName>
    <definedName name="cm" localSheetId="1" hidden="1">{"'Sheet1'!$L$16"}</definedName>
    <definedName name="cm" localSheetId="2" hidden="1">{"'Sheet1'!$L$16"}</definedName>
    <definedName name="cm" localSheetId="0" hidden="1">{"'Sheet1'!$L$16"}</definedName>
    <definedName name="cm" hidden="1">{"'Sheet1'!$L$16"}</definedName>
    <definedName name="CN_RC1">#REF!</definedName>
    <definedName name="CN_RC2">#REF!</definedName>
    <definedName name="CN_Rnha">#REF!</definedName>
    <definedName name="CN_Rs">#REF!</definedName>
    <definedName name="Cneo_8bat">#REF!</definedName>
    <definedName name="Cneo_TK50">#REF!</definedName>
    <definedName name="Co">#REF!</definedName>
    <definedName name="COAT">'[1]PNT-QUOT-#3'!#REF!</definedName>
    <definedName name="Code" hidden="1">#REF!</definedName>
    <definedName name="Cöï_ly_vaän_chuyeãn">#REF!</definedName>
    <definedName name="CÖÏ_LY_VAÄN_CHUYEÅN">#REF!</definedName>
    <definedName name="COMMON">#REF!</definedName>
    <definedName name="CON_EQP_COS">#REF!</definedName>
    <definedName name="CON_EQP_COST">#REF!</definedName>
    <definedName name="cond_tarcb">#REF!</definedName>
    <definedName name="CONST_EQ">#REF!</definedName>
    <definedName name="Cong_HM_DTCT">#REF!</definedName>
    <definedName name="Cong_M_DTCT">#REF!</definedName>
    <definedName name="Cong_NC_DTCT">#REF!</definedName>
    <definedName name="Cong_VL_DTCT">#REF!</definedName>
    <definedName name="congGT" localSheetId="1" hidden="1">{"'Sheet1'!$L$16"}</definedName>
    <definedName name="congGT" localSheetId="2" hidden="1">{"'Sheet1'!$L$16"}</definedName>
    <definedName name="congGT" localSheetId="0" hidden="1">{"'Sheet1'!$L$16"}</definedName>
    <definedName name="congGT" hidden="1">{"'Sheet1'!$L$16"}</definedName>
    <definedName name="coso">#REF!</definedName>
    <definedName name="coso2">#REF!</definedName>
    <definedName name="coso3">#REF!</definedName>
    <definedName name="coso4">#REF!</definedName>
    <definedName name="coso5">#REF!</definedName>
    <definedName name="coso6">#REF!</definedName>
    <definedName name="coso7">#REF!</definedName>
    <definedName name="coso8">#REF!</definedName>
    <definedName name="coso9">#REF!</definedName>
    <definedName name="cot7.5">#REF!</definedName>
    <definedName name="cot8.5">#REF!</definedName>
    <definedName name="Cotsatma">9726</definedName>
    <definedName name="Cotthepma">9726</definedName>
    <definedName name="cotycap" localSheetId="1" hidden="1">{"'Sheet1'!$L$16"}</definedName>
    <definedName name="cotycap" localSheetId="2" hidden="1">{"'Sheet1'!$L$16"}</definedName>
    <definedName name="cotycap" localSheetId="0" hidden="1">{"'Sheet1'!$L$16"}</definedName>
    <definedName name="cotycap" hidden="1">{"'Sheet1'!$L$16"}</definedName>
    <definedName name="COVER">#REF!</definedName>
    <definedName name="CP" hidden="1">#REF!</definedName>
    <definedName name="cp0x4">#REF!</definedName>
    <definedName name="CPC">#REF!</definedName>
    <definedName name="CPCC">#REF!</definedName>
    <definedName name="CPCD">#REF!</definedName>
    <definedName name="CPK">#REF!</definedName>
    <definedName name="cpmtc">#REF!</definedName>
    <definedName name="cpnc">#REF!</definedName>
    <definedName name="cptt">#REF!</definedName>
    <definedName name="CPU_AMD_K6II_550">[6]DATA!#REF!</definedName>
    <definedName name="CPU_Intel_P4_1.7_256K_256RIMM">[6]DATA!#REF!</definedName>
    <definedName name="CPU_Intel_PIII500E_256Kdie_Copp">[6]DATA!#REF!</definedName>
    <definedName name="CPU_Intel_PIII550E_256Kdie_Copp">[6]DATA!#REF!</definedName>
    <definedName name="CPVC100" localSheetId="1">#REF!</definedName>
    <definedName name="CPVC100" localSheetId="2">#REF!</definedName>
    <definedName name="CPVC100" localSheetId="0">#REF!</definedName>
    <definedName name="CPVC100">#REF!</definedName>
    <definedName name="CPVC35" localSheetId="1">#REF!</definedName>
    <definedName name="CPVC35" localSheetId="2">#REF!</definedName>
    <definedName name="CPVC35" localSheetId="0">#REF!</definedName>
    <definedName name="CPVC35">#REF!</definedName>
    <definedName name="CPVCDN" localSheetId="1">#REF!</definedName>
    <definedName name="CPVCDN" localSheetId="2">#REF!</definedName>
    <definedName name="CPVCDN" localSheetId="0">#REF!</definedName>
    <definedName name="CPVCDN">#REF!</definedName>
    <definedName name="cpvl">#REF!</definedName>
    <definedName name="CQM">#REF!</definedName>
    <definedName name="CRD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S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B">#N/A</definedName>
    <definedName name="CTCT1" localSheetId="1" hidden="1">{"'Sheet1'!$L$16"}</definedName>
    <definedName name="CTCT1" localSheetId="2" hidden="1">{"'Sheet1'!$L$16"}</definedName>
    <definedName name="CTCT1" localSheetId="0" hidden="1">{"'Sheet1'!$L$16"}</definedName>
    <definedName name="CTCT1" hidden="1">{"'Sheet1'!$L$16"}</definedName>
    <definedName name="ctiep">#REF!</definedName>
    <definedName name="CTIET">#REF!</definedName>
    <definedName name="ctr">#REF!</definedName>
    <definedName name="cu">#REF!</definedName>
    <definedName name="cu_ly">#REF!</definedName>
    <definedName name="CU_LY_VAN_CHUYEN_GIA_QUYEN">#REF!</definedName>
    <definedName name="CU_LY_VAN_CHUYEN_THU_CONG">#REF!</definedName>
    <definedName name="cui">#REF!</definedName>
    <definedName name="CuLy">#REF!</definedName>
    <definedName name="CuLy_Q">#REF!</definedName>
    <definedName name="cuoc_vc">#REF!</definedName>
    <definedName name="CuocVC">#REF!</definedName>
    <definedName name="cuoinam">#REF!</definedName>
    <definedName name="CURRENCY">#REF!</definedName>
    <definedName name="Customer">#REF!</definedName>
    <definedName name="cutram">#REF!</definedName>
    <definedName name="cv">[7]gvl!$N$17</definedName>
    <definedName name="CVC" localSheetId="1">#REF!</definedName>
    <definedName name="CVC" localSheetId="0">#REF!</definedName>
    <definedName name="CVC">#REF!</definedName>
    <definedName name="CVC_Q" localSheetId="1">#REF!</definedName>
    <definedName name="CVC_Q" localSheetId="0">#REF!</definedName>
    <definedName name="CVC_Q">#REF!</definedName>
    <definedName name="CX" localSheetId="1">#REF!</definedName>
    <definedName name="CX" localSheetId="0">#REF!</definedName>
    <definedName name="CX">#REF!</definedName>
    <definedName name="cxm">#REF!</definedName>
    <definedName name="CH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_tieát_phi">#REF!</definedName>
    <definedName name="chietchai2" localSheetId="1" hidden="1">{"'Sheet1'!$L$16"}</definedName>
    <definedName name="chietchai2" localSheetId="2" hidden="1">{"'Sheet1'!$L$16"}</definedName>
    <definedName name="chietchai2" localSheetId="0" hidden="1">{"'Sheet1'!$L$16"}</definedName>
    <definedName name="chietchai2" hidden="1">{"'Sheet1'!$L$16"}</definedName>
    <definedName name="chitiet3" localSheetId="1" hidden="1">{"'Sheet1'!$L$16"}</definedName>
    <definedName name="chitiet3" localSheetId="2" hidden="1">{"'Sheet1'!$L$16"}</definedName>
    <definedName name="chitiet3" localSheetId="0" hidden="1">{"'Sheet1'!$L$16"}</definedName>
    <definedName name="chitiet3" hidden="1">{"'Sheet1'!$L$16"}</definedName>
    <definedName name="chitietdao">#REF!</definedName>
    <definedName name="chk">#REF!</definedName>
    <definedName name="chl" localSheetId="1" hidden="1">{"'Sheet1'!$L$16"}</definedName>
    <definedName name="chl" localSheetId="2" hidden="1">{"'Sheet1'!$L$16"}</definedName>
    <definedName name="chl" localSheetId="0" hidden="1">{"'Sheet1'!$L$16"}</definedName>
    <definedName name="chl" hidden="1">{"'Sheet1'!$L$16"}</definedName>
    <definedName name="chung">66</definedName>
    <definedName name="chuyen" localSheetId="1" hidden="1">{"'Sheet1'!$L$16"}</definedName>
    <definedName name="chuyen" localSheetId="2" hidden="1">{"'Sheet1'!$L$16"}</definedName>
    <definedName name="chuyen" localSheetId="0" hidden="1">{"'Sheet1'!$L$16"}</definedName>
    <definedName name="chuyen" hidden="1">{"'Sheet1'!$L$16"}</definedName>
    <definedName name="d_">#REF!</definedName>
    <definedName name="D_7101A_B">#REF!</definedName>
    <definedName name="d05x1">#REF!</definedName>
    <definedName name="d1_">#REF!</definedName>
    <definedName name="d2_">#REF!</definedName>
    <definedName name="d3_">#REF!</definedName>
    <definedName name="d4x6">#REF!</definedName>
    <definedName name="da5x7">#REF!</definedName>
    <definedName name="dam">78000</definedName>
    <definedName name="dam_24">#REF!</definedName>
    <definedName name="DamNgang">#REF!</definedName>
    <definedName name="danop">#REF!</definedName>
    <definedName name="dao" localSheetId="1" hidden="1">{"'Sheet1'!$L$16"}</definedName>
    <definedName name="dao" localSheetId="2" hidden="1">{"'Sheet1'!$L$16"}</definedName>
    <definedName name="dao" localSheetId="0" hidden="1">{"'Sheet1'!$L$16"}</definedName>
    <definedName name="dao" hidden="1">{"'Sheet1'!$L$16"}</definedName>
    <definedName name="daodapong" localSheetId="1" hidden="1">{"'Sheet1'!$L$16"}</definedName>
    <definedName name="daodapong" localSheetId="2" hidden="1">{"'Sheet1'!$L$16"}</definedName>
    <definedName name="daodapong" localSheetId="0" hidden="1">{"'Sheet1'!$L$16"}</definedName>
    <definedName name="daodapong" hidden="1">{"'Sheet1'!$L$16"}</definedName>
    <definedName name="dasdadasd">#N/A</definedName>
    <definedName name="DAT">#REF!</definedName>
    <definedName name="data">#REF!</definedName>
    <definedName name="DATA_DATA2_List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1">#REF!</definedName>
    <definedName name="_xlnm.Database">#REF!</definedName>
    <definedName name="dauma">#REF!</definedName>
    <definedName name="daymong">#REF!</definedName>
    <definedName name="DBGT">#REF!</definedName>
    <definedName name="dbt">#REF!</definedName>
    <definedName name="DCL_22">12117600</definedName>
    <definedName name="DCL_35">25490000</definedName>
    <definedName name="dch511a">#REF!</definedName>
    <definedName name="dch511b">#REF!</definedName>
    <definedName name="dch632a">#REF!</definedName>
    <definedName name="dch632b">#REF!</definedName>
    <definedName name="dchcn">#REF!</definedName>
    <definedName name="dchm">#REF!</definedName>
    <definedName name="DD">#REF!</definedName>
    <definedName name="dd1x2">[7]gvl!$N$9</definedName>
    <definedName name="DDAY" localSheetId="1">#REF!</definedName>
    <definedName name="DDAY" localSheetId="2">#REF!</definedName>
    <definedName name="DDAY" localSheetId="0">#REF!</definedName>
    <definedName name="DDAY">#REF!</definedName>
    <definedName name="ddd" localSheetId="1" hidden="1">{#N/A,#N/A,FALSE,"Chi tiÆt"}</definedName>
    <definedName name="ddd" localSheetId="2" hidden="1">{#N/A,#N/A,FALSE,"Chi tiÆt"}</definedName>
    <definedName name="ddd" localSheetId="0" hidden="1">{#N/A,#N/A,FALSE,"Chi tiÆt"}</definedName>
    <definedName name="ddd" hidden="1">{#N/A,#N/A,FALSE,"Chi tiÆt"}</definedName>
    <definedName name="de">#REF!</definedName>
    <definedName name="den_bu">#REF!</definedName>
    <definedName name="denbu">#REF!</definedName>
    <definedName name="DestActorRange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f">#REF!</definedName>
    <definedName name="dfgfdh">#N/A</definedName>
    <definedName name="dfgh" localSheetId="1" hidden="1">{#N/A,#N/A,FALSE,"Chi tiÆt"}</definedName>
    <definedName name="dfgh" localSheetId="2" hidden="1">{#N/A,#N/A,FALSE,"Chi tiÆt"}</definedName>
    <definedName name="dfgh" localSheetId="0" hidden="1">{#N/A,#N/A,FALSE,"Chi tiÆt"}</definedName>
    <definedName name="dfgh" hidden="1">{#N/A,#N/A,FALSE,"Chi tiÆt"}</definedName>
    <definedName name="dfhfg">#N/A</definedName>
    <definedName name="dfsgfdshgffg" localSheetId="1" hidden="1">{"'Sheet1'!$L$16"}</definedName>
    <definedName name="dfsgfdshgffg" localSheetId="2" hidden="1">{"'Sheet1'!$L$16"}</definedName>
    <definedName name="dfsgfdshgffg" localSheetId="0" hidden="1">{"'Sheet1'!$L$16"}</definedName>
    <definedName name="dfsgfdshgffg" hidden="1">{"'Sheet1'!$L$16"}</definedName>
    <definedName name="dg">#REF!</definedName>
    <definedName name="dg_5cau">#REF!</definedName>
    <definedName name="dgbdII">#REF!</definedName>
    <definedName name="dgc">#REF!</definedName>
    <definedName name="dgct">#REF!</definedName>
    <definedName name="DGCT_T.Quy_P.Thuy_Q">#REF!</definedName>
    <definedName name="DGCT_TRAUQUYPHUTHUY_HN">#REF!</definedName>
    <definedName name="DGCTI592">#REF!</definedName>
    <definedName name="dgd">#REF!</definedName>
    <definedName name="dgnc">#REF!</definedName>
    <definedName name="dgqndn">#REF!</definedName>
    <definedName name="DGR">#REF!</definedName>
    <definedName name="DGTV">#REF!</definedName>
    <definedName name="dgthss3">#REF!</definedName>
    <definedName name="dgvl">#REF!</definedName>
    <definedName name="dh">#N/A</definedName>
    <definedName name="dhom">#REF!</definedName>
    <definedName name="dien" localSheetId="1" hidden="1">{"'Sheet1'!$L$16"}</definedName>
    <definedName name="dien" localSheetId="2" hidden="1">{"'Sheet1'!$L$16"}</definedName>
    <definedName name="dien" localSheetId="0" hidden="1">{"'Sheet1'!$L$16"}</definedName>
    <definedName name="dien" hidden="1">{"'Sheet1'!$L$16"}</definedName>
    <definedName name="diengiai">#REF!</definedName>
    <definedName name="dim">#REF!</definedName>
    <definedName name="DIMM_64MB_ECC_PC133">[6]DATA!#REF!</definedName>
    <definedName name="dinh2" localSheetId="1">#REF!</definedName>
    <definedName name="dinh2" localSheetId="2">#REF!</definedName>
    <definedName name="dinh2" localSheetId="0">#REF!</definedName>
    <definedName name="dinh2">#REF!</definedName>
    <definedName name="dinhmong" localSheetId="1">#REF!</definedName>
    <definedName name="dinhmong" localSheetId="2">#REF!</definedName>
    <definedName name="dinhmong" localSheetId="0">#REF!</definedName>
    <definedName name="dinhmong">#REF!</definedName>
    <definedName name="dinhmu" localSheetId="1">#REF!</definedName>
    <definedName name="dinhmu" localSheetId="2">#REF!</definedName>
    <definedName name="dinhmu" localSheetId="0">#REF!</definedName>
    <definedName name="dinhmu">#REF!</definedName>
    <definedName name="Discount" hidden="1">#REF!</definedName>
    <definedName name="display_area_2" hidden="1">#REF!</definedName>
    <definedName name="dj" localSheetId="1" hidden="1">{"'Sheet1'!$L$16"}</definedName>
    <definedName name="dj" localSheetId="2" hidden="1">{"'Sheet1'!$L$16"}</definedName>
    <definedName name="dj" localSheetId="0" hidden="1">{"'Sheet1'!$L$16"}</definedName>
    <definedName name="dj" hidden="1">{"'Sheet1'!$L$16"}</definedName>
    <definedName name="dk">#REF!</definedName>
    <definedName name="dkincd">#REF!</definedName>
    <definedName name="dkythue">#REF!</definedName>
    <definedName name="DLCC">#REF!</definedName>
    <definedName name="DM">#REF!</definedName>
    <definedName name="dm56bxd">#REF!</definedName>
    <definedName name="DÑt45x4">#REF!</definedName>
    <definedName name="Document_array" localSheetId="1">{"Book1"}</definedName>
    <definedName name="Document_array" localSheetId="2">{"Book1"}</definedName>
    <definedName name="Document_array" localSheetId="0">{"Book1"}</definedName>
    <definedName name="Document_array">{"Book1"}</definedName>
    <definedName name="Document_array_1" localSheetId="2">{"Book1"}</definedName>
    <definedName name="Document_array_1">{"Book1"}</definedName>
    <definedName name="Document_array_2" localSheetId="2">{"Book1"}</definedName>
    <definedName name="Document_array_2">{"Book1"}</definedName>
    <definedName name="Documents_array">#REF!</definedName>
    <definedName name="DÖÏ_THAÀU">#REF!</definedName>
    <definedName name="DON_GIA_3282">#REF!</definedName>
    <definedName name="DON_GIA_3283">#REF!</definedName>
    <definedName name="DON_GIA_3285">#REF!</definedName>
    <definedName name="DON_GIA_VAN_CHUYEN_36">#REF!</definedName>
    <definedName name="DONGIA2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ct3pnc">#REF!</definedName>
    <definedName name="dsct3pvl">#REF!</definedName>
    <definedName name="DSPK1p1nc">#REF!</definedName>
    <definedName name="DSPK1p1vl">#REF!</definedName>
    <definedName name="DSPK1pnc">#REF!</definedName>
    <definedName name="DSPK1pvl">#REF!</definedName>
    <definedName name="DSUMDATA">#REF!</definedName>
    <definedName name="dt">#REF!</definedName>
    <definedName name="Dt_">#REF!</definedName>
    <definedName name="dtc">#REF!</definedName>
    <definedName name="DTG">#REF!</definedName>
    <definedName name="DTKT3" localSheetId="1" hidden="1">{"'Sheet1'!$L$16"}</definedName>
    <definedName name="DTKT3" localSheetId="2" hidden="1">{"'Sheet1'!$L$16"}</definedName>
    <definedName name="DTKT3" localSheetId="0" hidden="1">{"'Sheet1'!$L$16"}</definedName>
    <definedName name="DTKT3" hidden="1">{"'Sheet1'!$L$16"}</definedName>
    <definedName name="dtoan">#REF!</definedName>
    <definedName name="DU_TOAN_CHI_TIET_CONG_TO">#REF!</definedName>
    <definedName name="DU_TOAN_CHI_TIET_DZ22KV">#REF!</definedName>
    <definedName name="DU_TOAN_CHI_TIET_KHO_BAI">#REF!</definedName>
    <definedName name="DutoanDongmo">#REF!</definedName>
    <definedName name="DWPRICE" hidden="1">[8]Quantity!#REF!</definedName>
    <definedName name="đfdfd" hidden="1">#REF!</definedName>
    <definedName name="E">'[5]Du toan'!$D$13</definedName>
    <definedName name="EEPE" localSheetId="1" hidden="1">{"'Summary'!$A$1:$J$46"}</definedName>
    <definedName name="EEPE" localSheetId="2" hidden="1">{"'Summary'!$A$1:$J$46"}</definedName>
    <definedName name="EEPE" localSheetId="0" hidden="1">{"'Summary'!$A$1:$J$46"}</definedName>
    <definedName name="EEPE" hidden="1">{"'Summary'!$A$1:$J$46"}</definedName>
    <definedName name="EEQ" localSheetId="1" hidden="1">{"'Summary'!$A$1:$J$46"}</definedName>
    <definedName name="EEQ" localSheetId="2" hidden="1">{"'Summary'!$A$1:$J$46"}</definedName>
    <definedName name="EEQ" localSheetId="0" hidden="1">{"'Summary'!$A$1:$J$46"}</definedName>
    <definedName name="EEQ" hidden="1">{"'Summary'!$A$1:$J$46"}</definedName>
    <definedName name="EF">#REF!</definedName>
    <definedName name="EFW">#REF!</definedName>
    <definedName name="efyghioq">#N/A</definedName>
    <definedName name="ẻhrth">#N/A</definedName>
    <definedName name="eÎ">#REF!</definedName>
    <definedName name="emb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S">#REF!</definedName>
    <definedName name="EW" localSheetId="1" hidden="1">{"'Summary'!$A$1:$J$46"}</definedName>
    <definedName name="EW" localSheetId="2" hidden="1">{"'Summary'!$A$1:$J$46"}</definedName>
    <definedName name="EW" localSheetId="0" hidden="1">{"'Summary'!$A$1:$J$46"}</definedName>
    <definedName name="EW" hidden="1">{"'Summary'!$A$1:$J$46"}</definedName>
    <definedName name="ewf" hidden="1">#REF!</definedName>
    <definedName name="EX">#REF!</definedName>
    <definedName name="ExactAddinConnection" hidden="1">"003"</definedName>
    <definedName name="ExactAddinConnection.002" hidden="1">"CPNT01;003;mengtalekk;1"</definedName>
    <definedName name="ExactAddinConnection.003" hidden="1">"CPNT01;006;mengtalekk;1"</definedName>
    <definedName name="ExactAddinReports" hidden="1">2</definedName>
    <definedName name="EXC">#REF!</definedName>
    <definedName name="EXCH">#REF!</definedName>
    <definedName name="ey">#REF!</definedName>
    <definedName name="f" localSheetId="1" hidden="1">{"'Sheet1'!$L$16"}</definedName>
    <definedName name="f" localSheetId="2" hidden="1">{"'Sheet1'!$L$16"}</definedName>
    <definedName name="f" localSheetId="0" hidden="1">{"'Sheet1'!$L$16"}</definedName>
    <definedName name="f" hidden="1">{"'Sheet1'!$L$16"}</definedName>
    <definedName name="f82E46">#REF!</definedName>
    <definedName name="FACTOR">#REF!</definedName>
    <definedName name="Fax">#REF!</definedName>
    <definedName name="Fay">#REF!</definedName>
    <definedName name="fc">#REF!</definedName>
    <definedName name="fc_">#REF!</definedName>
    <definedName name="fcoc">#REF!</definedName>
    <definedName name="FCode" hidden="1">#REF!</definedName>
    <definedName name="fdg" localSheetId="1" hidden="1">{"'Sheet1'!$L$16"}</definedName>
    <definedName name="fdg" localSheetId="2" hidden="1">{"'Sheet1'!$L$16"}</definedName>
    <definedName name="fdg" localSheetId="0" hidden="1">{"'Sheet1'!$L$16"}</definedName>
    <definedName name="fdg" hidden="1">{"'Sheet1'!$L$16"}</definedName>
    <definedName name="fdgfg" localSheetId="1" hidden="1">{"'Sheet1'!$L$16"}</definedName>
    <definedName name="fdgfg" localSheetId="2" hidden="1">{"'Sheet1'!$L$16"}</definedName>
    <definedName name="fdgfg" localSheetId="0" hidden="1">{"'Sheet1'!$L$16"}</definedName>
    <definedName name="fdgfg" hidden="1">{"'Sheet1'!$L$16"}</definedName>
    <definedName name="ff" localSheetId="1">#REF!</definedName>
    <definedName name="ff" localSheetId="2">#REF!</definedName>
    <definedName name="ff" localSheetId="0">#REF!</definedName>
    <definedName name="ff">#REF!</definedName>
    <definedName name="ffas" localSheetId="1" hidden="1">{"'Sheet1'!$L$16"}</definedName>
    <definedName name="ffas" localSheetId="2" hidden="1">{"'Sheet1'!$L$16"}</definedName>
    <definedName name="ffas" localSheetId="0" hidden="1">{"'Sheet1'!$L$16"}</definedName>
    <definedName name="ffas" hidden="1">{"'Sheet1'!$L$16"}</definedName>
    <definedName name="fg" localSheetId="1" hidden="1">{"'Sheet1'!$L$16"}</definedName>
    <definedName name="fg" localSheetId="2" hidden="1">{"'Sheet1'!$L$16"}</definedName>
    <definedName name="fg" localSheetId="0" hidden="1">{"'Sheet1'!$L$16"}</definedName>
    <definedName name="fg" hidden="1">{"'Sheet1'!$L$16"}</definedName>
    <definedName name="fgds">#N/A</definedName>
    <definedName name="fgn" localSheetId="1" hidden="1">{"'Sheet1'!$L$16"}</definedName>
    <definedName name="fgn" localSheetId="2" hidden="1">{"'Sheet1'!$L$16"}</definedName>
    <definedName name="fgn" localSheetId="0" hidden="1">{"'Sheet1'!$L$16"}</definedName>
    <definedName name="fgn" hidden="1">{"'Sheet1'!$L$16"}</definedName>
    <definedName name="fh">#N/A</definedName>
    <definedName name="fhd">#N/A</definedName>
    <definedName name="Fi">#REF!</definedName>
    <definedName name="FI_12">4820</definedName>
    <definedName name="Fi_f">#REF!</definedName>
    <definedName name="fila_name">#REF!</definedName>
    <definedName name="fila_NM_RTU">#REF!</definedName>
    <definedName name="fin_BOM">#REF!</definedName>
    <definedName name="FirstPage">#REF!</definedName>
    <definedName name="fjh">#REF!</definedName>
    <definedName name="Fot">#REF!</definedName>
    <definedName name="FP">'[1]COAT&amp;WRAP-QIOT-#3'!#REF!</definedName>
    <definedName name="Fr">#REF!</definedName>
    <definedName name="FS">#REF!</definedName>
    <definedName name="fsdfdsf" localSheetId="1" hidden="1">{"'Sheet1'!$L$16"}</definedName>
    <definedName name="fsdfdsf" localSheetId="2" hidden="1">{"'Sheet1'!$L$16"}</definedName>
    <definedName name="fsdfdsf" localSheetId="0" hidden="1">{"'Sheet1'!$L$16"}</definedName>
    <definedName name="fsdfdsf" hidden="1">{"'Sheet1'!$L$16"}</definedName>
    <definedName name="Ft">#REF!</definedName>
    <definedName name="Ft_">#REF!</definedName>
    <definedName name="FtoM">#REF!</definedName>
    <definedName name="fwefsef" localSheetId="1" hidden="1">{"'Sheet1'!$L$16"}</definedName>
    <definedName name="fwefsef" localSheetId="2" hidden="1">{"'Sheet1'!$L$16"}</definedName>
    <definedName name="fwefsef" localSheetId="0" hidden="1">{"'Sheet1'!$L$16"}</definedName>
    <definedName name="fwefsef" hidden="1">{"'Sheet1'!$L$16"}</definedName>
    <definedName name="fy">#REF!</definedName>
    <definedName name="Fy_">#REF!</definedName>
    <definedName name="g_">#REF!</definedName>
    <definedName name="gachchongtron">#REF!</definedName>
    <definedName name="gachlanem">#REF!</definedName>
    <definedName name="GC_DN">#REF!</definedName>
    <definedName name="GC_HT">#REF!</definedName>
    <definedName name="GC_TD">#REF!</definedName>
    <definedName name="gd">#REF!</definedName>
    <definedName name="gdg" localSheetId="1" hidden="1">{"'Sheet1'!$L$16"}</definedName>
    <definedName name="gdg" localSheetId="2" hidden="1">{"'Sheet1'!$L$16"}</definedName>
    <definedName name="gdg" localSheetId="0" hidden="1">{"'Sheet1'!$L$16"}</definedName>
    <definedName name="gdg" hidden="1">{"'Sheet1'!$L$16"}</definedName>
    <definedName name="geff">#REF!</definedName>
    <definedName name="geo">#REF!</definedName>
    <definedName name="gfdghf" localSheetId="1" hidden="1">{"Offgrid",#N/A,FALSE,"OFFGRID";"Region",#N/A,FALSE,"REGION";"Offgrid -2",#N/A,FALSE,"OFFGRID";"WTP",#N/A,FALSE,"WTP";"WTP -2",#N/A,FALSE,"WTP";"Project",#N/A,FALSE,"PROJECT";"Summary -2",#N/A,FALSE,"SUMMARY"}</definedName>
    <definedName name="gfdghf" localSheetId="2" hidden="1">{"Offgrid",#N/A,FALSE,"OFFGRID";"Region",#N/A,FALSE,"REGION";"Offgrid -2",#N/A,FALSE,"OFFGRID";"WTP",#N/A,FALSE,"WTP";"WTP -2",#N/A,FALSE,"WTP";"Project",#N/A,FALSE,"PROJECT";"Summary -2",#N/A,FALSE,"SUMMARY"}</definedName>
    <definedName name="gfdghf" localSheetId="0" hidden="1">{"Offgrid",#N/A,FALSE,"OFFGRID";"Region",#N/A,FALSE,"REGION";"Offgrid -2",#N/A,FALSE,"OFFGRID";"WTP",#N/A,FALSE,"WTP";"WTP -2",#N/A,FALSE,"WTP";"Project",#N/A,FALSE,"PROJECT";"Summary -2",#N/A,FALSE,"SUMMARY"}</definedName>
    <definedName name="gfdghf" hidden="1">{"Offgrid",#N/A,FALSE,"OFFGRID";"Region",#N/A,FALSE,"REGION";"Offgrid -2",#N/A,FALSE,"OFFGRID";"WTP",#N/A,FALSE,"WTP";"WTP -2",#N/A,FALSE,"WTP";"Project",#N/A,FALSE,"PROJECT";"Summary -2",#N/A,FALSE,"SUMMARY"}</definedName>
    <definedName name="gg" hidden="1">#REF!</definedName>
    <definedName name="gggg" localSheetId="1" hidden="1">{"'Sheet1'!$L$16"}</definedName>
    <definedName name="gggg" localSheetId="2" hidden="1">{"'Sheet1'!$L$16"}</definedName>
    <definedName name="gggg" localSheetId="0" hidden="1">{"'Sheet1'!$L$16"}</definedName>
    <definedName name="gggg" hidden="1">{"'Sheet1'!$L$16"}</definedName>
    <definedName name="gghh" localSheetId="1" hidden="1">{"'Sheet1'!$L$16"}</definedName>
    <definedName name="gghh" localSheetId="2" hidden="1">{"'Sheet1'!$L$16"}</definedName>
    <definedName name="gghh" localSheetId="0" hidden="1">{"'Sheet1'!$L$16"}</definedName>
    <definedName name="gghh" hidden="1">{"'Sheet1'!$L$16"}</definedName>
    <definedName name="gh">#N/A</definedName>
    <definedName name="ghf">#N/A</definedName>
    <definedName name="ghip">#REF!</definedName>
    <definedName name="gl3p">#REF!</definedName>
    <definedName name="go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i">#REF!</definedName>
    <definedName name="gs">#REF!</definedName>
    <definedName name="GTB">#REF!</definedName>
    <definedName name="GTOTAL" localSheetId="1" hidden="1">{"'Sheet1'!$L$16"}</definedName>
    <definedName name="GTOTAL" localSheetId="2" hidden="1">{"'Sheet1'!$L$16"}</definedName>
    <definedName name="GTOTAL" localSheetId="0" hidden="1">{"'Sheet1'!$L$16"}</definedName>
    <definedName name="GTOTAL" hidden="1">{"'Sheet1'!$L$16"}</definedName>
    <definedName name="gtst">#REF!</definedName>
    <definedName name="gtujiyukoio" localSheetId="1" hidden="1">{"'Summary'!$A$1:$J$46"}</definedName>
    <definedName name="gtujiyukoio" localSheetId="2" hidden="1">{"'Summary'!$A$1:$J$46"}</definedName>
    <definedName name="gtujiyukoio" localSheetId="0" hidden="1">{"'Summary'!$A$1:$J$46"}</definedName>
    <definedName name="gtujiyukoio" hidden="1">{"'Summary'!$A$1:$J$46"}</definedName>
    <definedName name="GTXL">#REF!</definedName>
    <definedName name="GTRI">#REF!</definedName>
    <definedName name="gvk">#REF!</definedName>
    <definedName name="GVL_LDT">#REF!</definedName>
    <definedName name="GXD" localSheetId="1">#REF!</definedName>
    <definedName name="Gxd" localSheetId="2">'[9]TH Kinh phi'!$G$42</definedName>
    <definedName name="Gxd" localSheetId="0">'[9]TH Kinh phi'!$G$42</definedName>
    <definedName name="Gxd">'[9]TH Kinh phi'!$G$42</definedName>
    <definedName name="GIA" localSheetId="2">#REF!</definedName>
    <definedName name="GIA">#REF!</definedName>
    <definedName name="Gia_CT" localSheetId="2">#REF!</definedName>
    <definedName name="Gia_CT">#REF!</definedName>
    <definedName name="GIA_CU_LY_VAN_CHUYEN">#REF!</definedName>
    <definedName name="gia_tien">#REF!</definedName>
    <definedName name="gia_tien_BTN">#REF!</definedName>
    <definedName name="GIA_THANH_VAN_CHUYEN_1M3_BE_TONG">#REF!</definedName>
    <definedName name="Gia_VT">#REF!</definedName>
    <definedName name="GIAC">#REF!</definedName>
    <definedName name="giadc">#REF!</definedName>
    <definedName name="GIADCST">#REF!</definedName>
    <definedName name="giam3331">#REF!</definedName>
    <definedName name="GiaTDMOI">#N/A</definedName>
    <definedName name="GIAVL_TRALY">#REF!</definedName>
    <definedName name="GIAVLIEUTN">#REF!</definedName>
    <definedName name="giotuoi">#REF!</definedName>
    <definedName name="h" localSheetId="1" hidden="1">{"'Sheet1'!$L$16"}</definedName>
    <definedName name="H" localSheetId="2">'[5]Du toan'!$C$27</definedName>
    <definedName name="h" localSheetId="0" hidden="1">{"'Sheet1'!$L$16"}</definedName>
    <definedName name="h" hidden="1">{"'Sheet1'!$L$16"}</definedName>
    <definedName name="H_30" localSheetId="1">#REF!</definedName>
    <definedName name="H_30" localSheetId="2">#REF!</definedName>
    <definedName name="H_30" localSheetId="0">#REF!</definedName>
    <definedName name="H_30">#REF!</definedName>
    <definedName name="H_ng_mòc_cáng_trÖnh" localSheetId="1">#REF!</definedName>
    <definedName name="H_ng_mòc_cáng_trÖnh" localSheetId="2">#REF!</definedName>
    <definedName name="H_ng_mòc_cáng_trÖnh" localSheetId="0">#REF!</definedName>
    <definedName name="H_ng_mòc_cáng_trÖnh">#REF!</definedName>
    <definedName name="H_THUCTT">#REF!</definedName>
    <definedName name="H_THUCHTHH" localSheetId="1">#REF!</definedName>
    <definedName name="H_THUCHTHH" localSheetId="2">#REF!</definedName>
    <definedName name="H_THUCHTHH" localSheetId="0">#REF!</definedName>
    <definedName name="H_THUCHTHH">#REF!</definedName>
    <definedName name="h0">#REF!</definedName>
    <definedName name="Ha">#REF!</definedName>
    <definedName name="Hanoi">#REF!</definedName>
    <definedName name="hc">#REF!</definedName>
    <definedName name="HCM">#REF!</definedName>
    <definedName name="HCNA" localSheetId="1" hidden="1">{"'Sheet1'!$L$16"}</definedName>
    <definedName name="HCNA" localSheetId="2" hidden="1">{"'Sheet1'!$L$16"}</definedName>
    <definedName name="HCNA" localSheetId="0" hidden="1">{"'Sheet1'!$L$16"}</definedName>
    <definedName name="HCNA" hidden="1">{"'Sheet1'!$L$16"}</definedName>
    <definedName name="hd">#REF!</definedName>
    <definedName name="hdd">#REF!</definedName>
    <definedName name="hdn">#REF!</definedName>
    <definedName name="He_so">#REF!</definedName>
    <definedName name="HE_SO_KHO_KHAN_CANG_DAY">#REF!</definedName>
    <definedName name="Heä_soá_laép_xaø_H">1.7</definedName>
    <definedName name="heä_soá_sình_laày">#REF!</definedName>
    <definedName name="hethongthoatnuocngoainha" hidden="1">#REF!</definedName>
    <definedName name="HH">#REF!</definedName>
    <definedName name="HHcat">#REF!</definedName>
    <definedName name="HHda">#REF!</definedName>
    <definedName name="hhhh">#REF!</definedName>
    <definedName name="HHTT">#REF!</definedName>
    <definedName name="HHxm">#REF!</definedName>
    <definedName name="HiddenRows" hidden="1">#REF!</definedName>
    <definedName name="hien">#REF!</definedName>
    <definedName name="Hinh_thuc">#REF!</definedName>
    <definedName name="hj" localSheetId="1" hidden="1">{#N/A,#N/A,FALSE,"Chi tiÆt"}</definedName>
    <definedName name="hj" localSheetId="2" hidden="1">{#N/A,#N/A,FALSE,"Chi tiÆt"}</definedName>
    <definedName name="hj" localSheetId="0" hidden="1">{#N/A,#N/A,FALSE,"Chi tiÆt"}</definedName>
    <definedName name="hj" hidden="1">{#N/A,#N/A,FALSE,"Chi tiÆt"}</definedName>
    <definedName name="hjhj" localSheetId="1" hidden="1">{"'Sheet1'!$L$16"}</definedName>
    <definedName name="hjhj" localSheetId="2" hidden="1">{"'Sheet1'!$L$16"}</definedName>
    <definedName name="hjhj" localSheetId="0" hidden="1">{"'Sheet1'!$L$16"}</definedName>
    <definedName name="hjhj" hidden="1">{"'Sheet1'!$L$16"}</definedName>
    <definedName name="HM">#REF!</definedName>
    <definedName name="Hmong">#REF!</definedName>
    <definedName name="HMVLNCM">#REF!</definedName>
    <definedName name="ho">#REF!</definedName>
    <definedName name="hoa" localSheetId="1" hidden="1">{"'Sheet1'!$L$16"}</definedName>
    <definedName name="hoa" localSheetId="2" hidden="1">{"'Sheet1'!$L$16"}</definedName>
    <definedName name="hoa" localSheetId="0" hidden="1">{"'Sheet1'!$L$16"}</definedName>
    <definedName name="hoa" hidden="1">{"'Sheet1'!$L$16"}</definedName>
    <definedName name="hoc">55000</definedName>
    <definedName name="hoida">#REF!</definedName>
    <definedName name="hoigio">#REF!</definedName>
    <definedName name="HOME_MANP">#REF!</definedName>
    <definedName name="HOMEOFFICE_COST">#REF!</definedName>
    <definedName name="Hp">#REF!</definedName>
    <definedName name="HPCAU10">#REF!</definedName>
    <definedName name="HPCAU22">#REF!</definedName>
    <definedName name="HPCAU7">#REF!</definedName>
    <definedName name="HPCAU8">#REF!</definedName>
    <definedName name="HPCAU9">#REF!</definedName>
    <definedName name="HPKHAC">#REF!</definedName>
    <definedName name="HS">#REF!</definedName>
    <definedName name="HS_may">#REF!</definedName>
    <definedName name="Hsc">#REF!</definedName>
    <definedName name="hscpc">#REF!</definedName>
    <definedName name="HSCPCC">#REF!</definedName>
    <definedName name="hscpcd">#REF!</definedName>
    <definedName name="hscq">#REF!</definedName>
    <definedName name="HSCT3">0.1</definedName>
    <definedName name="HSDBGT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KK35">#REF!</definedName>
    <definedName name="HSKT">#REF!</definedName>
    <definedName name="hskt1">#REF!</definedName>
    <definedName name="hskt2">#REF!</definedName>
    <definedName name="HSKTST">#REF!</definedName>
    <definedName name="HSLT">#REF!</definedName>
    <definedName name="HSLX">#REF!</definedName>
    <definedName name="HSLXH">1.7</definedName>
    <definedName name="HSLXP">#REF!</definedName>
    <definedName name="hsn">#REF!</definedName>
    <definedName name="hsnc_cau">1.626</definedName>
    <definedName name="hsnc_cau2">1.626</definedName>
    <definedName name="hsnc_d">1.6356</definedName>
    <definedName name="hsnc_d2">1.6356</definedName>
    <definedName name="hsncd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l">1</definedName>
    <definedName name="hsvl2">1</definedName>
    <definedName name="hsxm">#REF!</definedName>
    <definedName name="htlm" localSheetId="1" hidden="1">{"'Sheet1'!$L$16"}</definedName>
    <definedName name="htlm" localSheetId="2" hidden="1">{"'Sheet1'!$L$16"}</definedName>
    <definedName name="htlm" localSheetId="0" hidden="1">{"'Sheet1'!$L$16"}</definedName>
    <definedName name="htlm" hidden="1">{"'Sheet1'!$L$16"}</definedName>
    <definedName name="HTML_CodePage" hidden="1">950</definedName>
    <definedName name="HTML_Control" localSheetId="1" hidden="1">{"'Sheet1'!$L$16"}</definedName>
    <definedName name="HTML_Control" localSheetId="2" hidden="1">{"'Sheet1'!$L$16"}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NL" localSheetId="1" hidden="1">{"'Sheet1'!$L$16"}</definedName>
    <definedName name="HTNL" localSheetId="2" hidden="1">{"'Sheet1'!$L$16"}</definedName>
    <definedName name="HTNL" localSheetId="0" hidden="1">{"'Sheet1'!$L$16"}</definedName>
    <definedName name="HTNL" hidden="1">{"'Sheet1'!$L$16"}</definedName>
    <definedName name="HTVL">#REF!</definedName>
    <definedName name="HTHH">#REF!</definedName>
    <definedName name="hu" localSheetId="1" hidden="1">{"'Sheet1'!$L$16"}</definedName>
    <definedName name="hu" localSheetId="2" hidden="1">{"'Sheet1'!$L$16"}</definedName>
    <definedName name="hu" localSheetId="0" hidden="1">{"'Sheet1'!$L$16"}</definedName>
    <definedName name="hu" hidden="1">{"'Sheet1'!$L$16"}</definedName>
    <definedName name="hung">[6]DATA!#REF!</definedName>
    <definedName name="huy" localSheetId="1" hidden="1">{"'Sheet1'!$L$16"}</definedName>
    <definedName name="huy" localSheetId="2" hidden="1">{"'Sheet1'!$L$16"}</definedName>
    <definedName name="huy" localSheetId="0" hidden="1">{"'Sheet1'!$L$16"}</definedName>
    <definedName name="huy" hidden="1">{"'Sheet1'!$L$16"}</definedName>
    <definedName name="HWDISCOUNT">#REF!</definedName>
    <definedName name="I">#REF!</definedName>
    <definedName name="IDLAB_COST">#REF!</definedName>
    <definedName name="IND_LAB">#REF!</definedName>
    <definedName name="INDMANP">#REF!</definedName>
    <definedName name="ini_BOM">#REF!</definedName>
    <definedName name="injlp">#N/A</definedName>
    <definedName name="inst_ini">#REF!</definedName>
    <definedName name="IO">'[1]COAT&amp;WRAP-QIOT-#3'!#REF!</definedName>
    <definedName name="ioo">#REF!</definedName>
    <definedName name="Ip">#REF!</definedName>
    <definedName name="ixy">#REF!</definedName>
    <definedName name="j">#REF!</definedName>
    <definedName name="j356C8">#REF!</definedName>
    <definedName name="jgh">#N/A</definedName>
    <definedName name="jjjjj" localSheetId="1" hidden="1">{"'Sheet1'!$L$16"}</definedName>
    <definedName name="jjjjj" localSheetId="2" hidden="1">{"'Sheet1'!$L$16"}</definedName>
    <definedName name="jjjjj" localSheetId="0" hidden="1">{"'Sheet1'!$L$16"}</definedName>
    <definedName name="jjjjj" hidden="1">{"'Sheet1'!$L$16"}</definedName>
    <definedName name="jkh" localSheetId="1" hidden="1">{"'Sheet1'!$L$16"}</definedName>
    <definedName name="jkh" localSheetId="2" hidden="1">{"'Sheet1'!$L$16"}</definedName>
    <definedName name="jkh" localSheetId="0" hidden="1">{"'Sheet1'!$L$16"}</definedName>
    <definedName name="jkh" hidden="1">{"'Sheet1'!$L$16"}</definedName>
    <definedName name="ka">2</definedName>
    <definedName name="KAE">#REF!</definedName>
    <definedName name="KAS">#REF!</definedName>
    <definedName name="kb">#REF!</definedName>
    <definedName name="kcong">#REF!</definedName>
    <definedName name="KE_HOACH_VON_PHU_THU">#REF!</definedName>
    <definedName name="KeBve">#REF!</definedName>
    <definedName name="kem">#REF!</definedName>
    <definedName name="kiem">#REF!</definedName>
    <definedName name="Kiem_tra_trung_ten">#REF!</definedName>
    <definedName name="KINH_PHI_DEN_BU">#REF!</definedName>
    <definedName name="KINH_PHI_DZ0.4KV">#REF!</definedName>
    <definedName name="KINH_PHI_KHAO_SAT__LAP_BCNCKT__TKKTTC">#REF!</definedName>
    <definedName name="KINH_PHI_KHO_BAI">#REF!</definedName>
    <definedName name="KINH_PHI_TBA">#REF!</definedName>
    <definedName name="kkkk" localSheetId="1" hidden="1">{"'Sheet1'!$L$16"}</definedName>
    <definedName name="kkkk" localSheetId="2" hidden="1">{"'Sheet1'!$L$16"}</definedName>
    <definedName name="kkkk" localSheetId="0" hidden="1">{"'Sheet1'!$L$16"}</definedName>
    <definedName name="kkkk" hidden="1">{"'Sheet1'!$L$16"}</definedName>
    <definedName name="KLC">#REF!</definedName>
    <definedName name="KLD">#REF!</definedName>
    <definedName name="kldd1p">#REF!</definedName>
    <definedName name="KLTHDN">#REF!</definedName>
    <definedName name="KLTHNH" localSheetId="1">{"ÿÿÿÿÿ","DT cau tam Ha trinh 7.xls","DT cau tam Ha trinh 3.xls"}</definedName>
    <definedName name="KLTHNH" localSheetId="2">{"ÿÿÿÿÿ","DT cau tam Ha trinh 7.xls","DT cau tam Ha trinh 3.xls"}</definedName>
    <definedName name="KLTHNH" localSheetId="0">{"ÿÿÿÿÿ","DT cau tam Ha trinh 7.xls","DT cau tam Ha trinh 3.xls"}</definedName>
    <definedName name="KLTHNH">{"ÿÿÿÿÿ","DT cau tam Ha trinh 7.xls","DT cau tam Ha trinh 3.xls"}</definedName>
    <definedName name="KLVANKHUON">#REF!</definedName>
    <definedName name="KP">#REF!</definedName>
    <definedName name="kp1ph">#REF!</definedName>
    <definedName name="Ks">#REF!</definedName>
    <definedName name="KSTK">#REF!</definedName>
    <definedName name="kt" localSheetId="1" hidden="1">{"'Sheet1'!$L$16"}</definedName>
    <definedName name="kt" localSheetId="2" hidden="1">{"'Sheet1'!$L$16"}</definedName>
    <definedName name="kt" localSheetId="0" hidden="1">{"'Sheet1'!$L$16"}</definedName>
    <definedName name="kt" hidden="1">{"'Sheet1'!$L$16"}</definedName>
    <definedName name="kyhieu">#REF!</definedName>
    <definedName name="kh">#REF!</definedName>
    <definedName name="KH_Chang">#REF!</definedName>
    <definedName name="khac">2</definedName>
    <definedName name="Khâi">#REF!</definedName>
    <definedName name="khecodan">#REF!</definedName>
    <definedName name="KHOI_LUONG_DAT_DAO_DAP">#REF!</definedName>
    <definedName name="KHSX" localSheetId="1" hidden="1">{"'Sheet1'!$L$16"}</definedName>
    <definedName name="KHSX" localSheetId="2" hidden="1">{"'Sheet1'!$L$16"}</definedName>
    <definedName name="KHSX" localSheetId="0" hidden="1">{"'Sheet1'!$L$16"}</definedName>
    <definedName name="KHSX" hidden="1">{"'Sheet1'!$L$16"}</definedName>
    <definedName name="KhuyenmaiUPS">"AutoShape 264"</definedName>
    <definedName name="l">#REF!</definedName>
    <definedName name="l_1">#REF!</definedName>
    <definedName name="L_mong">#REF!</definedName>
    <definedName name="L63x6">5800</definedName>
    <definedName name="Label_UP">#REF!</definedName>
    <definedName name="Label_UP2">#REF!</definedName>
    <definedName name="lan" localSheetId="1" hidden="1">{#N/A,#N/A,TRUE,"BT M200 da 10x20"}</definedName>
    <definedName name="lan" localSheetId="2" hidden="1">{#N/A,#N/A,TRUE,"BT M200 da 10x20"}</definedName>
    <definedName name="lan" localSheetId="0" hidden="1">{#N/A,#N/A,TRUE,"BT M200 da 10x20"}</definedName>
    <definedName name="lan" hidden="1">{#N/A,#N/A,TRUE,"BT M200 da 10x20"}</definedName>
    <definedName name="lane">#REF!</definedName>
    <definedName name="LAP_DAT_TBA">#REF!</definedName>
    <definedName name="LBS_22">107800000</definedName>
    <definedName name="Lc">#REF!</definedName>
    <definedName name="lcoc">#REF!</definedName>
    <definedName name="lh">#REF!</definedName>
    <definedName name="LIET_KE_VI_TRI_DZ0.4KV">#REF!</definedName>
    <definedName name="LIET_KE_VI_TRI_DZ22KV">#REF!</definedName>
    <definedName name="limcount" hidden="1">2</definedName>
    <definedName name="line15">#REF!</definedName>
    <definedName name="List_of_Material">#REF!</definedName>
    <definedName name="LK_hathe">#REF!</definedName>
    <definedName name="Lmk">#REF!</definedName>
    <definedName name="LN">#REF!</definedName>
    <definedName name="Lnsc">#REF!</definedName>
    <definedName name="lntt">#REF!</definedName>
    <definedName name="Lo">#REF!</definedName>
    <definedName name="Loai">[10]Cate!$A$6:$A$8</definedName>
    <definedName name="LOAI_DUONG">#REF!</definedName>
    <definedName name="Loai_TD">#REF!</definedName>
    <definedName name="LoaiCT">#REF!</definedName>
    <definedName name="long">#REF!</definedName>
    <definedName name="Lst">#REF!</definedName>
    <definedName name="LT">#REF!</definedName>
    <definedName name="ltdbgt">#REF!</definedName>
    <definedName name="LTGTQM">#REF!</definedName>
    <definedName name="m">#N/A</definedName>
    <definedName name="M10aavc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J_CON_EQP">#REF!</definedName>
    <definedName name="MaMay_Q">#REF!</definedName>
    <definedName name="MAT">'[1]COAT&amp;WRAP-QIOT-#3'!#REF!</definedName>
    <definedName name="MAVANKHUON">#REF!</definedName>
    <definedName name="MAVLTHDN">#REF!</definedName>
    <definedName name="MB_Intel_Server_C440GX_Dual_Sl2_ATX">[6]DATA!#REF!</definedName>
    <definedName name="MB_Tomato_810B_Twin">[6]DATA!#REF!</definedName>
    <definedName name="Mba1p" localSheetId="1">#REF!</definedName>
    <definedName name="Mba1p" localSheetId="2">#REF!</definedName>
    <definedName name="Mba1p" localSheetId="0">#REF!</definedName>
    <definedName name="Mba1p">#REF!</definedName>
    <definedName name="Mba3p" localSheetId="1">#REF!</definedName>
    <definedName name="Mba3p" localSheetId="2">#REF!</definedName>
    <definedName name="Mba3p" localSheetId="0">#REF!</definedName>
    <definedName name="Mba3p">#REF!</definedName>
    <definedName name="Mbb3p" localSheetId="1">#REF!</definedName>
    <definedName name="Mbb3p" localSheetId="2">#REF!</definedName>
    <definedName name="Mbb3p" localSheetId="0">#REF!</definedName>
    <definedName name="Mbb3p">#REF!</definedName>
    <definedName name="Mbn1p">#REF!</definedName>
    <definedName name="mc">#REF!</definedName>
    <definedName name="me">#REF!</definedName>
    <definedName name="MF">'[1]COAT&amp;WRAP-QIOT-#3'!#REF!</definedName>
    <definedName name="MG_A">#REF!</definedName>
    <definedName name="mgiam">#REF!</definedName>
    <definedName name="MHDG">#REF!</definedName>
    <definedName name="mhf">#N/A</definedName>
    <definedName name="minh1">#REF!</definedName>
    <definedName name="mk">#REF!</definedName>
    <definedName name="mo" localSheetId="1" hidden="1">{"'Sheet1'!$L$16"}</definedName>
    <definedName name="mo" localSheetId="2" hidden="1">{"'Sheet1'!$L$16"}</definedName>
    <definedName name="mo" localSheetId="0" hidden="1">{"'Sheet1'!$L$16"}</definedName>
    <definedName name="mo" hidden="1">{"'Sheet1'!$L$16"}</definedName>
    <definedName name="moi" localSheetId="1" hidden="1">{"'Sheet1'!$L$16"}</definedName>
    <definedName name="moi" localSheetId="2" hidden="1">{"'Sheet1'!$L$16"}</definedName>
    <definedName name="moi" localSheetId="0" hidden="1">{"'Sheet1'!$L$16"}</definedName>
    <definedName name="moi" hidden="1">{"'Sheet1'!$L$16"}</definedName>
    <definedName name="Morong">#REF!</definedName>
    <definedName name="Morong4054_85">#REF!</definedName>
    <definedName name="morong4054_98">#REF!</definedName>
    <definedName name="Moùng">#REF!</definedName>
    <definedName name="mrn.inv._.budget" localSheetId="1" hidden="1">{"invbud-1",#N/A,FALSE,"A";"invbud-1CW",#N/A,FALSE,"A";"Desinvesteringen",#N/A,FALSE,"C"}</definedName>
    <definedName name="mrn.inv._.budget" localSheetId="2" hidden="1">{"invbud-1",#N/A,FALSE,"A";"invbud-1CW",#N/A,FALSE,"A";"Desinvesteringen",#N/A,FALSE,"C"}</definedName>
    <definedName name="mrn.inv._.budget" localSheetId="0" hidden="1">{"invbud-1",#N/A,FALSE,"A";"invbud-1CW",#N/A,FALSE,"A";"Desinvesteringen",#N/A,FALSE,"C"}</definedName>
    <definedName name="mrn.inv._.budget" hidden="1">{"invbud-1",#N/A,FALSE,"A";"invbud-1CW",#N/A,FALSE,"A";"Desinvesteringen",#N/A,FALSE,"C"}</definedName>
    <definedName name="MSCT">#REF!</definedName>
    <definedName name="mtc">#REF!</definedName>
    <definedName name="mtcdg">#REF!</definedName>
    <definedName name="MTCMB">#REF!</definedName>
    <definedName name="MTMAC12">#REF!</definedName>
    <definedName name="mtram">#REF!</definedName>
    <definedName name="Mu">#REF!</definedName>
    <definedName name="Mu_">#REF!</definedName>
    <definedName name="mucdo">[10]Cate!$A$27:$A$29</definedName>
    <definedName name="myle">#REF!</definedName>
    <definedName name="n1pig">#REF!</definedName>
    <definedName name="N1pIGvc">#REF!</definedName>
    <definedName name="n1pind">#REF!</definedName>
    <definedName name="N1pINDvc">#REF!</definedName>
    <definedName name="n1pint">#REF!</definedName>
    <definedName name="n1ping">#REF!</definedName>
    <definedName name="N1pINGvc">#REF!</definedName>
    <definedName name="nam" localSheetId="1" hidden="1">{"'Sheet1'!$L$16"}</definedName>
    <definedName name="nam" localSheetId="2" hidden="1">{"'Sheet1'!$L$16"}</definedName>
    <definedName name="nam" localSheetId="0" hidden="1">{"'Sheet1'!$L$16"}</definedName>
    <definedName name="nam" hidden="1">{"'Sheet1'!$L$16"}</definedName>
    <definedName name="name2">#N/A</definedName>
    <definedName name="nc">#REF!</definedName>
    <definedName name="nc_btm10">#REF!</definedName>
    <definedName name="nc_btm100">#REF!</definedName>
    <definedName name="nc1p">#REF!</definedName>
    <definedName name="nc3p">#REF!</definedName>
    <definedName name="ncb">#N/A</definedName>
    <definedName name="NCBD100">#REF!</definedName>
    <definedName name="NCBD200">#REF!</definedName>
    <definedName name="NCBD250">#REF!</definedName>
    <definedName name="NCC">#REF!</definedName>
    <definedName name="NCCT3p">#REF!</definedName>
    <definedName name="ncdg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" localSheetId="1" hidden="1">{"'Sheet1'!$L$16"}</definedName>
    <definedName name="Ne" localSheetId="2" hidden="1">{"'Sheet1'!$L$16"}</definedName>
    <definedName name="Ne" localSheetId="0" hidden="1">{"'Sheet1'!$L$16"}</definedName>
    <definedName name="Ne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c">#REF!</definedName>
    <definedName name="nindvl1p">#REF!</definedName>
    <definedName name="nindvl3p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3p">#REF!</definedName>
    <definedName name="ning1p">#REF!</definedName>
    <definedName name="ningnc1p">#REF!</definedName>
    <definedName name="ningvl1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" localSheetId="1" hidden="1">{"'Sheet1'!$L$16"}</definedName>
    <definedName name="nnn" localSheetId="2" hidden="1">{"'Sheet1'!$L$16"}</definedName>
    <definedName name="nnn" localSheetId="0" hidden="1">{"'Sheet1'!$L$16"}</definedName>
    <definedName name="nnn" hidden="1">{"'Sheet1'!$L$16"}</definedName>
    <definedName name="nnnc3p">#REF!</definedName>
    <definedName name="nnvl3p">#REF!</definedName>
    <definedName name="No">#REF!</definedName>
    <definedName name="Np">#REF!</definedName>
    <definedName name="Nq">#REF!</definedName>
    <definedName name="ns">#REF!</definedName>
    <definedName name="nt">#REF!</definedName>
    <definedName name="nuoc">[7]gvl!$N$38</definedName>
    <definedName name="nuy" localSheetId="1">#REF!</definedName>
    <definedName name="nuy" localSheetId="0">#REF!</definedName>
    <definedName name="nuy">#REF!</definedName>
    <definedName name="nv" localSheetId="1">#REF!</definedName>
    <definedName name="nv" localSheetId="0">#REF!</definedName>
    <definedName name="nv">#REF!</definedName>
    <definedName name="Ngay">#REF!</definedName>
    <definedName name="ngay23" localSheetId="1" hidden="1">{"'Sheet1'!$L$16"}</definedName>
    <definedName name="ngay23" localSheetId="2" hidden="1">{"'Sheet1'!$L$16"}</definedName>
    <definedName name="ngay23" localSheetId="0" hidden="1">{"'Sheet1'!$L$16"}</definedName>
    <definedName name="ngay23" hidden="1">{"'Sheet1'!$L$16"}</definedName>
    <definedName name="ngu" localSheetId="1" hidden="1">{"'Sheet1'!$L$16"}</definedName>
    <definedName name="ngu" localSheetId="2" hidden="1">{"'Sheet1'!$L$16"}</definedName>
    <definedName name="ngu" localSheetId="0" hidden="1">{"'Sheet1'!$L$16"}</definedName>
    <definedName name="ngu" hidden="1">{"'Sheet1'!$L$16"}</definedName>
    <definedName name="ngy">#REF!</definedName>
    <definedName name="NH">#REF!</definedName>
    <definedName name="Nh_n_cáng">#REF!</definedName>
    <definedName name="Nhap">#N/A</definedName>
    <definedName name="nhap2">#N/A</definedName>
    <definedName name="nhapcap">#N/A</definedName>
    <definedName name="nhapcb">#N/A</definedName>
    <definedName name="nhd">#REF!</definedName>
    <definedName name="nhn">#REF!</definedName>
    <definedName name="NhNgam">#REF!</definedName>
    <definedName name="NHot">#REF!</definedName>
    <definedName name="NhTreo">#REF!</definedName>
    <definedName name="nhua">#REF!</definedName>
    <definedName name="o" localSheetId="1" hidden="1">{"'Sheet1'!$L$16"}</definedName>
    <definedName name="o" localSheetId="2" hidden="1">{"'Sheet1'!$L$16"}</definedName>
    <definedName name="o" localSheetId="0" hidden="1">{"'Sheet1'!$L$16"}</definedName>
    <definedName name="o" hidden="1">{"'Sheet1'!$L$16"}</definedName>
    <definedName name="oi">#REF!</definedName>
    <definedName name="ophom">#REF!</definedName>
    <definedName name="OrderTable" hidden="1">#REF!</definedName>
    <definedName name="Out">#REF!</definedName>
    <definedName name="oxi">#REF!</definedName>
    <definedName name="P">'[1]PNT-QUOT-#3'!#REF!</definedName>
    <definedName name="PA">#REF!</definedName>
    <definedName name="PChe">#REF!</definedName>
    <definedName name="Pd">#REF!</definedName>
    <definedName name="PDO" localSheetId="1" hidden="1">{"'Summary'!$A$1:$J$46"}</definedName>
    <definedName name="PDO" localSheetId="2" hidden="1">{"'Summary'!$A$1:$J$46"}</definedName>
    <definedName name="PDO" localSheetId="0" hidden="1">{"'Summary'!$A$1:$J$46"}</definedName>
    <definedName name="PDO" hidden="1">{"'Summary'!$A$1:$J$46"}</definedName>
    <definedName name="PEJM">'[1]COAT&amp;WRAP-QIOT-#3'!#REF!</definedName>
    <definedName name="PF">'[1]PNT-QUOT-#3'!#REF!</definedName>
    <definedName name="PileSize">#REF!</definedName>
    <definedName name="PileType">#REF!</definedName>
    <definedName name="PK">#REF!</definedName>
    <definedName name="PL" localSheetId="1" hidden="1">{"'Sheet1'!$L$16"}</definedName>
    <definedName name="PL" localSheetId="2" hidden="1">{"'Sheet1'!$L$16"}</definedName>
    <definedName name="PL" localSheetId="0" hidden="1">{"'Sheet1'!$L$16"}</definedName>
    <definedName name="PL" hidden="1">{"'Sheet1'!$L$16"}</definedName>
    <definedName name="PL04TSQD" localSheetId="1" hidden="1">{"'Sheet1'!$L$16"}</definedName>
    <definedName name="PL04TSQD" localSheetId="2" hidden="1">{"'Sheet1'!$L$16"}</definedName>
    <definedName name="PL04TSQD" localSheetId="0" hidden="1">{"'Sheet1'!$L$16"}</definedName>
    <definedName name="PL04TSQD" hidden="1">{"'Sheet1'!$L$16"}</definedName>
    <definedName name="PLm">#REF!</definedName>
    <definedName name="PLs">#REF!</definedName>
    <definedName name="PM">[11]IBASE!$AH$16:$AV$110</definedName>
    <definedName name="power_ini">#REF!</definedName>
    <definedName name="PowerCord">[6]DATA!#REF!</definedName>
    <definedName name="pr" localSheetId="1">#REF!</definedName>
    <definedName name="pr" localSheetId="2">#REF!</definedName>
    <definedName name="pr" localSheetId="0">#REF!</definedName>
    <definedName name="pr">#REF!</definedName>
    <definedName name="PRICE" localSheetId="1">#REF!</definedName>
    <definedName name="PRICE" localSheetId="2">#REF!</definedName>
    <definedName name="PRICE" localSheetId="0">#REF!</definedName>
    <definedName name="PRICE">#REF!</definedName>
    <definedName name="PRICE1" localSheetId="1">#REF!</definedName>
    <definedName name="PRICE1" localSheetId="2">#REF!</definedName>
    <definedName name="PRICE1" localSheetId="0">#REF!</definedName>
    <definedName name="PRICE1">#REF!</definedName>
    <definedName name="prin_area">#REF!</definedName>
    <definedName name="_xlnm.Print_Area" localSheetId="2">'4.LươngKS'!$A$1:$H$19</definedName>
    <definedName name="Print_Area_MI">[12]ESTI.!$A$1:$U$52</definedName>
    <definedName name="Print_Titles_MI" localSheetId="1">#REF!</definedName>
    <definedName name="Print_Titles_MI" localSheetId="2">#REF!</definedName>
    <definedName name="Print_Titles_MI" localSheetId="0">#REF!</definedName>
    <definedName name="Print_Titles_MI">#REF!</definedName>
    <definedName name="PRINTA" localSheetId="1">#REF!</definedName>
    <definedName name="PRINTA" localSheetId="2">#REF!</definedName>
    <definedName name="PRINTA" localSheetId="0">#REF!</definedName>
    <definedName name="PRINTA">#REF!</definedName>
    <definedName name="PRINTB">#REF!</definedName>
    <definedName name="PRINTC">#REF!</definedName>
    <definedName name="ProdForm" hidden="1">#REF!</definedName>
    <definedName name="Product" hidden="1">#REF!</definedName>
    <definedName name="PROPOSAL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okN">#REF!</definedName>
    <definedName name="Pu">#REF!</definedName>
    <definedName name="pvd">#REF!</definedName>
    <definedName name="pw">#REF!</definedName>
    <definedName name="phai" localSheetId="1" hidden="1">{"'Sheet1'!$L$16"}</definedName>
    <definedName name="phai" localSheetId="2" hidden="1">{"'Sheet1'!$L$16"}</definedName>
    <definedName name="phai" localSheetId="0" hidden="1">{"'Sheet1'!$L$16"}</definedName>
    <definedName name="phai" hidden="1">{"'Sheet1'!$L$16"}</definedName>
    <definedName name="phainop">#REF!</definedName>
    <definedName name="PHAN_DIEN_DZ0.4KV">#REF!</definedName>
    <definedName name="PHAN_DIEN_TBA">#REF!</definedName>
    <definedName name="PHAN_MUA_SAM_DZ0.4KV">#REF!</definedName>
    <definedName name="phanloaiYC">[10]Cate!$B$33:$B$37</definedName>
    <definedName name="phu_luc_vua">#REF!</definedName>
    <definedName name="phugia">#REF!</definedName>
    <definedName name="qc">#REF!</definedName>
    <definedName name="qew5r4et" localSheetId="1" hidden="1">{"'Sheet1'!$L$16"}</definedName>
    <definedName name="qew5r4et" localSheetId="2" hidden="1">{"'Sheet1'!$L$16"}</definedName>
    <definedName name="qew5r4et" localSheetId="0" hidden="1">{"'Sheet1'!$L$16"}</definedName>
    <definedName name="qew5r4et" hidden="1">{"'Sheet1'!$L$16"}</definedName>
    <definedName name="qh">#REF!</definedName>
    <definedName name="ql">#REF!</definedName>
    <definedName name="qp">#REF!</definedName>
    <definedName name="qtdm">#REF!</definedName>
    <definedName name="QtuÊn">#N/A</definedName>
    <definedName name="qx">#REF!</definedName>
    <definedName name="qy">#REF!</definedName>
    <definedName name="qu">#REF!</definedName>
    <definedName name="quy" localSheetId="1" hidden="1">{"'Sheet1'!$L$16"}</definedName>
    <definedName name="quy" localSheetId="2" hidden="1">{"'Sheet1'!$L$16"}</definedName>
    <definedName name="quy" localSheetId="0" hidden="1">{"'Sheet1'!$L$16"}</definedName>
    <definedName name="quy" hidden="1">{"'Sheet1'!$L$16"}</definedName>
    <definedName name="r_">#REF!</definedName>
    <definedName name="ra11p">#REF!</definedName>
    <definedName name="ra13p">#REF!</definedName>
    <definedName name="rate">14000</definedName>
    <definedName name="RCArea" hidden="1">#REF!</definedName>
    <definedName name="rche">#REF!</definedName>
    <definedName name="_xlnm.Recorder">#REF!</definedName>
    <definedName name="RECOUT">#N/A</definedName>
    <definedName name="rfhfgjfgjgfjfjfh" localSheetId="1" hidden="1">{"'Sheet1'!$L$16"}</definedName>
    <definedName name="rfhfgjfgjgfjfjfh" localSheetId="2" hidden="1">{"'Sheet1'!$L$16"}</definedName>
    <definedName name="rfhfgjfgjgfjfjfh" localSheetId="0" hidden="1">{"'Sheet1'!$L$16"}</definedName>
    <definedName name="rfhfgjfgjgfjfjfh" hidden="1">{"'Sheet1'!$L$16"}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df" localSheetId="1" hidden="1">{"'Sheet1'!$L$16"}</definedName>
    <definedName name="rgdf" localSheetId="2" hidden="1">{"'Sheet1'!$L$16"}</definedName>
    <definedName name="rgdf" localSheetId="0" hidden="1">{"'Sheet1'!$L$16"}</definedName>
    <definedName name="rgdf" hidden="1">{"'Sheet1'!$L$16"}</definedName>
    <definedName name="Rnp">#REF!</definedName>
    <definedName name="RPLA" localSheetId="1" hidden="1">{"'Sheet1'!$L$16"}</definedName>
    <definedName name="RPLA" localSheetId="2" hidden="1">{"'Sheet1'!$L$16"}</definedName>
    <definedName name="RPLA" localSheetId="0" hidden="1">{"'Sheet1'!$L$16"}</definedName>
    <definedName name="RPLA" hidden="1">{"'Sheet1'!$L$16"}</definedName>
    <definedName name="RT">'[1]COAT&amp;WRAP-QIOT-#3'!#REF!</definedName>
    <definedName name="rthan">#REF!</definedName>
    <definedName name="Ru">#REF!</definedName>
    <definedName name="s" localSheetId="1" hidden="1">{"'Sheet1'!$L$16"}</definedName>
    <definedName name="s" localSheetId="2" hidden="1">{"'Sheet1'!$L$16"}</definedName>
    <definedName name="s" localSheetId="0" hidden="1">{"'Sheet1'!$L$16"}</definedName>
    <definedName name="s" hidden="1">{"'Sheet1'!$L$16"}</definedName>
    <definedName name="s.">#REF!</definedName>
    <definedName name="sadf">#N/A</definedName>
    <definedName name="sand">#REF!</definedName>
    <definedName name="SAPBEXrevision" hidden="1">7</definedName>
    <definedName name="SAPBEXsysID" hidden="1">"P57"</definedName>
    <definedName name="SAPBEXwbID" hidden="1">"3JX5BV41R2KVEX9FV6LB6ZNYC"</definedName>
    <definedName name="satu">#REF!</definedName>
    <definedName name="SB">[11]IBASE!$AH$7:$AL$14</definedName>
    <definedName name="scao98">#REF!</definedName>
    <definedName name="SCT">#REF!</definedName>
    <definedName name="SCH">#REF!</definedName>
    <definedName name="sd">[6]DATA!#REF!</definedName>
    <definedName name="sd1p" localSheetId="1">#REF!</definedName>
    <definedName name="sd1p" localSheetId="2">#REF!</definedName>
    <definedName name="sd1p" localSheetId="0">#REF!</definedName>
    <definedName name="sd1p">#REF!</definedName>
    <definedName name="sdaf">#N/A</definedName>
    <definedName name="sdas">#N/A</definedName>
    <definedName name="sdcsd" localSheetId="1" hidden="1">{"'Sheet1'!$L$16"}</definedName>
    <definedName name="sdcsd" localSheetId="2" hidden="1">{"'Sheet1'!$L$16"}</definedName>
    <definedName name="sdcsd" localSheetId="0" hidden="1">{"'Sheet1'!$L$16"}</definedName>
    <definedName name="sdcsd" hidden="1">{"'Sheet1'!$L$16"}</definedName>
    <definedName name="sdf" localSheetId="1" hidden="1">{"'Sheet1'!$L$16"}</definedName>
    <definedName name="sdf" localSheetId="2" hidden="1">{"'Sheet1'!$L$16"}</definedName>
    <definedName name="sdf" localSheetId="0" hidden="1">{"'Sheet1'!$L$16"}</definedName>
    <definedName name="sdf" hidden="1">{"'Sheet1'!$L$16"}</definedName>
    <definedName name="sdfsd">'[1]PNT-QUOT-#3'!#REF!</definedName>
    <definedName name="SDMONG">#REF!</definedName>
    <definedName name="sencount" hidden="1">2</definedName>
    <definedName name="sfds">#N/A</definedName>
    <definedName name="sh">#REF!</definedName>
    <definedName name="SHDGC">#REF!</definedName>
    <definedName name="SHDGD">#REF!</definedName>
    <definedName name="Sheet1">#REF!</definedName>
    <definedName name="sheet2" localSheetId="1" hidden="1">{"'Sheet1'!$L$16"}</definedName>
    <definedName name="sheet2" localSheetId="2" hidden="1">{"'Sheet1'!$L$16"}</definedName>
    <definedName name="sheet2" localSheetId="0" hidden="1">{"'Sheet1'!$L$16"}</definedName>
    <definedName name="sheet2" hidden="1">{"'Sheet1'!$L$16"}</definedName>
    <definedName name="sho">#REF!</definedName>
    <definedName name="SHPC">#REF!</definedName>
    <definedName name="SHPD">#REF!</definedName>
    <definedName name="sht1p">#REF!</definedName>
    <definedName name="sieucao">#REF!</definedName>
    <definedName name="sika">#REF!</definedName>
    <definedName name="sin">#REF!</definedName>
    <definedName name="SIZE">#REF!</definedName>
    <definedName name="skadjf">#N/A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n">#REF!</definedName>
    <definedName name="So_Xau">#N/A</definedName>
    <definedName name="soc3p">#REF!</definedName>
    <definedName name="SoHT">1</definedName>
    <definedName name="Soi">#REF!</definedName>
    <definedName name="Soichon">#REF!</definedName>
    <definedName name="soichon12">#REF!</definedName>
    <definedName name="soichon24">#REF!</definedName>
    <definedName name="Soichon2x4">#REF!</definedName>
    <definedName name="soichon46">#REF!</definedName>
    <definedName name="SoilType">#REF!</definedName>
    <definedName name="SoilType_">#REF!</definedName>
    <definedName name="solieu">#REF!</definedName>
    <definedName name="son">#REF!</definedName>
    <definedName name="SORT">#REF!</definedName>
    <definedName name="SORT_AREA">'[12]DI-ESTI'!$A$8:$R$489</definedName>
    <definedName name="SourceActorRange" localSheetId="1">#REF!</definedName>
    <definedName name="SourceActorRange" localSheetId="2">#REF!</definedName>
    <definedName name="SourceActorRange" localSheetId="0">#REF!</definedName>
    <definedName name="SourceActorRange">#REF!</definedName>
    <definedName name="SourceUseCaseRange" localSheetId="1">#REF!</definedName>
    <definedName name="SourceUseCaseRange" localSheetId="2">#REF!</definedName>
    <definedName name="SourceUseCaseRange" localSheetId="0">#REF!</definedName>
    <definedName name="SourceUseCaseRange">#REF!</definedName>
    <definedName name="SoXau">#N/A</definedName>
    <definedName name="SP" localSheetId="1">'[1]PNT-QUOT-#3'!#REF!</definedName>
    <definedName name="SP" localSheetId="2">'[1]PNT-QUOT-#3'!#REF!</definedName>
    <definedName name="SP" localSheetId="0">'[1]PNT-QUOT-#3'!#REF!</definedName>
    <definedName name="SP">'[1]PNT-QUOT-#3'!#REF!</definedName>
    <definedName name="sp_uprice" localSheetId="1">#REF!</definedName>
    <definedName name="sp_uprice" localSheetId="2">#REF!</definedName>
    <definedName name="sp_uprice" localSheetId="0">#REF!</definedName>
    <definedName name="sp_uprice">#REF!</definedName>
    <definedName name="Spanner_Auto_File">"C:\My Documents\tinh cdo.x2a"</definedName>
    <definedName name="SPEC">#REF!</definedName>
    <definedName name="SpecialPrice" hidden="1">#REF!</definedName>
    <definedName name="SPECSUMMARY">#REF!</definedName>
    <definedName name="spk1p">#REF!</definedName>
    <definedName name="SQDKT10">#REF!</definedName>
    <definedName name="SQDKT11">#REF!</definedName>
    <definedName name="SQDKT9">#REF!</definedName>
    <definedName name="srbn" localSheetId="1">{"Thuxm2.xls","Sheet1"}</definedName>
    <definedName name="srbn" localSheetId="2">{"Thuxm2.xls","Sheet1"}</definedName>
    <definedName name="srbn" localSheetId="0">{"Thuxm2.xls","Sheet1"}</definedName>
    <definedName name="srbn">{"Thuxm2.xls","Sheet1"}</definedName>
    <definedName name="SRSQI">#REF!</definedName>
    <definedName name="srtg">#REF!</definedName>
    <definedName name="ss">#N/A</definedName>
    <definedName name="ssd" localSheetId="1" hidden="1">{"Offgrid",#N/A,FALSE,"OFFGRID";"Region",#N/A,FALSE,"REGION";"Offgrid -2",#N/A,FALSE,"OFFGRID";"WTP",#N/A,FALSE,"WTP";"WTP -2",#N/A,FALSE,"WTP";"Project",#N/A,FALSE,"PROJECT";"Summary -2",#N/A,FALSE,"SUMMARY"}</definedName>
    <definedName name="ssd" localSheetId="2" hidden="1">{"Offgrid",#N/A,FALSE,"OFFGRID";"Region",#N/A,FALSE,"REGION";"Offgrid -2",#N/A,FALSE,"OFFGRID";"WTP",#N/A,FALSE,"WTP";"WTP -2",#N/A,FALSE,"WTP";"Project",#N/A,FALSE,"PROJECT";"Summary -2",#N/A,FALSE,"SUMMARY"}</definedName>
    <definedName name="ssd" localSheetId="0" hidden="1">{"Offgrid",#N/A,FALSE,"OFFGRID";"Region",#N/A,FALSE,"REGION";"Offgrid -2",#N/A,FALSE,"OFFGRID";"WTP",#N/A,FALSE,"WTP";"WTP -2",#N/A,FALSE,"WTP";"Project",#N/A,FALSE,"PROJECT";"Summary -2",#N/A,FALSE,"SUMMARY"}</definedName>
    <definedName name="ssd" hidden="1">{"Offgrid",#N/A,FALSE,"OFFGRID";"Region",#N/A,FALSE,"REGION";"Offgrid -2",#N/A,FALSE,"OFFGRID";"WTP",#N/A,FALSE,"WTP";"WTP -2",#N/A,FALSE,"WTP";"Project",#N/A,FALSE,"PROJECT";"Summary -2",#N/A,FALSE,"SUMMARY"}</definedName>
    <definedName name="sss" localSheetId="1" hidden="1">{"'Sheet1'!$L$16"}</definedName>
    <definedName name="sss" localSheetId="2" hidden="1">{"'Sheet1'!$L$16"}</definedName>
    <definedName name="sss" localSheetId="0" hidden="1">{"'Sheet1'!$L$16"}</definedName>
    <definedName name="sss" hidden="1">{"'Sheet1'!$L$16"}</definedName>
    <definedName name="sssd" localSheetId="1" hidden="1">{#N/A,#N/A,FALSE,"Chi tiÆt"}</definedName>
    <definedName name="sssd" localSheetId="2" hidden="1">{#N/A,#N/A,FALSE,"Chi tiÆt"}</definedName>
    <definedName name="sssd" localSheetId="0" hidden="1">{#N/A,#N/A,FALSE,"Chi tiÆt"}</definedName>
    <definedName name="sssd" hidden="1">{#N/A,#N/A,FALSE,"Chi tiÆt"}</definedName>
    <definedName name="ST">#REF!</definedName>
    <definedName name="st1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tus">#REF!</definedName>
    <definedName name="Stt">#REF!</definedName>
    <definedName name="su">#REF!</definedName>
    <definedName name="sub">#REF!</definedName>
    <definedName name="Subbase" localSheetId="1" hidden="1">{"'Sheet1'!$L$16"}</definedName>
    <definedName name="Subbase" localSheetId="2" hidden="1">{"'Sheet1'!$L$16"}</definedName>
    <definedName name="Subbase" localSheetId="0" hidden="1">{"'Sheet1'!$L$16"}</definedName>
    <definedName name="Subbase" hidden="1">{"'Sheet1'!$L$16"}</definedName>
    <definedName name="SUM" localSheetId="1">#REF!,#REF!</definedName>
    <definedName name="SUM" localSheetId="2">#REF!,#REF!</definedName>
    <definedName name="SUM" localSheetId="0">#REF!,#REF!</definedName>
    <definedName name="SUM">#REF!,#REF!</definedName>
    <definedName name="SUMMARY" localSheetId="1">#REF!</definedName>
    <definedName name="SUMMARY" localSheetId="2">#REF!</definedName>
    <definedName name="SUMMARY" localSheetId="0">#REF!</definedName>
    <definedName name="SUMMARY">#REF!</definedName>
    <definedName name="sumTB" localSheetId="2">#REF!</definedName>
    <definedName name="sumTB">#REF!</definedName>
    <definedName name="sumXL" localSheetId="2">#REF!</definedName>
    <definedName name="sumXL">#REF!</definedName>
    <definedName name="sur">#REF!</definedName>
    <definedName name="svfdfh" localSheetId="1" hidden="1">{"'Summary'!$A$1:$J$46"}</definedName>
    <definedName name="svfdfh" localSheetId="2" hidden="1">{"'Summary'!$A$1:$J$46"}</definedName>
    <definedName name="svfdfh" localSheetId="0" hidden="1">{"'Summary'!$A$1:$J$46"}</definedName>
    <definedName name="svfdfh" hidden="1">{"'Summary'!$A$1:$J$46"}</definedName>
    <definedName name="sx">#N/A</definedName>
    <definedName name="t101p">#REF!</definedName>
    <definedName name="t103p">#REF!</definedName>
    <definedName name="t10nc1p">#REF!</definedName>
    <definedName name="T10vc">#REF!</definedName>
    <definedName name="t10vl1p">#REF!</definedName>
    <definedName name="t121p">#REF!</definedName>
    <definedName name="t123p">#REF!</definedName>
    <definedName name="T12vc">#REF!</definedName>
    <definedName name="t141p">#REF!</definedName>
    <definedName name="t143p">#REF!</definedName>
    <definedName name="t14nc3p">#REF!</definedName>
    <definedName name="t14vl3p">#REF!</definedName>
    <definedName name="TAMTINH">#REF!</definedName>
    <definedName name="tarcb_total">#REF!</definedName>
    <definedName name="tarcb_total2">#REF!</definedName>
    <definedName name="taup_total">#REF!</definedName>
    <definedName name="tavet">#REF!</definedName>
    <definedName name="TAW">'[5]Appendix 3'!$F$8</definedName>
    <definedName name="Tax" localSheetId="1">#REF!</definedName>
    <definedName name="Tax" localSheetId="2">#REF!</definedName>
    <definedName name="Tax" localSheetId="0">#REF!</definedName>
    <definedName name="Tax">#REF!</definedName>
    <definedName name="TaxTV">10%</definedName>
    <definedName name="TaxXL">5%</definedName>
    <definedName name="TB">[13]ThietBi!$J$26</definedName>
    <definedName name="TBA" localSheetId="1">#REF!</definedName>
    <definedName name="TBA" localSheetId="2">#REF!</definedName>
    <definedName name="TBA" localSheetId="0">#REF!</definedName>
    <definedName name="TBA">#REF!</definedName>
    <definedName name="TBCLS">#N/A</definedName>
    <definedName name="TBF">'[5]Appendix 4'!$E$18</definedName>
    <definedName name="tbimoi" localSheetId="1" hidden="1">{"Offgrid",#N/A,FALSE,"OFFGRID";"Region",#N/A,FALSE,"REGION";"Offgrid -2",#N/A,FALSE,"OFFGRID";"WTP",#N/A,FALSE,"WTP";"WTP -2",#N/A,FALSE,"WTP";"Project",#N/A,FALSE,"PROJECT";"Summary -2",#N/A,FALSE,"SUMMARY"}</definedName>
    <definedName name="tbimoi" localSheetId="2" hidden="1">{"Offgrid",#N/A,FALSE,"OFFGRID";"Region",#N/A,FALSE,"REGION";"Offgrid -2",#N/A,FALSE,"OFFGRID";"WTP",#N/A,FALSE,"WTP";"WTP -2",#N/A,FALSE,"WTP";"Project",#N/A,FALSE,"PROJECT";"Summary -2",#N/A,FALSE,"SUMMARY"}</definedName>
    <definedName name="tbimoi" localSheetId="0" hidden="1">{"Offgrid",#N/A,FALSE,"OFFGRID";"Region",#N/A,FALSE,"REGION";"Offgrid -2",#N/A,FALSE,"OFFGRID";"WTP",#N/A,FALSE,"WTP";"WTP -2",#N/A,FALSE,"WTP";"Project",#N/A,FALSE,"PROJECT";"Summary -2",#N/A,FALSE,"SUMMARY"}</definedName>
    <definedName name="tbimoi" hidden="1">{"Offgrid",#N/A,FALSE,"OFFGRID";"Region",#N/A,FALSE,"REGION";"Offgrid -2",#N/A,FALSE,"OFFGRID";"WTP",#N/A,FALSE,"WTP";"WTP -2",#N/A,FALSE,"WTP";"Project",#N/A,FALSE,"PROJECT";"Summary -2",#N/A,FALSE,"SUMMARY"}</definedName>
    <definedName name="tbl_ProdInfo" hidden="1">#REF!</definedName>
    <definedName name="tbtram">#REF!</definedName>
    <definedName name="TBXD">#REF!</definedName>
    <definedName name="TC_NHANH1">#REF!</definedName>
    <definedName name="TCF">#REF!</definedName>
    <definedName name="Tchuan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ia">#REF!</definedName>
    <definedName name="tdnc1p">#REF!</definedName>
    <definedName name="tdt">#REF!</definedName>
    <definedName name="tdtr2cnc">#REF!</definedName>
    <definedName name="tdtr2cvl">#REF!</definedName>
    <definedName name="tdvl1p">#REF!</definedName>
    <definedName name="tem" localSheetId="1" hidden="1">{"'Sheet1'!$L$16"}</definedName>
    <definedName name="tem" localSheetId="2" hidden="1">{"'Sheet1'!$L$16"}</definedName>
    <definedName name="tem" localSheetId="0" hidden="1">{"'Sheet1'!$L$16"}</definedName>
    <definedName name="tem" hidden="1">{"'Sheet1'!$L$16"}</definedName>
    <definedName name="tencs">#REF!</definedName>
    <definedName name="TenNgam">#REF!</definedName>
    <definedName name="TenTreo">#REF!</definedName>
    <definedName name="test1">#REF!</definedName>
    <definedName name="TFW">#REF!</definedName>
    <definedName name="tg">#N/A</definedName>
    <definedName name="Tien">#REF!</definedName>
    <definedName name="TIENLUONG">#REF!</definedName>
    <definedName name="Tiepdiama">9500</definedName>
    <definedName name="TIEU_HAO_VAT_TU_DZ0.4KV">#REF!</definedName>
    <definedName name="TIEU_HAO_VAT_TU_DZ22KV">#REF!</definedName>
    <definedName name="TIEU_HAO_VAT_TU_TBA">#REF!</definedName>
    <definedName name="tigia">[14]Sheet1!$J$2</definedName>
    <definedName name="Tim_cong" localSheetId="1">#REF!</definedName>
    <definedName name="Tim_cong" localSheetId="2">#REF!</definedName>
    <definedName name="Tim_cong" localSheetId="0">#REF!</definedName>
    <definedName name="Tim_cong">#REF!</definedName>
    <definedName name="tim_lan_xuat_hien" localSheetId="1">#REF!</definedName>
    <definedName name="tim_lan_xuat_hien" localSheetId="2">#REF!</definedName>
    <definedName name="tim_lan_xuat_hien" localSheetId="0">#REF!</definedName>
    <definedName name="tim_lan_xuat_hien">#REF!</definedName>
    <definedName name="tim_xuat_hien" localSheetId="1">#REF!</definedName>
    <definedName name="tim_xuat_hien" localSheetId="2">#REF!</definedName>
    <definedName name="tim_xuat_hien" localSheetId="0">#REF!</definedName>
    <definedName name="tim_xuat_hien">#REF!</definedName>
    <definedName name="TITAN">#REF!</definedName>
    <definedName name="tk">#N/A</definedName>
    <definedName name="tke">#N/A</definedName>
    <definedName name="TKP">#REF!</definedName>
    <definedName name="TKT">#REF!</definedName>
    <definedName name="TL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e">#REF!</definedName>
    <definedName name="tlntt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M">#N/A</definedName>
    <definedName name="TMM">#N/A</definedName>
    <definedName name="TNDN">#REF!</definedName>
    <definedName name="Toanbo">#REF!</definedName>
    <definedName name="Tong_co">#REF!</definedName>
    <definedName name="TONG_GIA_TRI_CONG_TRINH">#REF!</definedName>
    <definedName name="TONG_HOP_THI_NGHIEM_DZ0.4KV">#REF!</definedName>
    <definedName name="TONG_HOP_THI_NGHIEM_DZ22KV">#REF!</definedName>
    <definedName name="TONG_KE_TBA">#REF!</definedName>
    <definedName name="Tong_no">#REF!</definedName>
    <definedName name="TONGDUTOAN">#REF!</definedName>
    <definedName name="TOYOTA">#REF!</definedName>
    <definedName name="TPLRP">#REF!</definedName>
    <definedName name="ts">#REF!</definedName>
    <definedName name="tsI">#REF!</definedName>
    <definedName name="tstndn">#REF!</definedName>
    <definedName name="tt">#REF!</definedName>
    <definedName name="TT_1P">#REF!</definedName>
    <definedName name="TT_3p">#REF!</definedName>
    <definedName name="TTDD1P">#REF!</definedName>
    <definedName name="TTDKKH">#REF!</definedName>
    <definedName name="TTN">#REF!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udc">#REF!</definedName>
    <definedName name="tuyennhanh" localSheetId="1" hidden="1">{"'Sheet1'!$L$16"}</definedName>
    <definedName name="tuyennhanh" localSheetId="2" hidden="1">{"'Sheet1'!$L$16"}</definedName>
    <definedName name="tuyennhanh" localSheetId="0" hidden="1">{"'Sheet1'!$L$16"}</definedName>
    <definedName name="tuyennhanh" hidden="1">{"'Sheet1'!$L$16"}</definedName>
    <definedName name="Tuyenquang">#REF!</definedName>
    <definedName name="tuyequang">#REF!</definedName>
    <definedName name="tuynen" localSheetId="1" hidden="1">{"'Sheet1'!$L$16"}</definedName>
    <definedName name="tuynen" localSheetId="2" hidden="1">{"'Sheet1'!$L$16"}</definedName>
    <definedName name="tuynen" localSheetId="0" hidden="1">{"'Sheet1'!$L$16"}</definedName>
    <definedName name="tuynen" hidden="1">{"'Sheet1'!$L$16"}</definedName>
    <definedName name="tv75nc">#REF!</definedName>
    <definedName name="tv75vl">#REF!</definedName>
    <definedName name="tvl">#REF!</definedName>
    <definedName name="Ty_gia">#REF!</definedName>
    <definedName name="Ty_gia_yen">#REF!</definedName>
    <definedName name="ty_le">#REF!</definedName>
    <definedName name="Ty_Le_1">#REF!</definedName>
    <definedName name="ty_le_BTN">#REF!</definedName>
    <definedName name="Ty_le1">#REF!</definedName>
    <definedName name="TYERT" localSheetId="1" hidden="1">{#N/A,#N/A,FALSE,"Chi tiÆt"}</definedName>
    <definedName name="TYERT" localSheetId="2" hidden="1">{#N/A,#N/A,FALSE,"Chi tiÆt"}</definedName>
    <definedName name="TYERT" localSheetId="0" hidden="1">{#N/A,#N/A,FALSE,"Chi tiÆt"}</definedName>
    <definedName name="TYERT" hidden="1">{#N/A,#N/A,FALSE,"Chi tiÆt"}</definedName>
    <definedName name="tha" localSheetId="1" hidden="1">{"'Sheet1'!$L$16"}</definedName>
    <definedName name="tha" localSheetId="2" hidden="1">{"'Sheet1'!$L$16"}</definedName>
    <definedName name="tha" localSheetId="0" hidden="1">{"'Sheet1'!$L$16"}</definedName>
    <definedName name="tha" hidden="1">{"'Sheet1'!$L$16"}</definedName>
    <definedName name="THAN" localSheetId="1" hidden="1">{"'Sheet1'!$L$16"}</definedName>
    <definedName name="THAN" localSheetId="2" hidden="1">{"'Sheet1'!$L$16"}</definedName>
    <definedName name="THAN" localSheetId="0" hidden="1">{"'Sheet1'!$L$16"}</definedName>
    <definedName name="THAN" hidden="1">{"'Sheet1'!$L$16"}</definedName>
    <definedName name="THANH" localSheetId="1" hidden="1">{"'Sheet1'!$L$16"}</definedName>
    <definedName name="THANH" localSheetId="2" hidden="1">{"'Sheet1'!$L$16"}</definedName>
    <definedName name="THANH" localSheetId="0" hidden="1">{"'Sheet1'!$L$16"}</definedName>
    <definedName name="THANH" hidden="1">{"'Sheet1'!$L$16"}</definedName>
    <definedName name="thanhchong">#REF!</definedName>
    <definedName name="thdt">#REF!</definedName>
    <definedName name="THDT_CT_XOM_NOI">#REF!</definedName>
    <definedName name="THDT_HT_DAO_THUONG">#REF!</definedName>
    <definedName name="THDT_HT_XOM_NOI">#REF!</definedName>
    <definedName name="THDT_NPP_XOM_NOI">#REF!</definedName>
    <definedName name="THDT_TBA_XOM_NOI">#REF!</definedName>
    <definedName name="the">#N/A</definedName>
    <definedName name="thep10">#REF!</definedName>
    <definedName name="thep18">#REF!</definedName>
    <definedName name="thep20">#REF!</definedName>
    <definedName name="thepban">#REF!</definedName>
    <definedName name="thepci">#REF!</definedName>
    <definedName name="thepci8">#REF!</definedName>
    <definedName name="thepcii">#REF!</definedName>
    <definedName name="thepgoc25_60">#REF!</definedName>
    <definedName name="thepgoc63_75">#REF!</definedName>
    <definedName name="thepgoc80_100">#REF!</definedName>
    <definedName name="thepma">10500</definedName>
    <definedName name="thept">#REF!</definedName>
    <definedName name="thepto">#REF!</definedName>
    <definedName name="theptron12">#REF!</definedName>
    <definedName name="theptron14_22">#REF!</definedName>
    <definedName name="theptron6_8">#REF!</definedName>
    <definedName name="thg">#REF!</definedName>
    <definedName name="THGO1pnc">#REF!</definedName>
    <definedName name="thh">#REF!</definedName>
    <definedName name="thht">#REF!</definedName>
    <definedName name="THI">#REF!</definedName>
    <definedName name="THK">'[1]COAT&amp;WRAP-QIOT-#3'!#REF!</definedName>
    <definedName name="thkp3">#REF!</definedName>
    <definedName name="thng" localSheetId="1" hidden="1">{#N/A,#N/A,FALSE,"Chi tiÆt"}</definedName>
    <definedName name="thng" localSheetId="2" hidden="1">{#N/A,#N/A,FALSE,"Chi tiÆt"}</definedName>
    <definedName name="thng" localSheetId="0" hidden="1">{#N/A,#N/A,FALSE,"Chi tiÆt"}</definedName>
    <definedName name="thng" hidden="1">{#N/A,#N/A,FALSE,"Chi tiÆt"}</definedName>
    <definedName name="THT">#REF!</definedName>
    <definedName name="thtt">#REF!</definedName>
    <definedName name="thu" localSheetId="1" hidden="1">{"'Sheet1'!$L$16"}</definedName>
    <definedName name="thu" localSheetId="2" hidden="1">{"'Sheet1'!$L$16"}</definedName>
    <definedName name="thu" localSheetId="0" hidden="1">{"'Sheet1'!$L$16"}</definedName>
    <definedName name="thu" hidden="1">{"'Sheet1'!$L$16"}</definedName>
    <definedName name="thue">#REF!</definedName>
    <definedName name="thuy" localSheetId="1" hidden="1">{"'Sheet1'!$L$16"}</definedName>
    <definedName name="thuy" localSheetId="2" hidden="1">{"'Sheet1'!$L$16"}</definedName>
    <definedName name="thuy" localSheetId="0" hidden="1">{"'Sheet1'!$L$16"}</definedName>
    <definedName name="thuy" hidden="1">{"'Sheet1'!$L$16"}</definedName>
    <definedName name="Tra_Cot">#REF!</definedName>
    <definedName name="Tra_DM_su_dung">#REF!</definedName>
    <definedName name="Tra_don_gia_KS">#REF!</definedName>
    <definedName name="Tra_DTCT">#REF!</definedName>
    <definedName name="Tra_gtxl_cong">#REF!</definedName>
    <definedName name="Tra_ten_cong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A103">#REF!</definedName>
    <definedName name="TRADE2">#REF!</definedName>
    <definedName name="tramatcong1">#REF!</definedName>
    <definedName name="tramatcong2">#REF!</definedName>
    <definedName name="tranhietdo">#REF!</definedName>
    <definedName name="TRAvH">#REF!</definedName>
    <definedName name="TRAVL">#REF!</definedName>
    <definedName name="TRISO">#REF!</definedName>
    <definedName name="trt">#REF!</definedName>
    <definedName name="truc" localSheetId="1" hidden="1">{"'Sheet1'!$L$16"}</definedName>
    <definedName name="truc" localSheetId="2" hidden="1">{"'Sheet1'!$L$16"}</definedName>
    <definedName name="truc" localSheetId="0" hidden="1">{"'Sheet1'!$L$16"}</definedName>
    <definedName name="truc" hidden="1">{"'Sheet1'!$L$16"}</definedName>
    <definedName name="truck">#REF!</definedName>
    <definedName name="u">#REF!</definedName>
    <definedName name="u_level_price">#REF!</definedName>
    <definedName name="UD_ini">#REF!</definedName>
    <definedName name="ugh">#REF!</definedName>
    <definedName name="UniqueActor">#REF!</definedName>
    <definedName name="UP" localSheetId="1">#REF!,#REF!,#REF!,#REF!,#REF!,#REF!,#REF!,#REF!,#REF!,#REF!,#REF!</definedName>
    <definedName name="UP" localSheetId="2">#REF!,#REF!,#REF!,#REF!,#REF!,#REF!,#REF!,#REF!,#REF!,#REF!,#REF!</definedName>
    <definedName name="UP" localSheetId="0">#REF!,#REF!,#REF!,#REF!,#REF!,#REF!,#REF!,#REF!,#REF!,#REF!,#REF!</definedName>
    <definedName name="UP">#REF!,#REF!,#REF!,#REF!,#REF!,#REF!,#REF!,#REF!,#REF!,#REF!,#REF!</definedName>
    <definedName name="USD" localSheetId="1">#REF!</definedName>
    <definedName name="USD" localSheetId="2">#REF!</definedName>
    <definedName name="USD" localSheetId="0">#REF!</definedName>
    <definedName name="USD">#REF!</definedName>
    <definedName name="USDrate" localSheetId="2">#REF!</definedName>
    <definedName name="USDrate">#REF!</definedName>
    <definedName name="ủtfxurxti" localSheetId="1" hidden="1">{"'Summary'!$A$1:$J$46"}</definedName>
    <definedName name="ủtfxurxti" localSheetId="2" hidden="1">{"'Summary'!$A$1:$J$46"}</definedName>
    <definedName name="ủtfxurxti" localSheetId="0" hidden="1">{"'Summary'!$A$1:$J$46"}</definedName>
    <definedName name="ủtfxurxti" hidden="1">{"'Summary'!$A$1:$J$46"}</definedName>
    <definedName name="UUCP">'[5]Du toan'!$D$8</definedName>
    <definedName name="uyen" localSheetId="1" hidden="1">{#N/A,#N/A,TRUE,"BT M200 da 10x20"}</definedName>
    <definedName name="uyen" localSheetId="2" hidden="1">{#N/A,#N/A,TRUE,"BT M200 da 10x20"}</definedName>
    <definedName name="uyen" localSheetId="0" hidden="1">{#N/A,#N/A,TRUE,"BT M200 da 10x20"}</definedName>
    <definedName name="uyen" hidden="1">{#N/A,#N/A,TRUE,"BT M200 da 10x20"}</definedName>
    <definedName name="ưer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_t_tõ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_CHUYEN_DUONG_DAI_DZ0.4KV">#REF!</definedName>
    <definedName name="VAN_CHUYEN_DUONG_DAI_DZ22KV">#REF!</definedName>
    <definedName name="VAN_CHUYEN_VAT_TU_CHUNG">#REF!</definedName>
    <definedName name="VAN_TRUNG_CHUYEN_VAT_TU_CHUNG">#REF!</definedName>
    <definedName name="VARIINST">#REF!</definedName>
    <definedName name="VARIPURC">#REF!</definedName>
    <definedName name="vat">#REF!</definedName>
    <definedName name="VAT_LIEU_DEN_CHAN_CONG_TRINH">#REF!</definedName>
    <definedName name="vbtchongnuocm300">#REF!</definedName>
    <definedName name="vbtm150">#REF!</definedName>
    <definedName name="vbtm300">#REF!</definedName>
    <definedName name="vbtm400">#REF!</definedName>
    <definedName name="vcbo1" localSheetId="1" hidden="1">{"'Sheet1'!$L$16"}</definedName>
    <definedName name="vcbo1" localSheetId="2" hidden="1">{"'Sheet1'!$L$16"}</definedName>
    <definedName name="vcbo1" localSheetId="0" hidden="1">{"'Sheet1'!$L$16"}</definedName>
    <definedName name="vcbo1" hidden="1">{"'Sheet1'!$L$16"}</definedName>
    <definedName name="VCTT">#REF!</definedName>
    <definedName name="VCHT">#REF!</definedName>
    <definedName name="vd">#REF!</definedName>
    <definedName name="vd3p">#REF!</definedName>
    <definedName name="vk">#REF!</definedName>
    <definedName name="vkcauthang">#REF!</definedName>
    <definedName name="vksan">#REF!</definedName>
    <definedName name="vl">#REF!</definedName>
    <definedName name="VL_RC1">#REF!</definedName>
    <definedName name="VL_RC2">#REF!</definedName>
    <definedName name="VL_Rnha">#REF!</definedName>
    <definedName name="VL_RS">#REF!</definedName>
    <definedName name="vl1p">#REF!</definedName>
    <definedName name="vl3p">#REF!</definedName>
    <definedName name="VLCT3p">#REF!</definedName>
    <definedName name="vldg">#REF!</definedName>
    <definedName name="vldn400">#REF!</definedName>
    <definedName name="vldn600">#REF!</definedName>
    <definedName name="VLIEU">#REF!</definedName>
    <definedName name="VLM">#REF!</definedName>
    <definedName name="vltram">#REF!</definedName>
    <definedName name="vr3p">#REF!</definedName>
    <definedName name="vt">#REF!</definedName>
    <definedName name="Vu">#REF!</definedName>
    <definedName name="VÙ">#REF!</definedName>
    <definedName name="Vu_">#REF!</definedName>
    <definedName name="VVVVVV" localSheetId="1" hidden="1">{"'Sheet1'!$L$16"}</definedName>
    <definedName name="VVVVVV" localSheetId="2" hidden="1">{"'Sheet1'!$L$16"}</definedName>
    <definedName name="VVVVVV" localSheetId="0" hidden="1">{"'Sheet1'!$L$16"}</definedName>
    <definedName name="VVVVVV" hidden="1">{"'Sheet1'!$L$16"}</definedName>
    <definedName name="W">#REF!</definedName>
    <definedName name="wb">#REF!</definedName>
    <definedName name="wct">#REF!</definedName>
    <definedName name="Wd">#REF!</definedName>
    <definedName name="wl">#REF!</definedName>
    <definedName name="wrn.aaa." localSheetId="1" hidden="1">{#N/A,#N/A,FALSE,"Sheet1";#N/A,#N/A,FALSE,"Sheet1";#N/A,#N/A,FALSE,"Sheet1"}</definedName>
    <definedName name="wrn.aaa." localSheetId="2" hidden="1">{#N/A,#N/A,FALSE,"Sheet1";#N/A,#N/A,FALSE,"Sheet1";#N/A,#N/A,FALSE,"Sheet1"}</definedName>
    <definedName name="wrn.aaa." localSheetId="0" hidden="1">{#N/A,#N/A,FALSE,"Sheet1";#N/A,#N/A,FALSE,"Sheet1";#N/A,#N/A,FALSE,"Sheet1"}</definedName>
    <definedName name="wrn.aaa." hidden="1">{#N/A,#N/A,FALSE,"Sheet1";#N/A,#N/A,FALSE,"Sheet1";#N/A,#N/A,FALSE,"Sheet1"}</definedName>
    <definedName name="wrn.Bang._.ke._.nhan._.hang." localSheetId="1" hidden="1">{#N/A,#N/A,FALSE,"Ke khai NH"}</definedName>
    <definedName name="wrn.Bang._.ke._.nhan._.hang." localSheetId="2" hidden="1">{#N/A,#N/A,FALSE,"Ke khai NH"}</definedName>
    <definedName name="wrn.Bang._.ke._.nhan._.hang." localSheetId="0" hidden="1">{#N/A,#N/A,FALSE,"Ke khai NH"}</definedName>
    <definedName name="wrn.Bang._.ke._.nhan._.hang." hidden="1">{#N/A,#N/A,FALSE,"Ke khai NH"}</definedName>
    <definedName name="wrn.BAOCAO." localSheetId="1" hidden="1">{#N/A,#N/A,FALSE,"sum";#N/A,#N/A,FALSE,"MARTV";#N/A,#N/A,FALSE,"APRTV"}</definedName>
    <definedName name="wrn.BAOCAO." localSheetId="2" hidden="1">{#N/A,#N/A,FALSE,"sum";#N/A,#N/A,FALSE,"MARTV";#N/A,#N/A,FALSE,"APRTV"}</definedName>
    <definedName name="wrn.BAOCAO." localSheetId="0" hidden="1">{#N/A,#N/A,FALSE,"sum";#N/A,#N/A,FALSE,"MARTV";#N/A,#N/A,FALSE,"APRTV"}</definedName>
    <definedName name="wrn.BAOCAO." hidden="1">{#N/A,#N/A,FALSE,"sum";#N/A,#N/A,FALSE,"MARTV";#N/A,#N/A,FALSE,"APRTV"}</definedName>
    <definedName name="wrn.cong." localSheetId="1" hidden="1">{#N/A,#N/A,FALSE,"Sheet1"}</definedName>
    <definedName name="wrn.cong." localSheetId="2" hidden="1">{#N/A,#N/A,FALSE,"Sheet1"}</definedName>
    <definedName name="wrn.cong." localSheetId="0" hidden="1">{#N/A,#N/A,FALSE,"Sheet1"}</definedName>
    <definedName name="wrn.cong." hidden="1">{#N/A,#N/A,FALSE,"Sheet1"}</definedName>
    <definedName name="wrn.Che._.do._.duoc._.huong." localSheetId="1" hidden="1">{#N/A,#N/A,FALSE,"BN (2)"}</definedName>
    <definedName name="wrn.Che._.do._.duoc._.huong." localSheetId="2" hidden="1">{#N/A,#N/A,FALSE,"BN (2)"}</definedName>
    <definedName name="wrn.Che._.do._.duoc._.huong." localSheetId="0" hidden="1">{#N/A,#N/A,FALSE,"BN (2)"}</definedName>
    <definedName name="wrn.Che._.do._.duoc._.huong." hidden="1">{#N/A,#N/A,FALSE,"BN (2)"}</definedName>
    <definedName name="wrn.chi._.tiÆt." localSheetId="1" hidden="1">{#N/A,#N/A,FALSE,"Chi tiÆt"}</definedName>
    <definedName name="wrn.chi._.tiÆt." localSheetId="2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Giáy._.bao._.no." localSheetId="1" hidden="1">{#N/A,#N/A,FALSE,"BN"}</definedName>
    <definedName name="wrn.Giáy._.bao._.no." localSheetId="2" hidden="1">{#N/A,#N/A,FALSE,"BN"}</definedName>
    <definedName name="wrn.Giáy._.bao._.no." localSheetId="0" hidden="1">{#N/A,#N/A,FALSE,"BN"}</definedName>
    <definedName name="wrn.Giáy._.bao._.no." hidden="1">{#N/A,#N/A,FALSE,"BN"}</definedName>
    <definedName name="wrn.inv._.budget." localSheetId="1" hidden="1">{"invbud-1",#N/A,FALSE,"A";"invbud-1CW",#N/A,FALSE,"A";"Desinvesteringen",#N/A,FALSE,"C"}</definedName>
    <definedName name="wrn.inv._.budget." localSheetId="2" hidden="1">{"invbud-1",#N/A,FALSE,"A";"invbud-1CW",#N/A,FALSE,"A";"Desinvesteringen",#N/A,FALSE,"C"}</definedName>
    <definedName name="wrn.inv._.budget." localSheetId="0" hidden="1">{"invbud-1",#N/A,FALSE,"A";"invbud-1CW",#N/A,FALSE,"A";"Desinvesteringen",#N/A,FALSE,"C"}</definedName>
    <definedName name="wrn.inv._.budget." hidden="1">{"invbud-1",#N/A,FALSE,"A";"invbud-1CW",#N/A,FALSE,"A";"Desinvesteringen",#N/A,FALSE,"C"}</definedName>
    <definedName name="wrn.Monthly._.Statement." localSheetId="1" hidden="1">{#N/A,#N/A,FALSE,"Tabelle2";#N/A,#N/A,FALSE,"Tabelle1"}</definedName>
    <definedName name="wrn.Monthly._.Statement." localSheetId="2" hidden="1">{#N/A,#N/A,FALSE,"Tabelle2";#N/A,#N/A,FALSE,"Tabelle1"}</definedName>
    <definedName name="wrn.Monthly._.Statement." localSheetId="0" hidden="1">{#N/A,#N/A,FALSE,"Tabelle2";#N/A,#N/A,FALSE,"Tabelle1"}</definedName>
    <definedName name="wrn.Monthly._.Statement." hidden="1">{#N/A,#N/A,FALSE,"Tabelle2";#N/A,#N/A,FALSE,"Tabelle1"}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vd." localSheetId="1" hidden="1">{#N/A,#N/A,TRUE,"BT M200 da 10x20"}</definedName>
    <definedName name="wrn.vd." localSheetId="2" hidden="1">{#N/A,#N/A,TRUE,"BT M200 da 10x20"}</definedName>
    <definedName name="wrn.vd." localSheetId="0" hidden="1">{#N/A,#N/A,TRUE,"BT M200 da 10x20"}</definedName>
    <definedName name="wrn.vd." hidden="1">{#N/A,#N/A,TRUE,"BT M200 da 10x20"}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s">#REF!</definedName>
    <definedName name="Wss">#REF!</definedName>
    <definedName name="Wst">#REF!</definedName>
    <definedName name="wt">#REF!</definedName>
    <definedName name="wtn">#REF!</definedName>
    <definedName name="wtru">#REF!</definedName>
    <definedName name="wup">#REF!</definedName>
    <definedName name="ww" localSheetId="1">{"Thuxm2.xls","Sheet1"}</definedName>
    <definedName name="ww" localSheetId="2">{"Thuxm2.xls","Sheet1"}</definedName>
    <definedName name="ww" localSheetId="0">{"Thuxm2.xls","Sheet1"}</definedName>
    <definedName name="ww">{"Thuxm2.xls","Sheet1"}</definedName>
    <definedName name="x">#N/A</definedName>
    <definedName name="x_list">#REF!</definedName>
    <definedName name="x1_">#REF!</definedName>
    <definedName name="x1pind">#REF!</definedName>
    <definedName name="X1pINDvc">#REF!</definedName>
    <definedName name="x1pint">#REF!</definedName>
    <definedName name="x1ping">#REF!</definedName>
    <definedName name="X1pINGvc">#REF!</definedName>
    <definedName name="x2_">#REF!</definedName>
    <definedName name="xa_son">#REF!</definedName>
    <definedName name="xason">#REF!</definedName>
    <definedName name="XB_80">#REF!</definedName>
    <definedName name="XCCT">0.5</definedName>
    <definedName name="xcp">#REF!</definedName>
    <definedName name="xd0.6">#REF!</definedName>
    <definedName name="xd1.3">#REF!</definedName>
    <definedName name="xd1.5">#REF!</definedName>
    <definedName name="xfco">#REF!</definedName>
    <definedName name="xfco3p">#REF!</definedName>
    <definedName name="xfcotnc">#REF!</definedName>
    <definedName name="xfcotvl">#REF!</definedName>
    <definedName name="XFCOvc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c">#REF!</definedName>
    <definedName name="xigvl3p">#REF!</definedName>
    <definedName name="xin">#REF!</definedName>
    <definedName name="xin190">#REF!</definedName>
    <definedName name="xin1903p">#REF!</definedName>
    <definedName name="XIN190vc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c">#REF!</definedName>
    <definedName name="xindvl1p">#REF!</definedName>
    <definedName name="xinnc3p">#REF!</definedName>
    <definedName name="xint1p">#REF!</definedName>
    <definedName name="XINvc">#REF!</definedName>
    <definedName name="xinvl3p">#REF!</definedName>
    <definedName name="xing1p">#REF!</definedName>
    <definedName name="xingnc1p">#REF!</definedName>
    <definedName name="xingvl1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c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m">[7]gvl!$N$16</definedName>
    <definedName name="xmcax" localSheetId="1">#REF!</definedName>
    <definedName name="xmcax" localSheetId="0">#REF!</definedName>
    <definedName name="xmcax">#REF!</definedName>
    <definedName name="xn" localSheetId="1">#REF!</definedName>
    <definedName name="xn" localSheetId="0">#REF!</definedName>
    <definedName name="xn">#REF!</definedName>
    <definedName name="y" localSheetId="1">#REF!</definedName>
    <definedName name="y" localSheetId="0">#REF!</definedName>
    <definedName name="y">#REF!</definedName>
    <definedName name="y_list">#REF!</definedName>
    <definedName name="ycp">#REF!</definedName>
    <definedName name="YvNgam">#REF!</definedName>
    <definedName name="YvTreo">#REF!</definedName>
    <definedName name="z">#REF!</definedName>
    <definedName name="zl">#REF!</definedName>
    <definedName name="Zw">#REF!</definedName>
    <definedName name="ZXD">#REF!</definedName>
    <definedName name="ZYX">#REF!</definedName>
    <definedName name="ZZZ">#REF!</definedName>
  </definedNames>
  <calcPr calcId="191029"/>
</workbook>
</file>

<file path=xl/calcChain.xml><?xml version="1.0" encoding="utf-8"?>
<calcChain xmlns="http://schemas.openxmlformats.org/spreadsheetml/2006/main">
  <c r="G13" i="2" l="1"/>
  <c r="E6" i="2"/>
  <c r="F6" i="2" s="1"/>
  <c r="F5" i="2"/>
  <c r="G5" i="2" s="1"/>
  <c r="D11" i="6" l="1"/>
  <c r="D12" i="6" s="1"/>
  <c r="G9" i="6"/>
  <c r="F9" i="6"/>
  <c r="E9" i="6"/>
  <c r="H8" i="6"/>
  <c r="G8" i="6"/>
  <c r="G11" i="6" s="1"/>
  <c r="G12" i="6" s="1"/>
  <c r="F8" i="6"/>
  <c r="F11" i="6" s="1"/>
  <c r="F12" i="6" s="1"/>
  <c r="E8" i="6"/>
  <c r="E11" i="6" s="1"/>
  <c r="E12" i="6" s="1"/>
  <c r="D3" i="5"/>
  <c r="C4" i="5" s="1"/>
  <c r="G12" i="2"/>
  <c r="F13" i="2"/>
  <c r="F12" i="2" s="1"/>
  <c r="D9" i="2"/>
  <c r="D11" i="2" s="1"/>
  <c r="F11" i="2" s="1"/>
  <c r="G11" i="2" s="1"/>
  <c r="D7" i="2"/>
  <c r="F7" i="2" s="1"/>
  <c r="G7" i="2" s="1"/>
  <c r="G4" i="2"/>
  <c r="E4" i="5" l="1"/>
  <c r="F4" i="5" s="1"/>
  <c r="G4" i="5" s="1"/>
  <c r="H5" i="2"/>
  <c r="D10" i="2"/>
  <c r="F10" i="2" s="1"/>
  <c r="F3" i="2"/>
  <c r="H6" i="2"/>
  <c r="F4" i="2"/>
  <c r="H11" i="2"/>
  <c r="F9" i="2"/>
  <c r="E3" i="5"/>
  <c r="H13" i="2"/>
  <c r="H12" i="2" s="1"/>
  <c r="D5" i="5"/>
  <c r="E5" i="5" s="1"/>
  <c r="G10" i="2" l="1"/>
  <c r="H10" i="2" s="1"/>
  <c r="G3" i="2"/>
  <c r="H4" i="2"/>
  <c r="F5" i="5"/>
  <c r="G5" i="5" s="1"/>
  <c r="H7" i="2"/>
  <c r="H3" i="2" s="1"/>
  <c r="F3" i="5"/>
  <c r="E6" i="5"/>
  <c r="F8" i="2"/>
  <c r="G9" i="2"/>
  <c r="G8" i="2" s="1"/>
  <c r="G14" i="2" l="1"/>
  <c r="H9" i="2"/>
  <c r="G3" i="5"/>
  <c r="G6" i="5" s="1"/>
  <c r="F6" i="5"/>
  <c r="H8" i="2"/>
  <c r="F14" i="2"/>
  <c r="H14" i="2" l="1"/>
</calcChain>
</file>

<file path=xl/sharedStrings.xml><?xml version="1.0" encoding="utf-8"?>
<sst xmlns="http://schemas.openxmlformats.org/spreadsheetml/2006/main" count="85" uniqueCount="75">
  <si>
    <t>Thành tiền</t>
  </si>
  <si>
    <t>Thuế GTGT</t>
  </si>
  <si>
    <t>I</t>
  </si>
  <si>
    <t>II</t>
  </si>
  <si>
    <t>III</t>
  </si>
  <si>
    <t>BẢNG GIÁ THIẾT BỊ DỰ ÁN</t>
  </si>
  <si>
    <t>Stt</t>
  </si>
  <si>
    <t>Hạng mục đầu tư</t>
  </si>
  <si>
    <t>Đơn vị tính</t>
  </si>
  <si>
    <t>Số lượng</t>
  </si>
  <si>
    <t>Đơn giá</t>
  </si>
  <si>
    <t>Tổng cộng</t>
  </si>
  <si>
    <t>Ghi chú</t>
  </si>
  <si>
    <t>Hệ thống Đài truyền thanh xã/phường</t>
  </si>
  <si>
    <t>Cụm thu phát thanh ứng dụng công nghệ thông tin – viễn thông</t>
  </si>
  <si>
    <t>1.1</t>
  </si>
  <si>
    <t xml:space="preserve">    Cụm thu phát thanh ứng dụng công nghệ thông tin – viễn thông</t>
  </si>
  <si>
    <t>Bộ</t>
  </si>
  <si>
    <t>Báo giá thiết bị (Giá thiết bị đã bao gồm chi phí cài đặt, lắp đặt thiết bị)</t>
  </si>
  <si>
    <t>1.2</t>
  </si>
  <si>
    <t xml:space="preserve">    Phần mềm quản lý (Bản quyền vĩnh viễn)</t>
  </si>
  <si>
    <t>PM</t>
  </si>
  <si>
    <t>- Bao gồm dịch vụ vận hành, dịch vụ cloud để vận hành hệ thống phầm mềm trong năm đầu tiên
- Phần mềm thương mại được công bố tại: 
https://vnpt.com.vn/doanh-nghiep/san-pham-dich-vu/he-thong-truyen-thong-thong-minh-vnpt-ics/</t>
  </si>
  <si>
    <t>Loa phát thanh 30W (2 loa/cụm)</t>
  </si>
  <si>
    <t>Cái</t>
  </si>
  <si>
    <t>Thiết bị vật tư khác</t>
  </si>
  <si>
    <t>Sim 3G /4G / 1 năm</t>
  </si>
  <si>
    <t>Sim</t>
  </si>
  <si>
    <t>Đã bao gồm chi phí hòa mạng, phôi sim</t>
  </si>
  <si>
    <t>Gông đai, gá/Cụm</t>
  </si>
  <si>
    <t>Các thiết bị phụ trợ như dây điện, dây tín hiệu loa, lắp đặt trọn gói, chi phí khác/Cụm</t>
  </si>
  <si>
    <t>Chi phí khác</t>
  </si>
  <si>
    <t>Chi phí vận chuyển</t>
  </si>
  <si>
    <t>Gói</t>
  </si>
  <si>
    <t>TỔNG CỘNG</t>
  </si>
  <si>
    <t>STT</t>
  </si>
  <si>
    <t>Hạng mục</t>
  </si>
  <si>
    <t>Đơn giá/Năm</t>
  </si>
  <si>
    <t>BẢNG TÍNH CHI PHÍ LƯƠNG KỸ SƯ</t>
  </si>
  <si>
    <t>Số
TT</t>
  </si>
  <si>
    <t>Tiêu chí xác định</t>
  </si>
  <si>
    <t>Tỷ lệ/ hệ số xác định</t>
  </si>
  <si>
    <t xml:space="preserve"> Cấp bậc, hệ số, mức lương </t>
  </si>
  <si>
    <t>KS1</t>
  </si>
  <si>
    <t>KS2</t>
  </si>
  <si>
    <t>KS3</t>
  </si>
  <si>
    <t>KS4</t>
  </si>
  <si>
    <t>Hệ số lương theo cấp bậc</t>
  </si>
  <si>
    <t>HCB</t>
  </si>
  <si>
    <t>Quyết định số 129/QĐ-BTTTT</t>
  </si>
  <si>
    <t>Hệ số phụ cấp lương</t>
  </si>
  <si>
    <t>HPC</t>
  </si>
  <si>
    <t>Lương cơ sở</t>
  </si>
  <si>
    <t>MLCS</t>
  </si>
  <si>
    <t>Nghị định số 73/2024/NĐ-CP</t>
  </si>
  <si>
    <t>Hệ số điều chỉnh</t>
  </si>
  <si>
    <t>HĐC</t>
  </si>
  <si>
    <t>Các chi phí BHXH, BHTN, KPCĐ thuộc trách nhiệm đóng của người sử dụng lao động</t>
  </si>
  <si>
    <t>BHLĐ</t>
  </si>
  <si>
    <t>Nghị định 58/2020/NĐ-CP: Các chi phí bảo hiểm do doanh
nghiệp đóng</t>
  </si>
  <si>
    <t>Số ngày làm việc trong tháng</t>
  </si>
  <si>
    <t>t</t>
  </si>
  <si>
    <t>Giá ngày công của nhân công trực tiếp</t>
  </si>
  <si>
    <t>gnc</t>
  </si>
  <si>
    <t>Đơn giá giờ công</t>
  </si>
  <si>
    <t>H</t>
  </si>
  <si>
    <t>Lương ngày/8 giờ</t>
  </si>
  <si>
    <t>Hệ số điều chỉnh tăng thêm tiền lương bằng 1,2 đối với địa bàn thuộc vùng I (Hà Nội)</t>
  </si>
  <si>
    <t>Hệ số điều chỉnh tăng thêm tiền lương bằng 0,9 đối với địa bàn thuộc vùng II</t>
  </si>
  <si>
    <t>Hệ số điều chỉnh tăng thêm tiền lương bằng 0,7 đối với địa bàn thuộc vùng III</t>
  </si>
  <si>
    <t>Hệ số điều chỉnh tăng thêm tiền lương bằng 0,5 đối với địa bàn thuộc vùng IV</t>
  </si>
  <si>
    <t>Chi phí sim 3G/4G hàng năm</t>
  </si>
  <si>
    <t>Chi phí thuê hạ tầng vận hành hàng năm</t>
  </si>
  <si>
    <t xml:space="preserve">Chi phí bảo dưỡng cụm loa (kiểm tra điện, ốc vít, điều chỉnh hướng loa, thay thế một số phụ kiện hư hỏng,... nhằm đảm bảo cụm loa hoạt động) </t>
  </si>
  <si>
    <t>CHI PHÍ VẬN HÀNH HÀNG NĂM (TOÀN BỘ SỐ CỤM LOA CỦA XÃ)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</si>
</sst>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_-;\-* #,##0_-;_-* &quot;-&quot;??_-;_-@_-"/>
    <numFmt numFmtId="167" formatCode="0.0%"/>
    <numFmt numFmtId="168" formatCode="#,##0.0"/>
  </numFmts>
  <fonts count="27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u/>
      <sz val="10"/>
      <color indexed="12"/>
      <name val="Arial"/>
      <family val="2"/>
    </font>
    <font>
      <sz val="10"/>
      <name val="Arial"/>
      <family val="2"/>
      <charset val="163"/>
    </font>
    <font>
      <b/>
      <sz val="13"/>
      <color theme="1"/>
      <name val="Times New Roman"/>
      <family val="1"/>
    </font>
    <font>
      <sz val="13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sz val="13"/>
      <color theme="1"/>
      <name val="Times New Roman"/>
      <family val="2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8.25"/>
      <name val="Microsoft Sans Serif"/>
      <family val="2"/>
    </font>
    <font>
      <b/>
      <sz val="24"/>
      <color theme="1"/>
      <name val="Times New Roman"/>
      <family val="1"/>
    </font>
    <font>
      <b/>
      <sz val="18"/>
      <color theme="1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sz val="13"/>
      <color rgb="FFFF0000"/>
      <name val="Times New Roman"/>
      <family val="1"/>
    </font>
    <font>
      <sz val="13"/>
      <name val="Times New Roman"/>
      <family val="1"/>
    </font>
    <font>
      <b/>
      <sz val="13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9">
    <xf numFmtId="0" fontId="0" fillId="0" borderId="0"/>
    <xf numFmtId="43" fontId="2" fillId="0" borderId="0"/>
    <xf numFmtId="0" fontId="3" fillId="0" borderId="0"/>
    <xf numFmtId="0" fontId="2" fillId="0" borderId="0"/>
    <xf numFmtId="43" fontId="4" fillId="0" borderId="0"/>
    <xf numFmtId="43" fontId="3" fillId="0" borderId="0"/>
    <xf numFmtId="0" fontId="5" fillId="0" borderId="0">
      <alignment vertical="top"/>
      <protection locked="0"/>
    </xf>
    <xf numFmtId="164" fontId="2" fillId="0" borderId="0"/>
    <xf numFmtId="0" fontId="6" fillId="0" borderId="0"/>
    <xf numFmtId="0" fontId="2" fillId="0" borderId="0"/>
    <xf numFmtId="9" fontId="3" fillId="0" borderId="0"/>
    <xf numFmtId="0" fontId="10" fillId="0" borderId="0"/>
    <xf numFmtId="43" fontId="10" fillId="0" borderId="0"/>
    <xf numFmtId="0" fontId="3" fillId="0" borderId="0"/>
    <xf numFmtId="0" fontId="4" fillId="0" borderId="0"/>
    <xf numFmtId="43" fontId="4" fillId="0" borderId="0"/>
    <xf numFmtId="0" fontId="16" fillId="0" borderId="0"/>
    <xf numFmtId="43" fontId="16" fillId="0" borderId="0"/>
    <xf numFmtId="0" fontId="3" fillId="0" borderId="0"/>
    <xf numFmtId="0" fontId="17" fillId="0" borderId="0"/>
    <xf numFmtId="43" fontId="3" fillId="0" borderId="0"/>
    <xf numFmtId="0" fontId="2" fillId="0" borderId="0"/>
    <xf numFmtId="43" fontId="18" fillId="0" borderId="0"/>
    <xf numFmtId="0" fontId="3" fillId="0" borderId="0"/>
    <xf numFmtId="43" fontId="3" fillId="0" borderId="0"/>
    <xf numFmtId="0" fontId="3" fillId="0" borderId="0"/>
    <xf numFmtId="43" fontId="3" fillId="0" borderId="0"/>
    <xf numFmtId="0" fontId="3" fillId="0" borderId="0"/>
    <xf numFmtId="0" fontId="19" fillId="0" borderId="0">
      <protection locked="0"/>
    </xf>
    <xf numFmtId="9" fontId="4" fillId="0" borderId="0"/>
    <xf numFmtId="0" fontId="3" fillId="0" borderId="0"/>
    <xf numFmtId="0" fontId="18" fillId="0" borderId="0"/>
    <xf numFmtId="43" fontId="3" fillId="0" borderId="0"/>
    <xf numFmtId="0" fontId="3" fillId="0" borderId="0"/>
    <xf numFmtId="43" fontId="3" fillId="0" borderId="0"/>
    <xf numFmtId="165" fontId="2" fillId="0" borderId="0" applyFont="0" applyFill="0" applyBorder="0" applyAlignment="0" applyProtection="0"/>
    <xf numFmtId="0" fontId="1" fillId="0" borderId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" fillId="0" borderId="0"/>
    <xf numFmtId="165" fontId="4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6">
    <xf numFmtId="0" fontId="0" fillId="0" borderId="0" xfId="0"/>
    <xf numFmtId="0" fontId="8" fillId="0" borderId="0" xfId="14" applyFont="1"/>
    <xf numFmtId="3" fontId="8" fillId="0" borderId="0" xfId="14" applyNumberFormat="1" applyFont="1"/>
    <xf numFmtId="0" fontId="8" fillId="0" borderId="1" xfId="14" applyFont="1" applyBorder="1"/>
    <xf numFmtId="3" fontId="14" fillId="0" borderId="1" xfId="14" applyNumberFormat="1" applyFont="1" applyBorder="1" applyAlignment="1">
      <alignment horizontal="right" vertical="center" wrapText="1"/>
    </xf>
    <xf numFmtId="0" fontId="13" fillId="0" borderId="1" xfId="14" applyFont="1" applyBorder="1" applyAlignment="1">
      <alignment horizontal="center" vertical="center" wrapText="1"/>
    </xf>
    <xf numFmtId="3" fontId="13" fillId="0" borderId="1" xfId="14" applyNumberFormat="1" applyFont="1" applyBorder="1" applyAlignment="1">
      <alignment horizontal="right" vertical="center" wrapText="1"/>
    </xf>
    <xf numFmtId="3" fontId="9" fillId="0" borderId="1" xfId="14" applyNumberFormat="1" applyFont="1" applyBorder="1" applyAlignment="1">
      <alignment horizontal="right" vertical="center" wrapText="1"/>
    </xf>
    <xf numFmtId="0" fontId="13" fillId="0" borderId="1" xfId="14" applyFont="1" applyBorder="1" applyAlignment="1">
      <alignment horizontal="justify" vertical="center" wrapText="1"/>
    </xf>
    <xf numFmtId="0" fontId="8" fillId="2" borderId="1" xfId="14" applyFont="1" applyFill="1" applyBorder="1"/>
    <xf numFmtId="3" fontId="14" fillId="2" borderId="1" xfId="14" applyNumberFormat="1" applyFont="1" applyFill="1" applyBorder="1" applyAlignment="1">
      <alignment vertical="center" wrapText="1"/>
    </xf>
    <xf numFmtId="0" fontId="14" fillId="2" borderId="3" xfId="14" applyFont="1" applyFill="1" applyBorder="1" applyAlignment="1">
      <alignment vertical="center" wrapText="1"/>
    </xf>
    <xf numFmtId="0" fontId="14" fillId="2" borderId="2" xfId="14" applyFont="1" applyFill="1" applyBorder="1" applyAlignment="1">
      <alignment vertical="center" wrapText="1"/>
    </xf>
    <xf numFmtId="0" fontId="14" fillId="2" borderId="1" xfId="14" applyFont="1" applyFill="1" applyBorder="1" applyAlignment="1">
      <alignment horizontal="center" vertical="center" wrapText="1"/>
    </xf>
    <xf numFmtId="0" fontId="13" fillId="0" borderId="1" xfId="14" applyFont="1" applyBorder="1" applyAlignment="1">
      <alignment vertical="center" wrapText="1"/>
    </xf>
    <xf numFmtId="3" fontId="13" fillId="0" borderId="6" xfId="14" applyNumberFormat="1" applyFont="1" applyBorder="1" applyAlignment="1">
      <alignment horizontal="center" vertical="center" wrapText="1"/>
    </xf>
    <xf numFmtId="0" fontId="15" fillId="0" borderId="6" xfId="14" applyFont="1" applyBorder="1" applyAlignment="1">
      <alignment horizontal="center" vertical="center" wrapText="1"/>
    </xf>
    <xf numFmtId="0" fontId="12" fillId="0" borderId="1" xfId="14" applyFont="1" applyBorder="1" applyAlignment="1">
      <alignment horizontal="center" vertical="center" wrapText="1"/>
    </xf>
    <xf numFmtId="3" fontId="13" fillId="0" borderId="5" xfId="14" applyNumberFormat="1" applyFont="1" applyBorder="1" applyAlignment="1">
      <alignment horizontal="right" vertical="center" wrapText="1"/>
    </xf>
    <xf numFmtId="3" fontId="13" fillId="0" borderId="7" xfId="14" applyNumberFormat="1" applyFont="1" applyBorder="1" applyAlignment="1">
      <alignment horizontal="center" vertical="center" wrapText="1"/>
    </xf>
    <xf numFmtId="0" fontId="13" fillId="0" borderId="5" xfId="14" applyFont="1" applyBorder="1" applyAlignment="1">
      <alignment horizontal="center" vertical="center" wrapText="1"/>
    </xf>
    <xf numFmtId="0" fontId="15" fillId="0" borderId="7" xfId="14" applyFont="1" applyBorder="1" applyAlignment="1">
      <alignment horizontal="center" vertical="center" wrapText="1"/>
    </xf>
    <xf numFmtId="3" fontId="14" fillId="2" borderId="6" xfId="14" applyNumberFormat="1" applyFont="1" applyFill="1" applyBorder="1" applyAlignment="1">
      <alignment vertical="center" wrapText="1"/>
    </xf>
    <xf numFmtId="0" fontId="14" fillId="0" borderId="1" xfId="14" applyFont="1" applyBorder="1" applyAlignment="1">
      <alignment horizontal="center" vertical="center" wrapText="1"/>
    </xf>
    <xf numFmtId="0" fontId="4" fillId="0" borderId="0" xfId="14"/>
    <xf numFmtId="166" fontId="7" fillId="0" borderId="1" xfId="15" applyNumberFormat="1" applyFont="1" applyBorder="1" applyAlignment="1">
      <alignment horizontal="center" vertical="center" wrapText="1"/>
    </xf>
    <xf numFmtId="166" fontId="9" fillId="0" borderId="1" xfId="15" applyNumberFormat="1" applyFont="1" applyBorder="1" applyAlignment="1">
      <alignment horizontal="center" vertical="center" wrapText="1"/>
    </xf>
    <xf numFmtId="0" fontId="9" fillId="0" borderId="1" xfId="14" applyFont="1" applyBorder="1" applyAlignment="1">
      <alignment horizontal="center" vertical="center" wrapText="1"/>
    </xf>
    <xf numFmtId="0" fontId="7" fillId="0" borderId="1" xfId="14" applyFont="1" applyBorder="1" applyAlignment="1">
      <alignment horizontal="center" vertical="center" wrapText="1"/>
    </xf>
    <xf numFmtId="0" fontId="12" fillId="0" borderId="8" xfId="14" applyFont="1" applyBorder="1" applyAlignment="1">
      <alignment vertical="center" wrapText="1"/>
    </xf>
    <xf numFmtId="0" fontId="12" fillId="0" borderId="1" xfId="14" quotePrefix="1" applyFont="1" applyBorder="1" applyAlignment="1">
      <alignment vertical="center" wrapText="1"/>
    </xf>
    <xf numFmtId="0" fontId="11" fillId="0" borderId="1" xfId="14" applyFont="1" applyBorder="1" applyAlignment="1">
      <alignment vertical="center" wrapText="1"/>
    </xf>
    <xf numFmtId="9" fontId="8" fillId="0" borderId="0" xfId="29" applyFont="1"/>
    <xf numFmtId="0" fontId="11" fillId="3" borderId="1" xfId="14" quotePrefix="1" applyFont="1" applyFill="1" applyBorder="1" applyAlignment="1">
      <alignment vertical="center" wrapText="1"/>
    </xf>
    <xf numFmtId="0" fontId="22" fillId="0" borderId="1" xfId="31" applyFont="1" applyBorder="1" applyAlignment="1">
      <alignment horizontal="center" vertical="center" wrapText="1"/>
    </xf>
    <xf numFmtId="0" fontId="22" fillId="0" borderId="1" xfId="31" applyFont="1" applyBorder="1" applyAlignment="1">
      <alignment horizontal="left" vertical="center"/>
    </xf>
    <xf numFmtId="3" fontId="23" fillId="0" borderId="1" xfId="31" applyNumberFormat="1" applyFont="1" applyBorder="1" applyAlignment="1">
      <alignment horizontal="right" vertical="center" wrapText="1"/>
    </xf>
    <xf numFmtId="0" fontId="23" fillId="0" borderId="1" xfId="31" applyFont="1" applyBorder="1" applyAlignment="1">
      <alignment horizontal="center" vertical="center" wrapText="1"/>
    </xf>
    <xf numFmtId="0" fontId="23" fillId="0" borderId="1" xfId="31" applyFont="1" applyBorder="1" applyAlignment="1">
      <alignment horizontal="left" vertical="center" wrapText="1"/>
    </xf>
    <xf numFmtId="0" fontId="22" fillId="0" borderId="1" xfId="31" applyFont="1" applyBorder="1" applyAlignment="1">
      <alignment horizontal="left" vertical="center" wrapText="1"/>
    </xf>
    <xf numFmtId="3" fontId="25" fillId="0" borderId="1" xfId="31" applyNumberFormat="1" applyFont="1" applyBorder="1" applyAlignment="1">
      <alignment horizontal="right" vertical="center" wrapText="1"/>
    </xf>
    <xf numFmtId="167" fontId="23" fillId="0" borderId="1" xfId="31" applyNumberFormat="1" applyFont="1" applyBorder="1" applyAlignment="1">
      <alignment horizontal="center" vertical="center" wrapText="1"/>
    </xf>
    <xf numFmtId="0" fontId="23" fillId="0" borderId="1" xfId="31" applyFont="1" applyBorder="1" applyAlignment="1">
      <alignment horizontal="justify" vertical="center" wrapText="1"/>
    </xf>
    <xf numFmtId="167" fontId="23" fillId="4" borderId="1" xfId="31" applyNumberFormat="1" applyFont="1" applyFill="1" applyBorder="1" applyAlignment="1">
      <alignment horizontal="right" vertical="center" wrapText="1"/>
    </xf>
    <xf numFmtId="168" fontId="25" fillId="0" borderId="1" xfId="31" applyNumberFormat="1" applyFont="1" applyBorder="1" applyAlignment="1">
      <alignment horizontal="right" vertical="center" wrapText="1"/>
    </xf>
    <xf numFmtId="2" fontId="25" fillId="0" borderId="1" xfId="31" applyNumberFormat="1" applyFont="1" applyBorder="1" applyAlignment="1">
      <alignment horizontal="center" vertical="center" wrapText="1"/>
    </xf>
    <xf numFmtId="0" fontId="25" fillId="0" borderId="1" xfId="31" applyFont="1" applyBorder="1" applyAlignment="1">
      <alignment horizontal="center" vertical="center" wrapText="1"/>
    </xf>
    <xf numFmtId="0" fontId="26" fillId="0" borderId="1" xfId="31" applyFont="1" applyBorder="1" applyAlignment="1">
      <alignment horizontal="center" vertical="center" wrapText="1"/>
    </xf>
    <xf numFmtId="0" fontId="9" fillId="0" borderId="0" xfId="33" applyFont="1"/>
    <xf numFmtId="0" fontId="9" fillId="0" borderId="0" xfId="33" applyFont="1" applyAlignment="1">
      <alignment wrapText="1"/>
    </xf>
    <xf numFmtId="0" fontId="9" fillId="0" borderId="0" xfId="33" applyFont="1" applyAlignment="1">
      <alignment horizontal="center" wrapText="1"/>
    </xf>
    <xf numFmtId="0" fontId="24" fillId="0" borderId="0" xfId="33" applyFont="1"/>
    <xf numFmtId="43" fontId="9" fillId="0" borderId="0" xfId="33" applyNumberFormat="1" applyFont="1"/>
    <xf numFmtId="43" fontId="9" fillId="0" borderId="0" xfId="34" applyFont="1"/>
    <xf numFmtId="166" fontId="8" fillId="0" borderId="0" xfId="4" applyNumberFormat="1" applyFont="1"/>
    <xf numFmtId="0" fontId="14" fillId="0" borderId="1" xfId="14" applyFont="1" applyBorder="1" applyAlignment="1">
      <alignment vertical="center" wrapText="1"/>
    </xf>
    <xf numFmtId="0" fontId="15" fillId="0" borderId="1" xfId="14" applyFont="1" applyBorder="1" applyAlignment="1">
      <alignment horizontal="center" vertical="center" wrapText="1"/>
    </xf>
    <xf numFmtId="3" fontId="15" fillId="0" borderId="1" xfId="14" applyNumberFormat="1" applyFont="1" applyBorder="1" applyAlignment="1">
      <alignment horizontal="center" vertical="center" wrapText="1"/>
    </xf>
    <xf numFmtId="0" fontId="9" fillId="0" borderId="1" xfId="14" applyFont="1" applyBorder="1" applyAlignment="1">
      <alignment horizontal="justify" vertical="center" wrapText="1"/>
    </xf>
    <xf numFmtId="0" fontId="14" fillId="0" borderId="1" xfId="14" applyFont="1" applyBorder="1" applyAlignment="1">
      <alignment horizontal="right" vertical="center" wrapText="1"/>
    </xf>
    <xf numFmtId="0" fontId="0" fillId="0" borderId="3" xfId="0" applyBorder="1"/>
    <xf numFmtId="0" fontId="0" fillId="0" borderId="4" xfId="0" applyBorder="1"/>
    <xf numFmtId="0" fontId="14" fillId="2" borderId="12" xfId="14" applyFont="1" applyFill="1" applyBorder="1" applyAlignment="1">
      <alignment horizontal="left" vertical="center" wrapText="1"/>
    </xf>
    <xf numFmtId="0" fontId="0" fillId="0" borderId="10" xfId="0" applyBorder="1"/>
    <xf numFmtId="0" fontId="0" fillId="0" borderId="9" xfId="0" applyBorder="1"/>
    <xf numFmtId="0" fontId="20" fillId="0" borderId="11" xfId="14" applyFont="1" applyBorder="1" applyAlignment="1">
      <alignment horizontal="center" vertical="center"/>
    </xf>
    <xf numFmtId="0" fontId="0" fillId="0" borderId="11" xfId="0" applyBorder="1"/>
    <xf numFmtId="0" fontId="7" fillId="0" borderId="1" xfId="14" applyFont="1" applyBorder="1" applyAlignment="1">
      <alignment horizontal="right" vertical="center" wrapText="1"/>
    </xf>
    <xf numFmtId="0" fontId="21" fillId="0" borderId="11" xfId="14" applyFont="1" applyBorder="1" applyAlignment="1">
      <alignment horizontal="center"/>
    </xf>
    <xf numFmtId="0" fontId="7" fillId="3" borderId="0" xfId="33" applyFont="1" applyFill="1" applyAlignment="1">
      <alignment horizontal="center" vertical="center"/>
    </xf>
    <xf numFmtId="0" fontId="9" fillId="0" borderId="0" xfId="33" applyFont="1" applyAlignment="1">
      <alignment wrapText="1"/>
    </xf>
    <xf numFmtId="0" fontId="9" fillId="0" borderId="0" xfId="33" applyFont="1" applyAlignment="1">
      <alignment horizontal="center" wrapText="1"/>
    </xf>
    <xf numFmtId="0" fontId="9" fillId="0" borderId="0" xfId="33" applyFont="1"/>
    <xf numFmtId="0" fontId="26" fillId="0" borderId="1" xfId="31" applyFont="1" applyBorder="1" applyAlignment="1">
      <alignment horizontal="center" vertical="center" wrapText="1"/>
    </xf>
    <xf numFmtId="0" fontId="0" fillId="0" borderId="5" xfId="0" applyBorder="1"/>
    <xf numFmtId="0" fontId="26" fillId="0" borderId="2" xfId="31" applyFont="1" applyBorder="1" applyAlignment="1">
      <alignment horizontal="center" vertical="center" wrapText="1"/>
    </xf>
  </cellXfs>
  <cellStyles count="79">
    <cellStyle name="Comma" xfId="4" builtinId="3"/>
    <cellStyle name="Comma 2" xfId="1" xr:uid="{00000000-0005-0000-0000-000001000000}"/>
    <cellStyle name="Comma 2 2" xfId="20" xr:uid="{00000000-0005-0000-0000-000015000000}"/>
    <cellStyle name="Comma 2 2 2" xfId="70" xr:uid="{494A8D38-45C8-43F0-9BB9-263A05C779CC}"/>
    <cellStyle name="Comma 2 2 3" xfId="47" xr:uid="{C3915F47-8F7A-4FBA-9D11-61179FAA6811}"/>
    <cellStyle name="Comma 2 2 8" xfId="5" xr:uid="{00000000-0005-0000-0000-000005000000}"/>
    <cellStyle name="Comma 2 2 8 2" xfId="62" xr:uid="{F22A108E-F527-4C4C-A861-54AC8107DB4D}"/>
    <cellStyle name="Comma 2 2 8 3" xfId="38" xr:uid="{507811AD-5C72-4B91-AC1A-E20196476234}"/>
    <cellStyle name="Comma 2 3" xfId="59" xr:uid="{FD56EFEC-B7A3-4013-9FE0-2D120345F6EC}"/>
    <cellStyle name="Comma 2 4" xfId="35" xr:uid="{FF8FC636-392F-42F2-B882-2646D1D96A6C}"/>
    <cellStyle name="Comma 3" xfId="12" xr:uid="{00000000-0005-0000-0000-00000D000000}"/>
    <cellStyle name="Comma 3 2" xfId="22" xr:uid="{00000000-0005-0000-0000-000017000000}"/>
    <cellStyle name="Comma 3 2 2" xfId="71" xr:uid="{C9955648-F713-4B91-B7C4-83689EA79A0F}"/>
    <cellStyle name="Comma 3 2 3" xfId="48" xr:uid="{56EB6508-056B-4994-B72D-0A95BF6EDAB9}"/>
    <cellStyle name="Comma 3 3" xfId="24" xr:uid="{00000000-0005-0000-0000-000019000000}"/>
    <cellStyle name="Comma 3 3 2" xfId="73" xr:uid="{38C7AE31-2570-4A12-9F06-B24EE747DFFA}"/>
    <cellStyle name="Comma 3 3 3" xfId="50" xr:uid="{09A7CEE0-3917-4B97-B33C-31F86466F5BB}"/>
    <cellStyle name="Comma 3 4" xfId="64" xr:uid="{795251CB-AC6A-4BDE-B6A4-C9D0D62D73AB}"/>
    <cellStyle name="Comma 3 5" xfId="42" xr:uid="{D9C7BE21-33BF-45AB-93FA-C781EEA12D9F}"/>
    <cellStyle name="Comma 4" xfId="26" xr:uid="{00000000-0005-0000-0000-00001B000000}"/>
    <cellStyle name="Comma 4 2" xfId="75" xr:uid="{683DFF2C-C849-4443-BF63-5A11B9ADA9F1}"/>
    <cellStyle name="Comma 4 3" xfId="52" xr:uid="{C2BEE273-289C-4CAD-A494-4F404BDCE9D3}"/>
    <cellStyle name="Comma 5" xfId="15" xr:uid="{00000000-0005-0000-0000-000010000000}"/>
    <cellStyle name="Comma 5 2" xfId="66" xr:uid="{1439F0BB-AA51-4294-9695-9BFC3D4DBBA0}"/>
    <cellStyle name="Comma 5 3" xfId="44" xr:uid="{18EA567B-E684-4DB0-99A0-CB14C6F7AEA4}"/>
    <cellStyle name="Comma 6" xfId="17" xr:uid="{00000000-0005-0000-0000-000012000000}"/>
    <cellStyle name="Comma 6 2" xfId="32" xr:uid="{00000000-0005-0000-0000-000021000000}"/>
    <cellStyle name="Comma 6 2 2" xfId="34" xr:uid="{00000000-0005-0000-0000-000023000000}"/>
    <cellStyle name="Comma 6 2 2 2" xfId="78" xr:uid="{173EC4DA-36F3-4754-9FF5-7B0995BA0734}"/>
    <cellStyle name="Comma 6 2 2 3" xfId="58" xr:uid="{D5F4D389-76CF-4D1E-A5A3-57CB69077C44}"/>
    <cellStyle name="Comma 6 2 3" xfId="77" xr:uid="{18AC0F04-7E42-4611-A452-7FFE0B6F0945}"/>
    <cellStyle name="Comma 6 2 4" xfId="56" xr:uid="{EE15C0D6-D916-4657-A4B2-8EC8A95539D2}"/>
    <cellStyle name="Comma 6 3" xfId="68" xr:uid="{009EC85C-1A36-4043-ABE1-2C6093D70B2D}"/>
    <cellStyle name="Comma 6 4" xfId="45" xr:uid="{F7C3BB8A-7FE4-4593-9A44-9DF41EDD657B}"/>
    <cellStyle name="Comma 7" xfId="61" xr:uid="{5E9FE6C8-5714-44FA-A234-CB9F00F988CA}"/>
    <cellStyle name="Comma 8" xfId="37" xr:uid="{A474777B-1CFF-46A5-B122-D78867DCF40D}"/>
    <cellStyle name="Currency 5 2" xfId="7" xr:uid="{00000000-0005-0000-0000-000007000000}"/>
    <cellStyle name="Currency 5 2 2" xfId="40" xr:uid="{52596958-B604-4BA3-B685-0D8976657BCC}"/>
    <cellStyle name="Hyperlink 3 2" xfId="6" xr:uid="{00000000-0005-0000-0000-000006000000}"/>
    <cellStyle name="Hyperlink 3 2 2" xfId="39" xr:uid="{883BE171-7626-461F-9ED3-A03A21E57D51}"/>
    <cellStyle name="Ledger 17 x 11 in 2" xfId="21" xr:uid="{00000000-0005-0000-0000-000016000000}"/>
    <cellStyle name="Normal" xfId="0" builtinId="0"/>
    <cellStyle name="Normal 10" xfId="3" xr:uid="{00000000-0005-0000-0000-000003000000}"/>
    <cellStyle name="Normal 12" xfId="30" xr:uid="{00000000-0005-0000-0000-00001F000000}"/>
    <cellStyle name="Normal 12 2" xfId="55" xr:uid="{2A3FAE71-A6B1-4CC4-8328-EAA96814B67A}"/>
    <cellStyle name="Normal 12 3" xfId="33" xr:uid="{00000000-0005-0000-0000-000022000000}"/>
    <cellStyle name="Normal 12 3 2" xfId="57" xr:uid="{ED46ACEA-B87D-4CE6-9292-441856EBACBB}"/>
    <cellStyle name="Normal 2" xfId="11" xr:uid="{00000000-0005-0000-0000-00000C000000}"/>
    <cellStyle name="Normal 2 2" xfId="18" xr:uid="{00000000-0005-0000-0000-000013000000}"/>
    <cellStyle name="Normal 2 2 2" xfId="9" xr:uid="{00000000-0005-0000-0000-00000A000000}"/>
    <cellStyle name="Normal 2 2 2 2" xfId="31" xr:uid="{00000000-0005-0000-0000-000020000000}"/>
    <cellStyle name="Normal 2 2 3" xfId="69" xr:uid="{084668F7-538B-4193-AF1E-A4FDD26474B8}"/>
    <cellStyle name="Normal 2 2 4" xfId="46" xr:uid="{9F4BE75D-771F-4758-B61F-ED983DF3151F}"/>
    <cellStyle name="Normal 3" xfId="13" xr:uid="{00000000-0005-0000-0000-00000E000000}"/>
    <cellStyle name="Normal 3 2" xfId="27" xr:uid="{00000000-0005-0000-0000-00001C000000}"/>
    <cellStyle name="Normal 3 2 2" xfId="76" xr:uid="{37D1B921-D72F-488B-805E-951677EF25BD}"/>
    <cellStyle name="Normal 3 2 3" xfId="53" xr:uid="{996DF8D0-5A55-472B-BD8A-230EFA90395E}"/>
    <cellStyle name="Normal 3 3" xfId="2" xr:uid="{00000000-0005-0000-0000-000002000000}"/>
    <cellStyle name="Normal 3 3 2" xfId="28" xr:uid="{00000000-0005-0000-0000-00001D000000}"/>
    <cellStyle name="Normal 3 3 3" xfId="60" xr:uid="{BDB3ECA1-7831-4183-87D6-39974421CF33}"/>
    <cellStyle name="Normal 3 3 4" xfId="36" xr:uid="{3B50148B-F6D6-443B-9564-698FAD0D4152}"/>
    <cellStyle name="Normal 3 4" xfId="23" xr:uid="{00000000-0005-0000-0000-000018000000}"/>
    <cellStyle name="Normal 3 4 2" xfId="72" xr:uid="{017C4CA7-A4F7-47A6-8135-0A2CAC5C1E06}"/>
    <cellStyle name="Normal 3 4 3" xfId="49" xr:uid="{E61260AC-DA11-404A-98EF-62B553849A15}"/>
    <cellStyle name="Normal 3 5" xfId="65" xr:uid="{A1155952-91F6-4BEF-8B05-8363003EDC4B}"/>
    <cellStyle name="Normal 3 6" xfId="43" xr:uid="{D2507796-FE27-48C4-84DA-E494CDF61B24}"/>
    <cellStyle name="Normal 4" xfId="25" xr:uid="{00000000-0005-0000-0000-00001A000000}"/>
    <cellStyle name="Normal 4 2" xfId="74" xr:uid="{5A911FC9-52CF-446B-812C-91D81BA54AAF}"/>
    <cellStyle name="Normal 4 3" xfId="51" xr:uid="{25456D8E-1941-43B9-8E8E-0DAC404002B8}"/>
    <cellStyle name="Normal 5" xfId="19" xr:uid="{00000000-0005-0000-0000-000014000000}"/>
    <cellStyle name="Normal 5 2" xfId="8" xr:uid="{00000000-0005-0000-0000-000009000000}"/>
    <cellStyle name="Normal 6" xfId="14" xr:uid="{00000000-0005-0000-0000-00000F000000}"/>
    <cellStyle name="Normal 7" xfId="16" xr:uid="{00000000-0005-0000-0000-000011000000}"/>
    <cellStyle name="Normal 7 2" xfId="67" xr:uid="{307E89EC-E103-4D57-92A5-DE74E34F48CF}"/>
    <cellStyle name="Percent" xfId="29" builtinId="5"/>
    <cellStyle name="Percent 2" xfId="10" xr:uid="{00000000-0005-0000-0000-00000B000000}"/>
    <cellStyle name="Percent 2 2" xfId="63" xr:uid="{2B163490-AD6B-4676-A309-59F1AA9D893F}"/>
    <cellStyle name="Percent 2 3" xfId="41" xr:uid="{B4BDFA6D-C466-4D94-97D9-F9C31BC918AF}"/>
    <cellStyle name="Percent 3" xfId="54" xr:uid="{E36047B6-27D0-4ABC-AB02-AF9194F032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.11\isacom\Hung\BAOHANH\Dung%20Quat\Goi3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Phone\Template\L&#432;&#417;ng%20(129)%20(final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TA/01.%20Cong%20ty/05.%20Cong%20trinh/01.%20Thiet%20ke/2016/DC-MIC/Trien%20khai%20DD/C:/T.phu/c/@K-Phu/BAOGIA/Mien_Nam/2002/Utilized_Camau/CIVIL%20BOQs/6823%20PS%2017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huong1\DOCUMENT\DAUTHAU\Dungquat\GOI3\DUNGQUAT-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.NgheAn\6_6_11\6_6_11\NA_8.8\Viet%20Anh\2011\Ha%20Noi\Ban%20QLXD%20cong%20TTDT-BCT\Project\Documents\Tai%20lieu%20Website\MOIT.GOV.VN\De%20an%20MOIT\BC%20TKKT%20TDT%20Portal\Du%20toan%20TKTCTDT%20P-MOIT%20draft%2013-4-201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ch\bao%20gia\Nam%202002\Bao%20gia\Bao%20gia\BAOGIA\Kd_Bgc\10-2K1_bgc_ndducV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DT-THL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TA/01.%20Cong%20ty/05.%20Cong%20trinh/01.%20Thiet%20ke/2016/DC-MIC/Trien%20khai%20DD/C:/STA022-N2/Construction/WORKS/6787/civil/final/option/6787CWFASE2CASE2_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pdc\vss\Documents\Van%20ban%20phap%20quy\Mau%20du%20toan%20xay%20du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rive\Nam%202021\Lang%20Son\S&#7903;%20GD&amp;&#272;T\BCNCKT\D&#7921;%20to&#225;n\1.1%20D&#7921;%20to&#225;n%20PM%20SGDLS%20(2589)%20v0.2.6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.11\isacom\Hung\BAOHANH\WINDOWS\TEMP\IBASE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huong1\CS3408\Standard\RP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pdc\VSS\temp\Du%20Toan%20Kinh%20Phi%20tp%20Vinh%20gui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ngzupt\LOCALS~1\Temp\unicod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T-QUOT-#3"/>
      <sheetName val="COAT&amp;WRAP-QIOT-#3"/>
      <sheetName val="XL4Poppy"/>
      <sheetName val="So Do"/>
      <sheetName val="KTTSCD - DLNA"/>
      <sheetName val="Sheet1"/>
      <sheetName val="quÝ1"/>
      <sheetName val="00000000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2"/>
      <sheetName val="Sheet3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1"/>
      <sheetName val="t2"/>
      <sheetName val="t3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th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5 nam (tach)"/>
      <sheetName val="5 nam (tach) (2)"/>
      <sheetName val="KH 2003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fOOD"/>
      <sheetName val="FORM hc"/>
      <sheetName val="FORM pc"/>
      <sheetName val="Bia"/>
      <sheetName val="Tm"/>
      <sheetName val="THKP"/>
      <sheetName val="DGi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CamPha"/>
      <sheetName val="MongCai"/>
      <sheetName val="70000000"/>
      <sheetName val="PNT_QUOT__3"/>
      <sheetName val="COAT_WRAP_QIOT__3"/>
      <sheetName val="TH  goi 4-x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_x000b_331"/>
      <sheetName val="TH Ky Anh"/>
      <sheetName val="Sheet2 (2)"/>
      <sheetName val="Shedt1"/>
      <sheetName val="_x0012_0000000"/>
      <sheetName val="XLÇ_x0015_oppy"/>
      <sheetName val="ȴ0000000"/>
      <sheetName val="PNT-QUOT-D150#3"/>
      <sheetName val="PNT-QUOT-H153#3"/>
      <sheetName val="PNT-QUOT-K152#3"/>
      <sheetName val="PNT-QUOT-H146#3"/>
      <sheetName val="p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"/>
      <sheetName val="CV den trong to聮g"/>
      <sheetName val="SOLIEU"/>
      <sheetName val="TINHTOAN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m27' - Km278"/>
      <sheetName val="BangTH"/>
      <sheetName val="Xaylap "/>
      <sheetName val="Nhan cong"/>
      <sheetName val="Thietbi"/>
      <sheetName val="Diengiai"/>
      <sheetName val="Vanchuyen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Bao cao KQTH quy hoach 135"/>
      <sheetName val="Sheet5"/>
      <sheetName val="Sheet6"/>
      <sheetName val="Sheet7"/>
      <sheetName val="Sheet8"/>
      <sheetName val="Sheet9"/>
      <sheetName val="Sheet10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XNxlva sxthanKCIÉ"/>
      <sheetName val="Oð mai 279"/>
      <sheetName val="[PNT-P3.xls][PNT-P3.xls][PNT-P3"/>
      <sheetName val="30100000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TDT-TBࡁ"/>
      <sheetName val="Op mai 2_x000c__x0000_"/>
      <sheetName val="_x0000_bÑi_x0003__x0000__x0000__x0000__x0000_²r_x0013__x0000_"/>
      <sheetName val="Km_x0012_77 "/>
      <sheetName val="Cong ban 1,5_x0013__x0000_"/>
      <sheetName val="k, vt tho"/>
      <sheetName val="xdcb 01-2003"/>
      <sheetName val="Km280 ࠭ Km281"/>
      <sheetName val="_x0000__x000d__x0000__x0000__x0000_âO"/>
      <sheetName val="BKLBD"/>
      <sheetName val="PTDG"/>
      <sheetName val="DTCT"/>
      <sheetName val="vlct"/>
      <sheetName val="Sheet11"/>
      <sheetName val="Sheet12"/>
      <sheetName val="Sheet13"/>
      <sheetName val="Sheet14"/>
      <sheetName val="_x0000__x000f__x0000__x0000__x0000_½"/>
      <sheetName val="_x0000__x0000_²r"/>
      <sheetName val="_x0000__x0000__x0000__x0000__x0000_M pc_x0006__x0000__x0000_CamPh_x0000__x0000_"/>
      <sheetName val="Cong ban 1,5„—_x0013__x0000_"/>
      <sheetName val="K-280 - Km281"/>
      <sheetName val="Xa9lap "/>
      <sheetName val="Kѭ284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Nghiªm T_x0002_ "/>
      <sheetName val="tt-_x0014_BA"/>
      <sheetName val="TD_x0014_"/>
      <sheetName val="_x0014_.12"/>
      <sheetName val="QD c5a HDQT (2)"/>
      <sheetName val="_x0003_hart1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TAU"/>
      <sheetName val="KHACH"/>
      <sheetName val="BC1"/>
      <sheetName val="BC2"/>
      <sheetName val="BAO CAO AN"/>
      <sheetName val="BANGKEKHACH"/>
      <sheetName val="Thang8-02"/>
      <sheetName val="Thang9-02"/>
      <sheetName val="Thang10-02"/>
      <sheetName val="Thang11-02"/>
      <sheetName val="Thang12-02"/>
      <sheetName val="Thang01-03"/>
      <sheetName val="Thang02-03"/>
      <sheetName val="_x000c__x0000__x0000__x0000__x0000__x0000__x0000__x0000__x000d__x0000__x0000__x0000_"/>
      <sheetName val="ADKTKT02"/>
      <sheetName val="Km283 - Jm284"/>
      <sheetName val="[PNT-P3.xlsUTong hop (2)"/>
      <sheetName val="Km276 - Ke277"/>
      <sheetName val="[PNT-P3.xlsUKm279 - Km280"/>
      <sheetName val="Khac DP"/>
      <sheetName val="Khoi than "/>
      <sheetName val="B3_208_than"/>
      <sheetName val="B3_208_TU"/>
      <sheetName val="B3_208_TW"/>
      <sheetName val="B3_208_DP"/>
      <sheetName val="B3_208_khac"/>
      <sheetName val="Macro1"/>
      <sheetName val="Macro2"/>
      <sheetName val="Macro3"/>
      <sheetName val="Song ban 0,7x0,7"/>
      <sheetName val="Cong ban 0,8x ,8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Áo"/>
      <sheetName val="Km&quot;80"/>
      <sheetName val="Lap ®at ®hÖn"/>
      <sheetName val="Ton 31.1"/>
      <sheetName val="NhapT.2"/>
      <sheetName val="Xuat T.2"/>
      <sheetName val="Ton 28.2"/>
      <sheetName val="H.Tra"/>
      <sheetName val="Hang CTY TRA LAI"/>
      <sheetName val="Hang NV Tra Lai"/>
      <sheetName val="_x0000__x000f__x0000__x0000__x0000_‚ž½"/>
      <sheetName val="_x0000__x000d__x0000__x0000__x0000_âOŽ"/>
      <sheetName val="QD cua HDQ²_x0000__x0000_)"/>
      <sheetName val="P210-TP20"/>
      <sheetName val="CB32"/>
      <sheetName val="CTT NuiC_x000f_eo"/>
      <sheetName val="?0000000"/>
      <sheetName val="CV den trong to?g"/>
      <sheetName val="TDT-TB?"/>
      <sheetName val="Km280 ? Km281"/>
      <sheetName val="K?284"/>
      <sheetName val="Kluo-_x0008_ phu"/>
      <sheetName val="QD cua HDQ²_x0000__x0000_€)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120"/>
      <sheetName val="IFAD"/>
      <sheetName val="CVHN"/>
      <sheetName val="TCVM"/>
      <sheetName val="RIDP"/>
      <sheetName val="LDNN"/>
      <sheetName val="VÃt liÖu"/>
      <sheetName val="Dong$bac"/>
      <sheetName val="Mix-Tarpaulin"/>
      <sheetName val="Tarpaulin"/>
      <sheetName val="Pric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Baocao"/>
      <sheetName val="UT"/>
      <sheetName val="TongHopHD"/>
      <sheetName val="7000 000"/>
      <sheetName val="_x000b_luong phu"/>
      <sheetName val="K43"/>
      <sheetName val="THKL"/>
      <sheetName val="PL43"/>
      <sheetName val="K43+0.00 - 338 Trai"/>
      <sheetName val="Du tnan chi tiet coc nuoc"/>
      <sheetName val="gìIÏÝ_x001c_Ã_x0008_ç¾{è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Tong (op"/>
      <sheetName val="Coc 4ieu"/>
      <sheetName val="Package1"/>
      <sheetName val="ESTI."/>
      <sheetName val="DI-ESTI"/>
      <sheetName val="_x0003_har"/>
      <sheetName val="Don gia"/>
      <sheetName val="Nhap du lieu"/>
      <sheetName val="BCDSPS"/>
      <sheetName val="BCDKT"/>
      <sheetName val="GS02-thu0TM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gVL"/>
      <sheetName val="mua vao"/>
      <sheetName val="chi phi "/>
      <sheetName val="ban ra 10%"/>
      <sheetName val="??-BLDG"/>
      <sheetName val="thaß26"/>
      <sheetName val="_x0000__x000a__x0000__x0000__x0000_âO"/>
      <sheetName val="_x000c__x0000__x0000__x0000__x0000__x0000__x0000__x0000__x000a__x0000__x0000__x0000_"/>
      <sheetName val="_x0000__x000a__x0000__x0000__x0000_âOŽ"/>
      <sheetName val="HNI"/>
      <sheetName val="bÑi_x0003_"/>
      <sheetName val="DC2@ï4"/>
      <sheetName val="QD cua "/>
      <sheetName val="Tong hop$Op mai"/>
      <sheetName val="t01.06"/>
      <sheetName val="Sÿÿÿÿ"/>
      <sheetName val="quÿÿ"/>
      <sheetName val="ၔong hop QL48 - 2"/>
      <sheetName val="Shaet13"/>
      <sheetName val="Km266"/>
      <sheetName val="Mp mai 275"/>
      <sheetName val="PNT-P3"/>
      <sheetName val="bc"/>
      <sheetName val="K.O"/>
      <sheetName val="xang _clc"/>
      <sheetName val="X¡NG_td"/>
      <sheetName val="MaZUT"/>
      <sheetName val="DIESEL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Giao nhÿÿÿÿvu"/>
      <sheetName val="⁋㌱Ա_x0000_䭔㌱س_x0000_䭔ㄠㄴ_x0006_牴湯⁧琠湯౧_x0000_杮楨搠湩⵨偃_x0006_匀敨瑥"/>
      <sheetName val="Diem mon hoc"/>
      <sheetName val="Tong hop diem"/>
      <sheetName val="HoTen-khong duoc xoa"/>
      <sheetName val="MTL$-INTER"/>
      <sheetName val="Khach iang le "/>
      <sheetName val="[PNT-P3.xlsѝKQKDKT'04-1"/>
      <sheetName val="DG "/>
      <sheetName val="tldm190337,8"/>
      <sheetName val="???????-BLDG"/>
      <sheetName val="Thang 07"/>
      <sheetName val="T10-05"/>
      <sheetName val="T9-05"/>
      <sheetName val="t805"/>
      <sheetName val="11T"/>
      <sheetName val="9T"/>
      <sheetName val="Giao nhiem fu"/>
      <sheetName val="QDcea TGD (2)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Tkng hop QL48 - 2"/>
      <sheetName val="TNghiÖ- VL"/>
      <sheetName val="nam2004"/>
      <sheetName val="Cm276 - Ke277"/>
      <sheetName val="GS08)B.hµng"/>
      <sheetName val="CDÕTKT2002"/>
      <sheetName val="Tong hopQ48­1"/>
      <sheetName val="tt chu don"/>
      <sheetName val="FUONDER TAN UYEN T12"/>
      <sheetName val="XXXXX\XX"/>
      <sheetName val=" CHIEU XA  T01"/>
      <sheetName val="[PNT-P3.xls]XXXXX\X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/>
      <sheetData sheetId="305"/>
      <sheetData sheetId="306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 refreshError="1"/>
      <sheetData sheetId="368" refreshError="1"/>
      <sheetData sheetId="369" refreshError="1"/>
      <sheetData sheetId="370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 refreshError="1"/>
      <sheetData sheetId="471" refreshError="1"/>
      <sheetData sheetId="472" refreshError="1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 refreshError="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/>
      <sheetData sheetId="509"/>
      <sheetData sheetId="510"/>
      <sheetData sheetId="511"/>
      <sheetData sheetId="512"/>
      <sheetData sheetId="513"/>
      <sheetData sheetId="514"/>
      <sheetData sheetId="515" refreshError="1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/>
      <sheetData sheetId="562"/>
      <sheetData sheetId="563"/>
      <sheetData sheetId="564"/>
      <sheetData sheetId="565"/>
      <sheetData sheetId="566" refreshError="1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/>
      <sheetData sheetId="622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/>
      <sheetData sheetId="631" refreshError="1"/>
      <sheetData sheetId="632"/>
      <sheetData sheetId="633" refreshError="1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/>
      <sheetData sheetId="658" refreshError="1"/>
      <sheetData sheetId="659"/>
      <sheetData sheetId="660"/>
      <sheetData sheetId="661"/>
      <sheetData sheetId="662" refreshError="1"/>
      <sheetData sheetId="663" refreshError="1"/>
      <sheetData sheetId="664"/>
      <sheetData sheetId="665" refreshError="1"/>
      <sheetData sheetId="666" refreshError="1"/>
      <sheetData sheetId="667" refreshError="1"/>
      <sheetData sheetId="668"/>
      <sheetData sheetId="669"/>
      <sheetData sheetId="670"/>
      <sheetData sheetId="671"/>
      <sheetData sheetId="672"/>
      <sheetData sheetId="673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/>
      <sheetData sheetId="692"/>
      <sheetData sheetId="693" refreshError="1"/>
      <sheetData sheetId="694"/>
      <sheetData sheetId="695" refreshError="1"/>
      <sheetData sheetId="696"/>
      <sheetData sheetId="697"/>
      <sheetData sheetId="698" refreshError="1"/>
      <sheetData sheetId="699" refreshError="1"/>
      <sheetData sheetId="700" refreshError="1"/>
      <sheetData sheetId="70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uyenGiao"/>
      <sheetName val="Lương kỹ sư"/>
      <sheetName val="Lương công nhân"/>
      <sheetName val="Vùng"/>
    </sheetNames>
    <sheetDataSet>
      <sheetData sheetId="0">
        <row r="8">
          <cell r="P8" t="str">
            <v>Đồ họa</v>
          </cell>
        </row>
        <row r="9">
          <cell r="P9" t="str">
            <v>Nguồn đóng</v>
          </cell>
        </row>
        <row r="10">
          <cell r="P10" t="str">
            <v>Tiếng Việt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ntity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L__INTER"/>
      <sheetName val=" nhap x mang"/>
      <sheetName val="cat da bay"/>
      <sheetName val="kl dat"/>
      <sheetName val="Sheet4"/>
      <sheetName val="Sheet1"/>
      <sheetName val="xin kinh phi"/>
      <sheetName val="lan trai"/>
      <sheetName val="thuoc no"/>
      <sheetName val="Sheet3"/>
      <sheetName val="Sheet2"/>
      <sheetName val="so thuc pham"/>
      <sheetName val="Chart1"/>
      <sheetName val="Trang1"/>
      <sheetName val="Trang2"/>
      <sheetName val="Trang3"/>
      <sheetName val="Trang4"/>
      <sheetName val="Trang5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T"/>
      <sheetName val="Appendix 2"/>
      <sheetName val="Appendix 3"/>
      <sheetName val="Appendix 4"/>
      <sheetName val="Du toan"/>
    </sheetNames>
    <sheetDataSet>
      <sheetData sheetId="0" refreshError="1"/>
      <sheetData sheetId="1" refreshError="1"/>
      <sheetData sheetId="2" refreshError="1">
        <row r="8">
          <cell r="F8">
            <v>27</v>
          </cell>
        </row>
      </sheetData>
      <sheetData sheetId="3" refreshError="1">
        <row r="18">
          <cell r="E18">
            <v>1200</v>
          </cell>
        </row>
      </sheetData>
      <sheetData sheetId="4" refreshError="1">
        <row r="8">
          <cell r="D8">
            <v>1227</v>
          </cell>
        </row>
        <row r="11">
          <cell r="D11">
            <v>1774.7327999999998</v>
          </cell>
        </row>
        <row r="13">
          <cell r="D13">
            <v>2957.8879999999995</v>
          </cell>
        </row>
        <row r="27">
          <cell r="C27">
            <v>20374.942307692309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BG "/>
      <sheetName val="OLYMPIA"/>
      <sheetName val="X_MEDIA"/>
      <sheetName val="POWERCOM"/>
      <sheetName val="LEADER"/>
      <sheetName val="SOLOMON"/>
      <sheetName val="DATA"/>
      <sheetName val="PROJECT"/>
      <sheetName val="SPUTNIK"/>
      <sheetName val="tra-vat-lieu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Sheet41"/>
      <sheetName val="Sheet42"/>
      <sheetName val="Sheet43"/>
      <sheetName val="Sheet44"/>
      <sheetName val="Sheet45"/>
      <sheetName val="Sheet46"/>
      <sheetName val="Sheet47"/>
      <sheetName val="Sheet48"/>
      <sheetName val="chiet tinh"/>
      <sheetName val="MList"/>
      <sheetName val="Trinh BC"/>
      <sheetName val="DK"/>
      <sheetName val="Luu"/>
      <sheetName val="Tra"/>
      <sheetName val="To phu"/>
      <sheetName val="Data-PT"/>
      <sheetName val="Nhan"/>
      <sheetName val="New"/>
      <sheetName val="Ma linh kien"/>
      <sheetName val="Nhan (2)"/>
      <sheetName val="Appendix 3"/>
      <sheetName val="Appendix 4"/>
      <sheetName val="Du to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VL-NC-M"/>
      <sheetName val="tra-vat-lieu"/>
    </sheetNames>
    <sheetDataSet>
      <sheetData sheetId="0"/>
      <sheetData sheetId="1"/>
      <sheetData sheetId="2">
        <row r="9">
          <cell r="N9">
            <v>118182</v>
          </cell>
        </row>
        <row r="16">
          <cell r="N16">
            <v>759</v>
          </cell>
        </row>
        <row r="17">
          <cell r="N17">
            <v>55000</v>
          </cell>
        </row>
        <row r="38">
          <cell r="N38">
            <v>4.5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ntity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khoi luong"/>
      <sheetName val="Bang phan tich"/>
      <sheetName val="TH vat tu"/>
      <sheetName val="Bang tinh gia VL"/>
      <sheetName val="TH Kinh phi"/>
      <sheetName val="TH thiet bi"/>
      <sheetName val="TH may TC"/>
      <sheetName val="TH Nhan cong"/>
      <sheetName val="DM Chi phi"/>
    </sheetNames>
    <sheetDataSet>
      <sheetData sheetId="0"/>
      <sheetData sheetId="1"/>
      <sheetData sheetId="2"/>
      <sheetData sheetId="3"/>
      <sheetData sheetId="4">
        <row r="42">
          <cell r="G42">
            <v>0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"/>
      <sheetName val="Cate"/>
      <sheetName val="Actors"/>
      <sheetName val="Use Case"/>
      <sheetName val="Sheet1"/>
      <sheetName val="Check trùng lắp UC"/>
      <sheetName val="Check trùng lắp Transaction"/>
      <sheetName val="Point Actors &amp; Point Use-case"/>
      <sheetName val="Tech(TFW &amp;TCF) Environment(EFW)"/>
      <sheetName val="Dev Software Price"/>
      <sheetName val="Total Software Price"/>
      <sheetName val="Kiểm thử"/>
      <sheetName val="TCF (kiểm thử)"/>
      <sheetName val="ECF (kiểm thử)"/>
      <sheetName val="H"/>
      <sheetName val="H (kiểm thử)"/>
      <sheetName val="Bảng lương"/>
    </sheetNames>
    <sheetDataSet>
      <sheetData sheetId="0" refreshError="1"/>
      <sheetData sheetId="1">
        <row r="6">
          <cell r="A6" t="str">
            <v>Đơn giản</v>
          </cell>
        </row>
        <row r="7">
          <cell r="A7" t="str">
            <v>Trung bình</v>
          </cell>
        </row>
        <row r="8">
          <cell r="A8" t="str">
            <v>Phức tạp</v>
          </cell>
        </row>
        <row r="27">
          <cell r="A27" t="str">
            <v>B</v>
          </cell>
        </row>
        <row r="28">
          <cell r="A28" t="str">
            <v>M</v>
          </cell>
        </row>
        <row r="29">
          <cell r="A29" t="str">
            <v>T</v>
          </cell>
        </row>
        <row r="33">
          <cell r="B33" t="str">
            <v>Dữ liệu đầu vào (Input Data)</v>
          </cell>
        </row>
        <row r="34">
          <cell r="B34" t="str">
            <v>Dữ liệu đầu ra (Output Data)</v>
          </cell>
        </row>
        <row r="35">
          <cell r="B35" t="str">
            <v>Các yêu cầu truy vấn (Query)</v>
          </cell>
        </row>
        <row r="36">
          <cell r="B36" t="str">
            <v>CSDL (Database)</v>
          </cell>
        </row>
        <row r="37">
          <cell r="B37" t="str">
            <v>Dữ liệu tra cứu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ASE"/>
    </sheetNames>
    <sheetDataSet>
      <sheetData sheetId="0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M18">
            <v>1</v>
          </cell>
          <cell r="AN18">
            <v>8.44</v>
          </cell>
          <cell r="AO18">
            <v>9</v>
          </cell>
          <cell r="AQ18">
            <v>45</v>
          </cell>
          <cell r="AR18">
            <v>42.22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M24">
            <v>1</v>
          </cell>
          <cell r="AN24">
            <v>11.8</v>
          </cell>
          <cell r="AO24">
            <v>9.4</v>
          </cell>
          <cell r="AQ24">
            <v>36.44</v>
          </cell>
          <cell r="AR24">
            <v>37.229999999999997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L27" t="str">
            <v>800</v>
          </cell>
          <cell r="AM27">
            <v>1</v>
          </cell>
          <cell r="AN27">
            <v>19.16</v>
          </cell>
          <cell r="AP27">
            <v>17.8</v>
          </cell>
          <cell r="AQ27">
            <v>26.1</v>
          </cell>
          <cell r="AS27">
            <v>37.869999999999997</v>
          </cell>
          <cell r="AT27">
            <v>500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K28" t="str">
            <v>100(OM-12)</v>
          </cell>
          <cell r="AM28">
            <v>1</v>
          </cell>
          <cell r="AO28">
            <v>14.3</v>
          </cell>
          <cell r="AR28">
            <v>47.55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M30">
            <v>1</v>
          </cell>
          <cell r="AN30">
            <v>13.7</v>
          </cell>
          <cell r="AO30">
            <v>11.9</v>
          </cell>
          <cell r="AQ30">
            <v>41.61</v>
          </cell>
          <cell r="AR30">
            <v>47.9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Q36">
            <v>50.63</v>
          </cell>
          <cell r="AR36">
            <v>52.63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M39">
            <v>1</v>
          </cell>
          <cell r="AN39">
            <v>27.3</v>
          </cell>
          <cell r="AO39">
            <v>15.7</v>
          </cell>
          <cell r="AQ39">
            <v>40.29</v>
          </cell>
          <cell r="AR39">
            <v>38.22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M40">
            <v>1</v>
          </cell>
          <cell r="AN40">
            <v>18.3</v>
          </cell>
          <cell r="AO40">
            <v>13.1</v>
          </cell>
          <cell r="AQ40">
            <v>65.569999999999993</v>
          </cell>
          <cell r="AR40">
            <v>83.97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M41">
            <v>1</v>
          </cell>
          <cell r="AN41">
            <v>20.309999999999999</v>
          </cell>
          <cell r="AO41">
            <v>13.1</v>
          </cell>
          <cell r="AQ41">
            <v>64</v>
          </cell>
          <cell r="AR41">
            <v>83.97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M42">
            <v>1</v>
          </cell>
          <cell r="AN42">
            <v>23.8</v>
          </cell>
          <cell r="AO42">
            <v>11.4</v>
          </cell>
          <cell r="AQ42">
            <v>37.82</v>
          </cell>
          <cell r="AR42">
            <v>83.33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M43">
            <v>1</v>
          </cell>
          <cell r="AN43">
            <v>19.2</v>
          </cell>
          <cell r="AQ43">
            <v>41.67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M44">
            <v>1</v>
          </cell>
          <cell r="AN44">
            <v>18.2</v>
          </cell>
          <cell r="AO44">
            <v>8.1999999999999993</v>
          </cell>
          <cell r="AQ44">
            <v>42.86</v>
          </cell>
          <cell r="AR44">
            <v>85.37</v>
          </cell>
          <cell r="AT44">
            <v>780</v>
          </cell>
          <cell r="AU44">
            <v>700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M45">
            <v>1</v>
          </cell>
          <cell r="AN45">
            <v>19.8</v>
          </cell>
          <cell r="AQ45">
            <v>42.93</v>
          </cell>
          <cell r="AT45">
            <v>850</v>
          </cell>
        </row>
        <row r="46">
          <cell r="AI46" t="str">
            <v>EPOXY NON-SKID SURFACING</v>
          </cell>
          <cell r="AJ46" t="str">
            <v>4425(A-525)</v>
          </cell>
          <cell r="AK46" t="str">
            <v>1018</v>
          </cell>
          <cell r="AM46">
            <v>1</v>
          </cell>
          <cell r="AN46">
            <v>18</v>
          </cell>
          <cell r="AO46">
            <v>31.3</v>
          </cell>
          <cell r="AQ46">
            <v>37.78</v>
          </cell>
          <cell r="AR46">
            <v>47.92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M47">
            <v>1</v>
          </cell>
          <cell r="AN47">
            <v>21</v>
          </cell>
          <cell r="AO47">
            <v>26.92</v>
          </cell>
          <cell r="AQ47">
            <v>42.86</v>
          </cell>
          <cell r="AR47">
            <v>13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M48">
            <v>1</v>
          </cell>
          <cell r="AN48">
            <v>21.97</v>
          </cell>
          <cell r="AQ48">
            <v>37.78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M49">
            <v>1</v>
          </cell>
          <cell r="AN49">
            <v>19.399999999999999</v>
          </cell>
          <cell r="AO49">
            <v>15.8</v>
          </cell>
          <cell r="AQ49">
            <v>42.78</v>
          </cell>
          <cell r="AR49">
            <v>43.04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M50">
            <v>1</v>
          </cell>
          <cell r="AN50">
            <v>18.7</v>
          </cell>
          <cell r="AO50">
            <v>20.9</v>
          </cell>
          <cell r="AQ50">
            <v>42.78</v>
          </cell>
          <cell r="AR50">
            <v>28.71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M51">
            <v>1</v>
          </cell>
          <cell r="AN51">
            <v>11.69</v>
          </cell>
          <cell r="AO51">
            <v>12.2</v>
          </cell>
          <cell r="AQ51">
            <v>42.78</v>
          </cell>
          <cell r="AR51">
            <v>57.38</v>
          </cell>
          <cell r="AT51">
            <v>500</v>
          </cell>
          <cell r="AU51">
            <v>700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M53">
            <v>1</v>
          </cell>
          <cell r="AN53">
            <v>12.6</v>
          </cell>
          <cell r="AO53">
            <v>32.1</v>
          </cell>
          <cell r="AQ53">
            <v>55.56</v>
          </cell>
          <cell r="AR53">
            <v>42.37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M54">
            <v>1</v>
          </cell>
          <cell r="AN54">
            <v>21</v>
          </cell>
          <cell r="AO54">
            <v>24.4</v>
          </cell>
          <cell r="AQ54">
            <v>42.86</v>
          </cell>
          <cell r="AR54">
            <v>25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M55">
            <v>1</v>
          </cell>
          <cell r="AN55">
            <v>21</v>
          </cell>
          <cell r="AO55">
            <v>32</v>
          </cell>
          <cell r="AQ55">
            <v>42.86</v>
          </cell>
          <cell r="AR55">
            <v>23.75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L64" t="str">
            <v>531</v>
          </cell>
          <cell r="AM64">
            <v>1</v>
          </cell>
          <cell r="AN64">
            <v>13.4</v>
          </cell>
          <cell r="AP64">
            <v>14.5</v>
          </cell>
          <cell r="AQ64">
            <v>37.31</v>
          </cell>
          <cell r="AS64">
            <v>36.409999999999997</v>
          </cell>
          <cell r="AT64">
            <v>500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L66" t="str">
            <v>500</v>
          </cell>
          <cell r="AM66">
            <v>1</v>
          </cell>
          <cell r="AN66">
            <v>17.2</v>
          </cell>
          <cell r="AP66">
            <v>15</v>
          </cell>
          <cell r="AQ66">
            <v>37.79</v>
          </cell>
          <cell r="AS66">
            <v>30.4</v>
          </cell>
          <cell r="AT66">
            <v>650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L67" t="str">
            <v>550</v>
          </cell>
          <cell r="AM67">
            <v>1</v>
          </cell>
          <cell r="AN67">
            <v>15.9</v>
          </cell>
          <cell r="AP67">
            <v>14.8</v>
          </cell>
          <cell r="AQ67">
            <v>38.99</v>
          </cell>
          <cell r="AS67">
            <v>33.78</v>
          </cell>
          <cell r="AT67">
            <v>620</v>
          </cell>
          <cell r="AV67">
            <v>500</v>
          </cell>
        </row>
        <row r="68"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1">
          <cell r="AI71" t="str">
            <v xml:space="preserve">SILICONE RESIN 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M72">
            <v>1</v>
          </cell>
          <cell r="AN72">
            <v>16.5</v>
          </cell>
          <cell r="AO72">
            <v>26.2</v>
          </cell>
          <cell r="AQ72">
            <v>36.36</v>
          </cell>
          <cell r="AR72">
            <v>38.17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M74">
            <v>1</v>
          </cell>
          <cell r="AN74">
            <v>35.799999999999997</v>
          </cell>
          <cell r="AO74">
            <v>34.1</v>
          </cell>
          <cell r="AQ74">
            <v>36.31</v>
          </cell>
          <cell r="AR74">
            <v>38.119999999999997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M76">
            <v>1</v>
          </cell>
          <cell r="AN76">
            <v>17.5</v>
          </cell>
          <cell r="AO76">
            <v>27.3</v>
          </cell>
          <cell r="AQ76">
            <v>30.29</v>
          </cell>
          <cell r="AR76">
            <v>28.57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M78">
            <v>1</v>
          </cell>
          <cell r="AN78">
            <v>51.61</v>
          </cell>
          <cell r="AO78">
            <v>59.4</v>
          </cell>
          <cell r="AQ78">
            <v>25.19</v>
          </cell>
          <cell r="AR78">
            <v>28.62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M80">
            <v>1</v>
          </cell>
          <cell r="AN80">
            <v>51.61</v>
          </cell>
          <cell r="AO80">
            <v>68</v>
          </cell>
          <cell r="AQ80">
            <v>25.19</v>
          </cell>
          <cell r="AR80">
            <v>10</v>
          </cell>
          <cell r="AT80">
            <v>1300</v>
          </cell>
          <cell r="AU80">
            <v>680</v>
          </cell>
        </row>
        <row r="82">
          <cell r="AI82" t="str">
            <v xml:space="preserve">POLY-VINYL BUTYRAL RESIN (PVB) 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M84">
            <v>1</v>
          </cell>
          <cell r="AN84">
            <v>24.5</v>
          </cell>
          <cell r="AO84">
            <v>28.8</v>
          </cell>
          <cell r="AQ84">
            <v>22.04</v>
          </cell>
          <cell r="AR84">
            <v>19.79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M86">
            <v>1</v>
          </cell>
          <cell r="AN86">
            <v>29.1</v>
          </cell>
          <cell r="AO86">
            <v>26.21</v>
          </cell>
          <cell r="AQ86">
            <v>18.899999999999999</v>
          </cell>
          <cell r="AR86">
            <v>19.079999999999998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M87">
            <v>1</v>
          </cell>
          <cell r="AN87">
            <v>21.2</v>
          </cell>
          <cell r="AO87">
            <v>27.3</v>
          </cell>
          <cell r="AQ87">
            <v>30.19</v>
          </cell>
          <cell r="AR87">
            <v>19.78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M93">
            <v>1</v>
          </cell>
          <cell r="AN93">
            <v>46.3</v>
          </cell>
          <cell r="AO93">
            <v>56.2</v>
          </cell>
          <cell r="AQ93">
            <v>30.24</v>
          </cell>
          <cell r="AR93">
            <v>30.25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M94">
            <v>1</v>
          </cell>
          <cell r="AN94">
            <v>37</v>
          </cell>
          <cell r="AO94">
            <v>19.8</v>
          </cell>
          <cell r="AQ94">
            <v>37.840000000000003</v>
          </cell>
          <cell r="AR94">
            <v>28.79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M95">
            <v>1</v>
          </cell>
          <cell r="AN95">
            <v>18</v>
          </cell>
          <cell r="AQ95">
            <v>55.56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M96">
            <v>1</v>
          </cell>
          <cell r="AN96">
            <v>31.7</v>
          </cell>
          <cell r="AO96">
            <v>17</v>
          </cell>
          <cell r="AQ96">
            <v>37.85</v>
          </cell>
          <cell r="AR96">
            <v>26.47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M97">
            <v>1</v>
          </cell>
          <cell r="AN97">
            <v>21.6</v>
          </cell>
          <cell r="AO97">
            <v>12.5</v>
          </cell>
          <cell r="AQ97">
            <v>37.04</v>
          </cell>
          <cell r="AR97">
            <v>24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M98">
            <v>1</v>
          </cell>
          <cell r="AN98">
            <v>58.41</v>
          </cell>
          <cell r="AO98">
            <v>69.59</v>
          </cell>
          <cell r="AQ98">
            <v>8.56</v>
          </cell>
          <cell r="AR98">
            <v>28.74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L101" t="str">
            <v>140</v>
          </cell>
          <cell r="AM101">
            <v>1</v>
          </cell>
          <cell r="AN101">
            <v>9.6999999999999993</v>
          </cell>
          <cell r="AP101">
            <v>14</v>
          </cell>
          <cell r="AQ101">
            <v>40.21</v>
          </cell>
          <cell r="AS101">
            <v>30.36</v>
          </cell>
          <cell r="AT101">
            <v>390</v>
          </cell>
          <cell r="AV101">
            <v>425</v>
          </cell>
        </row>
        <row r="102">
          <cell r="AI102" t="str">
            <v>WATER BASE MASONRY PRIMER</v>
          </cell>
          <cell r="AJ102" t="str">
            <v>1546</v>
          </cell>
          <cell r="AL102" t="str">
            <v>140-1</v>
          </cell>
          <cell r="AM102">
            <v>1</v>
          </cell>
          <cell r="AN102">
            <v>8.1999999999999993</v>
          </cell>
          <cell r="AP102">
            <v>12</v>
          </cell>
          <cell r="AQ102">
            <v>40.24</v>
          </cell>
          <cell r="AS102">
            <v>33.83</v>
          </cell>
          <cell r="AT102">
            <v>330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M103">
            <v>1</v>
          </cell>
          <cell r="AN103">
            <v>11.9</v>
          </cell>
          <cell r="AQ103">
            <v>36.97</v>
          </cell>
          <cell r="AT103">
            <v>440</v>
          </cell>
        </row>
        <row r="104">
          <cell r="AI104" t="str">
            <v xml:space="preserve">ACRYLIC EMULSION PAINT </v>
          </cell>
          <cell r="AJ104" t="str">
            <v>1656</v>
          </cell>
          <cell r="AM104">
            <v>1</v>
          </cell>
          <cell r="AN104">
            <v>9.4</v>
          </cell>
          <cell r="AP104">
            <v>25.8</v>
          </cell>
          <cell r="AQ104">
            <v>38.299999999999997</v>
          </cell>
          <cell r="AS104">
            <v>34.880000000000003</v>
          </cell>
          <cell r="AT104">
            <v>360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L105" t="str">
            <v>130</v>
          </cell>
          <cell r="AM105">
            <v>1</v>
          </cell>
          <cell r="AN105">
            <v>6.4</v>
          </cell>
          <cell r="AP105">
            <v>5.8</v>
          </cell>
          <cell r="AQ105">
            <v>40.630000000000003</v>
          </cell>
          <cell r="AS105">
            <v>34.83</v>
          </cell>
          <cell r="AT105">
            <v>260</v>
          </cell>
          <cell r="AV105">
            <v>202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M108">
            <v>1</v>
          </cell>
          <cell r="AO108">
            <v>35</v>
          </cell>
          <cell r="AR108">
            <v>21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L109" t="str">
            <v>170</v>
          </cell>
          <cell r="AM109">
            <v>1</v>
          </cell>
          <cell r="AN109">
            <v>5.8</v>
          </cell>
          <cell r="AP109">
            <v>6.2</v>
          </cell>
          <cell r="AQ109">
            <v>34.479999999999997</v>
          </cell>
          <cell r="AS109">
            <v>26.94</v>
          </cell>
          <cell r="AT109">
            <v>200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L110" t="str">
            <v>160</v>
          </cell>
          <cell r="AM110">
            <v>1</v>
          </cell>
          <cell r="AN110">
            <v>4.4000000000000004</v>
          </cell>
          <cell r="AP110">
            <v>6.7</v>
          </cell>
          <cell r="AQ110">
            <v>227.27</v>
          </cell>
          <cell r="AS110">
            <v>28.81</v>
          </cell>
          <cell r="AT110">
            <v>1000</v>
          </cell>
          <cell r="AV110">
            <v>193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ESTI_"/>
      <sheetName val="DI_ESTI"/>
      <sheetName val="IBASE"/>
      <sheetName val="NEW-PANEL"/>
    </sheetNames>
    <sheetDataSet>
      <sheetData sheetId="0" refreshError="1"/>
      <sheetData sheetId="1" refreshError="1"/>
      <sheetData sheetId="2" refreshError="1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 xml:space="preserve">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 xml:space="preserve"> </v>
          </cell>
          <cell r="U6" t="str">
            <v xml:space="preserve"> </v>
          </cell>
        </row>
        <row r="7">
          <cell r="A7">
            <v>2</v>
          </cell>
          <cell r="B7">
            <v>0.75</v>
          </cell>
          <cell r="E7" t="str">
            <v xml:space="preserve"> 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 xml:space="preserve"> </v>
          </cell>
          <cell r="U7" t="str">
            <v xml:space="preserve"> </v>
          </cell>
        </row>
        <row r="8">
          <cell r="A8">
            <v>3</v>
          </cell>
          <cell r="B8">
            <v>1</v>
          </cell>
          <cell r="E8" t="str">
            <v xml:space="preserve"> 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 xml:space="preserve"> </v>
          </cell>
          <cell r="U8" t="str">
            <v xml:space="preserve"> </v>
          </cell>
        </row>
        <row r="9">
          <cell r="A9">
            <v>4</v>
          </cell>
          <cell r="B9">
            <v>1.5</v>
          </cell>
          <cell r="E9" t="str">
            <v xml:space="preserve"> 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 xml:space="preserve"> </v>
          </cell>
          <cell r="U9" t="str">
            <v xml:space="preserve"> </v>
          </cell>
        </row>
        <row r="10">
          <cell r="A10">
            <v>5</v>
          </cell>
          <cell r="B10">
            <v>2</v>
          </cell>
          <cell r="E10" t="str">
            <v xml:space="preserve"> 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 xml:space="preserve"> </v>
          </cell>
          <cell r="U10" t="str">
            <v xml:space="preserve"> </v>
          </cell>
        </row>
        <row r="11">
          <cell r="A11">
            <v>6</v>
          </cell>
          <cell r="B11">
            <v>2.5</v>
          </cell>
          <cell r="E11" t="str">
            <v xml:space="preserve"> 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 xml:space="preserve"> </v>
          </cell>
          <cell r="U11" t="str">
            <v xml:space="preserve"> </v>
          </cell>
        </row>
        <row r="12">
          <cell r="A12">
            <v>7</v>
          </cell>
          <cell r="B12">
            <v>3</v>
          </cell>
          <cell r="E12" t="str">
            <v xml:space="preserve"> 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 xml:space="preserve"> </v>
          </cell>
          <cell r="U12" t="str">
            <v xml:space="preserve"> </v>
          </cell>
        </row>
        <row r="13">
          <cell r="A13">
            <v>8</v>
          </cell>
          <cell r="B13">
            <v>4</v>
          </cell>
          <cell r="E13" t="str">
            <v xml:space="preserve"> 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 xml:space="preserve"> </v>
          </cell>
          <cell r="U13" t="str">
            <v xml:space="preserve"> </v>
          </cell>
        </row>
        <row r="14">
          <cell r="A14">
            <v>9</v>
          </cell>
          <cell r="B14">
            <v>5</v>
          </cell>
          <cell r="E14" t="str">
            <v xml:space="preserve"> 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 xml:space="preserve"> </v>
          </cell>
          <cell r="U14" t="str">
            <v xml:space="preserve"> </v>
          </cell>
        </row>
        <row r="15">
          <cell r="A15">
            <v>10</v>
          </cell>
          <cell r="B15">
            <v>6</v>
          </cell>
          <cell r="E15" t="str">
            <v xml:space="preserve"> 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 xml:space="preserve"> </v>
          </cell>
          <cell r="U15" t="str">
            <v xml:space="preserve"> </v>
          </cell>
        </row>
        <row r="16">
          <cell r="A16">
            <v>11</v>
          </cell>
          <cell r="B16">
            <v>8</v>
          </cell>
          <cell r="E16" t="str">
            <v xml:space="preserve"> 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 xml:space="preserve"> </v>
          </cell>
          <cell r="U16" t="str">
            <v xml:space="preserve"> </v>
          </cell>
        </row>
        <row r="17">
          <cell r="A17">
            <v>12</v>
          </cell>
          <cell r="B17">
            <v>10</v>
          </cell>
          <cell r="E17" t="str">
            <v xml:space="preserve"> 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 xml:space="preserve"> </v>
          </cell>
          <cell r="U17" t="str">
            <v xml:space="preserve"> </v>
          </cell>
        </row>
        <row r="18">
          <cell r="A18">
            <v>13</v>
          </cell>
          <cell r="B18">
            <v>12</v>
          </cell>
          <cell r="E18" t="str">
            <v xml:space="preserve"> 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 xml:space="preserve"> </v>
          </cell>
          <cell r="U18" t="str">
            <v xml:space="preserve"> </v>
          </cell>
        </row>
        <row r="19">
          <cell r="A19">
            <v>14</v>
          </cell>
          <cell r="B19">
            <v>14</v>
          </cell>
          <cell r="E19" t="str">
            <v xml:space="preserve"> 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 xml:space="preserve"> </v>
          </cell>
          <cell r="U19" t="str">
            <v xml:space="preserve"> </v>
          </cell>
        </row>
        <row r="20">
          <cell r="A20">
            <v>15</v>
          </cell>
          <cell r="B20">
            <v>16</v>
          </cell>
          <cell r="E20" t="str">
            <v xml:space="preserve"> 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 xml:space="preserve"> </v>
          </cell>
          <cell r="U20" t="str">
            <v xml:space="preserve"> </v>
          </cell>
        </row>
        <row r="21">
          <cell r="A21">
            <v>16</v>
          </cell>
          <cell r="B21">
            <v>18</v>
          </cell>
          <cell r="E21" t="str">
            <v xml:space="preserve"> 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 xml:space="preserve"> </v>
          </cell>
          <cell r="U21" t="str">
            <v xml:space="preserve"> </v>
          </cell>
        </row>
        <row r="22">
          <cell r="A22">
            <v>17</v>
          </cell>
          <cell r="B22">
            <v>20</v>
          </cell>
          <cell r="E22" t="str">
            <v xml:space="preserve"> 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 xml:space="preserve"> </v>
          </cell>
          <cell r="U22" t="str">
            <v xml:space="preserve"> </v>
          </cell>
        </row>
        <row r="23">
          <cell r="A23">
            <v>18</v>
          </cell>
          <cell r="B23">
            <v>22</v>
          </cell>
          <cell r="E23" t="str">
            <v xml:space="preserve"> 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 xml:space="preserve"> </v>
          </cell>
          <cell r="U23" t="str">
            <v xml:space="preserve"> </v>
          </cell>
        </row>
        <row r="24">
          <cell r="A24">
            <v>19</v>
          </cell>
          <cell r="B24">
            <v>24</v>
          </cell>
          <cell r="E24" t="str">
            <v xml:space="preserve"> 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 xml:space="preserve"> </v>
          </cell>
          <cell r="U24" t="str">
            <v xml:space="preserve"> </v>
          </cell>
        </row>
        <row r="25">
          <cell r="A25">
            <v>20</v>
          </cell>
          <cell r="B25">
            <v>26</v>
          </cell>
          <cell r="E25" t="str">
            <v xml:space="preserve"> 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 xml:space="preserve"> </v>
          </cell>
          <cell r="U25" t="str">
            <v xml:space="preserve"> </v>
          </cell>
        </row>
        <row r="26">
          <cell r="A26">
            <v>21</v>
          </cell>
          <cell r="B26">
            <v>28</v>
          </cell>
          <cell r="E26" t="str">
            <v xml:space="preserve"> 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 xml:space="preserve"> </v>
          </cell>
          <cell r="U26" t="str">
            <v xml:space="preserve"> </v>
          </cell>
        </row>
        <row r="27">
          <cell r="A27">
            <v>22</v>
          </cell>
          <cell r="B27">
            <v>30</v>
          </cell>
          <cell r="E27" t="str">
            <v xml:space="preserve">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 xml:space="preserve"> </v>
          </cell>
          <cell r="U27" t="str">
            <v xml:space="preserve"> </v>
          </cell>
        </row>
        <row r="28">
          <cell r="A28">
            <v>23</v>
          </cell>
          <cell r="B28">
            <v>32</v>
          </cell>
          <cell r="E28" t="str">
            <v xml:space="preserve"> 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 xml:space="preserve"> </v>
          </cell>
          <cell r="U28" t="str">
            <v xml:space="preserve"> </v>
          </cell>
        </row>
        <row r="29">
          <cell r="A29">
            <v>24</v>
          </cell>
          <cell r="B29">
            <v>34</v>
          </cell>
          <cell r="E29" t="str">
            <v xml:space="preserve"> 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 xml:space="preserve"> </v>
          </cell>
          <cell r="U29" t="str">
            <v xml:space="preserve"> </v>
          </cell>
        </row>
        <row r="30">
          <cell r="A30">
            <v>25</v>
          </cell>
          <cell r="B30">
            <v>36</v>
          </cell>
          <cell r="E30" t="str">
            <v xml:space="preserve"> 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 xml:space="preserve"> </v>
          </cell>
          <cell r="U30" t="str">
            <v xml:space="preserve"> </v>
          </cell>
        </row>
        <row r="31">
          <cell r="A31">
            <v>26</v>
          </cell>
          <cell r="B31">
            <v>38</v>
          </cell>
          <cell r="E31" t="str">
            <v xml:space="preserve">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 xml:space="preserve"> </v>
          </cell>
          <cell r="U31" t="str">
            <v xml:space="preserve"> </v>
          </cell>
        </row>
        <row r="32">
          <cell r="A32">
            <v>27</v>
          </cell>
          <cell r="B32">
            <v>40</v>
          </cell>
          <cell r="E32" t="str">
            <v xml:space="preserve"> 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 xml:space="preserve"> </v>
          </cell>
          <cell r="U32" t="str">
            <v xml:space="preserve"> </v>
          </cell>
        </row>
        <row r="33">
          <cell r="A33">
            <v>28</v>
          </cell>
          <cell r="B33">
            <v>42</v>
          </cell>
          <cell r="E33" t="str">
            <v xml:space="preserve"> 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 xml:space="preserve"> </v>
          </cell>
          <cell r="U33" t="str">
            <v xml:space="preserve"> </v>
          </cell>
        </row>
        <row r="34">
          <cell r="A34">
            <v>29</v>
          </cell>
          <cell r="B34">
            <v>44</v>
          </cell>
          <cell r="E34" t="str">
            <v xml:space="preserve"> 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 xml:space="preserve"> </v>
          </cell>
          <cell r="U34" t="str">
            <v xml:space="preserve"> </v>
          </cell>
        </row>
        <row r="35">
          <cell r="A35">
            <v>30</v>
          </cell>
          <cell r="B35">
            <v>46</v>
          </cell>
          <cell r="E35" t="str">
            <v xml:space="preserve">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 xml:space="preserve"> </v>
          </cell>
          <cell r="U35" t="str">
            <v xml:space="preserve"> </v>
          </cell>
        </row>
        <row r="36">
          <cell r="A36">
            <v>31</v>
          </cell>
          <cell r="B36">
            <v>48</v>
          </cell>
          <cell r="E36" t="str">
            <v xml:space="preserve"> 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 xml:space="preserve"> </v>
          </cell>
          <cell r="U36" t="str">
            <v xml:space="preserve"> </v>
          </cell>
        </row>
        <row r="37">
          <cell r="A37">
            <v>32</v>
          </cell>
          <cell r="B37">
            <v>52</v>
          </cell>
          <cell r="E37" t="str">
            <v xml:space="preserve"> 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 xml:space="preserve"> </v>
          </cell>
          <cell r="U37" t="str">
            <v xml:space="preserve"> </v>
          </cell>
        </row>
        <row r="38">
          <cell r="A38">
            <v>33</v>
          </cell>
          <cell r="B38">
            <v>56</v>
          </cell>
          <cell r="E38" t="str">
            <v xml:space="preserve"> 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 xml:space="preserve"> </v>
          </cell>
          <cell r="U38" t="str">
            <v xml:space="preserve"> </v>
          </cell>
        </row>
        <row r="39">
          <cell r="A39">
            <v>34</v>
          </cell>
          <cell r="B39">
            <v>60</v>
          </cell>
          <cell r="E39" t="str">
            <v xml:space="preserve"> 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 xml:space="preserve"> </v>
          </cell>
          <cell r="U39" t="str">
            <v xml:space="preserve"> </v>
          </cell>
        </row>
        <row r="40">
          <cell r="A40">
            <v>35</v>
          </cell>
          <cell r="B40">
            <v>64</v>
          </cell>
          <cell r="E40" t="str">
            <v xml:space="preserve"> 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 xml:space="preserve"> </v>
          </cell>
          <cell r="U40" t="str">
            <v xml:space="preserve"> </v>
          </cell>
        </row>
        <row r="41">
          <cell r="A41">
            <v>36</v>
          </cell>
          <cell r="B41">
            <v>68</v>
          </cell>
          <cell r="E41" t="str">
            <v xml:space="preserve"> 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 xml:space="preserve"> </v>
          </cell>
          <cell r="U41" t="str">
            <v xml:space="preserve"> </v>
          </cell>
        </row>
        <row r="42">
          <cell r="A42">
            <v>37</v>
          </cell>
          <cell r="B42">
            <v>72</v>
          </cell>
          <cell r="E42" t="str">
            <v xml:space="preserve">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 xml:space="preserve"> </v>
          </cell>
          <cell r="U42" t="str">
            <v xml:space="preserve"> </v>
          </cell>
        </row>
        <row r="43">
          <cell r="A43">
            <v>38</v>
          </cell>
          <cell r="B43">
            <v>76</v>
          </cell>
          <cell r="E43" t="str">
            <v xml:space="preserve"> 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 xml:space="preserve"> </v>
          </cell>
          <cell r="U43" t="str">
            <v xml:space="preserve"> </v>
          </cell>
        </row>
        <row r="44">
          <cell r="A44">
            <v>39</v>
          </cell>
          <cell r="B44">
            <v>80</v>
          </cell>
          <cell r="E44" t="str">
            <v xml:space="preserve"> 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 xml:space="preserve"> </v>
          </cell>
          <cell r="U44" t="str">
            <v xml:space="preserve"> </v>
          </cell>
        </row>
        <row r="45">
          <cell r="A45" t="str">
            <v>AVE.</v>
          </cell>
          <cell r="B45" t="str">
            <v xml:space="preserve">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 xml:space="preserve"> </v>
          </cell>
          <cell r="U45" t="str">
            <v xml:space="preserve"> </v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 refreshError="1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/>
      <sheetData sheetId="5"/>
      <sheetData sheetId="6" refreshError="1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apLy"/>
      <sheetName val="TongHop"/>
      <sheetName val="ThietBi"/>
      <sheetName val="XayDungMang"/>
      <sheetName val="KinhPhiXayDungMang"/>
      <sheetName val="DaoTao"/>
      <sheetName val="QLDuAn"/>
    </sheetNames>
    <sheetDataSet>
      <sheetData sheetId="0"/>
      <sheetData sheetId="1"/>
      <sheetData sheetId="2" refreshError="1">
        <row r="26">
          <cell r="J26">
            <v>434182000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2">
          <cell r="J2">
            <v>15890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3"/>
  <sheetViews>
    <sheetView tabSelected="1" zoomScale="70" zoomScaleNormal="70" workbookViewId="0">
      <selection activeCell="C13" sqref="C13"/>
    </sheetView>
  </sheetViews>
  <sheetFormatPr defaultColWidth="9.140625" defaultRowHeight="17.25" x14ac:dyDescent="0.3"/>
  <cols>
    <col min="1" max="1" width="5.5703125" style="1" customWidth="1"/>
    <col min="2" max="2" width="50.85546875" style="1" customWidth="1"/>
    <col min="3" max="3" width="10" style="1" customWidth="1"/>
    <col min="4" max="4" width="9.140625" style="1" customWidth="1"/>
    <col min="5" max="5" width="14.85546875" style="1" customWidth="1"/>
    <col min="6" max="6" width="19.28515625" style="1" customWidth="1"/>
    <col min="7" max="7" width="14.85546875" style="1" customWidth="1"/>
    <col min="8" max="8" width="18.7109375" style="1" customWidth="1"/>
    <col min="9" max="9" width="41.5703125" style="1" customWidth="1"/>
    <col min="10" max="10" width="34.7109375" style="1" customWidth="1"/>
    <col min="11" max="13" width="9.140625" style="1" customWidth="1"/>
    <col min="14" max="14" width="14.140625" style="1" bestFit="1" customWidth="1"/>
    <col min="15" max="15" width="9.140625" style="1" customWidth="1"/>
    <col min="16" max="16384" width="9.140625" style="1"/>
  </cols>
  <sheetData>
    <row r="1" spans="1:14" ht="30" customHeight="1" x14ac:dyDescent="0.3">
      <c r="B1" s="65" t="s">
        <v>5</v>
      </c>
      <c r="C1" s="66"/>
      <c r="D1" s="66"/>
      <c r="E1" s="66"/>
      <c r="F1" s="66"/>
      <c r="G1" s="66"/>
      <c r="H1" s="66"/>
      <c r="I1" s="66"/>
    </row>
    <row r="2" spans="1:14" ht="37.5" customHeight="1" x14ac:dyDescent="0.3">
      <c r="A2" s="23" t="s">
        <v>6</v>
      </c>
      <c r="B2" s="23" t="s">
        <v>7</v>
      </c>
      <c r="C2" s="23" t="s">
        <v>8</v>
      </c>
      <c r="D2" s="23" t="s">
        <v>9</v>
      </c>
      <c r="E2" s="23" t="s">
        <v>10</v>
      </c>
      <c r="F2" s="23" t="s">
        <v>0</v>
      </c>
      <c r="G2" s="23" t="s">
        <v>1</v>
      </c>
      <c r="H2" s="23" t="s">
        <v>11</v>
      </c>
      <c r="I2" s="23" t="s">
        <v>12</v>
      </c>
    </row>
    <row r="3" spans="1:14" ht="18.75" customHeight="1" x14ac:dyDescent="0.3">
      <c r="A3" s="13" t="s">
        <v>2</v>
      </c>
      <c r="B3" s="62" t="s">
        <v>13</v>
      </c>
      <c r="C3" s="63"/>
      <c r="D3" s="64"/>
      <c r="E3" s="22"/>
      <c r="F3" s="22">
        <f>SUM(F5:F7)</f>
        <v>429000000</v>
      </c>
      <c r="G3" s="22">
        <f>SUM(G5:G7)</f>
        <v>29120000</v>
      </c>
      <c r="H3" s="22">
        <f>SUM(H5:H7)</f>
        <v>458120000</v>
      </c>
      <c r="I3" s="9"/>
    </row>
    <row r="4" spans="1:14" ht="36" customHeight="1" x14ac:dyDescent="0.3">
      <c r="A4" s="23">
        <v>1</v>
      </c>
      <c r="B4" s="55" t="s">
        <v>14</v>
      </c>
      <c r="C4" s="56"/>
      <c r="D4" s="5"/>
      <c r="E4" s="57"/>
      <c r="F4" s="4">
        <f>F5+F6</f>
        <v>390000000</v>
      </c>
      <c r="G4" s="4">
        <f>G5+G6</f>
        <v>26000000</v>
      </c>
      <c r="H4" s="4">
        <f>H5+H6</f>
        <v>416000000</v>
      </c>
      <c r="I4" s="3"/>
      <c r="N4" s="2"/>
    </row>
    <row r="5" spans="1:14" ht="54.75" customHeight="1" x14ac:dyDescent="0.3">
      <c r="A5" s="17" t="s">
        <v>15</v>
      </c>
      <c r="B5" s="29" t="s">
        <v>16</v>
      </c>
      <c r="C5" s="21" t="s">
        <v>17</v>
      </c>
      <c r="D5" s="20">
        <v>13</v>
      </c>
      <c r="E5" s="19">
        <v>25000000</v>
      </c>
      <c r="F5" s="18">
        <f>E5*D5</f>
        <v>325000000</v>
      </c>
      <c r="G5" s="18">
        <f>F5*8%</f>
        <v>26000000</v>
      </c>
      <c r="H5" s="18">
        <f t="shared" ref="H5:H11" si="0">F5+G5</f>
        <v>351000000</v>
      </c>
      <c r="I5" s="31" t="s">
        <v>18</v>
      </c>
      <c r="N5" s="2"/>
    </row>
    <row r="6" spans="1:14" ht="60.75" customHeight="1" x14ac:dyDescent="0.3">
      <c r="A6" s="17" t="s">
        <v>19</v>
      </c>
      <c r="B6" s="30" t="s">
        <v>20</v>
      </c>
      <c r="C6" s="16" t="s">
        <v>21</v>
      </c>
      <c r="D6" s="16">
        <v>1</v>
      </c>
      <c r="E6" s="15">
        <f>5000000*D5</f>
        <v>65000000</v>
      </c>
      <c r="F6" s="15">
        <f>E6</f>
        <v>65000000</v>
      </c>
      <c r="G6" s="6">
        <v>0</v>
      </c>
      <c r="H6" s="6">
        <f t="shared" si="0"/>
        <v>65000000</v>
      </c>
      <c r="I6" s="33" t="s">
        <v>22</v>
      </c>
      <c r="N6" s="2"/>
    </row>
    <row r="7" spans="1:14" ht="18.75" customHeight="1" x14ac:dyDescent="0.3">
      <c r="A7" s="5">
        <v>2</v>
      </c>
      <c r="B7" s="8" t="s">
        <v>23</v>
      </c>
      <c r="C7" s="5" t="s">
        <v>24</v>
      </c>
      <c r="D7" s="5">
        <f>D5*2</f>
        <v>26</v>
      </c>
      <c r="E7" s="7">
        <v>1500000</v>
      </c>
      <c r="F7" s="6">
        <f>E7*D7</f>
        <v>39000000</v>
      </c>
      <c r="G7" s="6">
        <f>F7*8%</f>
        <v>3120000</v>
      </c>
      <c r="H7" s="6">
        <f t="shared" si="0"/>
        <v>42120000</v>
      </c>
      <c r="I7" s="3"/>
      <c r="N7" s="2"/>
    </row>
    <row r="8" spans="1:14" ht="18.75" customHeight="1" x14ac:dyDescent="0.3">
      <c r="A8" s="13" t="s">
        <v>3</v>
      </c>
      <c r="B8" s="12" t="s">
        <v>25</v>
      </c>
      <c r="C8" s="11"/>
      <c r="D8" s="11"/>
      <c r="E8" s="10"/>
      <c r="F8" s="10">
        <f>SUM(F9:F11)</f>
        <v>28600000</v>
      </c>
      <c r="G8" s="10">
        <f>SUM(G9:G11)</f>
        <v>2444000</v>
      </c>
      <c r="H8" s="10">
        <f t="shared" si="0"/>
        <v>31044000</v>
      </c>
      <c r="I8" s="10"/>
    </row>
    <row r="9" spans="1:14" ht="18.75" customHeight="1" x14ac:dyDescent="0.3">
      <c r="A9" s="5">
        <v>3</v>
      </c>
      <c r="B9" s="14" t="s">
        <v>26</v>
      </c>
      <c r="C9" s="5" t="s">
        <v>27</v>
      </c>
      <c r="D9" s="5">
        <f>D5</f>
        <v>13</v>
      </c>
      <c r="E9" s="6">
        <v>600000</v>
      </c>
      <c r="F9" s="6">
        <f>E9*D9</f>
        <v>7800000</v>
      </c>
      <c r="G9" s="6">
        <f>F9*10%</f>
        <v>780000</v>
      </c>
      <c r="H9" s="6">
        <f t="shared" si="0"/>
        <v>8580000</v>
      </c>
      <c r="I9" s="31" t="s">
        <v>28</v>
      </c>
      <c r="N9" s="2"/>
    </row>
    <row r="10" spans="1:14" ht="18.75" customHeight="1" x14ac:dyDescent="0.3">
      <c r="A10" s="5">
        <v>4</v>
      </c>
      <c r="B10" s="14" t="s">
        <v>29</v>
      </c>
      <c r="C10" s="5" t="s">
        <v>17</v>
      </c>
      <c r="D10" s="5">
        <f>D9</f>
        <v>13</v>
      </c>
      <c r="E10" s="7">
        <v>900000</v>
      </c>
      <c r="F10" s="6">
        <f>E10*D10</f>
        <v>11700000</v>
      </c>
      <c r="G10" s="6">
        <f>F10*8%</f>
        <v>936000</v>
      </c>
      <c r="H10" s="6">
        <f t="shared" si="0"/>
        <v>12636000</v>
      </c>
      <c r="I10" s="3"/>
    </row>
    <row r="11" spans="1:14" ht="37.5" customHeight="1" x14ac:dyDescent="0.3">
      <c r="A11" s="5">
        <v>5</v>
      </c>
      <c r="B11" s="14" t="s">
        <v>30</v>
      </c>
      <c r="C11" s="5" t="s">
        <v>17</v>
      </c>
      <c r="D11" s="5">
        <f>D9</f>
        <v>13</v>
      </c>
      <c r="E11" s="7">
        <v>700000</v>
      </c>
      <c r="F11" s="6">
        <f>E11*D11</f>
        <v>9100000</v>
      </c>
      <c r="G11" s="6">
        <f>F11*8%</f>
        <v>728000</v>
      </c>
      <c r="H11" s="6">
        <f t="shared" si="0"/>
        <v>9828000</v>
      </c>
      <c r="I11" s="3"/>
    </row>
    <row r="12" spans="1:14" ht="18.75" customHeight="1" x14ac:dyDescent="0.3">
      <c r="A12" s="13" t="s">
        <v>4</v>
      </c>
      <c r="B12" s="12" t="s">
        <v>31</v>
      </c>
      <c r="C12" s="11"/>
      <c r="D12" s="11"/>
      <c r="E12" s="10"/>
      <c r="F12" s="10">
        <f>F13</f>
        <v>5000000</v>
      </c>
      <c r="G12" s="10">
        <f>SUMPRODUCT(D13,G13)</f>
        <v>400000</v>
      </c>
      <c r="H12" s="10">
        <f>SUM(H13)</f>
        <v>5400000</v>
      </c>
      <c r="I12" s="9"/>
    </row>
    <row r="13" spans="1:14" ht="18.75" customHeight="1" x14ac:dyDescent="0.3">
      <c r="A13" s="5">
        <v>6</v>
      </c>
      <c r="B13" s="8" t="s">
        <v>32</v>
      </c>
      <c r="C13" s="5" t="s">
        <v>33</v>
      </c>
      <c r="D13" s="5">
        <v>1</v>
      </c>
      <c r="E13" s="7">
        <v>5000000</v>
      </c>
      <c r="F13" s="6">
        <f>E13*D13</f>
        <v>5000000</v>
      </c>
      <c r="G13" s="6">
        <f>E13*8%</f>
        <v>400000</v>
      </c>
      <c r="H13" s="6">
        <f>F13+G13</f>
        <v>5400000</v>
      </c>
      <c r="I13" s="3"/>
    </row>
    <row r="14" spans="1:14" ht="18.75" customHeight="1" x14ac:dyDescent="0.3">
      <c r="A14" s="5"/>
      <c r="B14" s="59" t="s">
        <v>34</v>
      </c>
      <c r="C14" s="60"/>
      <c r="D14" s="60"/>
      <c r="E14" s="61"/>
      <c r="F14" s="4">
        <f>SUM(F12,F8,F3)</f>
        <v>462600000</v>
      </c>
      <c r="G14" s="4">
        <f>SUM(G12,G8,G3)</f>
        <v>31964000</v>
      </c>
      <c r="H14" s="4">
        <f>F14+G14</f>
        <v>494564000</v>
      </c>
      <c r="I14" s="3"/>
    </row>
    <row r="15" spans="1:14" x14ac:dyDescent="0.3">
      <c r="B15" s="54"/>
      <c r="H15" s="2"/>
    </row>
    <row r="23" spans="10:10" x14ac:dyDescent="0.3">
      <c r="J23" s="32"/>
    </row>
  </sheetData>
  <mergeCells count="3">
    <mergeCell ref="B14:E14"/>
    <mergeCell ref="B3:D3"/>
    <mergeCell ref="B1:I1"/>
  </mergeCells>
  <pageMargins left="0.70866141732283472" right="0.51181102362204722" top="0.74803149606299213" bottom="0.74803149606299213" header="0.31496062992125978" footer="0.31496062992125978"/>
  <pageSetup paperSize="9" scale="7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6"/>
  <sheetViews>
    <sheetView workbookViewId="0">
      <selection activeCell="D4" sqref="D4"/>
    </sheetView>
  </sheetViews>
  <sheetFormatPr defaultColWidth="9.140625" defaultRowHeight="15" x14ac:dyDescent="0.25"/>
  <cols>
    <col min="1" max="1" width="9.140625" style="24" customWidth="1"/>
    <col min="2" max="2" width="41" style="24" customWidth="1"/>
    <col min="3" max="3" width="19.85546875" style="24" customWidth="1"/>
    <col min="4" max="4" width="12.85546875" style="24" customWidth="1"/>
    <col min="5" max="5" width="23.5703125" style="24" customWidth="1"/>
    <col min="6" max="6" width="16" style="24" customWidth="1"/>
    <col min="7" max="7" width="19.140625" style="24" customWidth="1"/>
    <col min="8" max="8" width="9.140625" style="24" customWidth="1"/>
    <col min="9" max="16384" width="9.140625" style="24"/>
  </cols>
  <sheetData>
    <row r="1" spans="1:7" ht="22.5" customHeight="1" x14ac:dyDescent="0.3">
      <c r="A1" s="68" t="s">
        <v>74</v>
      </c>
      <c r="B1" s="68"/>
      <c r="C1" s="68"/>
      <c r="D1" s="68"/>
      <c r="E1" s="68"/>
      <c r="F1" s="68"/>
      <c r="G1" s="68"/>
    </row>
    <row r="2" spans="1:7" ht="16.5" customHeight="1" x14ac:dyDescent="0.25">
      <c r="A2" s="28" t="s">
        <v>35</v>
      </c>
      <c r="B2" s="28" t="s">
        <v>36</v>
      </c>
      <c r="C2" s="28" t="s">
        <v>37</v>
      </c>
      <c r="D2" s="28" t="s">
        <v>9</v>
      </c>
      <c r="E2" s="28" t="s">
        <v>0</v>
      </c>
      <c r="F2" s="28" t="s">
        <v>1</v>
      </c>
      <c r="G2" s="28" t="s">
        <v>34</v>
      </c>
    </row>
    <row r="3" spans="1:7" ht="33" customHeight="1" x14ac:dyDescent="0.25">
      <c r="A3" s="27">
        <v>1</v>
      </c>
      <c r="B3" s="58" t="s">
        <v>71</v>
      </c>
      <c r="C3" s="26">
        <v>600000</v>
      </c>
      <c r="D3" s="26">
        <f>'Bảng giá'!D5</f>
        <v>13</v>
      </c>
      <c r="E3" s="26">
        <f>C3*D3</f>
        <v>7800000</v>
      </c>
      <c r="F3" s="26">
        <f>E3*10%</f>
        <v>780000</v>
      </c>
      <c r="G3" s="26">
        <f>F3+E3</f>
        <v>8580000</v>
      </c>
    </row>
    <row r="4" spans="1:7" ht="33" customHeight="1" x14ac:dyDescent="0.25">
      <c r="A4" s="27">
        <v>2</v>
      </c>
      <c r="B4" s="58" t="s">
        <v>72</v>
      </c>
      <c r="C4" s="26">
        <f>1000000*D3</f>
        <v>13000000</v>
      </c>
      <c r="D4" s="26">
        <v>1</v>
      </c>
      <c r="E4" s="26">
        <f>C4*D4</f>
        <v>13000000</v>
      </c>
      <c r="F4" s="26">
        <f>E4*10%</f>
        <v>1300000</v>
      </c>
      <c r="G4" s="26">
        <f>SUM(E4:F4)</f>
        <v>14300000</v>
      </c>
    </row>
    <row r="5" spans="1:7" ht="66" customHeight="1" x14ac:dyDescent="0.25">
      <c r="A5" s="27">
        <v>3</v>
      </c>
      <c r="B5" s="58" t="s">
        <v>73</v>
      </c>
      <c r="C5" s="26">
        <v>1500000</v>
      </c>
      <c r="D5" s="26">
        <f>D3</f>
        <v>13</v>
      </c>
      <c r="E5" s="26">
        <f>C5*D5</f>
        <v>19500000</v>
      </c>
      <c r="F5" s="26">
        <f>E5*8%</f>
        <v>1560000</v>
      </c>
      <c r="G5" s="26">
        <f>SUM(E5:F5)</f>
        <v>21060000</v>
      </c>
    </row>
    <row r="6" spans="1:7" ht="24" customHeight="1" x14ac:dyDescent="0.25">
      <c r="A6" s="67" t="s">
        <v>11</v>
      </c>
      <c r="B6" s="60"/>
      <c r="C6" s="60"/>
      <c r="D6" s="61"/>
      <c r="E6" s="25">
        <f>SUM(E3:E4:E5)</f>
        <v>40300000</v>
      </c>
      <c r="F6" s="25">
        <f>SUM(F3:F4:F5)</f>
        <v>3640000</v>
      </c>
      <c r="G6" s="25">
        <f>SUM(G3:G4:G5)</f>
        <v>43940000</v>
      </c>
    </row>
  </sheetData>
  <mergeCells count="2">
    <mergeCell ref="A6:D6"/>
    <mergeCell ref="A1:G1"/>
  </mergeCells>
  <pageMargins left="0.51181102362204722" right="0.51181102362204722" top="0.74803149606299213" bottom="0.74803149606299213" header="0.31496062992125978" footer="0.31496062992125978"/>
  <pageSetup paperSize="9" scale="96" fitToHeight="0" orientation="landscape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19"/>
  <sheetViews>
    <sheetView topLeftCell="A6" workbookViewId="0">
      <selection activeCell="G10" sqref="G10"/>
    </sheetView>
  </sheetViews>
  <sheetFormatPr defaultColWidth="14.85546875" defaultRowHeight="16.5" x14ac:dyDescent="0.25"/>
  <cols>
    <col min="1" max="1" width="7.85546875" style="49" customWidth="1"/>
    <col min="2" max="2" width="27.140625" style="49" customWidth="1"/>
    <col min="3" max="3" width="12.5703125" style="50" customWidth="1"/>
    <col min="4" max="4" width="14" style="49" customWidth="1"/>
    <col min="5" max="5" width="15.140625" style="49" customWidth="1"/>
    <col min="6" max="6" width="14.85546875" style="49" customWidth="1"/>
    <col min="7" max="7" width="14.42578125" style="49" customWidth="1"/>
    <col min="8" max="8" width="37" style="48" customWidth="1"/>
    <col min="9" max="11" width="9.140625" style="48" customWidth="1"/>
    <col min="12" max="12" width="22.5703125" style="48" customWidth="1"/>
    <col min="13" max="250" width="9.140625" style="48" customWidth="1"/>
    <col min="251" max="251" width="7.85546875" style="48" customWidth="1"/>
    <col min="252" max="252" width="23.85546875" style="48" customWidth="1"/>
    <col min="253" max="253" width="12.5703125" style="48" customWidth="1"/>
    <col min="254" max="254" width="14" style="48" customWidth="1"/>
    <col min="255" max="255" width="15.140625" style="48" customWidth="1"/>
    <col min="256" max="256" width="14.85546875" style="48" customWidth="1"/>
    <col min="257" max="16384" width="14.85546875" style="48"/>
  </cols>
  <sheetData>
    <row r="1" spans="1:12" ht="31.5" customHeight="1" x14ac:dyDescent="0.25">
      <c r="A1" s="69" t="s">
        <v>38</v>
      </c>
      <c r="B1" s="70"/>
      <c r="C1" s="71"/>
      <c r="D1" s="70"/>
      <c r="E1" s="70"/>
      <c r="F1" s="70"/>
      <c r="G1" s="70"/>
      <c r="H1" s="72"/>
    </row>
    <row r="2" spans="1:12" ht="15" customHeight="1" x14ac:dyDescent="0.25"/>
    <row r="3" spans="1:12" x14ac:dyDescent="0.25">
      <c r="A3" s="73" t="s">
        <v>39</v>
      </c>
      <c r="B3" s="73" t="s">
        <v>40</v>
      </c>
      <c r="C3" s="73" t="s">
        <v>41</v>
      </c>
      <c r="D3" s="75" t="s">
        <v>42</v>
      </c>
      <c r="E3" s="60"/>
      <c r="F3" s="60"/>
      <c r="G3" s="60"/>
      <c r="H3" s="73" t="s">
        <v>12</v>
      </c>
    </row>
    <row r="4" spans="1:12" x14ac:dyDescent="0.25">
      <c r="A4" s="74"/>
      <c r="B4" s="74"/>
      <c r="C4" s="74"/>
      <c r="D4" s="47" t="s">
        <v>43</v>
      </c>
      <c r="E4" s="47" t="s">
        <v>44</v>
      </c>
      <c r="F4" s="47" t="s">
        <v>45</v>
      </c>
      <c r="G4" s="47" t="s">
        <v>46</v>
      </c>
      <c r="H4" s="74"/>
    </row>
    <row r="5" spans="1:12" ht="19.5" customHeight="1" x14ac:dyDescent="0.25">
      <c r="A5" s="37">
        <v>1</v>
      </c>
      <c r="B5" s="42" t="s">
        <v>47</v>
      </c>
      <c r="C5" s="37" t="s">
        <v>48</v>
      </c>
      <c r="D5" s="46">
        <v>2.34</v>
      </c>
      <c r="E5" s="45">
        <v>2.65</v>
      </c>
      <c r="F5" s="45">
        <v>2.96</v>
      </c>
      <c r="G5" s="45">
        <v>3.27</v>
      </c>
      <c r="H5" s="39" t="s">
        <v>49</v>
      </c>
    </row>
    <row r="6" spans="1:12" ht="19.5" customHeight="1" x14ac:dyDescent="0.25">
      <c r="A6" s="37">
        <v>2</v>
      </c>
      <c r="B6" s="42" t="s">
        <v>50</v>
      </c>
      <c r="C6" s="37" t="s">
        <v>51</v>
      </c>
      <c r="D6" s="40">
        <v>0</v>
      </c>
      <c r="E6" s="40">
        <v>0</v>
      </c>
      <c r="F6" s="40">
        <v>0</v>
      </c>
      <c r="G6" s="40">
        <v>0</v>
      </c>
      <c r="H6" s="39"/>
    </row>
    <row r="7" spans="1:12" ht="19.5" customHeight="1" x14ac:dyDescent="0.25">
      <c r="A7" s="37">
        <v>3</v>
      </c>
      <c r="B7" s="42" t="s">
        <v>52</v>
      </c>
      <c r="C7" s="37" t="s">
        <v>53</v>
      </c>
      <c r="D7" s="40">
        <v>2340000</v>
      </c>
      <c r="E7" s="40">
        <v>2340000</v>
      </c>
      <c r="F7" s="40">
        <v>2340000</v>
      </c>
      <c r="G7" s="40">
        <v>2340000</v>
      </c>
      <c r="H7" s="39" t="s">
        <v>54</v>
      </c>
    </row>
    <row r="8" spans="1:12" ht="49.5" customHeight="1" x14ac:dyDescent="0.25">
      <c r="A8" s="37">
        <v>4</v>
      </c>
      <c r="B8" s="42" t="s">
        <v>55</v>
      </c>
      <c r="C8" s="37" t="s">
        <v>56</v>
      </c>
      <c r="D8" s="44">
        <v>0.9</v>
      </c>
      <c r="E8" s="44">
        <f>D8</f>
        <v>0.9</v>
      </c>
      <c r="F8" s="44">
        <f>D8</f>
        <v>0.9</v>
      </c>
      <c r="G8" s="44">
        <f>D8</f>
        <v>0.9</v>
      </c>
      <c r="H8" s="39" t="str">
        <f>IF(D8=G16,H16,IF(D8=G17,H17,IF(D8=G18,H18,H19)))</f>
        <v>Hệ số điều chỉnh tăng thêm tiền lương bằng 0,9 đối với địa bàn thuộc vùng II</v>
      </c>
      <c r="L8" s="53"/>
    </row>
    <row r="9" spans="1:12" ht="66" customHeight="1" x14ac:dyDescent="0.25">
      <c r="A9" s="37">
        <v>5</v>
      </c>
      <c r="B9" s="42" t="s">
        <v>57</v>
      </c>
      <c r="C9" s="41" t="s">
        <v>58</v>
      </c>
      <c r="D9" s="43">
        <v>0.23499999999999999</v>
      </c>
      <c r="E9" s="43">
        <f>D9</f>
        <v>0.23499999999999999</v>
      </c>
      <c r="F9" s="43">
        <f>D9</f>
        <v>0.23499999999999999</v>
      </c>
      <c r="G9" s="43">
        <f>D9</f>
        <v>0.23499999999999999</v>
      </c>
      <c r="H9" s="39" t="s">
        <v>59</v>
      </c>
      <c r="L9" s="52"/>
    </row>
    <row r="10" spans="1:12" ht="33" customHeight="1" x14ac:dyDescent="0.25">
      <c r="A10" s="37">
        <v>6</v>
      </c>
      <c r="B10" s="42" t="s">
        <v>60</v>
      </c>
      <c r="C10" s="41" t="s">
        <v>61</v>
      </c>
      <c r="D10" s="36">
        <v>26</v>
      </c>
      <c r="E10" s="36">
        <v>26</v>
      </c>
      <c r="F10" s="36">
        <v>26</v>
      </c>
      <c r="G10" s="36">
        <v>26</v>
      </c>
      <c r="H10" s="39" t="s">
        <v>49</v>
      </c>
    </row>
    <row r="11" spans="1:12" ht="33" customHeight="1" x14ac:dyDescent="0.25">
      <c r="A11" s="37">
        <v>7</v>
      </c>
      <c r="B11" s="38" t="s">
        <v>62</v>
      </c>
      <c r="C11" s="37" t="s">
        <v>63</v>
      </c>
      <c r="D11" s="40">
        <f>(D5+D6)*D7*(1+D8+D9)/D10</f>
        <v>449630.99999999994</v>
      </c>
      <c r="E11" s="40">
        <f>(E5+E6)*E7*(1+E8+E9)/E10</f>
        <v>509197.49999999994</v>
      </c>
      <c r="F11" s="40">
        <f>(F5+F6)*F7*(1+F8+F9)/F10</f>
        <v>568763.99999999988</v>
      </c>
      <c r="G11" s="40">
        <f>(G5+G6)*G7*(1+G8+G9)/G10</f>
        <v>628330.49999999988</v>
      </c>
      <c r="H11" s="39" t="s">
        <v>49</v>
      </c>
      <c r="I11" s="51"/>
    </row>
    <row r="12" spans="1:12" x14ac:dyDescent="0.25">
      <c r="A12" s="37">
        <v>8</v>
      </c>
      <c r="B12" s="38" t="s">
        <v>64</v>
      </c>
      <c r="C12" s="37" t="s">
        <v>65</v>
      </c>
      <c r="D12" s="36">
        <f>D11/8</f>
        <v>56203.874999999993</v>
      </c>
      <c r="E12" s="36">
        <f>E11/8</f>
        <v>63649.687499999993</v>
      </c>
      <c r="F12" s="36">
        <f>F11/8</f>
        <v>71095.499999999985</v>
      </c>
      <c r="G12" s="36">
        <f>G11/8</f>
        <v>78541.312499999985</v>
      </c>
      <c r="H12" s="35" t="s">
        <v>66</v>
      </c>
    </row>
    <row r="16" spans="1:12" ht="49.5" customHeight="1" x14ac:dyDescent="0.25">
      <c r="G16" s="34">
        <v>1.2</v>
      </c>
      <c r="H16" s="34" t="s">
        <v>67</v>
      </c>
    </row>
    <row r="17" spans="7:8" ht="49.5" customHeight="1" x14ac:dyDescent="0.25">
      <c r="G17" s="34">
        <v>0.9</v>
      </c>
      <c r="H17" s="34" t="s">
        <v>68</v>
      </c>
    </row>
    <row r="18" spans="7:8" ht="49.5" customHeight="1" x14ac:dyDescent="0.25">
      <c r="G18" s="34">
        <v>0.7</v>
      </c>
      <c r="H18" s="34" t="s">
        <v>69</v>
      </c>
    </row>
    <row r="19" spans="7:8" ht="49.5" customHeight="1" x14ac:dyDescent="0.25">
      <c r="G19" s="34">
        <v>0.5</v>
      </c>
      <c r="H19" s="34" t="s">
        <v>70</v>
      </c>
    </row>
  </sheetData>
  <mergeCells count="6">
    <mergeCell ref="A1:H1"/>
    <mergeCell ref="A3:A4"/>
    <mergeCell ref="B3:B4"/>
    <mergeCell ref="C3:C4"/>
    <mergeCell ref="D3:G3"/>
    <mergeCell ref="H3:H4"/>
  </mergeCells>
  <dataValidations count="1">
    <dataValidation type="list" allowBlank="1" showInputMessage="1" showErrorMessage="1" sqref="D8" xr:uid="{00000000-0002-0000-0500-000000000000}">
      <formula1>$G$16:$G$19</formula1>
    </dataValidation>
  </dataValidations>
  <pageMargins left="0.51181102362204722" right="0.51181102362204722" top="0.35433070866141742" bottom="0.35433070866141742" header="0.31496062992125978" footer="0.31496062992125978"/>
  <pageSetup paperSize="9" scale="95" fitToHeight="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Bảng giá</vt:lpstr>
      <vt:lpstr>3. CP vận hàng hàng năm</vt:lpstr>
      <vt:lpstr>4.LươngKS</vt:lpstr>
      <vt:lpstr>'4.LươngKS'!Print_Area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 Nguyen</dc:creator>
  <cp:lastModifiedBy>Lê Thu Trang</cp:lastModifiedBy>
  <cp:lastPrinted>2025-11-12T09:23:40Z</cp:lastPrinted>
  <dcterms:created xsi:type="dcterms:W3CDTF">2021-02-19T02:07:24Z</dcterms:created>
  <dcterms:modified xsi:type="dcterms:W3CDTF">2026-05-27T07:36:33Z</dcterms:modified>
</cp:coreProperties>
</file>